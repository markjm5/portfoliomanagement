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3B7821B9-8886-624E-AD73-04383DA30E8A}" xr6:coauthVersionLast="47" xr6:coauthVersionMax="47" xr10:uidLastSave="{00000000-0000-0000-0000-000000000000}"/>
  <bookViews>
    <workbookView xWindow="-68580" yWindow="-640" windowWidth="47640" windowHeight="28300" tabRatio="804" firstSheet="2" activeTab="5"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9" i="6" l="1"/>
  <c r="B237" i="37"/>
  <c r="B236" i="37"/>
  <c r="B235" i="37"/>
  <c r="B234" i="37"/>
  <c r="C235" i="37" s="1"/>
  <c r="B233" i="37"/>
  <c r="C234" i="37" s="1"/>
  <c r="B232" i="37"/>
  <c r="B231" i="37"/>
  <c r="B230" i="37"/>
  <c r="C231" i="37" s="1"/>
  <c r="B229" i="37"/>
  <c r="C230" i="37" s="1"/>
  <c r="B228" i="37"/>
  <c r="B227" i="37"/>
  <c r="B226" i="37"/>
  <c r="C227" i="37" s="1"/>
  <c r="B225" i="37"/>
  <c r="B224" i="37"/>
  <c r="B223" i="37"/>
  <c r="B222" i="37"/>
  <c r="B221" i="37"/>
  <c r="B220" i="37"/>
  <c r="B219" i="37"/>
  <c r="B218" i="37"/>
  <c r="C219" i="37" s="1"/>
  <c r="B217" i="37"/>
  <c r="C218" i="37" s="1"/>
  <c r="B216" i="37"/>
  <c r="C216" i="37" s="1"/>
  <c r="B215" i="37"/>
  <c r="B214" i="37"/>
  <c r="C215" i="37" s="1"/>
  <c r="B213" i="37"/>
  <c r="C214" i="37" s="1"/>
  <c r="B212" i="37"/>
  <c r="C213" i="37" s="1"/>
  <c r="B211" i="37"/>
  <c r="C212" i="37" s="1"/>
  <c r="B210" i="37"/>
  <c r="B209" i="37"/>
  <c r="C210" i="37" s="1"/>
  <c r="B208" i="37"/>
  <c r="B207" i="37"/>
  <c r="B206" i="37"/>
  <c r="C207" i="37" s="1"/>
  <c r="B205" i="37"/>
  <c r="C206" i="37" s="1"/>
  <c r="B204" i="37"/>
  <c r="C205" i="37" s="1"/>
  <c r="B203" i="37"/>
  <c r="B202" i="37"/>
  <c r="B201" i="37"/>
  <c r="B200" i="37"/>
  <c r="B199" i="37"/>
  <c r="B198" i="37"/>
  <c r="C199" i="37" s="1"/>
  <c r="B197" i="37"/>
  <c r="C198" i="37" s="1"/>
  <c r="B196" i="37"/>
  <c r="B195" i="37"/>
  <c r="B194" i="37"/>
  <c r="B193" i="37"/>
  <c r="B192" i="37"/>
  <c r="B191" i="37"/>
  <c r="C192" i="37" s="1"/>
  <c r="B190" i="37"/>
  <c r="C191" i="37" s="1"/>
  <c r="B189" i="37"/>
  <c r="B188" i="37"/>
  <c r="B187" i="37"/>
  <c r="B186" i="37"/>
  <c r="C187" i="37" s="1"/>
  <c r="B185" i="37"/>
  <c r="B184" i="37"/>
  <c r="B183" i="37"/>
  <c r="C184" i="37" s="1"/>
  <c r="B182" i="37"/>
  <c r="B181" i="37"/>
  <c r="B180" i="37"/>
  <c r="C181" i="37" s="1"/>
  <c r="B179" i="37"/>
  <c r="B178" i="37"/>
  <c r="B177" i="37"/>
  <c r="C178" i="37" s="1"/>
  <c r="B176" i="37"/>
  <c r="B175" i="37"/>
  <c r="C176" i="37" s="1"/>
  <c r="B174" i="37"/>
  <c r="C175" i="37" s="1"/>
  <c r="B173" i="37"/>
  <c r="C174" i="37" s="1"/>
  <c r="B172" i="37"/>
  <c r="C173" i="37" s="1"/>
  <c r="B171" i="37"/>
  <c r="B170" i="37"/>
  <c r="B169" i="37"/>
  <c r="B168" i="37"/>
  <c r="B167" i="37"/>
  <c r="C168" i="37" s="1"/>
  <c r="B166" i="37"/>
  <c r="C167" i="37" s="1"/>
  <c r="B165" i="37"/>
  <c r="C166" i="37" s="1"/>
  <c r="B164" i="37"/>
  <c r="B163" i="37"/>
  <c r="B162" i="37"/>
  <c r="B161" i="37"/>
  <c r="B160" i="37"/>
  <c r="B159" i="37"/>
  <c r="C160" i="37" s="1"/>
  <c r="B158" i="37"/>
  <c r="B157" i="37"/>
  <c r="B156" i="37"/>
  <c r="B155" i="37"/>
  <c r="B154" i="37"/>
  <c r="B153" i="37"/>
  <c r="B152" i="37"/>
  <c r="B151" i="37"/>
  <c r="B150" i="37"/>
  <c r="C151" i="37" s="1"/>
  <c r="B149" i="37"/>
  <c r="C150" i="37" s="1"/>
  <c r="B148" i="37"/>
  <c r="B147" i="37"/>
  <c r="B146" i="37"/>
  <c r="B145" i="37"/>
  <c r="C146" i="37" s="1"/>
  <c r="B144" i="37"/>
  <c r="B143" i="37"/>
  <c r="C144" i="37" s="1"/>
  <c r="B142" i="37"/>
  <c r="C143" i="37" s="1"/>
  <c r="B141" i="37"/>
  <c r="C142" i="37" s="1"/>
  <c r="B140" i="37"/>
  <c r="B139" i="37"/>
  <c r="B138" i="37"/>
  <c r="B137" i="37"/>
  <c r="B136" i="37"/>
  <c r="B135" i="37"/>
  <c r="C136" i="37" s="1"/>
  <c r="B134" i="37"/>
  <c r="C135" i="37" s="1"/>
  <c r="B133" i="37"/>
  <c r="C134" i="37" s="1"/>
  <c r="B132" i="37"/>
  <c r="B131" i="37"/>
  <c r="C132" i="37" s="1"/>
  <c r="B130" i="37"/>
  <c r="B129" i="37"/>
  <c r="B128" i="37"/>
  <c r="B127" i="37"/>
  <c r="B126" i="37"/>
  <c r="C127" i="37" s="1"/>
  <c r="B125" i="37"/>
  <c r="B124" i="37"/>
  <c r="B123" i="37"/>
  <c r="B122" i="37"/>
  <c r="C123" i="37" s="1"/>
  <c r="B121" i="37"/>
  <c r="B120" i="37"/>
  <c r="B119" i="37"/>
  <c r="C119" i="37" s="1"/>
  <c r="B118" i="37"/>
  <c r="B117" i="37"/>
  <c r="C118" i="37" s="1"/>
  <c r="B116" i="37"/>
  <c r="B115" i="37"/>
  <c r="C116" i="37" s="1"/>
  <c r="B114" i="37"/>
  <c r="B113" i="37"/>
  <c r="B112" i="37"/>
  <c r="B111" i="37"/>
  <c r="C112" i="37" s="1"/>
  <c r="B110" i="37"/>
  <c r="B109" i="37"/>
  <c r="C110" i="37" s="1"/>
  <c r="B108" i="37"/>
  <c r="B107" i="37"/>
  <c r="B106" i="37"/>
  <c r="B105" i="37"/>
  <c r="B104" i="37"/>
  <c r="B103" i="37"/>
  <c r="C104" i="37" s="1"/>
  <c r="B102" i="37"/>
  <c r="B101" i="37"/>
  <c r="C102" i="37" s="1"/>
  <c r="B100" i="37"/>
  <c r="C101" i="37" s="1"/>
  <c r="B99" i="37"/>
  <c r="B98" i="37"/>
  <c r="B97" i="37"/>
  <c r="C96" i="37"/>
  <c r="B96" i="37"/>
  <c r="B95" i="37"/>
  <c r="B94" i="37"/>
  <c r="C95" i="37" s="1"/>
  <c r="B93" i="37"/>
  <c r="C94" i="37" s="1"/>
  <c r="B92" i="37"/>
  <c r="B91" i="37"/>
  <c r="B90" i="37"/>
  <c r="B89" i="37"/>
  <c r="B88" i="37"/>
  <c r="B87" i="37"/>
  <c r="B86" i="37"/>
  <c r="C87" i="37" s="1"/>
  <c r="B85" i="37"/>
  <c r="C86" i="37" s="1"/>
  <c r="B84" i="37"/>
  <c r="B83" i="37"/>
  <c r="B82" i="37"/>
  <c r="B81" i="37"/>
  <c r="B80" i="37"/>
  <c r="C81" i="37" s="1"/>
  <c r="B79" i="37"/>
  <c r="B78" i="37"/>
  <c r="C79" i="37" s="1"/>
  <c r="B77" i="37"/>
  <c r="B76" i="37"/>
  <c r="B75" i="37"/>
  <c r="B74" i="37"/>
  <c r="B73" i="37"/>
  <c r="B72" i="37"/>
  <c r="B71" i="37"/>
  <c r="B70" i="37"/>
  <c r="C70" i="37" s="1"/>
  <c r="B69" i="37"/>
  <c r="B68" i="37"/>
  <c r="B67" i="37"/>
  <c r="C68" i="37" s="1"/>
  <c r="B66" i="37"/>
  <c r="B65" i="37"/>
  <c r="B64" i="37"/>
  <c r="B63" i="37"/>
  <c r="C64" i="37" s="1"/>
  <c r="B62" i="37"/>
  <c r="B61" i="37"/>
  <c r="C62" i="37" s="1"/>
  <c r="B60" i="37"/>
  <c r="B59" i="37"/>
  <c r="B58" i="37"/>
  <c r="B57" i="37"/>
  <c r="B56" i="37"/>
  <c r="B55" i="37"/>
  <c r="C56" i="37" s="1"/>
  <c r="B54" i="37"/>
  <c r="B53" i="37"/>
  <c r="B52" i="37"/>
  <c r="B51" i="37"/>
  <c r="B50" i="37"/>
  <c r="B49" i="37"/>
  <c r="B48" i="37"/>
  <c r="C49" i="37" s="1"/>
  <c r="B47" i="37"/>
  <c r="C48" i="37" s="1"/>
  <c r="B46" i="37"/>
  <c r="C47" i="37" s="1"/>
  <c r="B45" i="37"/>
  <c r="B44" i="37"/>
  <c r="B43" i="37"/>
  <c r="B42" i="37"/>
  <c r="B41" i="37"/>
  <c r="B40" i="37"/>
  <c r="B39" i="37"/>
  <c r="C40" i="37" s="1"/>
  <c r="B38" i="37"/>
  <c r="B37" i="37"/>
  <c r="C38" i="37" s="1"/>
  <c r="B36" i="37"/>
  <c r="B35" i="37"/>
  <c r="C36" i="37" s="1"/>
  <c r="B34" i="37"/>
  <c r="B33" i="37"/>
  <c r="B32" i="37"/>
  <c r="B31" i="37"/>
  <c r="C32" i="37" s="1"/>
  <c r="B30" i="37"/>
  <c r="B29" i="37"/>
  <c r="C30" i="37" s="1"/>
  <c r="B28" i="37"/>
  <c r="B27" i="37"/>
  <c r="B26" i="37"/>
  <c r="C27" i="37" s="1"/>
  <c r="B25" i="37"/>
  <c r="B24" i="37"/>
  <c r="C23" i="37"/>
  <c r="B23" i="37"/>
  <c r="B22" i="37"/>
  <c r="B21" i="37"/>
  <c r="B20" i="37"/>
  <c r="B19" i="37"/>
  <c r="B18" i="37"/>
  <c r="B17" i="37"/>
  <c r="B16" i="37"/>
  <c r="C17" i="37" s="1"/>
  <c r="B15" i="37"/>
  <c r="C15" i="37" s="1"/>
  <c r="B14" i="37"/>
  <c r="B13" i="37"/>
  <c r="B12" i="37"/>
  <c r="B11" i="37"/>
  <c r="C12" i="37" s="1"/>
  <c r="B10" i="37"/>
  <c r="B9" i="37"/>
  <c r="B8" i="37"/>
  <c r="B7" i="37"/>
  <c r="C8" i="37" s="1"/>
  <c r="B6" i="37"/>
  <c r="C7" i="37" s="1"/>
  <c r="K2" i="37"/>
  <c r="B87" i="36"/>
  <c r="B86" i="36"/>
  <c r="B85" i="36"/>
  <c r="B84" i="36"/>
  <c r="B83" i="36"/>
  <c r="B82" i="36"/>
  <c r="B81" i="36"/>
  <c r="C82" i="36" s="1"/>
  <c r="B80" i="36"/>
  <c r="C81" i="36" s="1"/>
  <c r="B79" i="36"/>
  <c r="B78" i="36"/>
  <c r="B77" i="36"/>
  <c r="C78" i="36" s="1"/>
  <c r="B76" i="36"/>
  <c r="B75" i="36"/>
  <c r="C76" i="36" s="1"/>
  <c r="B74" i="36"/>
  <c r="B73" i="36"/>
  <c r="B72" i="36"/>
  <c r="C73" i="36" s="1"/>
  <c r="B71" i="36"/>
  <c r="B70" i="36"/>
  <c r="C71" i="36" s="1"/>
  <c r="B69" i="36"/>
  <c r="B68" i="36"/>
  <c r="B67" i="36"/>
  <c r="B66" i="36"/>
  <c r="B65" i="36"/>
  <c r="B64" i="36"/>
  <c r="B63" i="36"/>
  <c r="B62" i="36"/>
  <c r="B61" i="36"/>
  <c r="B60" i="36"/>
  <c r="B59" i="36"/>
  <c r="C60" i="36" s="1"/>
  <c r="B58" i="36"/>
  <c r="B57" i="36"/>
  <c r="C58" i="36" s="1"/>
  <c r="B56" i="36"/>
  <c r="B55" i="36"/>
  <c r="C56" i="36" s="1"/>
  <c r="B54" i="36"/>
  <c r="B53" i="36"/>
  <c r="B52" i="36"/>
  <c r="B51" i="36"/>
  <c r="B50" i="36"/>
  <c r="B49" i="36"/>
  <c r="C50" i="36" s="1"/>
  <c r="B48" i="36"/>
  <c r="B47" i="36"/>
  <c r="B46" i="36"/>
  <c r="B45" i="36"/>
  <c r="B44" i="36"/>
  <c r="B43" i="36"/>
  <c r="B42" i="36"/>
  <c r="C41" i="36"/>
  <c r="B41" i="36"/>
  <c r="B40" i="36"/>
  <c r="B39" i="36"/>
  <c r="B38" i="36"/>
  <c r="B37" i="36"/>
  <c r="B36" i="36"/>
  <c r="B35" i="36"/>
  <c r="B34" i="36"/>
  <c r="B33" i="36"/>
  <c r="B32" i="36"/>
  <c r="B31" i="36"/>
  <c r="B30" i="36"/>
  <c r="C31" i="36" s="1"/>
  <c r="B29" i="36"/>
  <c r="B28" i="36"/>
  <c r="C29" i="36" s="1"/>
  <c r="B27" i="36"/>
  <c r="B26" i="36"/>
  <c r="B25" i="36"/>
  <c r="B24" i="36"/>
  <c r="B23" i="36"/>
  <c r="B22" i="36"/>
  <c r="B21" i="36"/>
  <c r="B20" i="36"/>
  <c r="C21" i="36" s="1"/>
  <c r="B19" i="36"/>
  <c r="B18" i="36"/>
  <c r="B17" i="36"/>
  <c r="B16" i="36"/>
  <c r="C17" i="36" s="1"/>
  <c r="B15" i="36"/>
  <c r="B14" i="36"/>
  <c r="C15" i="36" s="1"/>
  <c r="B13" i="36"/>
  <c r="B12" i="36"/>
  <c r="C13" i="36" s="1"/>
  <c r="B11" i="36"/>
  <c r="C12" i="36" s="1"/>
  <c r="B10" i="36"/>
  <c r="B9" i="36"/>
  <c r="C9" i="36" s="1"/>
  <c r="B8" i="36"/>
  <c r="B7" i="36"/>
  <c r="C8" i="36" s="1"/>
  <c r="B6" i="36"/>
  <c r="K2" i="36"/>
  <c r="B120" i="35"/>
  <c r="B119" i="35"/>
  <c r="B118" i="35"/>
  <c r="B117" i="35"/>
  <c r="B116" i="35"/>
  <c r="C116" i="35" s="1"/>
  <c r="B115" i="35"/>
  <c r="B114" i="35"/>
  <c r="B113" i="35"/>
  <c r="B112" i="35"/>
  <c r="B111" i="35"/>
  <c r="B110" i="35"/>
  <c r="B109" i="35"/>
  <c r="B108" i="35"/>
  <c r="B107" i="35"/>
  <c r="B106" i="35"/>
  <c r="C107" i="35" s="1"/>
  <c r="B105" i="35"/>
  <c r="B104" i="35"/>
  <c r="C105" i="35" s="1"/>
  <c r="B103" i="35"/>
  <c r="B102" i="35"/>
  <c r="C103" i="35" s="1"/>
  <c r="B101" i="35"/>
  <c r="B100" i="35"/>
  <c r="B99" i="35"/>
  <c r="B98" i="35"/>
  <c r="C99" i="35" s="1"/>
  <c r="B97" i="35"/>
  <c r="B96" i="35"/>
  <c r="B95" i="35"/>
  <c r="C94" i="35"/>
  <c r="B94" i="35"/>
  <c r="B93" i="35"/>
  <c r="B92" i="35"/>
  <c r="B91" i="35"/>
  <c r="B90" i="35"/>
  <c r="C91" i="35" s="1"/>
  <c r="B89" i="35"/>
  <c r="B88" i="35"/>
  <c r="B87" i="35"/>
  <c r="B86" i="35"/>
  <c r="B85" i="35"/>
  <c r="B84" i="35"/>
  <c r="B83" i="35"/>
  <c r="C84" i="35" s="1"/>
  <c r="B82" i="35"/>
  <c r="B81" i="35"/>
  <c r="C82" i="35" s="1"/>
  <c r="B80" i="35"/>
  <c r="B79" i="35"/>
  <c r="B78" i="35"/>
  <c r="B77" i="35"/>
  <c r="C78" i="35" s="1"/>
  <c r="B76" i="35"/>
  <c r="B75" i="35"/>
  <c r="B74" i="35"/>
  <c r="B73" i="35"/>
  <c r="B72" i="35"/>
  <c r="B71" i="35"/>
  <c r="B70" i="35"/>
  <c r="B69" i="35"/>
  <c r="B68" i="35"/>
  <c r="B67" i="35"/>
  <c r="B66" i="35"/>
  <c r="B65" i="35"/>
  <c r="B64" i="35"/>
  <c r="B63" i="35"/>
  <c r="B62" i="35"/>
  <c r="B61" i="35"/>
  <c r="C62" i="35" s="1"/>
  <c r="B60" i="35"/>
  <c r="B59" i="35"/>
  <c r="B58" i="35"/>
  <c r="C59" i="35" s="1"/>
  <c r="B57" i="35"/>
  <c r="B56" i="35"/>
  <c r="B55" i="35"/>
  <c r="C56" i="35" s="1"/>
  <c r="B54" i="35"/>
  <c r="B53" i="35"/>
  <c r="B52" i="35"/>
  <c r="C53" i="35" s="1"/>
  <c r="B51" i="35"/>
  <c r="C52" i="35" s="1"/>
  <c r="C50" i="35"/>
  <c r="B50" i="35"/>
  <c r="B49" i="35"/>
  <c r="C49" i="35" s="1"/>
  <c r="B48" i="35"/>
  <c r="B47" i="35"/>
  <c r="C48" i="35" s="1"/>
  <c r="B46" i="35"/>
  <c r="B45" i="35"/>
  <c r="B44" i="35"/>
  <c r="B43" i="35"/>
  <c r="B42" i="35"/>
  <c r="B41" i="35"/>
  <c r="B40" i="35"/>
  <c r="C41" i="35" s="1"/>
  <c r="B39" i="35"/>
  <c r="B38" i="35"/>
  <c r="B37" i="35"/>
  <c r="C38" i="35" s="1"/>
  <c r="B36" i="35"/>
  <c r="B35" i="35"/>
  <c r="B34" i="35"/>
  <c r="B33" i="35"/>
  <c r="B32" i="35"/>
  <c r="B31" i="35"/>
  <c r="B30" i="35"/>
  <c r="B29" i="35"/>
  <c r="B28" i="35"/>
  <c r="B27" i="35"/>
  <c r="B26" i="35"/>
  <c r="B25" i="35"/>
  <c r="B24" i="35"/>
  <c r="B23" i="35"/>
  <c r="B22" i="35"/>
  <c r="C23" i="35" s="1"/>
  <c r="B21" i="35"/>
  <c r="B20" i="35"/>
  <c r="C21" i="35" s="1"/>
  <c r="B19" i="35"/>
  <c r="B18" i="35"/>
  <c r="B17" i="35"/>
  <c r="B16" i="35"/>
  <c r="B15" i="35"/>
  <c r="C16" i="35" s="1"/>
  <c r="B14" i="35"/>
  <c r="B13" i="35"/>
  <c r="B12" i="35"/>
  <c r="B11" i="35"/>
  <c r="C12" i="35" s="1"/>
  <c r="B10" i="35"/>
  <c r="B9" i="35"/>
  <c r="B8" i="35"/>
  <c r="B7" i="35"/>
  <c r="B6" i="35"/>
  <c r="K2" i="35"/>
  <c r="B268" i="34"/>
  <c r="B267" i="34"/>
  <c r="C268" i="34" s="1"/>
  <c r="B266" i="34"/>
  <c r="B265" i="34"/>
  <c r="B264" i="34"/>
  <c r="B263" i="34"/>
  <c r="B262" i="34"/>
  <c r="C263" i="34" s="1"/>
  <c r="B261" i="34"/>
  <c r="B260" i="34"/>
  <c r="B259" i="34"/>
  <c r="C260" i="34" s="1"/>
  <c r="B258" i="34"/>
  <c r="B257" i="34"/>
  <c r="B256" i="34"/>
  <c r="B255" i="34"/>
  <c r="C256" i="34" s="1"/>
  <c r="B254" i="34"/>
  <c r="B253" i="34"/>
  <c r="C254" i="34" s="1"/>
  <c r="B252" i="34"/>
  <c r="B251" i="34"/>
  <c r="C252" i="34" s="1"/>
  <c r="B250" i="34"/>
  <c r="B249" i="34"/>
  <c r="B248" i="34"/>
  <c r="B247" i="34"/>
  <c r="B246" i="34"/>
  <c r="C247" i="34" s="1"/>
  <c r="B245" i="34"/>
  <c r="C246" i="34" s="1"/>
  <c r="B244" i="34"/>
  <c r="C243" i="34"/>
  <c r="B243" i="34"/>
  <c r="B242" i="34"/>
  <c r="B241" i="34"/>
  <c r="B240" i="34"/>
  <c r="B239" i="34"/>
  <c r="B238" i="34"/>
  <c r="C239" i="34" s="1"/>
  <c r="B237" i="34"/>
  <c r="B236" i="34"/>
  <c r="B235" i="34"/>
  <c r="B234" i="34"/>
  <c r="B233" i="34"/>
  <c r="B232" i="34"/>
  <c r="B231" i="34"/>
  <c r="B230" i="34"/>
  <c r="C231" i="34" s="1"/>
  <c r="B229" i="34"/>
  <c r="C229" i="34" s="1"/>
  <c r="B228" i="34"/>
  <c r="B227" i="34"/>
  <c r="C228" i="34" s="1"/>
  <c r="B226" i="34"/>
  <c r="B225" i="34"/>
  <c r="B224" i="34"/>
  <c r="B223" i="34"/>
  <c r="B222" i="34"/>
  <c r="B221" i="34"/>
  <c r="C222" i="34" s="1"/>
  <c r="B220" i="34"/>
  <c r="B219" i="34"/>
  <c r="C220" i="34" s="1"/>
  <c r="B218" i="34"/>
  <c r="B217" i="34"/>
  <c r="B216" i="34"/>
  <c r="B215" i="34"/>
  <c r="B214" i="34"/>
  <c r="B213" i="34"/>
  <c r="B212" i="34"/>
  <c r="B211" i="34"/>
  <c r="C211" i="34" s="1"/>
  <c r="B210" i="34"/>
  <c r="B209" i="34"/>
  <c r="B208" i="34"/>
  <c r="B207" i="34"/>
  <c r="B206" i="34"/>
  <c r="B205" i="34"/>
  <c r="B204" i="34"/>
  <c r="B203" i="34"/>
  <c r="B202" i="34"/>
  <c r="B201" i="34"/>
  <c r="B200" i="34"/>
  <c r="C201" i="34" s="1"/>
  <c r="B199" i="34"/>
  <c r="B198" i="34"/>
  <c r="B197" i="34"/>
  <c r="B196" i="34"/>
  <c r="B195" i="34"/>
  <c r="B194" i="34"/>
  <c r="B193" i="34"/>
  <c r="C194" i="34" s="1"/>
  <c r="B192" i="34"/>
  <c r="B191" i="34"/>
  <c r="B190" i="34"/>
  <c r="B189" i="34"/>
  <c r="B188" i="34"/>
  <c r="B187" i="34"/>
  <c r="C188" i="34" s="1"/>
  <c r="B186" i="34"/>
  <c r="B185" i="34"/>
  <c r="B184" i="34"/>
  <c r="B183" i="34"/>
  <c r="B182" i="34"/>
  <c r="B181" i="34"/>
  <c r="C182" i="34" s="1"/>
  <c r="B180" i="34"/>
  <c r="B179" i="34"/>
  <c r="B178" i="34"/>
  <c r="C179" i="34" s="1"/>
  <c r="B177" i="34"/>
  <c r="B176" i="34"/>
  <c r="C177" i="34" s="1"/>
  <c r="B175" i="34"/>
  <c r="B174" i="34"/>
  <c r="B173" i="34"/>
  <c r="B172" i="34"/>
  <c r="B171" i="34"/>
  <c r="B170" i="34"/>
  <c r="B169" i="34"/>
  <c r="C170" i="34" s="1"/>
  <c r="B168" i="34"/>
  <c r="C169" i="34" s="1"/>
  <c r="B167" i="34"/>
  <c r="B166" i="34"/>
  <c r="B165" i="34"/>
  <c r="B164" i="34"/>
  <c r="B163" i="34"/>
  <c r="B162" i="34"/>
  <c r="C163" i="34" s="1"/>
  <c r="B161" i="34"/>
  <c r="B160" i="34"/>
  <c r="B159" i="34"/>
  <c r="B158" i="34"/>
  <c r="B157" i="34"/>
  <c r="B156" i="34"/>
  <c r="B155" i="34"/>
  <c r="C156" i="34" s="1"/>
  <c r="B154" i="34"/>
  <c r="B153" i="34"/>
  <c r="B152" i="34"/>
  <c r="B151" i="34"/>
  <c r="B150" i="34"/>
  <c r="C151" i="34" s="1"/>
  <c r="B149" i="34"/>
  <c r="B148" i="34"/>
  <c r="B147" i="34"/>
  <c r="B146" i="34"/>
  <c r="B145" i="34"/>
  <c r="B144" i="34"/>
  <c r="C145" i="34" s="1"/>
  <c r="B143" i="34"/>
  <c r="B142" i="34"/>
  <c r="B141" i="34"/>
  <c r="B140" i="34"/>
  <c r="C141" i="34" s="1"/>
  <c r="B139" i="34"/>
  <c r="B138" i="34"/>
  <c r="B137" i="34"/>
  <c r="C138" i="34" s="1"/>
  <c r="B136" i="34"/>
  <c r="B135" i="34"/>
  <c r="B134" i="34"/>
  <c r="B133" i="34"/>
  <c r="B132" i="34"/>
  <c r="B131" i="34"/>
  <c r="B130" i="34"/>
  <c r="B129" i="34"/>
  <c r="C130" i="34" s="1"/>
  <c r="B128" i="34"/>
  <c r="B127" i="34"/>
  <c r="B126" i="34"/>
  <c r="B125" i="34"/>
  <c r="B124" i="34"/>
  <c r="B123" i="34"/>
  <c r="C124" i="34" s="1"/>
  <c r="B122" i="34"/>
  <c r="B121" i="34"/>
  <c r="C122" i="34" s="1"/>
  <c r="B120" i="34"/>
  <c r="B119" i="34"/>
  <c r="B118" i="34"/>
  <c r="B117" i="34"/>
  <c r="B116" i="34"/>
  <c r="C117" i="34" s="1"/>
  <c r="B115" i="34"/>
  <c r="B114" i="34"/>
  <c r="C113" i="34"/>
  <c r="B113" i="34"/>
  <c r="B112" i="34"/>
  <c r="B111" i="34"/>
  <c r="B110" i="34"/>
  <c r="B109" i="34"/>
  <c r="B108" i="34"/>
  <c r="C109" i="34" s="1"/>
  <c r="B107" i="34"/>
  <c r="C106" i="34"/>
  <c r="B106" i="34"/>
  <c r="B105" i="34"/>
  <c r="B104" i="34"/>
  <c r="B103" i="34"/>
  <c r="B102" i="34"/>
  <c r="C103" i="34" s="1"/>
  <c r="B101" i="34"/>
  <c r="C102" i="34" s="1"/>
  <c r="B100" i="34"/>
  <c r="B99" i="34"/>
  <c r="B98" i="34"/>
  <c r="B97" i="34"/>
  <c r="B96" i="34"/>
  <c r="B95" i="34"/>
  <c r="B94" i="34"/>
  <c r="C93" i="34"/>
  <c r="B93" i="34"/>
  <c r="B92" i="34"/>
  <c r="B91" i="34"/>
  <c r="B90" i="34"/>
  <c r="B89" i="34"/>
  <c r="C90" i="34" s="1"/>
  <c r="B88" i="34"/>
  <c r="B87" i="34"/>
  <c r="B86" i="34"/>
  <c r="B85" i="34"/>
  <c r="C85" i="34" s="1"/>
  <c r="B84" i="34"/>
  <c r="B83" i="34"/>
  <c r="B82" i="34"/>
  <c r="B81" i="34"/>
  <c r="C82" i="34" s="1"/>
  <c r="B80" i="34"/>
  <c r="B79" i="34"/>
  <c r="B78" i="34"/>
  <c r="B77" i="34"/>
  <c r="C78" i="34" s="1"/>
  <c r="B76" i="34"/>
  <c r="B75" i="34"/>
  <c r="B74" i="34"/>
  <c r="B73" i="34"/>
  <c r="C74" i="34" s="1"/>
  <c r="B72" i="34"/>
  <c r="C73" i="34" s="1"/>
  <c r="B71" i="34"/>
  <c r="B70" i="34"/>
  <c r="C71" i="34" s="1"/>
  <c r="B69" i="34"/>
  <c r="B68" i="34"/>
  <c r="B67" i="34"/>
  <c r="B66" i="34"/>
  <c r="C67" i="34" s="1"/>
  <c r="B65" i="34"/>
  <c r="B64" i="34"/>
  <c r="B63" i="34"/>
  <c r="B62" i="34"/>
  <c r="B61" i="34"/>
  <c r="C62" i="34" s="1"/>
  <c r="B60" i="34"/>
  <c r="C61" i="34" s="1"/>
  <c r="B59" i="34"/>
  <c r="B58" i="34"/>
  <c r="B57" i="34"/>
  <c r="C58" i="34" s="1"/>
  <c r="B56" i="34"/>
  <c r="B55" i="34"/>
  <c r="B54" i="34"/>
  <c r="B53" i="34"/>
  <c r="B52" i="34"/>
  <c r="B51" i="34"/>
  <c r="B50" i="34"/>
  <c r="C49" i="34"/>
  <c r="B49" i="34"/>
  <c r="B48" i="34"/>
  <c r="B47" i="34"/>
  <c r="B46" i="34"/>
  <c r="B45" i="34"/>
  <c r="C46" i="34" s="1"/>
  <c r="B44" i="34"/>
  <c r="C45" i="34" s="1"/>
  <c r="B43" i="34"/>
  <c r="C42" i="34"/>
  <c r="B42" i="34"/>
  <c r="B41" i="34"/>
  <c r="B40" i="34"/>
  <c r="B39" i="34"/>
  <c r="B38" i="34"/>
  <c r="C39" i="34" s="1"/>
  <c r="B37" i="34"/>
  <c r="C38" i="34" s="1"/>
  <c r="B36" i="34"/>
  <c r="B35" i="34"/>
  <c r="B34" i="34"/>
  <c r="B33" i="34"/>
  <c r="B32" i="34"/>
  <c r="B31" i="34"/>
  <c r="B30" i="34"/>
  <c r="C29" i="34"/>
  <c r="B29" i="34"/>
  <c r="B28" i="34"/>
  <c r="B27" i="34"/>
  <c r="B26" i="34"/>
  <c r="B25" i="34"/>
  <c r="B24" i="34"/>
  <c r="C25" i="34" s="1"/>
  <c r="B23" i="34"/>
  <c r="B22" i="34"/>
  <c r="B21" i="34"/>
  <c r="B20" i="34"/>
  <c r="B19" i="34"/>
  <c r="B18" i="34"/>
  <c r="C19" i="34" s="1"/>
  <c r="B17" i="34"/>
  <c r="B16" i="34"/>
  <c r="C17" i="34" s="1"/>
  <c r="B15" i="34"/>
  <c r="C16" i="34" s="1"/>
  <c r="B14" i="34"/>
  <c r="B13" i="34"/>
  <c r="B12" i="34"/>
  <c r="B11" i="34"/>
  <c r="B10" i="34"/>
  <c r="B9" i="34"/>
  <c r="B8" i="34"/>
  <c r="C9" i="34" s="1"/>
  <c r="B7" i="34"/>
  <c r="B6" i="34"/>
  <c r="K2" i="34"/>
  <c r="B72" i="33"/>
  <c r="B71" i="33"/>
  <c r="B70" i="33"/>
  <c r="B69" i="33"/>
  <c r="C70" i="33" s="1"/>
  <c r="B68" i="33"/>
  <c r="B67" i="33"/>
  <c r="C68" i="33" s="1"/>
  <c r="B66" i="33"/>
  <c r="B65" i="33"/>
  <c r="B64" i="33"/>
  <c r="B63" i="33"/>
  <c r="C64" i="33" s="1"/>
  <c r="B62" i="33"/>
  <c r="B61" i="33"/>
  <c r="B60" i="33"/>
  <c r="C61" i="33" s="1"/>
  <c r="B59" i="33"/>
  <c r="B58" i="33"/>
  <c r="B57" i="33"/>
  <c r="B56" i="33"/>
  <c r="B55" i="33"/>
  <c r="B54" i="33"/>
  <c r="B53" i="33"/>
  <c r="C54" i="33" s="1"/>
  <c r="B52" i="33"/>
  <c r="B51" i="33"/>
  <c r="B50" i="33"/>
  <c r="B49" i="33"/>
  <c r="B48" i="33"/>
  <c r="B47" i="33"/>
  <c r="B46" i="33"/>
  <c r="B45" i="33"/>
  <c r="C45" i="33" s="1"/>
  <c r="B44" i="33"/>
  <c r="B43" i="33"/>
  <c r="B42" i="33"/>
  <c r="B41" i="33"/>
  <c r="B40" i="33"/>
  <c r="C41" i="33" s="1"/>
  <c r="B39" i="33"/>
  <c r="B38" i="33"/>
  <c r="B37" i="33"/>
  <c r="B36" i="33"/>
  <c r="B35" i="33"/>
  <c r="B34" i="33"/>
  <c r="B33" i="33"/>
  <c r="B32" i="33"/>
  <c r="B31" i="33"/>
  <c r="B30" i="33"/>
  <c r="C31" i="33" s="1"/>
  <c r="B29" i="33"/>
  <c r="B28" i="33"/>
  <c r="B27" i="33"/>
  <c r="B26" i="33"/>
  <c r="B25" i="33"/>
  <c r="B24" i="33"/>
  <c r="B23" i="33"/>
  <c r="C24" i="33" s="1"/>
  <c r="B22" i="33"/>
  <c r="B21" i="33"/>
  <c r="C22" i="33" s="1"/>
  <c r="C20" i="33"/>
  <c r="B20" i="33"/>
  <c r="B19" i="33"/>
  <c r="B18" i="33"/>
  <c r="B17" i="33"/>
  <c r="C18" i="33" s="1"/>
  <c r="B16" i="33"/>
  <c r="C17" i="33" s="1"/>
  <c r="B15" i="33"/>
  <c r="B14" i="33"/>
  <c r="B13" i="33"/>
  <c r="C13" i="33" s="1"/>
  <c r="B12" i="33"/>
  <c r="B11" i="33"/>
  <c r="B10" i="33"/>
  <c r="B9" i="33"/>
  <c r="B8" i="33"/>
  <c r="B7" i="33"/>
  <c r="B6" i="33"/>
  <c r="K2" i="33"/>
  <c r="B120" i="32"/>
  <c r="B119" i="32"/>
  <c r="B118" i="32"/>
  <c r="B117" i="32"/>
  <c r="B116" i="32"/>
  <c r="B115" i="32"/>
  <c r="B114" i="32"/>
  <c r="B113" i="32"/>
  <c r="B112" i="32"/>
  <c r="B111" i="32"/>
  <c r="B110" i="32"/>
  <c r="B109" i="32"/>
  <c r="B108" i="32"/>
  <c r="B107" i="32"/>
  <c r="B106" i="32"/>
  <c r="C107" i="32" s="1"/>
  <c r="B105" i="32"/>
  <c r="B104" i="32"/>
  <c r="B103" i="32"/>
  <c r="B102" i="32"/>
  <c r="B101" i="32"/>
  <c r="B100" i="32"/>
  <c r="B99" i="32"/>
  <c r="C100" i="32" s="1"/>
  <c r="B98" i="32"/>
  <c r="C99" i="32" s="1"/>
  <c r="B97" i="32"/>
  <c r="B96" i="32"/>
  <c r="B95" i="32"/>
  <c r="C96" i="32" s="1"/>
  <c r="B94" i="32"/>
  <c r="C95" i="32" s="1"/>
  <c r="B93" i="32"/>
  <c r="B92" i="32"/>
  <c r="C93" i="32" s="1"/>
  <c r="B91" i="32"/>
  <c r="C92" i="32" s="1"/>
  <c r="B90" i="32"/>
  <c r="B89" i="32"/>
  <c r="B88" i="32"/>
  <c r="B87" i="32"/>
  <c r="B86" i="32"/>
  <c r="C87" i="32" s="1"/>
  <c r="B85" i="32"/>
  <c r="B84" i="32"/>
  <c r="C83" i="32"/>
  <c r="B83" i="32"/>
  <c r="B82" i="32"/>
  <c r="B81" i="32"/>
  <c r="C82" i="32" s="1"/>
  <c r="B80" i="32"/>
  <c r="B79" i="32"/>
  <c r="B78" i="32"/>
  <c r="B77" i="32"/>
  <c r="B76" i="32"/>
  <c r="C75" i="32"/>
  <c r="B75" i="32"/>
  <c r="B74" i="32"/>
  <c r="B73" i="32"/>
  <c r="B72" i="32"/>
  <c r="B71" i="32"/>
  <c r="B70" i="32"/>
  <c r="B69" i="32"/>
  <c r="B68" i="32"/>
  <c r="B67" i="32"/>
  <c r="B66" i="32"/>
  <c r="B65" i="32"/>
  <c r="B64" i="32"/>
  <c r="B63" i="32"/>
  <c r="B62" i="32"/>
  <c r="C63" i="32" s="1"/>
  <c r="B61" i="32"/>
  <c r="B60" i="32"/>
  <c r="B59" i="32"/>
  <c r="B58" i="32"/>
  <c r="B57" i="32"/>
  <c r="B56" i="32"/>
  <c r="C57" i="32" s="1"/>
  <c r="B55" i="32"/>
  <c r="B54" i="32"/>
  <c r="B53" i="32"/>
  <c r="B52" i="32"/>
  <c r="B51" i="32"/>
  <c r="C52" i="32" s="1"/>
  <c r="B50" i="32"/>
  <c r="C51" i="32" s="1"/>
  <c r="B49" i="32"/>
  <c r="B48" i="32"/>
  <c r="B47" i="32"/>
  <c r="B46" i="32"/>
  <c r="B45" i="32"/>
  <c r="B44" i="32"/>
  <c r="B43" i="32"/>
  <c r="B42" i="32"/>
  <c r="B41" i="32"/>
  <c r="B40" i="32"/>
  <c r="B39" i="32"/>
  <c r="B38" i="32"/>
  <c r="B37" i="32"/>
  <c r="B36" i="32"/>
  <c r="B35" i="32"/>
  <c r="B34" i="32"/>
  <c r="C35" i="32" s="1"/>
  <c r="B33" i="32"/>
  <c r="B32" i="32"/>
  <c r="C32" i="32" s="1"/>
  <c r="B31" i="32"/>
  <c r="B30" i="32"/>
  <c r="B29" i="32"/>
  <c r="B28" i="32"/>
  <c r="C29" i="32" s="1"/>
  <c r="B27" i="32"/>
  <c r="B26" i="32"/>
  <c r="C27" i="32" s="1"/>
  <c r="B25" i="32"/>
  <c r="B24" i="32"/>
  <c r="B23" i="32"/>
  <c r="B22" i="32"/>
  <c r="B21" i="32"/>
  <c r="B20" i="32"/>
  <c r="B19" i="32"/>
  <c r="B18" i="32"/>
  <c r="C19" i="32" s="1"/>
  <c r="B17" i="32"/>
  <c r="B16" i="32"/>
  <c r="C17" i="32" s="1"/>
  <c r="B15" i="32"/>
  <c r="B14" i="32"/>
  <c r="C15" i="32" s="1"/>
  <c r="B13" i="32"/>
  <c r="B12" i="32"/>
  <c r="B11" i="32"/>
  <c r="B10" i="32"/>
  <c r="B9" i="32"/>
  <c r="B8" i="32"/>
  <c r="C9" i="32" s="1"/>
  <c r="B7" i="32"/>
  <c r="B6" i="32"/>
  <c r="C7" i="32" s="1"/>
  <c r="K2" i="32"/>
  <c r="B342" i="31"/>
  <c r="C342" i="31" s="1"/>
  <c r="B341" i="31"/>
  <c r="B340" i="31"/>
  <c r="C341" i="31" s="1"/>
  <c r="B339" i="31"/>
  <c r="B338" i="31"/>
  <c r="B337" i="31"/>
  <c r="B336" i="31"/>
  <c r="B335" i="31"/>
  <c r="B334" i="31"/>
  <c r="B333" i="31"/>
  <c r="B332" i="31"/>
  <c r="C333" i="31" s="1"/>
  <c r="B331" i="31"/>
  <c r="B330" i="31"/>
  <c r="B329" i="31"/>
  <c r="B328" i="31"/>
  <c r="B327" i="31"/>
  <c r="B326" i="31"/>
  <c r="C327" i="31" s="1"/>
  <c r="B325" i="31"/>
  <c r="B324" i="31"/>
  <c r="B323" i="31"/>
  <c r="B322" i="31"/>
  <c r="B321" i="31"/>
  <c r="B320" i="31"/>
  <c r="B319" i="31"/>
  <c r="C320" i="31" s="1"/>
  <c r="B318" i="31"/>
  <c r="C319" i="31" s="1"/>
  <c r="B317" i="31"/>
  <c r="B316" i="31"/>
  <c r="B315" i="31"/>
  <c r="B314" i="31"/>
  <c r="B313" i="31"/>
  <c r="B312" i="31"/>
  <c r="B311" i="31"/>
  <c r="C312" i="31" s="1"/>
  <c r="C310" i="31"/>
  <c r="B310" i="31"/>
  <c r="B309" i="31"/>
  <c r="B308" i="31"/>
  <c r="B307" i="31"/>
  <c r="C308" i="31" s="1"/>
  <c r="B306" i="31"/>
  <c r="B305" i="31"/>
  <c r="B304" i="31"/>
  <c r="C305" i="31" s="1"/>
  <c r="B303" i="31"/>
  <c r="B302" i="31"/>
  <c r="B301" i="31"/>
  <c r="B300" i="31"/>
  <c r="C301" i="31" s="1"/>
  <c r="B299" i="31"/>
  <c r="C300" i="31" s="1"/>
  <c r="B298" i="31"/>
  <c r="B297" i="31"/>
  <c r="C298" i="31" s="1"/>
  <c r="B296" i="31"/>
  <c r="C297" i="31" s="1"/>
  <c r="B295" i="31"/>
  <c r="B294" i="31"/>
  <c r="B293" i="31"/>
  <c r="B292" i="31"/>
  <c r="C293" i="31" s="1"/>
  <c r="B291" i="31"/>
  <c r="C292" i="31" s="1"/>
  <c r="B290" i="31"/>
  <c r="B289" i="31"/>
  <c r="B288" i="31"/>
  <c r="C289" i="31" s="1"/>
  <c r="B287" i="31"/>
  <c r="B286" i="31"/>
  <c r="B285" i="31"/>
  <c r="B284" i="31"/>
  <c r="C285" i="31" s="1"/>
  <c r="B283" i="31"/>
  <c r="B282" i="31"/>
  <c r="B281" i="31"/>
  <c r="B280" i="31"/>
  <c r="B279" i="31"/>
  <c r="B278" i="31"/>
  <c r="B277" i="31"/>
  <c r="B276" i="31"/>
  <c r="B275" i="31"/>
  <c r="C276" i="31" s="1"/>
  <c r="B274" i="31"/>
  <c r="B273" i="31"/>
  <c r="B272" i="31"/>
  <c r="B271" i="31"/>
  <c r="B270" i="31"/>
  <c r="C271" i="31" s="1"/>
  <c r="B269" i="31"/>
  <c r="B268" i="31"/>
  <c r="C269" i="31" s="1"/>
  <c r="B267" i="31"/>
  <c r="C268" i="31" s="1"/>
  <c r="B266" i="31"/>
  <c r="B265" i="31"/>
  <c r="B264" i="31"/>
  <c r="B263" i="31"/>
  <c r="B262" i="31"/>
  <c r="B261" i="31"/>
  <c r="B260" i="31"/>
  <c r="B259" i="31"/>
  <c r="B258" i="31"/>
  <c r="B257" i="31"/>
  <c r="B256" i="31"/>
  <c r="B255" i="31"/>
  <c r="B254" i="31"/>
  <c r="B253" i="31"/>
  <c r="B252" i="31"/>
  <c r="C253" i="31" s="1"/>
  <c r="B251" i="31"/>
  <c r="C252" i="31" s="1"/>
  <c r="B250" i="31"/>
  <c r="B249" i="31"/>
  <c r="C250" i="31" s="1"/>
  <c r="B248" i="31"/>
  <c r="B247" i="31"/>
  <c r="C248" i="31" s="1"/>
  <c r="B246" i="31"/>
  <c r="B245" i="31"/>
  <c r="B244" i="31"/>
  <c r="B243" i="31"/>
  <c r="C244" i="31" s="1"/>
  <c r="B242" i="31"/>
  <c r="B241" i="31"/>
  <c r="C242" i="31" s="1"/>
  <c r="B240" i="31"/>
  <c r="B239" i="31"/>
  <c r="C240" i="31" s="1"/>
  <c r="B238" i="31"/>
  <c r="B237" i="31"/>
  <c r="C237" i="31" s="1"/>
  <c r="B236" i="31"/>
  <c r="B235" i="31"/>
  <c r="C236" i="31" s="1"/>
  <c r="B234" i="31"/>
  <c r="B233" i="31"/>
  <c r="B232" i="31"/>
  <c r="B231" i="31"/>
  <c r="B230" i="31"/>
  <c r="B229" i="31"/>
  <c r="B228" i="31"/>
  <c r="B227" i="31"/>
  <c r="C228" i="31" s="1"/>
  <c r="B226" i="31"/>
  <c r="C227" i="31" s="1"/>
  <c r="B225" i="31"/>
  <c r="B224" i="31"/>
  <c r="B223" i="31"/>
  <c r="C224" i="31" s="1"/>
  <c r="B222" i="31"/>
  <c r="B221" i="31"/>
  <c r="B220" i="31"/>
  <c r="B219" i="31"/>
  <c r="B218" i="31"/>
  <c r="B217" i="31"/>
  <c r="B216" i="31"/>
  <c r="B215" i="31"/>
  <c r="B214" i="31"/>
  <c r="B213" i="31"/>
  <c r="B212" i="31"/>
  <c r="B211" i="31"/>
  <c r="C212" i="31" s="1"/>
  <c r="B210" i="31"/>
  <c r="C211" i="31" s="1"/>
  <c r="B209" i="31"/>
  <c r="B208" i="31"/>
  <c r="B207" i="31"/>
  <c r="B206" i="31"/>
  <c r="B205" i="31"/>
  <c r="B204" i="31"/>
  <c r="B203" i="31"/>
  <c r="B202" i="31"/>
  <c r="B201" i="31"/>
  <c r="C202" i="31" s="1"/>
  <c r="B200" i="31"/>
  <c r="C201" i="31" s="1"/>
  <c r="B199" i="31"/>
  <c r="B198" i="31"/>
  <c r="B197" i="31"/>
  <c r="B196" i="31"/>
  <c r="B195" i="31"/>
  <c r="B194" i="31"/>
  <c r="C195" i="31" s="1"/>
  <c r="B193" i="31"/>
  <c r="B192" i="31"/>
  <c r="B191" i="31"/>
  <c r="C192" i="31" s="1"/>
  <c r="B190" i="31"/>
  <c r="B189" i="31"/>
  <c r="C189" i="31" s="1"/>
  <c r="B188" i="31"/>
  <c r="B187" i="31"/>
  <c r="C188" i="31" s="1"/>
  <c r="B186" i="31"/>
  <c r="B185" i="31"/>
  <c r="B184" i="31"/>
  <c r="B183" i="31"/>
  <c r="B182" i="31"/>
  <c r="B181" i="31"/>
  <c r="B180" i="31"/>
  <c r="B179" i="31"/>
  <c r="B178" i="31"/>
  <c r="B177" i="31"/>
  <c r="C178" i="31" s="1"/>
  <c r="B176" i="31"/>
  <c r="B175" i="31"/>
  <c r="B174" i="31"/>
  <c r="C175" i="31" s="1"/>
  <c r="B173" i="31"/>
  <c r="B172" i="31"/>
  <c r="B171" i="31"/>
  <c r="B170" i="31"/>
  <c r="C171" i="31" s="1"/>
  <c r="B169" i="31"/>
  <c r="B168" i="31"/>
  <c r="B167" i="31"/>
  <c r="B166" i="31"/>
  <c r="C165" i="31"/>
  <c r="B165" i="31"/>
  <c r="B164" i="31"/>
  <c r="B163" i="31"/>
  <c r="C164" i="31" s="1"/>
  <c r="B162" i="31"/>
  <c r="B161" i="31"/>
  <c r="B160" i="31"/>
  <c r="B159" i="31"/>
  <c r="B158" i="31"/>
  <c r="B157" i="31"/>
  <c r="B156" i="31"/>
  <c r="B155" i="31"/>
  <c r="C156" i="31" s="1"/>
  <c r="B154" i="31"/>
  <c r="B153" i="31"/>
  <c r="B152" i="31"/>
  <c r="C153" i="31" s="1"/>
  <c r="B151" i="31"/>
  <c r="C152" i="31" s="1"/>
  <c r="B150" i="31"/>
  <c r="C151" i="31" s="1"/>
  <c r="B149" i="31"/>
  <c r="B148" i="31"/>
  <c r="C149" i="31" s="1"/>
  <c r="B147" i="31"/>
  <c r="B146" i="31"/>
  <c r="C147" i="31" s="1"/>
  <c r="B145" i="31"/>
  <c r="B144" i="31"/>
  <c r="C145" i="31" s="1"/>
  <c r="C143" i="31"/>
  <c r="B143" i="31"/>
  <c r="B142" i="31"/>
  <c r="B141" i="31"/>
  <c r="B140" i="31"/>
  <c r="B139" i="31"/>
  <c r="C140" i="31" s="1"/>
  <c r="B138" i="31"/>
  <c r="B137" i="31"/>
  <c r="B136" i="31"/>
  <c r="C135" i="31"/>
  <c r="B135" i="31"/>
  <c r="B134" i="31"/>
  <c r="B133" i="31"/>
  <c r="B132" i="31"/>
  <c r="C133" i="31" s="1"/>
  <c r="B131" i="31"/>
  <c r="B130" i="31"/>
  <c r="B129" i="31"/>
  <c r="B128" i="31"/>
  <c r="B127" i="31"/>
  <c r="B126" i="31"/>
  <c r="C127" i="31" s="1"/>
  <c r="B125" i="31"/>
  <c r="C126" i="31" s="1"/>
  <c r="B124" i="31"/>
  <c r="B123" i="31"/>
  <c r="B122" i="31"/>
  <c r="B121" i="31"/>
  <c r="B120" i="31"/>
  <c r="B119" i="31"/>
  <c r="B118" i="31"/>
  <c r="B117" i="31"/>
  <c r="B116" i="31"/>
  <c r="B115" i="31"/>
  <c r="B114" i="31"/>
  <c r="B113" i="31"/>
  <c r="B112" i="31"/>
  <c r="B111" i="31"/>
  <c r="B110" i="31"/>
  <c r="B109" i="31"/>
  <c r="B108" i="31"/>
  <c r="B107" i="31"/>
  <c r="C107" i="31" s="1"/>
  <c r="B106" i="31"/>
  <c r="B105" i="31"/>
  <c r="C106" i="31" s="1"/>
  <c r="B104" i="31"/>
  <c r="B103" i="31"/>
  <c r="B102" i="31"/>
  <c r="B101" i="31"/>
  <c r="B100" i="31"/>
  <c r="B99" i="31"/>
  <c r="B98" i="31"/>
  <c r="C99" i="31" s="1"/>
  <c r="B97" i="31"/>
  <c r="B96" i="31"/>
  <c r="B95" i="31"/>
  <c r="B94" i="31"/>
  <c r="B93" i="31"/>
  <c r="C94" i="31" s="1"/>
  <c r="B92" i="31"/>
  <c r="B91" i="31"/>
  <c r="B90" i="31"/>
  <c r="C91" i="31" s="1"/>
  <c r="B89" i="31"/>
  <c r="B88" i="31"/>
  <c r="B87" i="31"/>
  <c r="C88" i="31" s="1"/>
  <c r="B86" i="31"/>
  <c r="B85" i="31"/>
  <c r="B84" i="31"/>
  <c r="B83" i="31"/>
  <c r="B82" i="31"/>
  <c r="C83" i="31" s="1"/>
  <c r="B81" i="31"/>
  <c r="B80" i="31"/>
  <c r="B79" i="31"/>
  <c r="C80" i="31" s="1"/>
  <c r="B78" i="31"/>
  <c r="B77" i="31"/>
  <c r="B76" i="31"/>
  <c r="B75" i="31"/>
  <c r="B74" i="31"/>
  <c r="B73" i="31"/>
  <c r="B72" i="31"/>
  <c r="B71" i="31"/>
  <c r="B70" i="31"/>
  <c r="C71" i="31" s="1"/>
  <c r="B69" i="31"/>
  <c r="B68" i="31"/>
  <c r="B67" i="31"/>
  <c r="B66" i="31"/>
  <c r="B65" i="31"/>
  <c r="B64" i="31"/>
  <c r="B63" i="31"/>
  <c r="B62" i="31"/>
  <c r="C63" i="31" s="1"/>
  <c r="B61" i="31"/>
  <c r="B60" i="31"/>
  <c r="B59" i="31"/>
  <c r="B58" i="31"/>
  <c r="B57" i="31"/>
  <c r="B56" i="31"/>
  <c r="B55" i="31"/>
  <c r="B54" i="31"/>
  <c r="C55" i="31" s="1"/>
  <c r="B53" i="31"/>
  <c r="B52" i="31"/>
  <c r="B51" i="31"/>
  <c r="B50" i="31"/>
  <c r="B49" i="31"/>
  <c r="B48" i="31"/>
  <c r="B47" i="31"/>
  <c r="B46" i="31"/>
  <c r="C47" i="31" s="1"/>
  <c r="B45" i="31"/>
  <c r="B44" i="31"/>
  <c r="C43" i="31"/>
  <c r="B43" i="31"/>
  <c r="B42" i="31"/>
  <c r="B41" i="31"/>
  <c r="C42" i="31" s="1"/>
  <c r="B40" i="31"/>
  <c r="B39" i="31"/>
  <c r="B38" i="31"/>
  <c r="B37" i="31"/>
  <c r="B36" i="31"/>
  <c r="B35" i="31"/>
  <c r="B34" i="31"/>
  <c r="C35" i="31" s="1"/>
  <c r="B33" i="31"/>
  <c r="B32" i="31"/>
  <c r="B31" i="31"/>
  <c r="B30" i="31"/>
  <c r="B29" i="31"/>
  <c r="B28" i="31"/>
  <c r="B27" i="31"/>
  <c r="B26" i="31"/>
  <c r="C27" i="31" s="1"/>
  <c r="B25" i="31"/>
  <c r="B24" i="31"/>
  <c r="B23" i="31"/>
  <c r="B22" i="31"/>
  <c r="B21" i="31"/>
  <c r="B20" i="31"/>
  <c r="B19" i="31"/>
  <c r="B18" i="31"/>
  <c r="B17" i="31"/>
  <c r="B16" i="31"/>
  <c r="B15" i="31"/>
  <c r="C16" i="31" s="1"/>
  <c r="B14" i="31"/>
  <c r="B13" i="31"/>
  <c r="B12" i="31"/>
  <c r="B11" i="31"/>
  <c r="B10" i="31"/>
  <c r="C11" i="31" s="1"/>
  <c r="B9" i="31"/>
  <c r="C10" i="31" s="1"/>
  <c r="B8" i="31"/>
  <c r="C7" i="31"/>
  <c r="B7" i="31"/>
  <c r="B6" i="31"/>
  <c r="K2" i="31"/>
  <c r="B141" i="30"/>
  <c r="B140" i="30"/>
  <c r="B139" i="30"/>
  <c r="C140" i="30" s="1"/>
  <c r="B138" i="30"/>
  <c r="C137" i="30"/>
  <c r="B137" i="30"/>
  <c r="B136" i="30"/>
  <c r="B135" i="30"/>
  <c r="B134" i="30"/>
  <c r="B133" i="30"/>
  <c r="B132" i="30"/>
  <c r="B131" i="30"/>
  <c r="B130" i="30"/>
  <c r="B129" i="30"/>
  <c r="B128" i="30"/>
  <c r="C129" i="30" s="1"/>
  <c r="B127" i="30"/>
  <c r="B126" i="30"/>
  <c r="B125" i="30"/>
  <c r="C126" i="30" s="1"/>
  <c r="B124" i="30"/>
  <c r="B123" i="30"/>
  <c r="B122" i="30"/>
  <c r="B121" i="30"/>
  <c r="B120" i="30"/>
  <c r="C121" i="30" s="1"/>
  <c r="B119" i="30"/>
  <c r="B118" i="30"/>
  <c r="C119" i="30" s="1"/>
  <c r="B117" i="30"/>
  <c r="B116" i="30"/>
  <c r="C117" i="30" s="1"/>
  <c r="B115" i="30"/>
  <c r="C116" i="30" s="1"/>
  <c r="B114" i="30"/>
  <c r="B113" i="30"/>
  <c r="C114" i="30" s="1"/>
  <c r="B112" i="30"/>
  <c r="B111" i="30"/>
  <c r="B110" i="30"/>
  <c r="B109" i="30"/>
  <c r="B108" i="30"/>
  <c r="B107" i="30"/>
  <c r="B106" i="30"/>
  <c r="B105" i="30"/>
  <c r="B104" i="30"/>
  <c r="B103" i="30"/>
  <c r="B102" i="30"/>
  <c r="B101" i="30"/>
  <c r="B100" i="30"/>
  <c r="B99" i="30"/>
  <c r="B98" i="30"/>
  <c r="B97" i="30"/>
  <c r="C98" i="30" s="1"/>
  <c r="B96" i="30"/>
  <c r="B95" i="30"/>
  <c r="B94" i="30"/>
  <c r="B93" i="30"/>
  <c r="C94" i="30" s="1"/>
  <c r="B92" i="30"/>
  <c r="B91" i="30"/>
  <c r="B90" i="30"/>
  <c r="B89" i="30"/>
  <c r="B88" i="30"/>
  <c r="B87" i="30"/>
  <c r="B86" i="30"/>
  <c r="B85" i="30"/>
  <c r="C85" i="30" s="1"/>
  <c r="B84" i="30"/>
  <c r="B83" i="30"/>
  <c r="C84" i="30" s="1"/>
  <c r="B82" i="30"/>
  <c r="B81" i="30"/>
  <c r="B80" i="30"/>
  <c r="C81" i="30" s="1"/>
  <c r="B79" i="30"/>
  <c r="B78" i="30"/>
  <c r="B77" i="30"/>
  <c r="B76" i="30"/>
  <c r="C77" i="30" s="1"/>
  <c r="B75" i="30"/>
  <c r="B74" i="30"/>
  <c r="C75" i="30" s="1"/>
  <c r="B73" i="30"/>
  <c r="B72" i="30"/>
  <c r="C73" i="30" s="1"/>
  <c r="B71" i="30"/>
  <c r="B70" i="30"/>
  <c r="B69" i="30"/>
  <c r="C69" i="30" s="1"/>
  <c r="B68" i="30"/>
  <c r="B67" i="30"/>
  <c r="B66" i="30"/>
  <c r="C67" i="30" s="1"/>
  <c r="B65" i="30"/>
  <c r="B64" i="30"/>
  <c r="B63" i="30"/>
  <c r="B62" i="30"/>
  <c r="B61" i="30"/>
  <c r="C62" i="30" s="1"/>
  <c r="B60" i="30"/>
  <c r="B59" i="30"/>
  <c r="B58" i="30"/>
  <c r="B57" i="30"/>
  <c r="B56" i="30"/>
  <c r="B55" i="30"/>
  <c r="B54" i="30"/>
  <c r="C53" i="30"/>
  <c r="B53" i="30"/>
  <c r="B52" i="30"/>
  <c r="B51" i="30"/>
  <c r="C52" i="30" s="1"/>
  <c r="B50" i="30"/>
  <c r="B49" i="30"/>
  <c r="B48" i="30"/>
  <c r="B47" i="30"/>
  <c r="B46" i="30"/>
  <c r="B45" i="30"/>
  <c r="B44" i="30"/>
  <c r="C45" i="30" s="1"/>
  <c r="B43" i="30"/>
  <c r="B42" i="30"/>
  <c r="B41" i="30"/>
  <c r="B40" i="30"/>
  <c r="B39" i="30"/>
  <c r="B38" i="30"/>
  <c r="C39" i="30" s="1"/>
  <c r="B37" i="30"/>
  <c r="B36" i="30"/>
  <c r="C37" i="30" s="1"/>
  <c r="B35" i="30"/>
  <c r="C36" i="30" s="1"/>
  <c r="B34" i="30"/>
  <c r="B33" i="30"/>
  <c r="B32" i="30"/>
  <c r="B31" i="30"/>
  <c r="B30" i="30"/>
  <c r="B29" i="30"/>
  <c r="B28" i="30"/>
  <c r="B27" i="30"/>
  <c r="C28" i="30" s="1"/>
  <c r="B26" i="30"/>
  <c r="B25" i="30"/>
  <c r="B24" i="30"/>
  <c r="B23" i="30"/>
  <c r="B22" i="30"/>
  <c r="B21" i="30"/>
  <c r="C22" i="30" s="1"/>
  <c r="B20" i="30"/>
  <c r="B19" i="30"/>
  <c r="B18" i="30"/>
  <c r="B17" i="30"/>
  <c r="B16" i="30"/>
  <c r="B15" i="30"/>
  <c r="C16" i="30" s="1"/>
  <c r="B14" i="30"/>
  <c r="B13" i="30"/>
  <c r="B12" i="30"/>
  <c r="B11" i="30"/>
  <c r="C12" i="30" s="1"/>
  <c r="B10" i="30"/>
  <c r="B9" i="30"/>
  <c r="B8" i="30"/>
  <c r="B7" i="30"/>
  <c r="B6" i="30"/>
  <c r="K2" i="30"/>
  <c r="B141" i="29"/>
  <c r="B140" i="29"/>
  <c r="C141" i="29" s="1"/>
  <c r="B139" i="29"/>
  <c r="B138" i="29"/>
  <c r="B137" i="29"/>
  <c r="C138" i="29" s="1"/>
  <c r="B136" i="29"/>
  <c r="B135" i="29"/>
  <c r="B134" i="29"/>
  <c r="C135" i="29" s="1"/>
  <c r="B133" i="29"/>
  <c r="B132" i="29"/>
  <c r="B131" i="29"/>
  <c r="B130" i="29"/>
  <c r="B129" i="29"/>
  <c r="B128" i="29"/>
  <c r="B127" i="29"/>
  <c r="B126" i="29"/>
  <c r="B125" i="29"/>
  <c r="B124" i="29"/>
  <c r="B123" i="29"/>
  <c r="B122" i="29"/>
  <c r="B121" i="29"/>
  <c r="C121" i="29" s="1"/>
  <c r="B120" i="29"/>
  <c r="B119" i="29"/>
  <c r="C120" i="29" s="1"/>
  <c r="B118" i="29"/>
  <c r="B117" i="29"/>
  <c r="B116" i="29"/>
  <c r="C117" i="29" s="1"/>
  <c r="B115" i="29"/>
  <c r="B114" i="29"/>
  <c r="B113" i="29"/>
  <c r="B112" i="29"/>
  <c r="B111" i="29"/>
  <c r="B110" i="29"/>
  <c r="C111" i="29" s="1"/>
  <c r="B109" i="29"/>
  <c r="B108" i="29"/>
  <c r="B107" i="29"/>
  <c r="B106" i="29"/>
  <c r="B105" i="29"/>
  <c r="B104" i="29"/>
  <c r="B103" i="29"/>
  <c r="B102" i="29"/>
  <c r="C103" i="29" s="1"/>
  <c r="B101" i="29"/>
  <c r="B100" i="29"/>
  <c r="B99" i="29"/>
  <c r="B98" i="29"/>
  <c r="B97" i="29"/>
  <c r="B96" i="29"/>
  <c r="B95" i="29"/>
  <c r="B94" i="29"/>
  <c r="B93" i="29"/>
  <c r="C94" i="29" s="1"/>
  <c r="B92" i="29"/>
  <c r="C91" i="29"/>
  <c r="B91" i="29"/>
  <c r="B90" i="29"/>
  <c r="B89" i="29"/>
  <c r="B88" i="29"/>
  <c r="B87" i="29"/>
  <c r="B86" i="29"/>
  <c r="B85" i="29"/>
  <c r="B84" i="29"/>
  <c r="B83" i="29"/>
  <c r="B82" i="29"/>
  <c r="B81" i="29"/>
  <c r="B80" i="29"/>
  <c r="C81" i="29" s="1"/>
  <c r="B79" i="29"/>
  <c r="B78" i="29"/>
  <c r="B77" i="29"/>
  <c r="B76" i="29"/>
  <c r="B75" i="29"/>
  <c r="B74" i="29"/>
  <c r="B73" i="29"/>
  <c r="C74" i="29" s="1"/>
  <c r="B72" i="29"/>
  <c r="C73" i="29" s="1"/>
  <c r="B71" i="29"/>
  <c r="B70" i="29"/>
  <c r="C71" i="29" s="1"/>
  <c r="B69" i="29"/>
  <c r="B68" i="29"/>
  <c r="B67" i="29"/>
  <c r="B66" i="29"/>
  <c r="B65" i="29"/>
  <c r="C66" i="29" s="1"/>
  <c r="B64" i="29"/>
  <c r="C65" i="29" s="1"/>
  <c r="B63" i="29"/>
  <c r="C62" i="29"/>
  <c r="B62" i="29"/>
  <c r="B61" i="29"/>
  <c r="B60" i="29"/>
  <c r="B59" i="29"/>
  <c r="B58" i="29"/>
  <c r="B57" i="29"/>
  <c r="C57" i="29" s="1"/>
  <c r="B56" i="29"/>
  <c r="B55" i="29"/>
  <c r="C56" i="29" s="1"/>
  <c r="B54" i="29"/>
  <c r="C54" i="29" s="1"/>
  <c r="B53" i="29"/>
  <c r="B52" i="29"/>
  <c r="B51" i="29"/>
  <c r="B50" i="29"/>
  <c r="B49" i="29"/>
  <c r="B48" i="29"/>
  <c r="B47" i="29"/>
  <c r="B46" i="29"/>
  <c r="B45" i="29"/>
  <c r="B44" i="29"/>
  <c r="B43" i="29"/>
  <c r="B42" i="29"/>
  <c r="C43" i="29" s="1"/>
  <c r="B41" i="29"/>
  <c r="B40" i="29"/>
  <c r="B39" i="29"/>
  <c r="B38" i="29"/>
  <c r="B37" i="29"/>
  <c r="B36" i="29"/>
  <c r="B35" i="29"/>
  <c r="C36" i="29" s="1"/>
  <c r="B34" i="29"/>
  <c r="B33" i="29"/>
  <c r="B32" i="29"/>
  <c r="B31" i="29"/>
  <c r="B30" i="29"/>
  <c r="B29" i="29"/>
  <c r="B28" i="29"/>
  <c r="B27" i="29"/>
  <c r="B26" i="29"/>
  <c r="C27" i="29" s="1"/>
  <c r="B25" i="29"/>
  <c r="B24" i="29"/>
  <c r="B23" i="29"/>
  <c r="C22" i="29"/>
  <c r="B22" i="29"/>
  <c r="B21" i="29"/>
  <c r="B20" i="29"/>
  <c r="C21" i="29" s="1"/>
  <c r="B19" i="29"/>
  <c r="B18" i="29"/>
  <c r="C17" i="29"/>
  <c r="B17" i="29"/>
  <c r="B16" i="29"/>
  <c r="B15" i="29"/>
  <c r="B14" i="29"/>
  <c r="B13" i="29"/>
  <c r="C14" i="29" s="1"/>
  <c r="B12" i="29"/>
  <c r="B11" i="29"/>
  <c r="B10" i="29"/>
  <c r="B9" i="29"/>
  <c r="B8" i="29"/>
  <c r="B7" i="29"/>
  <c r="B6" i="29"/>
  <c r="K2" i="29"/>
  <c r="B141" i="28"/>
  <c r="B140" i="28"/>
  <c r="B139" i="28"/>
  <c r="B138" i="28"/>
  <c r="B137" i="28"/>
  <c r="B136" i="28"/>
  <c r="B135" i="28"/>
  <c r="B134" i="28"/>
  <c r="B133" i="28"/>
  <c r="C134" i="28" s="1"/>
  <c r="B132" i="28"/>
  <c r="B131" i="28"/>
  <c r="B130" i="28"/>
  <c r="B129" i="28"/>
  <c r="B128" i="28"/>
  <c r="B127" i="28"/>
  <c r="B126" i="28"/>
  <c r="B125" i="28"/>
  <c r="C125" i="28" s="1"/>
  <c r="B124" i="28"/>
  <c r="B123" i="28"/>
  <c r="B122" i="28"/>
  <c r="B121" i="28"/>
  <c r="B120" i="28"/>
  <c r="B119" i="28"/>
  <c r="B118" i="28"/>
  <c r="B117" i="28"/>
  <c r="B116" i="28"/>
  <c r="B115" i="28"/>
  <c r="B114" i="28"/>
  <c r="B113" i="28"/>
  <c r="B112" i="28"/>
  <c r="B111" i="28"/>
  <c r="B110" i="28"/>
  <c r="C111" i="28" s="1"/>
  <c r="B109" i="28"/>
  <c r="B108" i="28"/>
  <c r="B107" i="28"/>
  <c r="B106" i="28"/>
  <c r="B105" i="28"/>
  <c r="C106" i="28" s="1"/>
  <c r="B104" i="28"/>
  <c r="B103" i="28"/>
  <c r="B102" i="28"/>
  <c r="C103" i="28" s="1"/>
  <c r="B101" i="28"/>
  <c r="B100" i="28"/>
  <c r="B99" i="28"/>
  <c r="B98" i="28"/>
  <c r="B97" i="28"/>
  <c r="C98" i="28" s="1"/>
  <c r="B96" i="28"/>
  <c r="B95" i="28"/>
  <c r="C96" i="28" s="1"/>
  <c r="B94" i="28"/>
  <c r="B93" i="28"/>
  <c r="B92" i="28"/>
  <c r="C93" i="28" s="1"/>
  <c r="B91" i="28"/>
  <c r="B90" i="28"/>
  <c r="B89" i="28"/>
  <c r="B88" i="28"/>
  <c r="B87" i="28"/>
  <c r="B86" i="28"/>
  <c r="B85" i="28"/>
  <c r="B84" i="28"/>
  <c r="C85" i="28" s="1"/>
  <c r="B83" i="28"/>
  <c r="B82" i="28"/>
  <c r="B81" i="28"/>
  <c r="B80" i="28"/>
  <c r="B79" i="28"/>
  <c r="B78" i="28"/>
  <c r="C79" i="28" s="1"/>
  <c r="B77" i="28"/>
  <c r="C78" i="28" s="1"/>
  <c r="B76" i="28"/>
  <c r="C75" i="28"/>
  <c r="B75" i="28"/>
  <c r="B74" i="28"/>
  <c r="B73" i="28"/>
  <c r="B72" i="28"/>
  <c r="B71" i="28"/>
  <c r="B70" i="28"/>
  <c r="B69" i="28"/>
  <c r="C70" i="28" s="1"/>
  <c r="B68" i="28"/>
  <c r="B67" i="28"/>
  <c r="B66" i="28"/>
  <c r="B65" i="28"/>
  <c r="B64" i="28"/>
  <c r="B63" i="28"/>
  <c r="B62" i="28"/>
  <c r="B61" i="28"/>
  <c r="B60" i="28"/>
  <c r="B59" i="28"/>
  <c r="B58" i="28"/>
  <c r="B57" i="28"/>
  <c r="B56" i="28"/>
  <c r="B55" i="28"/>
  <c r="C56" i="28" s="1"/>
  <c r="B54" i="28"/>
  <c r="B53" i="28"/>
  <c r="B52" i="28"/>
  <c r="B51" i="28"/>
  <c r="B50" i="28"/>
  <c r="B49" i="28"/>
  <c r="B48" i="28"/>
  <c r="B47" i="28"/>
  <c r="B46" i="28"/>
  <c r="B45" i="28"/>
  <c r="B44" i="28"/>
  <c r="C43" i="28"/>
  <c r="B43" i="28"/>
  <c r="B42" i="28"/>
  <c r="B41" i="28"/>
  <c r="C42" i="28" s="1"/>
  <c r="B40" i="28"/>
  <c r="B39" i="28"/>
  <c r="C39" i="28" s="1"/>
  <c r="B38" i="28"/>
  <c r="B37" i="28"/>
  <c r="B36" i="28"/>
  <c r="B35" i="28"/>
  <c r="B34" i="28"/>
  <c r="C35" i="28" s="1"/>
  <c r="B33" i="28"/>
  <c r="B32" i="28"/>
  <c r="B31" i="28"/>
  <c r="B30" i="28"/>
  <c r="B29" i="28"/>
  <c r="B28" i="28"/>
  <c r="B27" i="28"/>
  <c r="B26" i="28"/>
  <c r="B25" i="28"/>
  <c r="C26" i="28" s="1"/>
  <c r="B24" i="28"/>
  <c r="B23" i="28"/>
  <c r="B22" i="28"/>
  <c r="B21" i="28"/>
  <c r="B20" i="28"/>
  <c r="B19" i="28"/>
  <c r="B18" i="28"/>
  <c r="C19" i="28" s="1"/>
  <c r="B17" i="28"/>
  <c r="C18" i="28" s="1"/>
  <c r="B16" i="28"/>
  <c r="B15" i="28"/>
  <c r="B14" i="28"/>
  <c r="B13" i="28"/>
  <c r="B12" i="28"/>
  <c r="B11" i="28"/>
  <c r="B10" i="28"/>
  <c r="B9" i="28"/>
  <c r="B8" i="28"/>
  <c r="C7" i="28"/>
  <c r="B7" i="28"/>
  <c r="B6" i="28"/>
  <c r="K2" i="28"/>
  <c r="B141" i="27"/>
  <c r="B140" i="27"/>
  <c r="B139" i="27"/>
  <c r="B138" i="27"/>
  <c r="B137" i="27"/>
  <c r="B136" i="27"/>
  <c r="B135" i="27"/>
  <c r="B134" i="27"/>
  <c r="B133" i="27"/>
  <c r="C134" i="27" s="1"/>
  <c r="B132" i="27"/>
  <c r="B131" i="27"/>
  <c r="B130" i="27"/>
  <c r="B129" i="27"/>
  <c r="B128" i="27"/>
  <c r="B127" i="27"/>
  <c r="B126" i="27"/>
  <c r="B125" i="27"/>
  <c r="C126" i="27" s="1"/>
  <c r="B124" i="27"/>
  <c r="B123" i="27"/>
  <c r="B122" i="27"/>
  <c r="B121" i="27"/>
  <c r="B120" i="27"/>
  <c r="B119" i="27"/>
  <c r="B118" i="27"/>
  <c r="B117" i="27"/>
  <c r="C118" i="27" s="1"/>
  <c r="B116" i="27"/>
  <c r="B115" i="27"/>
  <c r="C116" i="27" s="1"/>
  <c r="B114" i="27"/>
  <c r="B113" i="27"/>
  <c r="B112" i="27"/>
  <c r="B111" i="27"/>
  <c r="B110" i="27"/>
  <c r="B109" i="27"/>
  <c r="B108" i="27"/>
  <c r="B107" i="27"/>
  <c r="B106" i="27"/>
  <c r="B105" i="27"/>
  <c r="B104" i="27"/>
  <c r="B103" i="27"/>
  <c r="B102" i="27"/>
  <c r="B101" i="27"/>
  <c r="C102" i="27" s="1"/>
  <c r="B100" i="27"/>
  <c r="B99" i="27"/>
  <c r="C100" i="27" s="1"/>
  <c r="B98" i="27"/>
  <c r="B97" i="27"/>
  <c r="B96" i="27"/>
  <c r="B95" i="27"/>
  <c r="B94" i="27"/>
  <c r="B93" i="27"/>
  <c r="B92" i="27"/>
  <c r="B91" i="27"/>
  <c r="B90" i="27"/>
  <c r="B89" i="27"/>
  <c r="C90" i="27" s="1"/>
  <c r="B88" i="27"/>
  <c r="B87" i="27"/>
  <c r="B86" i="27"/>
  <c r="B85" i="27"/>
  <c r="B84" i="27"/>
  <c r="C85" i="27" s="1"/>
  <c r="B83" i="27"/>
  <c r="B82" i="27"/>
  <c r="B81" i="27"/>
  <c r="B80" i="27"/>
  <c r="B79" i="27"/>
  <c r="B78" i="27"/>
  <c r="B77" i="27"/>
  <c r="B76" i="27"/>
  <c r="B75" i="27"/>
  <c r="B74" i="27"/>
  <c r="B73" i="27"/>
  <c r="C74" i="27" s="1"/>
  <c r="B72" i="27"/>
  <c r="B71" i="27"/>
  <c r="B70" i="27"/>
  <c r="C71" i="27" s="1"/>
  <c r="B69" i="27"/>
  <c r="C70" i="27" s="1"/>
  <c r="B68" i="27"/>
  <c r="B67" i="27"/>
  <c r="B66" i="27"/>
  <c r="B65" i="27"/>
  <c r="B64" i="27"/>
  <c r="B63" i="27"/>
  <c r="B62" i="27"/>
  <c r="C63" i="27" s="1"/>
  <c r="B61" i="27"/>
  <c r="C62" i="27" s="1"/>
  <c r="B60" i="27"/>
  <c r="C59" i="27"/>
  <c r="B59" i="27"/>
  <c r="B58" i="27"/>
  <c r="B57" i="27"/>
  <c r="B56" i="27"/>
  <c r="C57" i="27" s="1"/>
  <c r="B55" i="27"/>
  <c r="C56" i="27" s="1"/>
  <c r="B54" i="27"/>
  <c r="B53" i="27"/>
  <c r="B52" i="27"/>
  <c r="C53" i="27" s="1"/>
  <c r="B51" i="27"/>
  <c r="B50" i="27"/>
  <c r="B49" i="27"/>
  <c r="B48" i="27"/>
  <c r="B47" i="27"/>
  <c r="B46" i="27"/>
  <c r="B45" i="27"/>
  <c r="B44" i="27"/>
  <c r="B43" i="27"/>
  <c r="B42" i="27"/>
  <c r="B41" i="27"/>
  <c r="C42" i="27" s="1"/>
  <c r="B40" i="27"/>
  <c r="C41" i="27" s="1"/>
  <c r="B39" i="27"/>
  <c r="B38" i="27"/>
  <c r="C39" i="27" s="1"/>
  <c r="B37" i="27"/>
  <c r="B36" i="27"/>
  <c r="B35" i="27"/>
  <c r="B34" i="27"/>
  <c r="C35" i="27" s="1"/>
  <c r="B33" i="27"/>
  <c r="C34" i="27" s="1"/>
  <c r="B32" i="27"/>
  <c r="B31" i="27"/>
  <c r="B30" i="27"/>
  <c r="C31" i="27" s="1"/>
  <c r="B29" i="27"/>
  <c r="B28" i="27"/>
  <c r="B27" i="27"/>
  <c r="B26" i="27"/>
  <c r="B25" i="27"/>
  <c r="B24" i="27"/>
  <c r="C25" i="27" s="1"/>
  <c r="B23" i="27"/>
  <c r="B22" i="27"/>
  <c r="C21" i="27"/>
  <c r="B21" i="27"/>
  <c r="B20" i="27"/>
  <c r="B19" i="27"/>
  <c r="B18" i="27"/>
  <c r="B17" i="27"/>
  <c r="B16" i="27"/>
  <c r="B15" i="27"/>
  <c r="C16" i="27" s="1"/>
  <c r="B14" i="27"/>
  <c r="B13" i="27"/>
  <c r="C13" i="27" s="1"/>
  <c r="B12" i="27"/>
  <c r="B11" i="27"/>
  <c r="B10" i="27"/>
  <c r="C11" i="27" s="1"/>
  <c r="B9" i="27"/>
  <c r="B8" i="27"/>
  <c r="B7" i="27"/>
  <c r="B6" i="27"/>
  <c r="K2" i="27"/>
  <c r="B141" i="26"/>
  <c r="B140" i="26"/>
  <c r="B139" i="26"/>
  <c r="B138" i="26"/>
  <c r="B137" i="26"/>
  <c r="B136" i="26"/>
  <c r="B135" i="26"/>
  <c r="B134" i="26"/>
  <c r="C134" i="26" s="1"/>
  <c r="B133" i="26"/>
  <c r="B132" i="26"/>
  <c r="C133" i="26" s="1"/>
  <c r="B131" i="26"/>
  <c r="C132" i="26" s="1"/>
  <c r="B130" i="26"/>
  <c r="B129" i="26"/>
  <c r="C130" i="26" s="1"/>
  <c r="B128" i="26"/>
  <c r="B127" i="26"/>
  <c r="B126" i="26"/>
  <c r="B125" i="26"/>
  <c r="B124" i="26"/>
  <c r="C125" i="26" s="1"/>
  <c r="B123" i="26"/>
  <c r="B122" i="26"/>
  <c r="B121" i="26"/>
  <c r="C121" i="26" s="1"/>
  <c r="B120" i="26"/>
  <c r="B119" i="26"/>
  <c r="B118" i="26"/>
  <c r="B117" i="26"/>
  <c r="B116" i="26"/>
  <c r="B115" i="26"/>
  <c r="B114" i="26"/>
  <c r="B113" i="26"/>
  <c r="B112" i="26"/>
  <c r="B111" i="26"/>
  <c r="B110" i="26"/>
  <c r="B109" i="26"/>
  <c r="C110" i="26" s="1"/>
  <c r="B108" i="26"/>
  <c r="B107" i="26"/>
  <c r="B106" i="26"/>
  <c r="B105" i="26"/>
  <c r="C106" i="26" s="1"/>
  <c r="B104" i="26"/>
  <c r="B103" i="26"/>
  <c r="C103" i="26" s="1"/>
  <c r="B102" i="26"/>
  <c r="B101" i="26"/>
  <c r="C102" i="26" s="1"/>
  <c r="B100" i="26"/>
  <c r="C101" i="26" s="1"/>
  <c r="B99" i="26"/>
  <c r="C100" i="26" s="1"/>
  <c r="B98" i="26"/>
  <c r="B97" i="26"/>
  <c r="B96" i="26"/>
  <c r="B95" i="26"/>
  <c r="C96" i="26" s="1"/>
  <c r="B94" i="26"/>
  <c r="B93" i="26"/>
  <c r="B92" i="26"/>
  <c r="C93" i="26" s="1"/>
  <c r="B91" i="26"/>
  <c r="B90" i="26"/>
  <c r="B89" i="26"/>
  <c r="B88" i="26"/>
  <c r="B87" i="26"/>
  <c r="B86" i="26"/>
  <c r="B85" i="26"/>
  <c r="C86" i="26" s="1"/>
  <c r="B84" i="26"/>
  <c r="C85" i="26" s="1"/>
  <c r="B83" i="26"/>
  <c r="B82" i="26"/>
  <c r="B81" i="26"/>
  <c r="B80" i="26"/>
  <c r="B79" i="26"/>
  <c r="B78" i="26"/>
  <c r="C79" i="26" s="1"/>
  <c r="B77" i="26"/>
  <c r="B76" i="26"/>
  <c r="B75" i="26"/>
  <c r="C75" i="26" s="1"/>
  <c r="B74" i="26"/>
  <c r="B73" i="26"/>
  <c r="B72" i="26"/>
  <c r="B71" i="26"/>
  <c r="B70" i="26"/>
  <c r="C71" i="26" s="1"/>
  <c r="B69" i="26"/>
  <c r="C70" i="26" s="1"/>
  <c r="B68" i="26"/>
  <c r="B67" i="26"/>
  <c r="B66" i="26"/>
  <c r="B65" i="26"/>
  <c r="B64" i="26"/>
  <c r="B63" i="26"/>
  <c r="B62" i="26"/>
  <c r="B61" i="26"/>
  <c r="B60" i="26"/>
  <c r="B59" i="26"/>
  <c r="B58" i="26"/>
  <c r="B57" i="26"/>
  <c r="B56" i="26"/>
  <c r="B55" i="26"/>
  <c r="B54" i="26"/>
  <c r="B53" i="26"/>
  <c r="B52" i="26"/>
  <c r="B51" i="26"/>
  <c r="B50" i="26"/>
  <c r="B49" i="26"/>
  <c r="B48" i="26"/>
  <c r="B47" i="26"/>
  <c r="B46" i="26"/>
  <c r="C47" i="26" s="1"/>
  <c r="B45" i="26"/>
  <c r="B44" i="26"/>
  <c r="B43" i="26"/>
  <c r="B42" i="26"/>
  <c r="C43" i="26" s="1"/>
  <c r="B41" i="26"/>
  <c r="B40" i="26"/>
  <c r="B39" i="26"/>
  <c r="B38" i="26"/>
  <c r="B37" i="26"/>
  <c r="B36" i="26"/>
  <c r="C37" i="26" s="1"/>
  <c r="B35" i="26"/>
  <c r="B34" i="26"/>
  <c r="B33" i="26"/>
  <c r="B32" i="26"/>
  <c r="B31" i="26"/>
  <c r="B30" i="26"/>
  <c r="B29" i="26"/>
  <c r="C30" i="26" s="1"/>
  <c r="B28" i="26"/>
  <c r="C29" i="26" s="1"/>
  <c r="B27" i="26"/>
  <c r="B26" i="26"/>
  <c r="B25" i="26"/>
  <c r="C25" i="26" s="1"/>
  <c r="B24" i="26"/>
  <c r="B23" i="26"/>
  <c r="C24" i="26" s="1"/>
  <c r="B22" i="26"/>
  <c r="B21" i="26"/>
  <c r="B20" i="26"/>
  <c r="C21" i="26" s="1"/>
  <c r="B19" i="26"/>
  <c r="B18" i="26"/>
  <c r="C19" i="26" s="1"/>
  <c r="B17" i="26"/>
  <c r="B16" i="26"/>
  <c r="B15" i="26"/>
  <c r="B14" i="26"/>
  <c r="C15" i="26" s="1"/>
  <c r="B13" i="26"/>
  <c r="C14" i="26" s="1"/>
  <c r="B12" i="26"/>
  <c r="B11" i="26"/>
  <c r="B10" i="26"/>
  <c r="C11" i="26" s="1"/>
  <c r="B9" i="26"/>
  <c r="B8" i="26"/>
  <c r="B7" i="26"/>
  <c r="B6" i="26"/>
  <c r="C7" i="26" s="1"/>
  <c r="K2" i="26"/>
  <c r="B141" i="25"/>
  <c r="C141" i="25" s="1"/>
  <c r="B140" i="25"/>
  <c r="B139" i="25"/>
  <c r="C140" i="25" s="1"/>
  <c r="C138" i="25"/>
  <c r="B138" i="25"/>
  <c r="B137" i="25"/>
  <c r="B136" i="25"/>
  <c r="B135" i="25"/>
  <c r="C136" i="25" s="1"/>
  <c r="B134" i="25"/>
  <c r="B133" i="25"/>
  <c r="B132" i="25"/>
  <c r="C133" i="25" s="1"/>
  <c r="B131" i="25"/>
  <c r="B130" i="25"/>
  <c r="B129" i="25"/>
  <c r="B128" i="25"/>
  <c r="B127" i="25"/>
  <c r="B126" i="25"/>
  <c r="B125" i="25"/>
  <c r="B124" i="25"/>
  <c r="C125" i="25" s="1"/>
  <c r="B123" i="25"/>
  <c r="B122" i="25"/>
  <c r="B121" i="25"/>
  <c r="B120" i="25"/>
  <c r="B119" i="25"/>
  <c r="B118" i="25"/>
  <c r="C119" i="25" s="1"/>
  <c r="B117" i="25"/>
  <c r="B116" i="25"/>
  <c r="C117" i="25" s="1"/>
  <c r="B115" i="25"/>
  <c r="C115" i="25" s="1"/>
  <c r="B114" i="25"/>
  <c r="B113" i="25"/>
  <c r="B112" i="25"/>
  <c r="C113" i="25" s="1"/>
  <c r="B111" i="25"/>
  <c r="C112" i="25" s="1"/>
  <c r="B110" i="25"/>
  <c r="B109" i="25"/>
  <c r="B108" i="25"/>
  <c r="B107" i="25"/>
  <c r="B106" i="25"/>
  <c r="B105" i="25"/>
  <c r="B104" i="25"/>
  <c r="B103" i="25"/>
  <c r="C104" i="25" s="1"/>
  <c r="B102" i="25"/>
  <c r="C102" i="25" s="1"/>
  <c r="B101" i="25"/>
  <c r="B100" i="25"/>
  <c r="B99" i="25"/>
  <c r="B98" i="25"/>
  <c r="B97" i="25"/>
  <c r="B96" i="25"/>
  <c r="C97" i="25" s="1"/>
  <c r="B95" i="25"/>
  <c r="B94" i="25"/>
  <c r="B93" i="25"/>
  <c r="B92" i="25"/>
  <c r="B91" i="25"/>
  <c r="B90" i="25"/>
  <c r="B89" i="25"/>
  <c r="C90" i="25" s="1"/>
  <c r="B88" i="25"/>
  <c r="B87" i="25"/>
  <c r="B86" i="25"/>
  <c r="C87" i="25" s="1"/>
  <c r="B85" i="25"/>
  <c r="B84" i="25"/>
  <c r="B83" i="25"/>
  <c r="B82" i="25"/>
  <c r="B81" i="25"/>
  <c r="B80" i="25"/>
  <c r="B79" i="25"/>
  <c r="C78" i="25"/>
  <c r="B78" i="25"/>
  <c r="C77" i="25"/>
  <c r="B77" i="25"/>
  <c r="B76" i="25"/>
  <c r="B75" i="25"/>
  <c r="B74" i="25"/>
  <c r="C75" i="25" s="1"/>
  <c r="B73" i="25"/>
  <c r="C74" i="25" s="1"/>
  <c r="B72" i="25"/>
  <c r="B71" i="25"/>
  <c r="B70" i="25"/>
  <c r="B69" i="25"/>
  <c r="B68" i="25"/>
  <c r="B67" i="25"/>
  <c r="B66" i="25"/>
  <c r="C67" i="25" s="1"/>
  <c r="B65" i="25"/>
  <c r="B64" i="25"/>
  <c r="B63" i="25"/>
  <c r="B62" i="25"/>
  <c r="B61" i="25"/>
  <c r="B60" i="25"/>
  <c r="B59" i="25"/>
  <c r="C60" i="25" s="1"/>
  <c r="B58" i="25"/>
  <c r="B57" i="25"/>
  <c r="C58" i="25" s="1"/>
  <c r="B56" i="25"/>
  <c r="C55" i="25"/>
  <c r="B55" i="25"/>
  <c r="B54" i="25"/>
  <c r="B53" i="25"/>
  <c r="B52" i="25"/>
  <c r="B51" i="25"/>
  <c r="C52" i="25" s="1"/>
  <c r="B50" i="25"/>
  <c r="B49" i="25"/>
  <c r="B48" i="25"/>
  <c r="B47" i="25"/>
  <c r="B46" i="25"/>
  <c r="B45" i="25"/>
  <c r="B44" i="25"/>
  <c r="C45" i="25" s="1"/>
  <c r="B43" i="25"/>
  <c r="B42" i="25"/>
  <c r="C43" i="25" s="1"/>
  <c r="B41" i="25"/>
  <c r="B40" i="25"/>
  <c r="B39" i="25"/>
  <c r="B38" i="25"/>
  <c r="B37" i="25"/>
  <c r="B36" i="25"/>
  <c r="C37" i="25" s="1"/>
  <c r="B35" i="25"/>
  <c r="B34" i="25"/>
  <c r="B33" i="25"/>
  <c r="B32" i="25"/>
  <c r="B31" i="25"/>
  <c r="B30" i="25"/>
  <c r="B29" i="25"/>
  <c r="B28" i="25"/>
  <c r="B27" i="25"/>
  <c r="B26" i="25"/>
  <c r="B25" i="25"/>
  <c r="B24" i="25"/>
  <c r="B23" i="25"/>
  <c r="B22" i="25"/>
  <c r="B21" i="25"/>
  <c r="B20" i="25"/>
  <c r="C21" i="25" s="1"/>
  <c r="B19" i="25"/>
  <c r="B18" i="25"/>
  <c r="B17" i="25"/>
  <c r="B16" i="25"/>
  <c r="B15" i="25"/>
  <c r="B14" i="25"/>
  <c r="B13" i="25"/>
  <c r="C14" i="25" s="1"/>
  <c r="B12" i="25"/>
  <c r="C13" i="25" s="1"/>
  <c r="B11" i="25"/>
  <c r="B10" i="25"/>
  <c r="B9" i="25"/>
  <c r="C10" i="25" s="1"/>
  <c r="B8" i="25"/>
  <c r="B7" i="25"/>
  <c r="B6" i="25"/>
  <c r="C7" i="25" s="1"/>
  <c r="K2" i="25"/>
  <c r="B139" i="24"/>
  <c r="B138" i="24"/>
  <c r="C139" i="24" s="1"/>
  <c r="B137" i="24"/>
  <c r="B136" i="24"/>
  <c r="B135" i="24"/>
  <c r="B134" i="24"/>
  <c r="B133" i="24"/>
  <c r="B132" i="24"/>
  <c r="C133" i="24" s="1"/>
  <c r="B131" i="24"/>
  <c r="C132" i="24" s="1"/>
  <c r="B130" i="24"/>
  <c r="B129" i="24"/>
  <c r="B128" i="24"/>
  <c r="B127" i="24"/>
  <c r="B126" i="24"/>
  <c r="B125" i="24"/>
  <c r="B124" i="24"/>
  <c r="B123" i="24"/>
  <c r="B122" i="24"/>
  <c r="C123" i="24" s="1"/>
  <c r="B121" i="24"/>
  <c r="B120" i="24"/>
  <c r="B119" i="24"/>
  <c r="B118" i="24"/>
  <c r="B117" i="24"/>
  <c r="B116" i="24"/>
  <c r="B115" i="24"/>
  <c r="B114" i="24"/>
  <c r="B113" i="24"/>
  <c r="C112" i="24"/>
  <c r="B112" i="24"/>
  <c r="B111" i="24"/>
  <c r="B110" i="24"/>
  <c r="B109" i="24"/>
  <c r="B108" i="24"/>
  <c r="C109" i="24" s="1"/>
  <c r="B107" i="24"/>
  <c r="C108" i="24" s="1"/>
  <c r="B106" i="24"/>
  <c r="B105" i="24"/>
  <c r="B104" i="24"/>
  <c r="B103" i="24"/>
  <c r="C104" i="24" s="1"/>
  <c r="B102" i="24"/>
  <c r="C103" i="24" s="1"/>
  <c r="B101" i="24"/>
  <c r="B100" i="24"/>
  <c r="C101" i="24" s="1"/>
  <c r="B99" i="24"/>
  <c r="B98" i="24"/>
  <c r="B97" i="24"/>
  <c r="B96" i="24"/>
  <c r="B95" i="24"/>
  <c r="C96" i="24" s="1"/>
  <c r="B94" i="24"/>
  <c r="C95" i="24" s="1"/>
  <c r="B93" i="24"/>
  <c r="B92" i="24"/>
  <c r="B91" i="24"/>
  <c r="C92" i="24" s="1"/>
  <c r="B90" i="24"/>
  <c r="B89" i="24"/>
  <c r="B88" i="24"/>
  <c r="C89" i="24" s="1"/>
  <c r="B87" i="24"/>
  <c r="B86" i="24"/>
  <c r="B85" i="24"/>
  <c r="B84" i="24"/>
  <c r="B83" i="24"/>
  <c r="C84" i="24" s="1"/>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C52" i="24" s="1"/>
  <c r="B51" i="24"/>
  <c r="B50" i="24"/>
  <c r="B49" i="24"/>
  <c r="B48" i="24"/>
  <c r="C49" i="24" s="1"/>
  <c r="B47" i="24"/>
  <c r="B46" i="24"/>
  <c r="B45" i="24"/>
  <c r="B44" i="24"/>
  <c r="B43" i="24"/>
  <c r="B42" i="24"/>
  <c r="B41" i="24"/>
  <c r="B40" i="24"/>
  <c r="B39" i="24"/>
  <c r="C40" i="24" s="1"/>
  <c r="B38" i="24"/>
  <c r="B37" i="24"/>
  <c r="B36" i="24"/>
  <c r="B35" i="24"/>
  <c r="B34" i="24"/>
  <c r="B33" i="24"/>
  <c r="B32" i="24"/>
  <c r="C33" i="24" s="1"/>
  <c r="B31" i="24"/>
  <c r="B30" i="24"/>
  <c r="B29" i="24"/>
  <c r="C30" i="24" s="1"/>
  <c r="B28" i="24"/>
  <c r="B27" i="24"/>
  <c r="B26" i="24"/>
  <c r="B25" i="24"/>
  <c r="B24" i="24"/>
  <c r="C25" i="24" s="1"/>
  <c r="B23" i="24"/>
  <c r="B22" i="24"/>
  <c r="B21" i="24"/>
  <c r="B20" i="24"/>
  <c r="B19" i="24"/>
  <c r="B18" i="24"/>
  <c r="C19" i="24" s="1"/>
  <c r="B17" i="24"/>
  <c r="B16" i="24"/>
  <c r="B15" i="24"/>
  <c r="B14" i="24"/>
  <c r="C15" i="24" s="1"/>
  <c r="B13" i="24"/>
  <c r="C13" i="24" s="1"/>
  <c r="B12" i="24"/>
  <c r="B11" i="24"/>
  <c r="C12" i="24" s="1"/>
  <c r="B10" i="24"/>
  <c r="C11" i="24" s="1"/>
  <c r="C9" i="24"/>
  <c r="B9" i="24"/>
  <c r="B8" i="24"/>
  <c r="B7" i="24"/>
  <c r="C7" i="24" s="1"/>
  <c r="B6" i="24"/>
  <c r="K2" i="24"/>
  <c r="B135" i="23"/>
  <c r="B134" i="23"/>
  <c r="C135" i="23" s="1"/>
  <c r="B133" i="23"/>
  <c r="B132" i="23"/>
  <c r="B131" i="23"/>
  <c r="C131" i="23" s="1"/>
  <c r="B130" i="23"/>
  <c r="B129" i="23"/>
  <c r="B128" i="23"/>
  <c r="B127" i="23"/>
  <c r="B126" i="23"/>
  <c r="B125" i="23"/>
  <c r="B124" i="23"/>
  <c r="B123" i="23"/>
  <c r="B122" i="23"/>
  <c r="B121" i="23"/>
  <c r="B120" i="23"/>
  <c r="B119" i="23"/>
  <c r="B118" i="23"/>
  <c r="C119" i="23" s="1"/>
  <c r="B117" i="23"/>
  <c r="B116" i="23"/>
  <c r="B115" i="23"/>
  <c r="B114" i="23"/>
  <c r="B113" i="23"/>
  <c r="C114" i="23" s="1"/>
  <c r="B112" i="23"/>
  <c r="B111" i="23"/>
  <c r="B110" i="23"/>
  <c r="B109" i="23"/>
  <c r="B108" i="23"/>
  <c r="B107" i="23"/>
  <c r="B106" i="23"/>
  <c r="B105" i="23"/>
  <c r="B104" i="23"/>
  <c r="B103" i="23"/>
  <c r="B102" i="23"/>
  <c r="C103" i="23" s="1"/>
  <c r="B101" i="23"/>
  <c r="B100" i="23"/>
  <c r="B99" i="23"/>
  <c r="C99" i="23" s="1"/>
  <c r="B98" i="23"/>
  <c r="B97" i="23"/>
  <c r="C98" i="23" s="1"/>
  <c r="B96" i="23"/>
  <c r="B95" i="23"/>
  <c r="C94" i="23"/>
  <c r="B94" i="23"/>
  <c r="B93" i="23"/>
  <c r="B92" i="23"/>
  <c r="B91" i="23"/>
  <c r="B90" i="23"/>
  <c r="B89" i="23"/>
  <c r="C90" i="23" s="1"/>
  <c r="B88" i="23"/>
  <c r="B87" i="23"/>
  <c r="B86" i="23"/>
  <c r="B85" i="23"/>
  <c r="B84" i="23"/>
  <c r="B83" i="23"/>
  <c r="B82" i="23"/>
  <c r="B81" i="23"/>
  <c r="B80" i="23"/>
  <c r="C80" i="23" s="1"/>
  <c r="B79" i="23"/>
  <c r="C79" i="23" s="1"/>
  <c r="B78" i="23"/>
  <c r="B77" i="23"/>
  <c r="B76" i="23"/>
  <c r="B75" i="23"/>
  <c r="B74" i="23"/>
  <c r="B73" i="23"/>
  <c r="B72" i="23"/>
  <c r="B71" i="23"/>
  <c r="B70" i="23"/>
  <c r="B69" i="23"/>
  <c r="B68" i="23"/>
  <c r="B67" i="23"/>
  <c r="B66" i="23"/>
  <c r="C67" i="23" s="1"/>
  <c r="B65" i="23"/>
  <c r="C66" i="23" s="1"/>
  <c r="B64" i="23"/>
  <c r="C63" i="23"/>
  <c r="B63" i="23"/>
  <c r="B62" i="23"/>
  <c r="B61" i="23"/>
  <c r="C62" i="23" s="1"/>
  <c r="B60" i="23"/>
  <c r="C61" i="23" s="1"/>
  <c r="B59" i="23"/>
  <c r="B58" i="23"/>
  <c r="B57" i="23"/>
  <c r="B56" i="23"/>
  <c r="B55" i="23"/>
  <c r="B54" i="23"/>
  <c r="B53" i="23"/>
  <c r="B52" i="23"/>
  <c r="B51" i="23"/>
  <c r="B50" i="23"/>
  <c r="C51" i="23" s="1"/>
  <c r="B49" i="23"/>
  <c r="B48" i="23"/>
  <c r="B47" i="23"/>
  <c r="B46" i="23"/>
  <c r="B45" i="23"/>
  <c r="C46" i="23" s="1"/>
  <c r="B44" i="23"/>
  <c r="B43" i="23"/>
  <c r="C44" i="23" s="1"/>
  <c r="B42" i="23"/>
  <c r="B41" i="23"/>
  <c r="B40" i="23"/>
  <c r="B39" i="23"/>
  <c r="B38" i="23"/>
  <c r="C39" i="23" s="1"/>
  <c r="B37" i="23"/>
  <c r="B36" i="23"/>
  <c r="B35" i="23"/>
  <c r="C35" i="23" s="1"/>
  <c r="B34" i="23"/>
  <c r="B33" i="23"/>
  <c r="B32" i="23"/>
  <c r="B31" i="23"/>
  <c r="C32" i="23" s="1"/>
  <c r="B30" i="23"/>
  <c r="B29" i="23"/>
  <c r="B28" i="23"/>
  <c r="B27" i="23"/>
  <c r="C28" i="23" s="1"/>
  <c r="B26" i="23"/>
  <c r="B25" i="23"/>
  <c r="B24" i="23"/>
  <c r="B23" i="23"/>
  <c r="B22" i="23"/>
  <c r="B21" i="23"/>
  <c r="C22" i="23" s="1"/>
  <c r="B20" i="23"/>
  <c r="B19" i="23"/>
  <c r="B18" i="23"/>
  <c r="B17" i="23"/>
  <c r="B16" i="23"/>
  <c r="B15" i="23"/>
  <c r="C16" i="23" s="1"/>
  <c r="B14" i="23"/>
  <c r="B13" i="23"/>
  <c r="C14" i="23" s="1"/>
  <c r="C12" i="23"/>
  <c r="B12" i="23"/>
  <c r="B11" i="23"/>
  <c r="B10" i="23"/>
  <c r="C11" i="23" s="1"/>
  <c r="B9" i="23"/>
  <c r="B8" i="23"/>
  <c r="C9" i="23" s="1"/>
  <c r="C7" i="23"/>
  <c r="B7" i="23"/>
  <c r="B6" i="23"/>
  <c r="K2" i="23"/>
  <c r="B170" i="22"/>
  <c r="B169" i="22"/>
  <c r="B168" i="22"/>
  <c r="C169" i="22" s="1"/>
  <c r="B167" i="22"/>
  <c r="B166" i="22"/>
  <c r="B165" i="22"/>
  <c r="B164" i="22"/>
  <c r="B163" i="22"/>
  <c r="B162" i="22"/>
  <c r="B161" i="22"/>
  <c r="C162" i="22" s="1"/>
  <c r="B160" i="22"/>
  <c r="C161" i="22" s="1"/>
  <c r="B159" i="22"/>
  <c r="C159" i="22" s="1"/>
  <c r="B158" i="22"/>
  <c r="B157" i="22"/>
  <c r="C158" i="22" s="1"/>
  <c r="B156" i="22"/>
  <c r="B155" i="22"/>
  <c r="B154" i="22"/>
  <c r="B153" i="22"/>
  <c r="C154" i="22" s="1"/>
  <c r="B152" i="22"/>
  <c r="B151" i="22"/>
  <c r="B150" i="22"/>
  <c r="B149" i="22"/>
  <c r="B148" i="22"/>
  <c r="B147" i="22"/>
  <c r="B146" i="22"/>
  <c r="C147" i="22" s="1"/>
  <c r="B145" i="22"/>
  <c r="B144" i="22"/>
  <c r="C145" i="22" s="1"/>
  <c r="B143" i="22"/>
  <c r="B142" i="22"/>
  <c r="C143" i="22" s="1"/>
  <c r="B141" i="22"/>
  <c r="B140" i="22"/>
  <c r="B139" i="22"/>
  <c r="B138" i="22"/>
  <c r="B137" i="22"/>
  <c r="B136" i="22"/>
  <c r="B135" i="22"/>
  <c r="B134" i="22"/>
  <c r="B133" i="22"/>
  <c r="B132" i="22"/>
  <c r="B131" i="22"/>
  <c r="B130" i="22"/>
  <c r="B129" i="22"/>
  <c r="C130" i="22" s="1"/>
  <c r="B128" i="22"/>
  <c r="B127" i="22"/>
  <c r="C127" i="22" s="1"/>
  <c r="B126" i="22"/>
  <c r="B125" i="22"/>
  <c r="B124" i="22"/>
  <c r="B123" i="22"/>
  <c r="B122" i="22"/>
  <c r="B121" i="22"/>
  <c r="B120" i="22"/>
  <c r="C119" i="22"/>
  <c r="B119" i="22"/>
  <c r="C120" i="22" s="1"/>
  <c r="B118" i="22"/>
  <c r="B117" i="22"/>
  <c r="B116" i="22"/>
  <c r="B115" i="22"/>
  <c r="B114" i="22"/>
  <c r="B113" i="22"/>
  <c r="B112" i="22"/>
  <c r="C113" i="22" s="1"/>
  <c r="B111" i="22"/>
  <c r="B110" i="22"/>
  <c r="B109" i="22"/>
  <c r="B108" i="22"/>
  <c r="B107" i="22"/>
  <c r="B106" i="22"/>
  <c r="B105" i="22"/>
  <c r="B104" i="22"/>
  <c r="C105" i="22" s="1"/>
  <c r="B103" i="22"/>
  <c r="B102" i="22"/>
  <c r="B101" i="22"/>
  <c r="B100" i="22"/>
  <c r="B99" i="22"/>
  <c r="B98" i="22"/>
  <c r="C99" i="22" s="1"/>
  <c r="B97" i="22"/>
  <c r="B96" i="22"/>
  <c r="C97" i="22" s="1"/>
  <c r="B95" i="22"/>
  <c r="B94" i="22"/>
  <c r="B93" i="22"/>
  <c r="B92" i="22"/>
  <c r="B91" i="22"/>
  <c r="B90" i="22"/>
  <c r="B89" i="22"/>
  <c r="B88" i="22"/>
  <c r="C89" i="22" s="1"/>
  <c r="B87" i="22"/>
  <c r="B86" i="22"/>
  <c r="B85" i="22"/>
  <c r="B84" i="22"/>
  <c r="B83" i="22"/>
  <c r="B82" i="22"/>
  <c r="C83" i="22" s="1"/>
  <c r="B81" i="22"/>
  <c r="B80" i="22"/>
  <c r="C81" i="22" s="1"/>
  <c r="B79" i="22"/>
  <c r="B78" i="22"/>
  <c r="B77" i="22"/>
  <c r="B76" i="22"/>
  <c r="B75" i="22"/>
  <c r="B74" i="22"/>
  <c r="C74" i="22" s="1"/>
  <c r="B73" i="22"/>
  <c r="B72" i="22"/>
  <c r="C73" i="22" s="1"/>
  <c r="B71" i="22"/>
  <c r="B70" i="22"/>
  <c r="C71" i="22" s="1"/>
  <c r="B69" i="22"/>
  <c r="B68" i="22"/>
  <c r="B67" i="22"/>
  <c r="B66" i="22"/>
  <c r="C67" i="22" s="1"/>
  <c r="B65" i="22"/>
  <c r="B64" i="22"/>
  <c r="C65" i="22" s="1"/>
  <c r="B63" i="22"/>
  <c r="B62" i="22"/>
  <c r="C63" i="22" s="1"/>
  <c r="B61" i="22"/>
  <c r="B60" i="22"/>
  <c r="B59" i="22"/>
  <c r="B58" i="22"/>
  <c r="C58" i="22" s="1"/>
  <c r="B57" i="22"/>
  <c r="B56" i="22"/>
  <c r="C57" i="22" s="1"/>
  <c r="B55" i="22"/>
  <c r="B54" i="22"/>
  <c r="C55" i="22" s="1"/>
  <c r="B53" i="22"/>
  <c r="B52" i="22"/>
  <c r="B51" i="22"/>
  <c r="B50" i="22"/>
  <c r="C51" i="22" s="1"/>
  <c r="B49" i="22"/>
  <c r="B48" i="22"/>
  <c r="C49" i="22" s="1"/>
  <c r="B47" i="22"/>
  <c r="B46" i="22"/>
  <c r="C47" i="22" s="1"/>
  <c r="B45" i="22"/>
  <c r="B44" i="22"/>
  <c r="B43" i="22"/>
  <c r="B42" i="22"/>
  <c r="C42" i="22" s="1"/>
  <c r="B41" i="22"/>
  <c r="B40" i="22"/>
  <c r="C41" i="22" s="1"/>
  <c r="B39" i="22"/>
  <c r="B38" i="22"/>
  <c r="C39" i="22" s="1"/>
  <c r="B37" i="22"/>
  <c r="B36" i="22"/>
  <c r="C37" i="22" s="1"/>
  <c r="B35" i="22"/>
  <c r="B34" i="22"/>
  <c r="C35" i="22" s="1"/>
  <c r="B33" i="22"/>
  <c r="B32" i="22"/>
  <c r="C33" i="22" s="1"/>
  <c r="B31" i="22"/>
  <c r="B30" i="22"/>
  <c r="C31" i="22" s="1"/>
  <c r="B29" i="22"/>
  <c r="B28" i="22"/>
  <c r="C29" i="22" s="1"/>
  <c r="B27" i="22"/>
  <c r="B26" i="22"/>
  <c r="C26" i="22" s="1"/>
  <c r="B25" i="22"/>
  <c r="B24" i="22"/>
  <c r="C25" i="22" s="1"/>
  <c r="B23" i="22"/>
  <c r="B22" i="22"/>
  <c r="C23" i="22" s="1"/>
  <c r="B21" i="22"/>
  <c r="B20" i="22"/>
  <c r="C21" i="22" s="1"/>
  <c r="B19" i="22"/>
  <c r="B18" i="22"/>
  <c r="C19" i="22" s="1"/>
  <c r="B17" i="22"/>
  <c r="B16" i="22"/>
  <c r="C17" i="22" s="1"/>
  <c r="B15" i="22"/>
  <c r="B14" i="22"/>
  <c r="C15" i="22" s="1"/>
  <c r="B13" i="22"/>
  <c r="B12" i="22"/>
  <c r="B11" i="22"/>
  <c r="B10" i="22"/>
  <c r="C10" i="22" s="1"/>
  <c r="B9" i="22"/>
  <c r="B8" i="22"/>
  <c r="C9" i="22" s="1"/>
  <c r="B7" i="22"/>
  <c r="B6" i="22"/>
  <c r="K2" i="22"/>
  <c r="B135" i="21"/>
  <c r="B134" i="21"/>
  <c r="B133" i="21"/>
  <c r="B132" i="21"/>
  <c r="B131" i="21"/>
  <c r="B130" i="21"/>
  <c r="B129" i="21"/>
  <c r="B128" i="21"/>
  <c r="B127" i="21"/>
  <c r="C128" i="21" s="1"/>
  <c r="B126" i="21"/>
  <c r="B125" i="21"/>
  <c r="B124" i="21"/>
  <c r="B123" i="21"/>
  <c r="B122" i="21"/>
  <c r="B121" i="21"/>
  <c r="C122" i="21" s="1"/>
  <c r="B120" i="21"/>
  <c r="B119" i="21"/>
  <c r="B118" i="21"/>
  <c r="B117" i="21"/>
  <c r="B116" i="21"/>
  <c r="B115" i="21"/>
  <c r="B114" i="21"/>
  <c r="B113" i="21"/>
  <c r="B112" i="21"/>
  <c r="B111" i="21"/>
  <c r="C112" i="21" s="1"/>
  <c r="B110" i="21"/>
  <c r="B109" i="21"/>
  <c r="B108" i="21"/>
  <c r="B107" i="21"/>
  <c r="B106" i="21"/>
  <c r="B105" i="21"/>
  <c r="C106" i="21" s="1"/>
  <c r="B104" i="21"/>
  <c r="B103" i="21"/>
  <c r="B102" i="21"/>
  <c r="B101" i="21"/>
  <c r="B100" i="21"/>
  <c r="B99" i="21"/>
  <c r="B98" i="21"/>
  <c r="B97" i="21"/>
  <c r="B96" i="21"/>
  <c r="B95" i="21"/>
  <c r="C96" i="21" s="1"/>
  <c r="B94" i="21"/>
  <c r="B93" i="21"/>
  <c r="B92" i="21"/>
  <c r="B91" i="21"/>
  <c r="B90" i="21"/>
  <c r="B89" i="21"/>
  <c r="C90" i="21" s="1"/>
  <c r="B88" i="21"/>
  <c r="B87" i="21"/>
  <c r="B86" i="21"/>
  <c r="B85" i="21"/>
  <c r="B84" i="21"/>
  <c r="B83" i="21"/>
  <c r="B82" i="21"/>
  <c r="B81" i="21"/>
  <c r="B80" i="21"/>
  <c r="B79" i="21"/>
  <c r="C80" i="21" s="1"/>
  <c r="B78" i="21"/>
  <c r="B77" i="21"/>
  <c r="B76" i="21"/>
  <c r="B75" i="21"/>
  <c r="B74" i="21"/>
  <c r="B73" i="21"/>
  <c r="C74" i="21" s="1"/>
  <c r="B72" i="21"/>
  <c r="B71" i="21"/>
  <c r="B70" i="21"/>
  <c r="B69" i="21"/>
  <c r="B68" i="21"/>
  <c r="B67" i="21"/>
  <c r="B66" i="21"/>
  <c r="B65" i="21"/>
  <c r="B64" i="21"/>
  <c r="B63" i="21"/>
  <c r="C64" i="21" s="1"/>
  <c r="B62" i="21"/>
  <c r="B61" i="21"/>
  <c r="B60" i="21"/>
  <c r="B59" i="21"/>
  <c r="B58" i="21"/>
  <c r="B57" i="21"/>
  <c r="C58" i="21" s="1"/>
  <c r="B56" i="21"/>
  <c r="B55" i="21"/>
  <c r="B54" i="21"/>
  <c r="B53" i="21"/>
  <c r="B52" i="21"/>
  <c r="B51" i="21"/>
  <c r="B50" i="21"/>
  <c r="B49" i="21"/>
  <c r="B48" i="21"/>
  <c r="B47" i="21"/>
  <c r="C48" i="21" s="1"/>
  <c r="B46" i="21"/>
  <c r="B45" i="21"/>
  <c r="B44" i="21"/>
  <c r="B43" i="21"/>
  <c r="B42" i="21"/>
  <c r="B41" i="21"/>
  <c r="C42" i="21" s="1"/>
  <c r="B40" i="21"/>
  <c r="B39" i="21"/>
  <c r="B38" i="21"/>
  <c r="B37" i="21"/>
  <c r="B36" i="21"/>
  <c r="B35" i="21"/>
  <c r="B34" i="21"/>
  <c r="B33" i="21"/>
  <c r="B32" i="21"/>
  <c r="B31" i="21"/>
  <c r="C32" i="21" s="1"/>
  <c r="B30" i="21"/>
  <c r="B29" i="21"/>
  <c r="B28" i="21"/>
  <c r="B27" i="21"/>
  <c r="B26" i="21"/>
  <c r="B25" i="21"/>
  <c r="C26" i="21" s="1"/>
  <c r="B24" i="21"/>
  <c r="B23" i="21"/>
  <c r="B22" i="21"/>
  <c r="B21" i="21"/>
  <c r="B20" i="21"/>
  <c r="B19" i="21"/>
  <c r="B18" i="21"/>
  <c r="B17" i="21"/>
  <c r="B16" i="21"/>
  <c r="B15" i="21"/>
  <c r="C16" i="21" s="1"/>
  <c r="B14" i="21"/>
  <c r="B13" i="21"/>
  <c r="B12" i="21"/>
  <c r="B11" i="21"/>
  <c r="B10" i="21"/>
  <c r="B9" i="21"/>
  <c r="C10" i="21" s="1"/>
  <c r="B8" i="21"/>
  <c r="B7" i="21"/>
  <c r="B6" i="21"/>
  <c r="K2" i="21"/>
  <c r="B141" i="20"/>
  <c r="B140" i="20"/>
  <c r="C141" i="20" s="1"/>
  <c r="B139" i="20"/>
  <c r="B138" i="20"/>
  <c r="B137" i="20"/>
  <c r="B136" i="20"/>
  <c r="C137" i="20" s="1"/>
  <c r="B135" i="20"/>
  <c r="B134" i="20"/>
  <c r="B133" i="20"/>
  <c r="B132" i="20"/>
  <c r="C133" i="20" s="1"/>
  <c r="B131" i="20"/>
  <c r="C132" i="20" s="1"/>
  <c r="B130" i="20"/>
  <c r="C131" i="20" s="1"/>
  <c r="B129" i="20"/>
  <c r="B128" i="20"/>
  <c r="B127" i="20"/>
  <c r="B126" i="20"/>
  <c r="B125" i="20"/>
  <c r="B124" i="20"/>
  <c r="C125" i="20" s="1"/>
  <c r="B123" i="20"/>
  <c r="C124" i="20" s="1"/>
  <c r="B122" i="20"/>
  <c r="B121" i="20"/>
  <c r="B120" i="20"/>
  <c r="C121" i="20" s="1"/>
  <c r="B119" i="20"/>
  <c r="B118" i="20"/>
  <c r="B117" i="20"/>
  <c r="B116" i="20"/>
  <c r="B115" i="20"/>
  <c r="B114" i="20"/>
  <c r="C115" i="20" s="1"/>
  <c r="B113" i="20"/>
  <c r="B112" i="20"/>
  <c r="C113" i="20" s="1"/>
  <c r="B111" i="20"/>
  <c r="B110" i="20"/>
  <c r="B109" i="20"/>
  <c r="B108" i="20"/>
  <c r="B107" i="20"/>
  <c r="C108" i="20" s="1"/>
  <c r="B106" i="20"/>
  <c r="B105" i="20"/>
  <c r="B104" i="20"/>
  <c r="B103" i="20"/>
  <c r="C104" i="20" s="1"/>
  <c r="B102" i="20"/>
  <c r="B101" i="20"/>
  <c r="B100" i="20"/>
  <c r="C101" i="20" s="1"/>
  <c r="B99" i="20"/>
  <c r="B98" i="20"/>
  <c r="C99" i="20" s="1"/>
  <c r="B97" i="20"/>
  <c r="B96" i="20"/>
  <c r="C97" i="20" s="1"/>
  <c r="B95" i="20"/>
  <c r="B94" i="20"/>
  <c r="B93" i="20"/>
  <c r="B92" i="20"/>
  <c r="C93" i="20" s="1"/>
  <c r="B91" i="20"/>
  <c r="B90" i="20"/>
  <c r="B89" i="20"/>
  <c r="B88" i="20"/>
  <c r="B87" i="20"/>
  <c r="B86" i="20"/>
  <c r="B85" i="20"/>
  <c r="B84" i="20"/>
  <c r="B83" i="20"/>
  <c r="C84" i="20" s="1"/>
  <c r="B82" i="20"/>
  <c r="B81" i="20"/>
  <c r="B80" i="20"/>
  <c r="C81" i="20" s="1"/>
  <c r="B79" i="20"/>
  <c r="B78" i="20"/>
  <c r="B77" i="20"/>
  <c r="B76" i="20"/>
  <c r="B75" i="20"/>
  <c r="C76" i="20" s="1"/>
  <c r="B74" i="20"/>
  <c r="B73" i="20"/>
  <c r="B72" i="20"/>
  <c r="B71" i="20"/>
  <c r="B70" i="20"/>
  <c r="B69" i="20"/>
  <c r="B68" i="20"/>
  <c r="C69" i="20" s="1"/>
  <c r="B67" i="20"/>
  <c r="C68" i="20" s="1"/>
  <c r="B66" i="20"/>
  <c r="B65" i="20"/>
  <c r="B64" i="20"/>
  <c r="B63" i="20"/>
  <c r="B62" i="20"/>
  <c r="B61" i="20"/>
  <c r="B60" i="20"/>
  <c r="B59" i="20"/>
  <c r="B58" i="20"/>
  <c r="B57" i="20"/>
  <c r="B56" i="20"/>
  <c r="C57" i="20" s="1"/>
  <c r="B55" i="20"/>
  <c r="B54" i="20"/>
  <c r="B53" i="20"/>
  <c r="B52" i="20"/>
  <c r="B51" i="20"/>
  <c r="B50" i="20"/>
  <c r="C51" i="20" s="1"/>
  <c r="B49" i="20"/>
  <c r="C48" i="20"/>
  <c r="B48" i="20"/>
  <c r="B47" i="20"/>
  <c r="B46" i="20"/>
  <c r="B45" i="20"/>
  <c r="B44" i="20"/>
  <c r="B43" i="20"/>
  <c r="C44" i="20" s="1"/>
  <c r="B42" i="20"/>
  <c r="B41" i="20"/>
  <c r="B40" i="20"/>
  <c r="B39" i="20"/>
  <c r="B38" i="20"/>
  <c r="B37" i="20"/>
  <c r="B36" i="20"/>
  <c r="B35" i="20"/>
  <c r="C36" i="20" s="1"/>
  <c r="B34" i="20"/>
  <c r="B33" i="20"/>
  <c r="B32" i="20"/>
  <c r="B31" i="20"/>
  <c r="B30" i="20"/>
  <c r="B29" i="20"/>
  <c r="C30" i="20" s="1"/>
  <c r="B28" i="20"/>
  <c r="B27" i="20"/>
  <c r="C28" i="20" s="1"/>
  <c r="B26" i="20"/>
  <c r="B25" i="20"/>
  <c r="B24" i="20"/>
  <c r="B23" i="20"/>
  <c r="B22" i="20"/>
  <c r="C23" i="20" s="1"/>
  <c r="C21" i="20"/>
  <c r="B21" i="20"/>
  <c r="C20" i="20"/>
  <c r="B20" i="20"/>
  <c r="B19" i="20"/>
  <c r="B18" i="20"/>
  <c r="B17" i="20"/>
  <c r="B16" i="20"/>
  <c r="B15" i="20"/>
  <c r="C16" i="20" s="1"/>
  <c r="B14" i="20"/>
  <c r="B13" i="20"/>
  <c r="B12" i="20"/>
  <c r="B11" i="20"/>
  <c r="B10" i="20"/>
  <c r="B9" i="20"/>
  <c r="B8" i="20"/>
  <c r="B7" i="20"/>
  <c r="B6" i="20"/>
  <c r="C7" i="20" s="1"/>
  <c r="K2" i="20"/>
  <c r="B141" i="19"/>
  <c r="B140" i="19"/>
  <c r="B139" i="19"/>
  <c r="B138" i="19"/>
  <c r="B137" i="19"/>
  <c r="B136" i="19"/>
  <c r="B135" i="19"/>
  <c r="B134" i="19"/>
  <c r="B133" i="19"/>
  <c r="B132" i="19"/>
  <c r="B131" i="19"/>
  <c r="B130" i="19"/>
  <c r="C131" i="19" s="1"/>
  <c r="B129" i="19"/>
  <c r="B128" i="19"/>
  <c r="B127" i="19"/>
  <c r="B126" i="19"/>
  <c r="B125" i="19"/>
  <c r="B124" i="19"/>
  <c r="B123" i="19"/>
  <c r="B122" i="19"/>
  <c r="C123" i="19" s="1"/>
  <c r="B121" i="19"/>
  <c r="B120" i="19"/>
  <c r="B119" i="19"/>
  <c r="B118" i="19"/>
  <c r="C119" i="19" s="1"/>
  <c r="B117" i="19"/>
  <c r="B116" i="19"/>
  <c r="B115" i="19"/>
  <c r="B114" i="19"/>
  <c r="C115" i="19" s="1"/>
  <c r="B113" i="19"/>
  <c r="B112" i="19"/>
  <c r="B111" i="19"/>
  <c r="B110" i="19"/>
  <c r="C111" i="19" s="1"/>
  <c r="B109" i="19"/>
  <c r="B108" i="19"/>
  <c r="B107" i="19"/>
  <c r="B106" i="19"/>
  <c r="B105" i="19"/>
  <c r="B104" i="19"/>
  <c r="B103" i="19"/>
  <c r="B102" i="19"/>
  <c r="C103" i="19" s="1"/>
  <c r="B101" i="19"/>
  <c r="B100" i="19"/>
  <c r="B99" i="19"/>
  <c r="C100" i="19" s="1"/>
  <c r="B98" i="19"/>
  <c r="B97" i="19"/>
  <c r="B96" i="19"/>
  <c r="B95" i="19"/>
  <c r="B94" i="19"/>
  <c r="B93" i="19"/>
  <c r="B92" i="19"/>
  <c r="B91" i="19"/>
  <c r="C92" i="19" s="1"/>
  <c r="B90" i="19"/>
  <c r="B89" i="19"/>
  <c r="B88" i="19"/>
  <c r="B87" i="19"/>
  <c r="B86" i="19"/>
  <c r="C87" i="19" s="1"/>
  <c r="B85" i="19"/>
  <c r="B84" i="19"/>
  <c r="B83" i="19"/>
  <c r="B82" i="19"/>
  <c r="B81" i="19"/>
  <c r="B80" i="19"/>
  <c r="B79" i="19"/>
  <c r="B78" i="19"/>
  <c r="C79" i="19" s="1"/>
  <c r="B77" i="19"/>
  <c r="B76" i="19"/>
  <c r="B75" i="19"/>
  <c r="C76" i="19" s="1"/>
  <c r="B74" i="19"/>
  <c r="B73" i="19"/>
  <c r="B72" i="19"/>
  <c r="B71" i="19"/>
  <c r="B70" i="19"/>
  <c r="C71" i="19" s="1"/>
  <c r="B69" i="19"/>
  <c r="B68" i="19"/>
  <c r="B67" i="19"/>
  <c r="B66" i="19"/>
  <c r="C67" i="19" s="1"/>
  <c r="B65" i="19"/>
  <c r="B64" i="19"/>
  <c r="C65" i="19" s="1"/>
  <c r="B63" i="19"/>
  <c r="B62" i="19"/>
  <c r="B61" i="19"/>
  <c r="B60" i="19"/>
  <c r="B59" i="19"/>
  <c r="B58" i="19"/>
  <c r="C59" i="19" s="1"/>
  <c r="B57" i="19"/>
  <c r="B56" i="19"/>
  <c r="B55" i="19"/>
  <c r="B54" i="19"/>
  <c r="C55" i="19" s="1"/>
  <c r="B53" i="19"/>
  <c r="B52" i="19"/>
  <c r="B51" i="19"/>
  <c r="B50" i="19"/>
  <c r="C51" i="19" s="1"/>
  <c r="B49" i="19"/>
  <c r="B48" i="19"/>
  <c r="C49" i="19" s="1"/>
  <c r="B47" i="19"/>
  <c r="B46" i="19"/>
  <c r="C47" i="19" s="1"/>
  <c r="B45" i="19"/>
  <c r="B44" i="19"/>
  <c r="B43" i="19"/>
  <c r="B42" i="19"/>
  <c r="B41" i="19"/>
  <c r="B40" i="19"/>
  <c r="B39" i="19"/>
  <c r="B38" i="19"/>
  <c r="C39" i="19" s="1"/>
  <c r="B37" i="19"/>
  <c r="B36" i="19"/>
  <c r="B35" i="19"/>
  <c r="C36" i="19" s="1"/>
  <c r="B34" i="19"/>
  <c r="B33" i="19"/>
  <c r="B32" i="19"/>
  <c r="C33" i="19" s="1"/>
  <c r="B31" i="19"/>
  <c r="B30" i="19"/>
  <c r="B29" i="19"/>
  <c r="B28" i="19"/>
  <c r="B27" i="19"/>
  <c r="C28" i="19" s="1"/>
  <c r="B26" i="19"/>
  <c r="B25" i="19"/>
  <c r="B24" i="19"/>
  <c r="C25" i="19" s="1"/>
  <c r="B23" i="19"/>
  <c r="B22" i="19"/>
  <c r="B21" i="19"/>
  <c r="B20" i="19"/>
  <c r="B19" i="19"/>
  <c r="B18" i="19"/>
  <c r="B17" i="19"/>
  <c r="C18" i="19" s="1"/>
  <c r="C16" i="19"/>
  <c r="B16" i="19"/>
  <c r="B15" i="19"/>
  <c r="B14" i="19"/>
  <c r="B13" i="19"/>
  <c r="B12" i="19"/>
  <c r="B11" i="19"/>
  <c r="B10" i="19"/>
  <c r="B9" i="19"/>
  <c r="C8" i="19"/>
  <c r="B8" i="19"/>
  <c r="B7" i="19"/>
  <c r="B6" i="19"/>
  <c r="K2" i="19"/>
  <c r="B135" i="18"/>
  <c r="B134" i="18"/>
  <c r="B133" i="18"/>
  <c r="B132" i="18"/>
  <c r="B131" i="18"/>
  <c r="B130" i="18"/>
  <c r="B129" i="18"/>
  <c r="C130" i="18" s="1"/>
  <c r="B128" i="18"/>
  <c r="B127" i="18"/>
  <c r="B126" i="18"/>
  <c r="B125" i="18"/>
  <c r="C126" i="18" s="1"/>
  <c r="B124" i="18"/>
  <c r="B123" i="18"/>
  <c r="B122" i="18"/>
  <c r="B121" i="18"/>
  <c r="B120" i="18"/>
  <c r="B119" i="18"/>
  <c r="B118" i="18"/>
  <c r="B117" i="18"/>
  <c r="C118" i="18" s="1"/>
  <c r="B116" i="18"/>
  <c r="B115" i="18"/>
  <c r="B114" i="18"/>
  <c r="C115" i="18" s="1"/>
  <c r="B113" i="18"/>
  <c r="C114" i="18" s="1"/>
  <c r="B112" i="18"/>
  <c r="B111" i="18"/>
  <c r="C112" i="18" s="1"/>
  <c r="B110" i="18"/>
  <c r="B109" i="18"/>
  <c r="B108" i="18"/>
  <c r="B107" i="18"/>
  <c r="B106" i="18"/>
  <c r="B105" i="18"/>
  <c r="B104" i="18"/>
  <c r="B103" i="18"/>
  <c r="B102" i="18"/>
  <c r="B101" i="18"/>
  <c r="C102" i="18" s="1"/>
  <c r="B100" i="18"/>
  <c r="B99" i="18"/>
  <c r="B98" i="18"/>
  <c r="C99" i="18" s="1"/>
  <c r="B97" i="18"/>
  <c r="B96" i="18"/>
  <c r="B95" i="18"/>
  <c r="C96" i="18" s="1"/>
  <c r="B94" i="18"/>
  <c r="C94" i="18" s="1"/>
  <c r="B93" i="18"/>
  <c r="B92" i="18"/>
  <c r="B91" i="18"/>
  <c r="C92" i="18" s="1"/>
  <c r="B90" i="18"/>
  <c r="C90" i="18" s="1"/>
  <c r="B89" i="18"/>
  <c r="B88" i="18"/>
  <c r="B87" i="18"/>
  <c r="B86" i="18"/>
  <c r="B85" i="18"/>
  <c r="B84" i="18"/>
  <c r="B83" i="18"/>
  <c r="B82" i="18"/>
  <c r="C82" i="18" s="1"/>
  <c r="B81" i="18"/>
  <c r="B80" i="18"/>
  <c r="C81" i="18" s="1"/>
  <c r="B79" i="18"/>
  <c r="C80" i="18" s="1"/>
  <c r="B78" i="18"/>
  <c r="B77" i="18"/>
  <c r="B76" i="18"/>
  <c r="B75" i="18"/>
  <c r="C76" i="18" s="1"/>
  <c r="B74" i="18"/>
  <c r="B73" i="18"/>
  <c r="B72" i="18"/>
  <c r="C73" i="18" s="1"/>
  <c r="B71" i="18"/>
  <c r="C70" i="18"/>
  <c r="B70" i="18"/>
  <c r="B69" i="18"/>
  <c r="B68" i="18"/>
  <c r="B67" i="18"/>
  <c r="B66" i="18"/>
  <c r="C67" i="18" s="1"/>
  <c r="B65" i="18"/>
  <c r="B64" i="18"/>
  <c r="B63" i="18"/>
  <c r="B62" i="18"/>
  <c r="B61" i="18"/>
  <c r="C62" i="18" s="1"/>
  <c r="B60" i="18"/>
  <c r="C61" i="18" s="1"/>
  <c r="B59" i="18"/>
  <c r="B58" i="18"/>
  <c r="B57" i="18"/>
  <c r="B56" i="18"/>
  <c r="B55" i="18"/>
  <c r="B54" i="18"/>
  <c r="B53" i="18"/>
  <c r="C54" i="18" s="1"/>
  <c r="B52" i="18"/>
  <c r="C53" i="18" s="1"/>
  <c r="B51" i="18"/>
  <c r="B50" i="18"/>
  <c r="B49" i="18"/>
  <c r="B48" i="18"/>
  <c r="C49" i="18" s="1"/>
  <c r="B47" i="18"/>
  <c r="B46" i="18"/>
  <c r="B45" i="18"/>
  <c r="C46" i="18" s="1"/>
  <c r="B44" i="18"/>
  <c r="B43" i="18"/>
  <c r="B42" i="18"/>
  <c r="B41" i="18"/>
  <c r="B40" i="18"/>
  <c r="C41" i="18" s="1"/>
  <c r="B39" i="18"/>
  <c r="B38" i="18"/>
  <c r="B37" i="18"/>
  <c r="C38" i="18" s="1"/>
  <c r="B36" i="18"/>
  <c r="B35" i="18"/>
  <c r="B34" i="18"/>
  <c r="C35" i="18" s="1"/>
  <c r="B33" i="18"/>
  <c r="B32" i="18"/>
  <c r="B31" i="18"/>
  <c r="C32" i="18" s="1"/>
  <c r="B30" i="18"/>
  <c r="B29" i="18"/>
  <c r="B28" i="18"/>
  <c r="C29" i="18" s="1"/>
  <c r="B27" i="18"/>
  <c r="C26" i="18"/>
  <c r="B26" i="18"/>
  <c r="B25" i="18"/>
  <c r="B24" i="18"/>
  <c r="C25" i="18" s="1"/>
  <c r="B23" i="18"/>
  <c r="B22" i="18"/>
  <c r="B21" i="18"/>
  <c r="B20" i="18"/>
  <c r="C21" i="18" s="1"/>
  <c r="B19" i="18"/>
  <c r="B18" i="18"/>
  <c r="B17" i="18"/>
  <c r="B16" i="18"/>
  <c r="B15" i="18"/>
  <c r="B14" i="18"/>
  <c r="B13" i="18"/>
  <c r="C14" i="18" s="1"/>
  <c r="B12" i="18"/>
  <c r="B11" i="18"/>
  <c r="B10" i="18"/>
  <c r="B9" i="18"/>
  <c r="C10" i="18" s="1"/>
  <c r="B8" i="18"/>
  <c r="C9" i="18" s="1"/>
  <c r="B7" i="18"/>
  <c r="B6" i="18"/>
  <c r="C7" i="18" s="1"/>
  <c r="K2" i="18"/>
  <c r="B141" i="17"/>
  <c r="B140" i="17"/>
  <c r="B139" i="17"/>
  <c r="B138" i="17"/>
  <c r="C139" i="17" s="1"/>
  <c r="B137" i="17"/>
  <c r="B136" i="17"/>
  <c r="B135" i="17"/>
  <c r="C134" i="17"/>
  <c r="B134" i="17"/>
  <c r="B133" i="17"/>
  <c r="B132" i="17"/>
  <c r="C133" i="17" s="1"/>
  <c r="B131" i="17"/>
  <c r="B130" i="17"/>
  <c r="B129" i="17"/>
  <c r="B128" i="17"/>
  <c r="C129" i="17" s="1"/>
  <c r="B127" i="17"/>
  <c r="B126" i="17"/>
  <c r="B125" i="17"/>
  <c r="C126" i="17" s="1"/>
  <c r="B124" i="17"/>
  <c r="B123" i="17"/>
  <c r="C123" i="17" s="1"/>
  <c r="C122" i="17"/>
  <c r="B122" i="17"/>
  <c r="B121" i="17"/>
  <c r="B120" i="17"/>
  <c r="B119" i="17"/>
  <c r="B118" i="17"/>
  <c r="B117" i="17"/>
  <c r="C118" i="17" s="1"/>
  <c r="B116" i="17"/>
  <c r="C117" i="17" s="1"/>
  <c r="B115" i="17"/>
  <c r="B114" i="17"/>
  <c r="B113" i="17"/>
  <c r="C114" i="17" s="1"/>
  <c r="B112" i="17"/>
  <c r="B111" i="17"/>
  <c r="B110" i="17"/>
  <c r="B109" i="17"/>
  <c r="B108" i="17"/>
  <c r="B107" i="17"/>
  <c r="B106" i="17"/>
  <c r="C107" i="17" s="1"/>
  <c r="B105" i="17"/>
  <c r="B104" i="17"/>
  <c r="C105" i="17" s="1"/>
  <c r="B103" i="17"/>
  <c r="C102" i="17"/>
  <c r="B102" i="17"/>
  <c r="B101" i="17"/>
  <c r="B100" i="17"/>
  <c r="C101" i="17" s="1"/>
  <c r="B99" i="17"/>
  <c r="B98" i="17"/>
  <c r="B97" i="17"/>
  <c r="C98" i="17" s="1"/>
  <c r="B96" i="17"/>
  <c r="B95" i="17"/>
  <c r="B94" i="17"/>
  <c r="B93" i="17"/>
  <c r="B92" i="17"/>
  <c r="B91" i="17"/>
  <c r="B90" i="17"/>
  <c r="B89" i="17"/>
  <c r="B88" i="17"/>
  <c r="B87" i="17"/>
  <c r="C88" i="17" s="1"/>
  <c r="B86" i="17"/>
  <c r="B85" i="17"/>
  <c r="B84" i="17"/>
  <c r="B83" i="17"/>
  <c r="C84" i="17" s="1"/>
  <c r="B82" i="17"/>
  <c r="B81" i="17"/>
  <c r="C82" i="17" s="1"/>
  <c r="B80" i="17"/>
  <c r="B79" i="17"/>
  <c r="B78" i="17"/>
  <c r="B77" i="17"/>
  <c r="B76" i="17"/>
  <c r="B75" i="17"/>
  <c r="B74" i="17"/>
  <c r="B73" i="17"/>
  <c r="C74" i="17" s="1"/>
  <c r="B72" i="17"/>
  <c r="B71" i="17"/>
  <c r="B70" i="17"/>
  <c r="B69" i="17"/>
  <c r="B68" i="17"/>
  <c r="C69" i="17" s="1"/>
  <c r="B67" i="17"/>
  <c r="B66" i="17"/>
  <c r="B65" i="17"/>
  <c r="C66" i="17" s="1"/>
  <c r="B64" i="17"/>
  <c r="B63" i="17"/>
  <c r="B62" i="17"/>
  <c r="B61" i="17"/>
  <c r="C62" i="17" s="1"/>
  <c r="B60" i="17"/>
  <c r="B59" i="17"/>
  <c r="B58" i="17"/>
  <c r="B57" i="17"/>
  <c r="B56" i="17"/>
  <c r="B55" i="17"/>
  <c r="B54" i="17"/>
  <c r="B53" i="17"/>
  <c r="C54" i="17" s="1"/>
  <c r="B52" i="17"/>
  <c r="B51" i="17"/>
  <c r="B50" i="17"/>
  <c r="B49" i="17"/>
  <c r="B48" i="17"/>
  <c r="B47" i="17"/>
  <c r="B46" i="17"/>
  <c r="B45" i="17"/>
  <c r="C46" i="17" s="1"/>
  <c r="B44" i="17"/>
  <c r="C43" i="17"/>
  <c r="B43" i="17"/>
  <c r="B42" i="17"/>
  <c r="B41" i="17"/>
  <c r="B40" i="17"/>
  <c r="B39" i="17"/>
  <c r="C40" i="17" s="1"/>
  <c r="B38" i="17"/>
  <c r="B37" i="17"/>
  <c r="B36" i="17"/>
  <c r="B35" i="17"/>
  <c r="C34" i="17"/>
  <c r="B34" i="17"/>
  <c r="B33" i="17"/>
  <c r="B32" i="17"/>
  <c r="B31" i="17"/>
  <c r="B30" i="17"/>
  <c r="B29" i="17"/>
  <c r="C30" i="17" s="1"/>
  <c r="B28" i="17"/>
  <c r="B27" i="17"/>
  <c r="B26" i="17"/>
  <c r="B25" i="17"/>
  <c r="C26" i="17" s="1"/>
  <c r="B24" i="17"/>
  <c r="B23" i="17"/>
  <c r="B22" i="17"/>
  <c r="C22" i="17" s="1"/>
  <c r="B21" i="17"/>
  <c r="B20" i="17"/>
  <c r="B19" i="17"/>
  <c r="B18" i="17"/>
  <c r="B17" i="17"/>
  <c r="C18" i="17" s="1"/>
  <c r="B16" i="17"/>
  <c r="C17" i="17" s="1"/>
  <c r="B15" i="17"/>
  <c r="B14" i="17"/>
  <c r="B13" i="17"/>
  <c r="B12" i="17"/>
  <c r="B11" i="17"/>
  <c r="B10" i="17"/>
  <c r="C11" i="17" s="1"/>
  <c r="B9" i="17"/>
  <c r="C10" i="17" s="1"/>
  <c r="B8" i="17"/>
  <c r="B7" i="17"/>
  <c r="B6" i="17"/>
  <c r="K2" i="17"/>
  <c r="B187" i="16"/>
  <c r="B186" i="16"/>
  <c r="B185" i="16"/>
  <c r="B184" i="16"/>
  <c r="B183" i="16"/>
  <c r="C184" i="16" s="1"/>
  <c r="B182" i="16"/>
  <c r="B181" i="16"/>
  <c r="B180" i="16"/>
  <c r="B179" i="16"/>
  <c r="C180" i="16" s="1"/>
  <c r="B178" i="16"/>
  <c r="B177" i="16"/>
  <c r="B176" i="16"/>
  <c r="C176" i="16" s="1"/>
  <c r="B175" i="16"/>
  <c r="B174" i="16"/>
  <c r="B173" i="16"/>
  <c r="B172" i="16"/>
  <c r="B171" i="16"/>
  <c r="B170" i="16"/>
  <c r="C171" i="16" s="1"/>
  <c r="B169" i="16"/>
  <c r="B168" i="16"/>
  <c r="B167" i="16"/>
  <c r="B166" i="16"/>
  <c r="B165" i="16"/>
  <c r="C166" i="16" s="1"/>
  <c r="B164" i="16"/>
  <c r="B163" i="16"/>
  <c r="B162" i="16"/>
  <c r="C163" i="16" s="1"/>
  <c r="B161" i="16"/>
  <c r="C161" i="16" s="1"/>
  <c r="B160" i="16"/>
  <c r="B159" i="16"/>
  <c r="B158" i="16"/>
  <c r="C159" i="16" s="1"/>
  <c r="B157" i="16"/>
  <c r="B156" i="16"/>
  <c r="B155" i="16"/>
  <c r="C156" i="16" s="1"/>
  <c r="B154" i="16"/>
  <c r="B153" i="16"/>
  <c r="C154" i="16" s="1"/>
  <c r="B152" i="16"/>
  <c r="B151" i="16"/>
  <c r="B150" i="16"/>
  <c r="B149" i="16"/>
  <c r="C150" i="16" s="1"/>
  <c r="B148" i="16"/>
  <c r="B147" i="16"/>
  <c r="B146" i="16"/>
  <c r="C145" i="16"/>
  <c r="B145" i="16"/>
  <c r="B144" i="16"/>
  <c r="B143" i="16"/>
  <c r="B142" i="16"/>
  <c r="C143" i="16" s="1"/>
  <c r="B141" i="16"/>
  <c r="B140" i="16"/>
  <c r="B139" i="16"/>
  <c r="C140" i="16" s="1"/>
  <c r="B138" i="16"/>
  <c r="B137" i="16"/>
  <c r="B136" i="16"/>
  <c r="B135" i="16"/>
  <c r="B134" i="16"/>
  <c r="B133" i="16"/>
  <c r="B132" i="16"/>
  <c r="B131" i="16"/>
  <c r="B130" i="16"/>
  <c r="B129" i="16"/>
  <c r="B128" i="16"/>
  <c r="C129" i="16" s="1"/>
  <c r="B127" i="16"/>
  <c r="B126" i="16"/>
  <c r="B125" i="16"/>
  <c r="B124" i="16"/>
  <c r="B123" i="16"/>
  <c r="B122" i="16"/>
  <c r="B121" i="16"/>
  <c r="C122" i="16" s="1"/>
  <c r="B120" i="16"/>
  <c r="B119" i="16"/>
  <c r="B118" i="16"/>
  <c r="B117" i="16"/>
  <c r="C118" i="16" s="1"/>
  <c r="B116" i="16"/>
  <c r="B115" i="16"/>
  <c r="B114" i="16"/>
  <c r="B113" i="16"/>
  <c r="B112" i="16"/>
  <c r="C113" i="16" s="1"/>
  <c r="B111" i="16"/>
  <c r="B110" i="16"/>
  <c r="C111" i="16" s="1"/>
  <c r="B109" i="16"/>
  <c r="B108" i="16"/>
  <c r="B107" i="16"/>
  <c r="B106" i="16"/>
  <c r="B105" i="16"/>
  <c r="B104" i="16"/>
  <c r="B103" i="16"/>
  <c r="B102" i="16"/>
  <c r="B101" i="16"/>
  <c r="B100" i="16"/>
  <c r="B99" i="16"/>
  <c r="B98" i="16"/>
  <c r="B97" i="16"/>
  <c r="B96" i="16"/>
  <c r="C97" i="16" s="1"/>
  <c r="B95" i="16"/>
  <c r="B94" i="16"/>
  <c r="B93" i="16"/>
  <c r="B92" i="16"/>
  <c r="C92" i="16" s="1"/>
  <c r="B91" i="16"/>
  <c r="B90" i="16"/>
  <c r="B89" i="16"/>
  <c r="C90" i="16" s="1"/>
  <c r="B88" i="16"/>
  <c r="B87" i="16"/>
  <c r="B86" i="16"/>
  <c r="B85" i="16"/>
  <c r="C86" i="16" s="1"/>
  <c r="B84" i="16"/>
  <c r="B83" i="16"/>
  <c r="B82" i="16"/>
  <c r="B81" i="16"/>
  <c r="B80" i="16"/>
  <c r="C81" i="16" s="1"/>
  <c r="B79" i="16"/>
  <c r="B78" i="16"/>
  <c r="C79" i="16" s="1"/>
  <c r="B77" i="16"/>
  <c r="B76" i="16"/>
  <c r="B75" i="16"/>
  <c r="B74" i="16"/>
  <c r="B73" i="16"/>
  <c r="B72" i="16"/>
  <c r="B71" i="16"/>
  <c r="B70" i="16"/>
  <c r="B69" i="16"/>
  <c r="B68" i="16"/>
  <c r="B67" i="16"/>
  <c r="B66" i="16"/>
  <c r="B65" i="16"/>
  <c r="B64" i="16"/>
  <c r="B63" i="16"/>
  <c r="C64" i="16" s="1"/>
  <c r="B62" i="16"/>
  <c r="C63" i="16" s="1"/>
  <c r="B61" i="16"/>
  <c r="B60" i="16"/>
  <c r="B59" i="16"/>
  <c r="C60" i="16" s="1"/>
  <c r="B58" i="16"/>
  <c r="B57" i="16"/>
  <c r="B56" i="16"/>
  <c r="B55" i="16"/>
  <c r="B54" i="16"/>
  <c r="B53" i="16"/>
  <c r="B52" i="16"/>
  <c r="B51" i="16"/>
  <c r="B50" i="16"/>
  <c r="B49" i="16"/>
  <c r="B48" i="16"/>
  <c r="C49" i="16" s="1"/>
  <c r="B47" i="16"/>
  <c r="B46" i="16"/>
  <c r="C47" i="16" s="1"/>
  <c r="B45" i="16"/>
  <c r="B44" i="16"/>
  <c r="B43" i="16"/>
  <c r="C44" i="16" s="1"/>
  <c r="B42" i="16"/>
  <c r="B41" i="16"/>
  <c r="B40" i="16"/>
  <c r="B39" i="16"/>
  <c r="B38" i="16"/>
  <c r="B37" i="16"/>
  <c r="B36" i="16"/>
  <c r="B35" i="16"/>
  <c r="B34" i="16"/>
  <c r="B33" i="16"/>
  <c r="B32" i="16"/>
  <c r="C33" i="16" s="1"/>
  <c r="B31" i="16"/>
  <c r="B30" i="16"/>
  <c r="B29" i="16"/>
  <c r="B28" i="16"/>
  <c r="B27" i="16"/>
  <c r="C28" i="16" s="1"/>
  <c r="B26" i="16"/>
  <c r="B25" i="16"/>
  <c r="C26" i="16" s="1"/>
  <c r="B24" i="16"/>
  <c r="B23" i="16"/>
  <c r="B22" i="16"/>
  <c r="B21" i="16"/>
  <c r="B20" i="16"/>
  <c r="B19" i="16"/>
  <c r="C20" i="16" s="1"/>
  <c r="B18" i="16"/>
  <c r="B17" i="16"/>
  <c r="B16" i="16"/>
  <c r="C17" i="16" s="1"/>
  <c r="B15" i="16"/>
  <c r="B14" i="16"/>
  <c r="B13" i="16"/>
  <c r="C12" i="16"/>
  <c r="B12" i="16"/>
  <c r="B11" i="16"/>
  <c r="B10" i="16"/>
  <c r="B9" i="16"/>
  <c r="B8" i="16"/>
  <c r="B7" i="16"/>
  <c r="B6" i="16"/>
  <c r="K2" i="16"/>
  <c r="B187" i="15"/>
  <c r="B186" i="15"/>
  <c r="C187" i="15" s="1"/>
  <c r="B185" i="15"/>
  <c r="B184" i="15"/>
  <c r="B183" i="15"/>
  <c r="B182" i="15"/>
  <c r="B181" i="15"/>
  <c r="B180" i="15"/>
  <c r="B179" i="15"/>
  <c r="C180" i="15" s="1"/>
  <c r="B178" i="15"/>
  <c r="B177" i="15"/>
  <c r="B176" i="15"/>
  <c r="B175" i="15"/>
  <c r="B174" i="15"/>
  <c r="C175" i="15" s="1"/>
  <c r="B173" i="15"/>
  <c r="C174" i="15" s="1"/>
  <c r="B172" i="15"/>
  <c r="B171" i="15"/>
  <c r="B170" i="15"/>
  <c r="B169" i="15"/>
  <c r="B168" i="15"/>
  <c r="B167" i="15"/>
  <c r="B166" i="15"/>
  <c r="C167" i="15" s="1"/>
  <c r="B165" i="15"/>
  <c r="B164" i="15"/>
  <c r="C163" i="15"/>
  <c r="B163" i="15"/>
  <c r="C164" i="15" s="1"/>
  <c r="B162" i="15"/>
  <c r="B161" i="15"/>
  <c r="B160" i="15"/>
  <c r="B159" i="15"/>
  <c r="B158" i="15"/>
  <c r="C159" i="15" s="1"/>
  <c r="B157" i="15"/>
  <c r="B156" i="15"/>
  <c r="B155" i="15"/>
  <c r="C154" i="15"/>
  <c r="B154" i="15"/>
  <c r="B153" i="15"/>
  <c r="B152" i="15"/>
  <c r="B151" i="15"/>
  <c r="B150" i="15"/>
  <c r="B149" i="15"/>
  <c r="B148" i="15"/>
  <c r="C147" i="15"/>
  <c r="B147" i="15"/>
  <c r="B146" i="15"/>
  <c r="B145" i="15"/>
  <c r="C146" i="15" s="1"/>
  <c r="B144" i="15"/>
  <c r="B143" i="15"/>
  <c r="C142" i="15"/>
  <c r="B142" i="15"/>
  <c r="B141" i="15"/>
  <c r="B140" i="15"/>
  <c r="B139" i="15"/>
  <c r="C140" i="15" s="1"/>
  <c r="B138" i="15"/>
  <c r="B137" i="15"/>
  <c r="B136" i="15"/>
  <c r="C135" i="15"/>
  <c r="B135" i="15"/>
  <c r="B134" i="15"/>
  <c r="B133" i="15"/>
  <c r="B132" i="15"/>
  <c r="B131" i="15"/>
  <c r="C132" i="15" s="1"/>
  <c r="B130" i="15"/>
  <c r="B129" i="15"/>
  <c r="B128" i="15"/>
  <c r="B127" i="15"/>
  <c r="B126" i="15"/>
  <c r="B125" i="15"/>
  <c r="B124" i="15"/>
  <c r="B123" i="15"/>
  <c r="C124" i="15" s="1"/>
  <c r="C122" i="15"/>
  <c r="B122" i="15"/>
  <c r="B121" i="15"/>
  <c r="B120" i="15"/>
  <c r="B119" i="15"/>
  <c r="B118" i="15"/>
  <c r="C119" i="15" s="1"/>
  <c r="B117" i="15"/>
  <c r="C118" i="15" s="1"/>
  <c r="B116" i="15"/>
  <c r="B115" i="15"/>
  <c r="B114" i="15"/>
  <c r="B113" i="15"/>
  <c r="C114" i="15" s="1"/>
  <c r="B112" i="15"/>
  <c r="B111" i="15"/>
  <c r="B110" i="15"/>
  <c r="C111" i="15" s="1"/>
  <c r="B109" i="15"/>
  <c r="C110" i="15" s="1"/>
  <c r="B108" i="15"/>
  <c r="B107" i="15"/>
  <c r="B106" i="15"/>
  <c r="B105" i="15"/>
  <c r="B104" i="15"/>
  <c r="B103" i="15"/>
  <c r="B102" i="15"/>
  <c r="C103" i="15" s="1"/>
  <c r="B101" i="15"/>
  <c r="B100" i="15"/>
  <c r="B99" i="15"/>
  <c r="B98" i="15"/>
  <c r="B97" i="15"/>
  <c r="B96" i="15"/>
  <c r="B95" i="15"/>
  <c r="B94" i="15"/>
  <c r="B93" i="15"/>
  <c r="C94" i="15" s="1"/>
  <c r="B92" i="15"/>
  <c r="B91" i="15"/>
  <c r="B90" i="15"/>
  <c r="B89" i="15"/>
  <c r="C90" i="15" s="1"/>
  <c r="B88" i="15"/>
  <c r="B87" i="15"/>
  <c r="B86" i="15"/>
  <c r="C87" i="15" s="1"/>
  <c r="B85" i="15"/>
  <c r="B84" i="15"/>
  <c r="B83" i="15"/>
  <c r="B82" i="15"/>
  <c r="B81" i="15"/>
  <c r="B80" i="15"/>
  <c r="B79" i="15"/>
  <c r="B78" i="15"/>
  <c r="B77" i="15"/>
  <c r="B76" i="15"/>
  <c r="B75" i="15"/>
  <c r="B74" i="15"/>
  <c r="C75" i="15" s="1"/>
  <c r="B73" i="15"/>
  <c r="C74" i="15" s="1"/>
  <c r="B72" i="15"/>
  <c r="B71" i="15"/>
  <c r="B70" i="15"/>
  <c r="C71" i="15" s="1"/>
  <c r="B69" i="15"/>
  <c r="B68" i="15"/>
  <c r="B67" i="15"/>
  <c r="B66" i="15"/>
  <c r="C67" i="15" s="1"/>
  <c r="B65" i="15"/>
  <c r="C66" i="15" s="1"/>
  <c r="B64" i="15"/>
  <c r="B63" i="15"/>
  <c r="C63" i="15" s="1"/>
  <c r="B62" i="15"/>
  <c r="B61" i="15"/>
  <c r="C62" i="15" s="1"/>
  <c r="B60" i="15"/>
  <c r="B59" i="15"/>
  <c r="B58" i="15"/>
  <c r="B57" i="15"/>
  <c r="B56" i="15"/>
  <c r="B55" i="15"/>
  <c r="B54" i="15"/>
  <c r="C55" i="15" s="1"/>
  <c r="B53" i="15"/>
  <c r="B52" i="15"/>
  <c r="C53" i="15" s="1"/>
  <c r="B51" i="15"/>
  <c r="B50" i="15"/>
  <c r="B49" i="15"/>
  <c r="B48" i="15"/>
  <c r="B47" i="15"/>
  <c r="B46" i="15"/>
  <c r="B45" i="15"/>
  <c r="B44" i="15"/>
  <c r="B43" i="15"/>
  <c r="B42" i="15"/>
  <c r="B41" i="15"/>
  <c r="B40" i="15"/>
  <c r="B39" i="15"/>
  <c r="B38" i="15"/>
  <c r="C39" i="15" s="1"/>
  <c r="B37" i="15"/>
  <c r="C38" i="15" s="1"/>
  <c r="B36" i="15"/>
  <c r="B35" i="15"/>
  <c r="B34" i="15"/>
  <c r="B33" i="15"/>
  <c r="B32" i="15"/>
  <c r="B31" i="15"/>
  <c r="B30" i="15"/>
  <c r="B29" i="15"/>
  <c r="B28" i="15"/>
  <c r="B27" i="15"/>
  <c r="B26" i="15"/>
  <c r="B25" i="15"/>
  <c r="B24" i="15"/>
  <c r="B23" i="15"/>
  <c r="B22" i="15"/>
  <c r="C23" i="15" s="1"/>
  <c r="B21" i="15"/>
  <c r="B20" i="15"/>
  <c r="B19" i="15"/>
  <c r="C19" i="15" s="1"/>
  <c r="B18" i="15"/>
  <c r="B17" i="15"/>
  <c r="B16" i="15"/>
  <c r="B15" i="15"/>
  <c r="C16" i="15" s="1"/>
  <c r="B14" i="15"/>
  <c r="B13" i="15"/>
  <c r="B12" i="15"/>
  <c r="B11" i="15"/>
  <c r="B10" i="15"/>
  <c r="B9" i="15"/>
  <c r="B8" i="15"/>
  <c r="B7" i="15"/>
  <c r="B6" i="15"/>
  <c r="K2" i="15"/>
  <c r="D211" i="14"/>
  <c r="B211" i="14"/>
  <c r="D210" i="14"/>
  <c r="B210" i="14"/>
  <c r="D209" i="14"/>
  <c r="B209" i="14"/>
  <c r="D208" i="14"/>
  <c r="B208" i="14"/>
  <c r="D207" i="14"/>
  <c r="B207" i="14"/>
  <c r="D206" i="14"/>
  <c r="B206" i="14"/>
  <c r="D205" i="14"/>
  <c r="B205" i="14"/>
  <c r="C206" i="14" s="1"/>
  <c r="D204" i="14"/>
  <c r="B204" i="14"/>
  <c r="C204" i="14" s="1"/>
  <c r="D203" i="14"/>
  <c r="B203" i="14"/>
  <c r="D202" i="14"/>
  <c r="B202" i="14"/>
  <c r="D201" i="14"/>
  <c r="B201" i="14"/>
  <c r="D200" i="14"/>
  <c r="B200" i="14"/>
  <c r="D199" i="14"/>
  <c r="B199" i="14"/>
  <c r="D198" i="14"/>
  <c r="B198" i="14"/>
  <c r="C198" i="14" s="1"/>
  <c r="D197" i="14"/>
  <c r="F197" i="14" s="1"/>
  <c r="B197" i="14"/>
  <c r="D196" i="14"/>
  <c r="F208" i="14" s="1"/>
  <c r="B196" i="14"/>
  <c r="D195" i="14"/>
  <c r="B195" i="14"/>
  <c r="D194" i="14"/>
  <c r="F206" i="14" s="1"/>
  <c r="B194" i="14"/>
  <c r="D193" i="14"/>
  <c r="F205" i="14" s="1"/>
  <c r="B193" i="14"/>
  <c r="E205" i="14" s="1"/>
  <c r="D192" i="14"/>
  <c r="B192" i="14"/>
  <c r="F191" i="14"/>
  <c r="D191" i="14"/>
  <c r="F203" i="14" s="1"/>
  <c r="B191" i="14"/>
  <c r="E203" i="14" s="1"/>
  <c r="D190" i="14"/>
  <c r="F202" i="14" s="1"/>
  <c r="B190" i="14"/>
  <c r="D189" i="14"/>
  <c r="B189" i="14"/>
  <c r="D188" i="14"/>
  <c r="B188" i="14"/>
  <c r="C189" i="14" s="1"/>
  <c r="D187" i="14"/>
  <c r="F199" i="14" s="1"/>
  <c r="B187" i="14"/>
  <c r="E199" i="14" s="1"/>
  <c r="E186" i="14"/>
  <c r="D186" i="14"/>
  <c r="F198" i="14" s="1"/>
  <c r="B186" i="14"/>
  <c r="D185" i="14"/>
  <c r="B185" i="14"/>
  <c r="D184" i="14"/>
  <c r="B184" i="14"/>
  <c r="D183" i="14"/>
  <c r="B183" i="14"/>
  <c r="E195" i="14" s="1"/>
  <c r="D182" i="14"/>
  <c r="B182" i="14"/>
  <c r="D181" i="14"/>
  <c r="B181" i="14"/>
  <c r="D180" i="14"/>
  <c r="B180" i="14"/>
  <c r="C181" i="14" s="1"/>
  <c r="D179" i="14"/>
  <c r="B179" i="14"/>
  <c r="E179" i="14" s="1"/>
  <c r="D178" i="14"/>
  <c r="F190" i="14" s="1"/>
  <c r="B178" i="14"/>
  <c r="D177" i="14"/>
  <c r="B177" i="14"/>
  <c r="D176" i="14"/>
  <c r="F188" i="14" s="1"/>
  <c r="B176" i="14"/>
  <c r="D175" i="14"/>
  <c r="B175" i="14"/>
  <c r="D174" i="14"/>
  <c r="B174" i="14"/>
  <c r="D173" i="14"/>
  <c r="F185" i="14" s="1"/>
  <c r="B173" i="14"/>
  <c r="C174" i="14" s="1"/>
  <c r="D172" i="14"/>
  <c r="B172" i="14"/>
  <c r="D171" i="14"/>
  <c r="B171" i="14"/>
  <c r="D170" i="14"/>
  <c r="B170" i="14"/>
  <c r="D169" i="14"/>
  <c r="F181" i="14" s="1"/>
  <c r="B169" i="14"/>
  <c r="E181" i="14" s="1"/>
  <c r="D168" i="14"/>
  <c r="B168" i="14"/>
  <c r="E167" i="14"/>
  <c r="D167" i="14"/>
  <c r="B167" i="14"/>
  <c r="D166" i="14"/>
  <c r="B166" i="14"/>
  <c r="D165" i="14"/>
  <c r="B165" i="14"/>
  <c r="D164" i="14"/>
  <c r="B164" i="14"/>
  <c r="D163" i="14"/>
  <c r="B163" i="14"/>
  <c r="D162" i="14"/>
  <c r="B162" i="14"/>
  <c r="D161" i="14"/>
  <c r="B161" i="14"/>
  <c r="E173" i="14" s="1"/>
  <c r="D160" i="14"/>
  <c r="B160" i="14"/>
  <c r="D159" i="14"/>
  <c r="B159" i="14"/>
  <c r="E171" i="14" s="1"/>
  <c r="D158" i="14"/>
  <c r="F170" i="14" s="1"/>
  <c r="B158" i="14"/>
  <c r="D157" i="14"/>
  <c r="B157" i="14"/>
  <c r="D156" i="14"/>
  <c r="B156" i="14"/>
  <c r="E156" i="14" s="1"/>
  <c r="D155" i="14"/>
  <c r="B155" i="14"/>
  <c r="C155" i="14" s="1"/>
  <c r="D154" i="14"/>
  <c r="B154" i="14"/>
  <c r="D153" i="14"/>
  <c r="B153" i="14"/>
  <c r="F152" i="14"/>
  <c r="D152" i="14"/>
  <c r="B152" i="14"/>
  <c r="D151" i="14"/>
  <c r="B151" i="14"/>
  <c r="D150" i="14"/>
  <c r="B150" i="14"/>
  <c r="C151" i="14" s="1"/>
  <c r="D149" i="14"/>
  <c r="B149" i="14"/>
  <c r="D148" i="14"/>
  <c r="B148" i="14"/>
  <c r="D147" i="14"/>
  <c r="F159" i="14" s="1"/>
  <c r="B147" i="14"/>
  <c r="D146" i="14"/>
  <c r="B146" i="14"/>
  <c r="D145" i="14"/>
  <c r="B145" i="14"/>
  <c r="E145" i="14" s="1"/>
  <c r="D144" i="14"/>
  <c r="B144" i="14"/>
  <c r="D143" i="14"/>
  <c r="B143" i="14"/>
  <c r="D142" i="14"/>
  <c r="F154" i="14" s="1"/>
  <c r="B142" i="14"/>
  <c r="E141" i="14"/>
  <c r="D141" i="14"/>
  <c r="B141" i="14"/>
  <c r="D140" i="14"/>
  <c r="B140" i="14"/>
  <c r="D139" i="14"/>
  <c r="B139" i="14"/>
  <c r="E151" i="14" s="1"/>
  <c r="D138" i="14"/>
  <c r="B138" i="14"/>
  <c r="D137" i="14"/>
  <c r="B137" i="14"/>
  <c r="D136" i="14"/>
  <c r="F148" i="14" s="1"/>
  <c r="B136" i="14"/>
  <c r="D135" i="14"/>
  <c r="B135" i="14"/>
  <c r="D134" i="14"/>
  <c r="F134" i="14" s="1"/>
  <c r="B134" i="14"/>
  <c r="F133" i="14"/>
  <c r="D133" i="14"/>
  <c r="B133" i="14"/>
  <c r="C134" i="14" s="1"/>
  <c r="D132" i="14"/>
  <c r="B132" i="14"/>
  <c r="D131" i="14"/>
  <c r="B131" i="14"/>
  <c r="D130" i="14"/>
  <c r="B130" i="14"/>
  <c r="D129" i="14"/>
  <c r="F141" i="14" s="1"/>
  <c r="B129" i="14"/>
  <c r="D128" i="14"/>
  <c r="B128" i="14"/>
  <c r="D127" i="14"/>
  <c r="B127" i="14"/>
  <c r="E139" i="14" s="1"/>
  <c r="D126" i="14"/>
  <c r="B126" i="14"/>
  <c r="D125" i="14"/>
  <c r="B125" i="14"/>
  <c r="D124" i="14"/>
  <c r="F124" i="14" s="1"/>
  <c r="B124" i="14"/>
  <c r="C125" i="14" s="1"/>
  <c r="D123" i="14"/>
  <c r="B123" i="14"/>
  <c r="E135" i="14" s="1"/>
  <c r="D122" i="14"/>
  <c r="B122" i="14"/>
  <c r="D121" i="14"/>
  <c r="B121" i="14"/>
  <c r="D120" i="14"/>
  <c r="B120" i="14"/>
  <c r="E119" i="14"/>
  <c r="D119" i="14"/>
  <c r="B119" i="14"/>
  <c r="D118" i="14"/>
  <c r="F130" i="14" s="1"/>
  <c r="B118" i="14"/>
  <c r="E117" i="14"/>
  <c r="D117" i="14"/>
  <c r="C117" i="14"/>
  <c r="B117" i="14"/>
  <c r="E129" i="14" s="1"/>
  <c r="D116" i="14"/>
  <c r="B116" i="14"/>
  <c r="D115" i="14"/>
  <c r="B115" i="14"/>
  <c r="C115" i="14" s="1"/>
  <c r="D114" i="14"/>
  <c r="B114" i="14"/>
  <c r="D113" i="14"/>
  <c r="B113" i="14"/>
  <c r="D112" i="14"/>
  <c r="B112" i="14"/>
  <c r="D111" i="14"/>
  <c r="B111" i="14"/>
  <c r="D110" i="14"/>
  <c r="F122" i="14" s="1"/>
  <c r="B110" i="14"/>
  <c r="E109" i="14"/>
  <c r="D109" i="14"/>
  <c r="F121" i="14" s="1"/>
  <c r="B109" i="14"/>
  <c r="D108" i="14"/>
  <c r="B108" i="14"/>
  <c r="D107" i="14"/>
  <c r="B107" i="14"/>
  <c r="C108" i="14" s="1"/>
  <c r="D106" i="14"/>
  <c r="F118" i="14" s="1"/>
  <c r="B106" i="14"/>
  <c r="D105" i="14"/>
  <c r="B105" i="14"/>
  <c r="D104" i="14"/>
  <c r="F116" i="14" s="1"/>
  <c r="B104" i="14"/>
  <c r="D103" i="14"/>
  <c r="B103" i="14"/>
  <c r="E115" i="14" s="1"/>
  <c r="D102" i="14"/>
  <c r="B102" i="14"/>
  <c r="D101" i="14"/>
  <c r="B101" i="14"/>
  <c r="D100" i="14"/>
  <c r="F112" i="14" s="1"/>
  <c r="B100" i="14"/>
  <c r="D99" i="14"/>
  <c r="B99" i="14"/>
  <c r="E111" i="14" s="1"/>
  <c r="D98" i="14"/>
  <c r="B98" i="14"/>
  <c r="D97" i="14"/>
  <c r="B97" i="14"/>
  <c r="D96" i="14"/>
  <c r="B96" i="14"/>
  <c r="D95" i="14"/>
  <c r="F107" i="14" s="1"/>
  <c r="B95" i="14"/>
  <c r="D94" i="14"/>
  <c r="B94" i="14"/>
  <c r="D93" i="14"/>
  <c r="B93" i="14"/>
  <c r="E105" i="14" s="1"/>
  <c r="D92" i="14"/>
  <c r="B92" i="14"/>
  <c r="D91" i="14"/>
  <c r="B91" i="14"/>
  <c r="D90" i="14"/>
  <c r="B90" i="14"/>
  <c r="C91" i="14" s="1"/>
  <c r="D89" i="14"/>
  <c r="F101" i="14" s="1"/>
  <c r="B89" i="14"/>
  <c r="D88" i="14"/>
  <c r="F100" i="14" s="1"/>
  <c r="B88" i="14"/>
  <c r="D87" i="14"/>
  <c r="B87" i="14"/>
  <c r="D86" i="14"/>
  <c r="B86" i="14"/>
  <c r="C87" i="14" s="1"/>
  <c r="D85" i="14"/>
  <c r="F97" i="14" s="1"/>
  <c r="B85" i="14"/>
  <c r="E97" i="14" s="1"/>
  <c r="D84" i="14"/>
  <c r="B84" i="14"/>
  <c r="D83" i="14"/>
  <c r="B83" i="14"/>
  <c r="D82" i="14"/>
  <c r="B82" i="14"/>
  <c r="D81" i="14"/>
  <c r="B81" i="14"/>
  <c r="D80" i="14"/>
  <c r="B80" i="14"/>
  <c r="D79" i="14"/>
  <c r="B79" i="14"/>
  <c r="D78" i="14"/>
  <c r="F90" i="14" s="1"/>
  <c r="B78" i="14"/>
  <c r="E90" i="14" s="1"/>
  <c r="D77" i="14"/>
  <c r="B77" i="14"/>
  <c r="D76" i="14"/>
  <c r="B76" i="14"/>
  <c r="D75" i="14"/>
  <c r="B75" i="14"/>
  <c r="E87" i="14" s="1"/>
  <c r="D74" i="14"/>
  <c r="B74" i="14"/>
  <c r="D73" i="14"/>
  <c r="B73" i="14"/>
  <c r="D72" i="14"/>
  <c r="F84" i="14" s="1"/>
  <c r="B72" i="14"/>
  <c r="D71" i="14"/>
  <c r="B71" i="14"/>
  <c r="D70" i="14"/>
  <c r="B70" i="14"/>
  <c r="D69" i="14"/>
  <c r="B69" i="14"/>
  <c r="C70" i="14" s="1"/>
  <c r="D68" i="14"/>
  <c r="B68" i="14"/>
  <c r="C68" i="14" s="1"/>
  <c r="D67" i="14"/>
  <c r="B67" i="14"/>
  <c r="E79" i="14" s="1"/>
  <c r="D66" i="14"/>
  <c r="B66" i="14"/>
  <c r="D65" i="14"/>
  <c r="F77" i="14" s="1"/>
  <c r="B65" i="14"/>
  <c r="E77" i="14" s="1"/>
  <c r="D64" i="14"/>
  <c r="F76" i="14" s="1"/>
  <c r="B64" i="14"/>
  <c r="D63" i="14"/>
  <c r="B63" i="14"/>
  <c r="D62" i="14"/>
  <c r="B62" i="14"/>
  <c r="D61" i="14"/>
  <c r="B61" i="14"/>
  <c r="D60" i="14"/>
  <c r="B60" i="14"/>
  <c r="D59" i="14"/>
  <c r="B59" i="14"/>
  <c r="E71" i="14" s="1"/>
  <c r="D58" i="14"/>
  <c r="F70" i="14" s="1"/>
  <c r="B58" i="14"/>
  <c r="D57" i="14"/>
  <c r="F69" i="14" s="1"/>
  <c r="B57" i="14"/>
  <c r="D56" i="14"/>
  <c r="B56" i="14"/>
  <c r="D55" i="14"/>
  <c r="B55" i="14"/>
  <c r="C56" i="14" s="1"/>
  <c r="D54" i="14"/>
  <c r="F66" i="14" s="1"/>
  <c r="B54" i="14"/>
  <c r="D53" i="14"/>
  <c r="B53" i="14"/>
  <c r="D52" i="14"/>
  <c r="B52" i="14"/>
  <c r="D51" i="14"/>
  <c r="B51" i="14"/>
  <c r="D50" i="14"/>
  <c r="F62" i="14" s="1"/>
  <c r="B50" i="14"/>
  <c r="D49" i="14"/>
  <c r="F61" i="14" s="1"/>
  <c r="B49" i="14"/>
  <c r="D48" i="14"/>
  <c r="B48" i="14"/>
  <c r="E60" i="14" s="1"/>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F45" i="14" s="1"/>
  <c r="B33" i="14"/>
  <c r="D32" i="14"/>
  <c r="F44" i="14" s="1"/>
  <c r="B32" i="14"/>
  <c r="D31" i="14"/>
  <c r="B31" i="14"/>
  <c r="E43" i="14" s="1"/>
  <c r="D30" i="14"/>
  <c r="F42" i="14" s="1"/>
  <c r="B30" i="14"/>
  <c r="D29" i="14"/>
  <c r="B29" i="14"/>
  <c r="D28" i="14"/>
  <c r="B28" i="14"/>
  <c r="D27" i="14"/>
  <c r="B27" i="14"/>
  <c r="D26" i="14"/>
  <c r="F26" i="14" s="1"/>
  <c r="B26" i="14"/>
  <c r="D25" i="14"/>
  <c r="F37" i="14" s="1"/>
  <c r="B25" i="14"/>
  <c r="D24" i="14"/>
  <c r="B24" i="14"/>
  <c r="D23" i="14"/>
  <c r="F35" i="14" s="1"/>
  <c r="B23" i="14"/>
  <c r="C24" i="14" s="1"/>
  <c r="D22" i="14"/>
  <c r="F34" i="14" s="1"/>
  <c r="B22" i="14"/>
  <c r="D21" i="14"/>
  <c r="B21" i="14"/>
  <c r="C22" i="14" s="1"/>
  <c r="D20" i="14"/>
  <c r="B20" i="14"/>
  <c r="C21" i="14" s="1"/>
  <c r="D19" i="14"/>
  <c r="F31" i="14" s="1"/>
  <c r="B19" i="14"/>
  <c r="D18" i="14"/>
  <c r="B18" i="14"/>
  <c r="D17" i="14"/>
  <c r="F29" i="14" s="1"/>
  <c r="B17" i="14"/>
  <c r="D16" i="14"/>
  <c r="B16" i="14"/>
  <c r="E28" i="14" s="1"/>
  <c r="D15" i="14"/>
  <c r="B15" i="14"/>
  <c r="D14" i="14"/>
  <c r="B14" i="14"/>
  <c r="D13" i="14"/>
  <c r="B13" i="14"/>
  <c r="D12" i="14"/>
  <c r="B12" i="14"/>
  <c r="D11" i="14"/>
  <c r="B11" i="14"/>
  <c r="D10" i="14"/>
  <c r="B10" i="14"/>
  <c r="D9" i="14"/>
  <c r="F21" i="14" s="1"/>
  <c r="B9" i="14"/>
  <c r="D8" i="14"/>
  <c r="F20" i="14" s="1"/>
  <c r="B8" i="14"/>
  <c r="D7" i="14"/>
  <c r="B7" i="14"/>
  <c r="D6" i="14"/>
  <c r="B6" i="14"/>
  <c r="K2" i="14"/>
  <c r="B167" i="13"/>
  <c r="B166" i="13"/>
  <c r="B165" i="13"/>
  <c r="B164" i="13"/>
  <c r="B163" i="13"/>
  <c r="B162" i="13"/>
  <c r="B161" i="13"/>
  <c r="B160" i="13"/>
  <c r="B159" i="13"/>
  <c r="C160" i="13" s="1"/>
  <c r="B158" i="13"/>
  <c r="C159" i="13" s="1"/>
  <c r="B157" i="13"/>
  <c r="B156" i="13"/>
  <c r="B155" i="13"/>
  <c r="B154" i="13"/>
  <c r="B153" i="13"/>
  <c r="B152" i="13"/>
  <c r="B151" i="13"/>
  <c r="C152" i="13" s="1"/>
  <c r="B150" i="13"/>
  <c r="B149" i="13"/>
  <c r="B148" i="13"/>
  <c r="B147" i="13"/>
  <c r="B146" i="13"/>
  <c r="B145" i="13"/>
  <c r="B144" i="13"/>
  <c r="B143" i="13"/>
  <c r="C144" i="13" s="1"/>
  <c r="B142" i="13"/>
  <c r="C143" i="13" s="1"/>
  <c r="B141" i="13"/>
  <c r="B140" i="13"/>
  <c r="B139" i="13"/>
  <c r="B138" i="13"/>
  <c r="B137" i="13"/>
  <c r="B136" i="13"/>
  <c r="B135" i="13"/>
  <c r="B134" i="13"/>
  <c r="C135" i="13" s="1"/>
  <c r="B133" i="13"/>
  <c r="B132" i="13"/>
  <c r="B131" i="13"/>
  <c r="B130" i="13"/>
  <c r="C131" i="13" s="1"/>
  <c r="B129" i="13"/>
  <c r="B128" i="13"/>
  <c r="B127" i="13"/>
  <c r="C128" i="13" s="1"/>
  <c r="B126" i="13"/>
  <c r="B125" i="13"/>
  <c r="B124" i="13"/>
  <c r="B123" i="13"/>
  <c r="B122" i="13"/>
  <c r="C123" i="13" s="1"/>
  <c r="B121" i="13"/>
  <c r="B120" i="13"/>
  <c r="C121" i="13" s="1"/>
  <c r="B119" i="13"/>
  <c r="C120" i="13" s="1"/>
  <c r="B118" i="13"/>
  <c r="B117" i="13"/>
  <c r="B116" i="13"/>
  <c r="B115" i="13"/>
  <c r="B114" i="13"/>
  <c r="C115" i="13" s="1"/>
  <c r="B113" i="13"/>
  <c r="B112" i="13"/>
  <c r="B111" i="13"/>
  <c r="C112" i="13" s="1"/>
  <c r="B110" i="13"/>
  <c r="B109" i="13"/>
  <c r="B108" i="13"/>
  <c r="B107" i="13"/>
  <c r="B106" i="13"/>
  <c r="C107" i="13" s="1"/>
  <c r="B105" i="13"/>
  <c r="B104" i="13"/>
  <c r="C105" i="13" s="1"/>
  <c r="B103" i="13"/>
  <c r="B102" i="13"/>
  <c r="C103" i="13" s="1"/>
  <c r="B101" i="13"/>
  <c r="B100" i="13"/>
  <c r="B99" i="13"/>
  <c r="C100" i="13" s="1"/>
  <c r="B98" i="13"/>
  <c r="B97" i="13"/>
  <c r="B96" i="13"/>
  <c r="B95" i="13"/>
  <c r="B94" i="13"/>
  <c r="B93" i="13"/>
  <c r="B92" i="13"/>
  <c r="B91" i="13"/>
  <c r="B90" i="13"/>
  <c r="B89" i="13"/>
  <c r="C90" i="13" s="1"/>
  <c r="B88" i="13"/>
  <c r="C89" i="13" s="1"/>
  <c r="B87" i="13"/>
  <c r="B86" i="13"/>
  <c r="B85" i="13"/>
  <c r="B84" i="13"/>
  <c r="B83" i="13"/>
  <c r="C84" i="13" s="1"/>
  <c r="B82" i="13"/>
  <c r="B81" i="13"/>
  <c r="C82" i="13" s="1"/>
  <c r="B80" i="13"/>
  <c r="B79" i="13"/>
  <c r="B78" i="13"/>
  <c r="C79" i="13" s="1"/>
  <c r="B77" i="13"/>
  <c r="B76" i="13"/>
  <c r="B75" i="13"/>
  <c r="C76" i="13" s="1"/>
  <c r="B74" i="13"/>
  <c r="B73" i="13"/>
  <c r="B72" i="13"/>
  <c r="B71" i="13"/>
  <c r="B70" i="13"/>
  <c r="C71" i="13" s="1"/>
  <c r="B69" i="13"/>
  <c r="B68" i="13"/>
  <c r="C67" i="13"/>
  <c r="B67" i="13"/>
  <c r="B66" i="13"/>
  <c r="B65" i="13"/>
  <c r="C66" i="13" s="1"/>
  <c r="B64" i="13"/>
  <c r="B63" i="13"/>
  <c r="C64" i="13" s="1"/>
  <c r="B62" i="13"/>
  <c r="B61" i="13"/>
  <c r="B60" i="13"/>
  <c r="C61" i="13" s="1"/>
  <c r="B59" i="13"/>
  <c r="B58" i="13"/>
  <c r="B57" i="13"/>
  <c r="C58" i="13" s="1"/>
  <c r="B56" i="13"/>
  <c r="C57" i="13" s="1"/>
  <c r="B55" i="13"/>
  <c r="C56" i="13" s="1"/>
  <c r="B54" i="13"/>
  <c r="B53" i="13"/>
  <c r="B52" i="13"/>
  <c r="B51" i="13"/>
  <c r="B50" i="13"/>
  <c r="B49" i="13"/>
  <c r="B48" i="13"/>
  <c r="B47" i="13"/>
  <c r="C48" i="13" s="1"/>
  <c r="B46" i="13"/>
  <c r="B45" i="13"/>
  <c r="B44" i="13"/>
  <c r="B43" i="13"/>
  <c r="B42" i="13"/>
  <c r="C43" i="13" s="1"/>
  <c r="B41" i="13"/>
  <c r="B40" i="13"/>
  <c r="C41" i="13" s="1"/>
  <c r="B39" i="13"/>
  <c r="B38" i="13"/>
  <c r="B37" i="13"/>
  <c r="C36" i="13"/>
  <c r="B36" i="13"/>
  <c r="B35" i="13"/>
  <c r="B34" i="13"/>
  <c r="C35" i="13" s="1"/>
  <c r="B33" i="13"/>
  <c r="B32" i="13"/>
  <c r="C33" i="13" s="1"/>
  <c r="B31" i="13"/>
  <c r="B30" i="13"/>
  <c r="B29" i="13"/>
  <c r="C30" i="13" s="1"/>
  <c r="B28" i="13"/>
  <c r="B27" i="13"/>
  <c r="C28" i="13" s="1"/>
  <c r="B26" i="13"/>
  <c r="B25" i="13"/>
  <c r="C26" i="13" s="1"/>
  <c r="B24" i="13"/>
  <c r="B23" i="13"/>
  <c r="B22" i="13"/>
  <c r="B21" i="13"/>
  <c r="B20" i="13"/>
  <c r="B19" i="13"/>
  <c r="B18" i="13"/>
  <c r="B17" i="13"/>
  <c r="C18" i="13" s="1"/>
  <c r="B16" i="13"/>
  <c r="B15" i="13"/>
  <c r="B14" i="13"/>
  <c r="B13" i="13"/>
  <c r="B12" i="13"/>
  <c r="B11" i="13"/>
  <c r="C12" i="13" s="1"/>
  <c r="B10" i="13"/>
  <c r="B9" i="13"/>
  <c r="C10" i="13" s="1"/>
  <c r="B8" i="13"/>
  <c r="B7" i="13"/>
  <c r="B6" i="13"/>
  <c r="K2" i="13"/>
  <c r="B174" i="12"/>
  <c r="B173" i="12"/>
  <c r="B172" i="12"/>
  <c r="B171" i="12"/>
  <c r="C172" i="12" s="1"/>
  <c r="B170" i="12"/>
  <c r="C171" i="12" s="1"/>
  <c r="B169" i="12"/>
  <c r="B168" i="12"/>
  <c r="B167" i="12"/>
  <c r="B166" i="12"/>
  <c r="B165" i="12"/>
  <c r="C166" i="12" s="1"/>
  <c r="B164" i="12"/>
  <c r="B163" i="12"/>
  <c r="B162" i="12"/>
  <c r="C163" i="12" s="1"/>
  <c r="B161" i="12"/>
  <c r="B160" i="12"/>
  <c r="B159" i="12"/>
  <c r="B158" i="12"/>
  <c r="B157" i="12"/>
  <c r="B156" i="12"/>
  <c r="C157" i="12" s="1"/>
  <c r="B155" i="12"/>
  <c r="B154" i="12"/>
  <c r="B153" i="12"/>
  <c r="B152" i="12"/>
  <c r="B151" i="12"/>
  <c r="C152" i="12" s="1"/>
  <c r="B150" i="12"/>
  <c r="B149" i="12"/>
  <c r="B148" i="12"/>
  <c r="C149" i="12" s="1"/>
  <c r="B147" i="12"/>
  <c r="B146" i="12"/>
  <c r="C147" i="12" s="1"/>
  <c r="B145" i="12"/>
  <c r="B144" i="12"/>
  <c r="B143" i="12"/>
  <c r="B142" i="12"/>
  <c r="B141" i="12"/>
  <c r="B140" i="12"/>
  <c r="B139" i="12"/>
  <c r="C140" i="12" s="1"/>
  <c r="B138" i="12"/>
  <c r="B137" i="12"/>
  <c r="B136" i="12"/>
  <c r="B135" i="12"/>
  <c r="B134" i="12"/>
  <c r="C135" i="12" s="1"/>
  <c r="B133" i="12"/>
  <c r="B132" i="12"/>
  <c r="C133" i="12" s="1"/>
  <c r="B131" i="12"/>
  <c r="C132" i="12" s="1"/>
  <c r="B130" i="12"/>
  <c r="B129" i="12"/>
  <c r="C130" i="12" s="1"/>
  <c r="B128" i="12"/>
  <c r="B127" i="12"/>
  <c r="B126" i="12"/>
  <c r="B125" i="12"/>
  <c r="B124" i="12"/>
  <c r="C125" i="12" s="1"/>
  <c r="B123" i="12"/>
  <c r="B122" i="12"/>
  <c r="B121" i="12"/>
  <c r="B120" i="12"/>
  <c r="B119" i="12"/>
  <c r="B118" i="12"/>
  <c r="C119" i="12" s="1"/>
  <c r="B117" i="12"/>
  <c r="B116" i="12"/>
  <c r="B115" i="12"/>
  <c r="B114" i="12"/>
  <c r="B113" i="12"/>
  <c r="B112" i="12"/>
  <c r="B111" i="12"/>
  <c r="C112" i="12" s="1"/>
  <c r="B110" i="12"/>
  <c r="B109" i="12"/>
  <c r="B108" i="12"/>
  <c r="C109" i="12" s="1"/>
  <c r="B107" i="12"/>
  <c r="B106" i="12"/>
  <c r="B105" i="12"/>
  <c r="C105" i="12" s="1"/>
  <c r="B104" i="12"/>
  <c r="B103" i="12"/>
  <c r="C104" i="12" s="1"/>
  <c r="B102" i="12"/>
  <c r="C103" i="12" s="1"/>
  <c r="B101" i="12"/>
  <c r="B100" i="12"/>
  <c r="C101" i="12" s="1"/>
  <c r="B99" i="12"/>
  <c r="B98" i="12"/>
  <c r="C97" i="12"/>
  <c r="B97" i="12"/>
  <c r="C98" i="12" s="1"/>
  <c r="B96" i="12"/>
  <c r="B95" i="12"/>
  <c r="B94" i="12"/>
  <c r="B93" i="12"/>
  <c r="C93" i="12" s="1"/>
  <c r="B92" i="12"/>
  <c r="B91" i="12"/>
  <c r="B90" i="12"/>
  <c r="C91" i="12" s="1"/>
  <c r="B89" i="12"/>
  <c r="B88" i="12"/>
  <c r="C89" i="12" s="1"/>
  <c r="B87" i="12"/>
  <c r="B86" i="12"/>
  <c r="C87" i="12" s="1"/>
  <c r="B85" i="12"/>
  <c r="B84" i="12"/>
  <c r="B83" i="12"/>
  <c r="B82" i="12"/>
  <c r="B81" i="12"/>
  <c r="B80" i="12"/>
  <c r="B79" i="12"/>
  <c r="C80" i="12" s="1"/>
  <c r="B78" i="12"/>
  <c r="B77" i="12"/>
  <c r="B76" i="12"/>
  <c r="B75" i="12"/>
  <c r="B74" i="12"/>
  <c r="C75" i="12" s="1"/>
  <c r="B73" i="12"/>
  <c r="B72" i="12"/>
  <c r="C73" i="12" s="1"/>
  <c r="B71" i="12"/>
  <c r="C72" i="12" s="1"/>
  <c r="B70" i="12"/>
  <c r="B69" i="12"/>
  <c r="C69" i="12" s="1"/>
  <c r="B68" i="12"/>
  <c r="B67" i="12"/>
  <c r="B66" i="12"/>
  <c r="B65" i="12"/>
  <c r="B64" i="12"/>
  <c r="C65" i="12" s="1"/>
  <c r="B63" i="12"/>
  <c r="B62" i="12"/>
  <c r="B61" i="12"/>
  <c r="B60" i="12"/>
  <c r="B59" i="12"/>
  <c r="B58" i="12"/>
  <c r="B57" i="12"/>
  <c r="B56" i="12"/>
  <c r="C57" i="12" s="1"/>
  <c r="B55" i="12"/>
  <c r="B54" i="12"/>
  <c r="B53" i="12"/>
  <c r="C53" i="12" s="1"/>
  <c r="B52" i="12"/>
  <c r="B51" i="12"/>
  <c r="C52" i="12" s="1"/>
  <c r="B50" i="12"/>
  <c r="B49" i="12"/>
  <c r="C50" i="12" s="1"/>
  <c r="B48" i="12"/>
  <c r="B47" i="12"/>
  <c r="C48" i="12" s="1"/>
  <c r="B46" i="12"/>
  <c r="C45" i="12"/>
  <c r="B45" i="12"/>
  <c r="B44" i="12"/>
  <c r="B43" i="12"/>
  <c r="B42" i="12"/>
  <c r="B41" i="12"/>
  <c r="B40" i="12"/>
  <c r="B39" i="12"/>
  <c r="B38" i="12"/>
  <c r="B37" i="12"/>
  <c r="B36" i="12"/>
  <c r="C37" i="12" s="1"/>
  <c r="B35" i="12"/>
  <c r="C36" i="12" s="1"/>
  <c r="B34" i="12"/>
  <c r="C34" i="12" s="1"/>
  <c r="C33" i="12"/>
  <c r="B33" i="12"/>
  <c r="B32" i="12"/>
  <c r="B31" i="12"/>
  <c r="B30" i="12"/>
  <c r="B29" i="12"/>
  <c r="B28" i="12"/>
  <c r="C29" i="12" s="1"/>
  <c r="B27" i="12"/>
  <c r="B26" i="12"/>
  <c r="B25" i="12"/>
  <c r="B24" i="12"/>
  <c r="C25" i="12" s="1"/>
  <c r="B23" i="12"/>
  <c r="B22" i="12"/>
  <c r="B21" i="12"/>
  <c r="B20" i="12"/>
  <c r="C21" i="12" s="1"/>
  <c r="B19" i="12"/>
  <c r="B18" i="12"/>
  <c r="B17" i="12"/>
  <c r="C18" i="12" s="1"/>
  <c r="B16" i="12"/>
  <c r="B15" i="12"/>
  <c r="C16" i="12" s="1"/>
  <c r="B14" i="12"/>
  <c r="B13" i="12"/>
  <c r="B12" i="12"/>
  <c r="C13" i="12" s="1"/>
  <c r="B11" i="12"/>
  <c r="B10" i="12"/>
  <c r="B9" i="12"/>
  <c r="B8" i="12"/>
  <c r="B7" i="12"/>
  <c r="B6" i="12"/>
  <c r="K2" i="12"/>
  <c r="B173" i="11"/>
  <c r="B172" i="11"/>
  <c r="B171" i="11"/>
  <c r="B170" i="11"/>
  <c r="B169" i="11"/>
  <c r="B168" i="11"/>
  <c r="C169" i="11" s="1"/>
  <c r="B167" i="11"/>
  <c r="B166" i="11"/>
  <c r="C167" i="11" s="1"/>
  <c r="B165" i="11"/>
  <c r="H86" i="6" s="1"/>
  <c r="B164" i="11"/>
  <c r="B163" i="11"/>
  <c r="C164" i="11" s="1"/>
  <c r="B162" i="11"/>
  <c r="B161" i="11"/>
  <c r="C162" i="11" s="1"/>
  <c r="B160" i="11"/>
  <c r="B159" i="11"/>
  <c r="H80" i="6" s="1"/>
  <c r="B158" i="11"/>
  <c r="H79" i="6" s="1"/>
  <c r="B157" i="11"/>
  <c r="H78" i="6" s="1"/>
  <c r="B156" i="11"/>
  <c r="B155" i="11"/>
  <c r="B154" i="11"/>
  <c r="B153" i="11"/>
  <c r="B152" i="11"/>
  <c r="C153" i="11" s="1"/>
  <c r="B151" i="11"/>
  <c r="C152" i="11" s="1"/>
  <c r="B150" i="11"/>
  <c r="C151" i="11" s="1"/>
  <c r="B149" i="11"/>
  <c r="B148" i="11"/>
  <c r="B147" i="11"/>
  <c r="C148" i="11" s="1"/>
  <c r="B146" i="11"/>
  <c r="B145" i="11"/>
  <c r="C146" i="11" s="1"/>
  <c r="B144" i="11"/>
  <c r="B143" i="11"/>
  <c r="B142" i="11"/>
  <c r="B141" i="11"/>
  <c r="C142" i="11" s="1"/>
  <c r="B140" i="11"/>
  <c r="B139" i="11"/>
  <c r="C140" i="11" s="1"/>
  <c r="B138" i="11"/>
  <c r="B137" i="11"/>
  <c r="C138" i="11" s="1"/>
  <c r="B136" i="11"/>
  <c r="B135" i="11"/>
  <c r="B134" i="11"/>
  <c r="C135" i="11" s="1"/>
  <c r="B133" i="11"/>
  <c r="C133" i="11" s="1"/>
  <c r="B132" i="11"/>
  <c r="B131" i="11"/>
  <c r="C132" i="11" s="1"/>
  <c r="B130" i="11"/>
  <c r="B129" i="11"/>
  <c r="C130" i="11" s="1"/>
  <c r="B128" i="11"/>
  <c r="B127" i="11"/>
  <c r="B126" i="11"/>
  <c r="B125" i="11"/>
  <c r="C126" i="11" s="1"/>
  <c r="B124" i="11"/>
  <c r="B123" i="11"/>
  <c r="B122" i="11"/>
  <c r="B121" i="11"/>
  <c r="B120" i="11"/>
  <c r="C121" i="11" s="1"/>
  <c r="B119" i="11"/>
  <c r="B118" i="11"/>
  <c r="C119" i="11" s="1"/>
  <c r="B117" i="11"/>
  <c r="H38" i="6" s="1"/>
  <c r="B116" i="11"/>
  <c r="B115" i="11"/>
  <c r="B114" i="11"/>
  <c r="B113" i="11"/>
  <c r="C114" i="11" s="1"/>
  <c r="B112" i="11"/>
  <c r="B111" i="11"/>
  <c r="B110" i="11"/>
  <c r="H31" i="6" s="1"/>
  <c r="B109" i="11"/>
  <c r="C110" i="11" s="1"/>
  <c r="B108" i="11"/>
  <c r="B107" i="11"/>
  <c r="B106" i="11"/>
  <c r="B105" i="11"/>
  <c r="B104" i="11"/>
  <c r="C105" i="11" s="1"/>
  <c r="B103" i="11"/>
  <c r="B102" i="11"/>
  <c r="C103" i="11" s="1"/>
  <c r="B101" i="11"/>
  <c r="C101" i="11" s="1"/>
  <c r="B100" i="11"/>
  <c r="B99" i="11"/>
  <c r="C100" i="11" s="1"/>
  <c r="B98" i="11"/>
  <c r="B97" i="11"/>
  <c r="C98" i="11" s="1"/>
  <c r="B96" i="11"/>
  <c r="B95" i="11"/>
  <c r="B94" i="11"/>
  <c r="B93" i="11"/>
  <c r="B92" i="11"/>
  <c r="B91" i="11"/>
  <c r="B90" i="11"/>
  <c r="B89" i="11"/>
  <c r="B88" i="11"/>
  <c r="C89" i="11" s="1"/>
  <c r="B87" i="11"/>
  <c r="B86" i="11"/>
  <c r="C87" i="11" s="1"/>
  <c r="B85" i="11"/>
  <c r="B84" i="11"/>
  <c r="B83" i="11"/>
  <c r="C84" i="11" s="1"/>
  <c r="B82" i="11"/>
  <c r="B81" i="11"/>
  <c r="B80" i="11"/>
  <c r="C81" i="11" s="1"/>
  <c r="B79" i="11"/>
  <c r="B78" i="11"/>
  <c r="B77" i="11"/>
  <c r="B76" i="11"/>
  <c r="B75" i="11"/>
  <c r="C76" i="11" s="1"/>
  <c r="B74" i="11"/>
  <c r="B73" i="11"/>
  <c r="C74" i="11" s="1"/>
  <c r="B72" i="11"/>
  <c r="C73" i="11" s="1"/>
  <c r="B71" i="11"/>
  <c r="B70" i="11"/>
  <c r="C71" i="11" s="1"/>
  <c r="B69" i="11"/>
  <c r="C69" i="11" s="1"/>
  <c r="B68" i="11"/>
  <c r="B67" i="11"/>
  <c r="C68" i="11" s="1"/>
  <c r="B66" i="11"/>
  <c r="B65" i="11"/>
  <c r="C66" i="11" s="1"/>
  <c r="B64" i="11"/>
  <c r="B63" i="11"/>
  <c r="B62" i="11"/>
  <c r="B61" i="11"/>
  <c r="B60" i="11"/>
  <c r="B59" i="11"/>
  <c r="B58" i="11"/>
  <c r="B57" i="11"/>
  <c r="B56" i="11"/>
  <c r="C57" i="11" s="1"/>
  <c r="B55" i="11"/>
  <c r="B54" i="11"/>
  <c r="C55" i="11" s="1"/>
  <c r="B53" i="11"/>
  <c r="B52" i="11"/>
  <c r="B51" i="11"/>
  <c r="B50" i="11"/>
  <c r="B49" i="11"/>
  <c r="B48" i="11"/>
  <c r="B47" i="11"/>
  <c r="B46" i="11"/>
  <c r="B45" i="11"/>
  <c r="B44" i="11"/>
  <c r="B43" i="11"/>
  <c r="B42" i="11"/>
  <c r="B41" i="11"/>
  <c r="B40" i="11"/>
  <c r="C41" i="11" s="1"/>
  <c r="B39" i="11"/>
  <c r="B38" i="11"/>
  <c r="C39" i="11" s="1"/>
  <c r="B37" i="11"/>
  <c r="C37" i="11" s="1"/>
  <c r="B36" i="11"/>
  <c r="B35" i="11"/>
  <c r="C36" i="11" s="1"/>
  <c r="B34" i="11"/>
  <c r="B33" i="11"/>
  <c r="C34" i="11" s="1"/>
  <c r="B32" i="11"/>
  <c r="B31" i="11"/>
  <c r="B30" i="11"/>
  <c r="B29" i="11"/>
  <c r="B28" i="11"/>
  <c r="B27" i="11"/>
  <c r="B26" i="11"/>
  <c r="B25" i="11"/>
  <c r="B24" i="11"/>
  <c r="C25" i="11" s="1"/>
  <c r="B23" i="11"/>
  <c r="C24" i="11" s="1"/>
  <c r="B22" i="11"/>
  <c r="B21" i="11"/>
  <c r="B20" i="11"/>
  <c r="B19" i="11"/>
  <c r="C20" i="11" s="1"/>
  <c r="B18" i="11"/>
  <c r="B17" i="11"/>
  <c r="B16" i="11"/>
  <c r="C17" i="11" s="1"/>
  <c r="B15" i="11"/>
  <c r="B14" i="11"/>
  <c r="B13" i="11"/>
  <c r="B12" i="11"/>
  <c r="B11" i="11"/>
  <c r="C12" i="11" s="1"/>
  <c r="B10" i="11"/>
  <c r="B9" i="11"/>
  <c r="B8" i="11"/>
  <c r="C9" i="11" s="1"/>
  <c r="B7" i="11"/>
  <c r="B6" i="11"/>
  <c r="C7" i="11" s="1"/>
  <c r="K2" i="11"/>
  <c r="G211" i="10"/>
  <c r="D211" i="10"/>
  <c r="B211" i="10"/>
  <c r="G210" i="10"/>
  <c r="D210" i="10"/>
  <c r="F210" i="10" s="1"/>
  <c r="B210" i="10"/>
  <c r="G209" i="10"/>
  <c r="D209" i="10"/>
  <c r="B209" i="10"/>
  <c r="G208" i="10"/>
  <c r="D208" i="10"/>
  <c r="B208" i="10"/>
  <c r="G207" i="10"/>
  <c r="D207" i="10"/>
  <c r="B207" i="10"/>
  <c r="G206" i="10"/>
  <c r="D206" i="10"/>
  <c r="B206" i="10"/>
  <c r="G205" i="10"/>
  <c r="D205" i="10"/>
  <c r="B205" i="10"/>
  <c r="G204" i="10"/>
  <c r="D204" i="10"/>
  <c r="B204" i="10"/>
  <c r="G203" i="10"/>
  <c r="D203" i="10"/>
  <c r="B203" i="10"/>
  <c r="G202" i="10"/>
  <c r="D202" i="10"/>
  <c r="B202" i="10"/>
  <c r="G201" i="10"/>
  <c r="D201" i="10"/>
  <c r="B201" i="10"/>
  <c r="G200" i="10"/>
  <c r="D200" i="10"/>
  <c r="B200" i="10"/>
  <c r="G199" i="10"/>
  <c r="D199" i="10"/>
  <c r="F211" i="10" s="1"/>
  <c r="B199" i="10"/>
  <c r="G82" i="6" s="1"/>
  <c r="G198" i="10"/>
  <c r="D198" i="10"/>
  <c r="B198" i="10"/>
  <c r="G197" i="10"/>
  <c r="D197" i="10"/>
  <c r="B197" i="10"/>
  <c r="G196" i="10"/>
  <c r="D196" i="10"/>
  <c r="B196" i="10"/>
  <c r="G79" i="6" s="1"/>
  <c r="G195" i="10"/>
  <c r="D195" i="10"/>
  <c r="B195" i="10"/>
  <c r="G194" i="10"/>
  <c r="D194" i="10"/>
  <c r="F206" i="10" s="1"/>
  <c r="B194" i="10"/>
  <c r="G193" i="10"/>
  <c r="D193" i="10"/>
  <c r="B193" i="10"/>
  <c r="G192" i="10"/>
  <c r="D192" i="10"/>
  <c r="B192" i="10"/>
  <c r="G191" i="10"/>
  <c r="D191" i="10"/>
  <c r="B191" i="10"/>
  <c r="G74" i="6" s="1"/>
  <c r="G190" i="10"/>
  <c r="D190" i="10"/>
  <c r="B190" i="10"/>
  <c r="G189" i="10"/>
  <c r="D189" i="10"/>
  <c r="B189" i="10"/>
  <c r="G188" i="10"/>
  <c r="D188" i="10"/>
  <c r="B188" i="10"/>
  <c r="G187" i="10"/>
  <c r="D187" i="10"/>
  <c r="B187" i="10"/>
  <c r="G186" i="10"/>
  <c r="D186" i="10"/>
  <c r="F198" i="10" s="1"/>
  <c r="B186" i="10"/>
  <c r="G185" i="10"/>
  <c r="D185" i="10"/>
  <c r="F197" i="10" s="1"/>
  <c r="B185" i="10"/>
  <c r="G68" i="6" s="1"/>
  <c r="G184" i="10"/>
  <c r="D184" i="10"/>
  <c r="B184" i="10"/>
  <c r="G67" i="6" s="1"/>
  <c r="G183" i="10"/>
  <c r="D183" i="10"/>
  <c r="B183" i="10"/>
  <c r="G182" i="10"/>
  <c r="D182" i="10"/>
  <c r="B182" i="10"/>
  <c r="G181" i="10"/>
  <c r="D181" i="10"/>
  <c r="B181" i="10"/>
  <c r="G180" i="10"/>
  <c r="D180" i="10"/>
  <c r="F192" i="10" s="1"/>
  <c r="B180" i="10"/>
  <c r="G179" i="10"/>
  <c r="D179" i="10"/>
  <c r="B179" i="10"/>
  <c r="G178" i="10"/>
  <c r="D178" i="10"/>
  <c r="B178" i="10"/>
  <c r="G177" i="10"/>
  <c r="D177" i="10"/>
  <c r="F189" i="10" s="1"/>
  <c r="B177" i="10"/>
  <c r="G176" i="10"/>
  <c r="D176" i="10"/>
  <c r="B176" i="10"/>
  <c r="G175" i="10"/>
  <c r="D175" i="10"/>
  <c r="B175" i="10"/>
  <c r="G174" i="10"/>
  <c r="D174" i="10"/>
  <c r="B174" i="10"/>
  <c r="G173" i="10"/>
  <c r="D173" i="10"/>
  <c r="B173" i="10"/>
  <c r="G172" i="10"/>
  <c r="D172" i="10"/>
  <c r="F184" i="10" s="1"/>
  <c r="B172" i="10"/>
  <c r="G171" i="10"/>
  <c r="D171" i="10"/>
  <c r="B171" i="10"/>
  <c r="G170" i="10"/>
  <c r="D170" i="10"/>
  <c r="B170" i="10"/>
  <c r="G169" i="10"/>
  <c r="D169" i="10"/>
  <c r="F181" i="10" s="1"/>
  <c r="B169" i="10"/>
  <c r="G168" i="10"/>
  <c r="D168" i="10"/>
  <c r="B168" i="10"/>
  <c r="G167" i="10"/>
  <c r="D167" i="10"/>
  <c r="B167" i="10"/>
  <c r="G50" i="6" s="1"/>
  <c r="G166" i="10"/>
  <c r="D166" i="10"/>
  <c r="B166" i="10"/>
  <c r="G165" i="10"/>
  <c r="D165" i="10"/>
  <c r="B165" i="10"/>
  <c r="G164" i="10"/>
  <c r="D164" i="10"/>
  <c r="F176" i="10" s="1"/>
  <c r="B164" i="10"/>
  <c r="G163" i="10"/>
  <c r="D163" i="10"/>
  <c r="B163" i="10"/>
  <c r="G162" i="10"/>
  <c r="D162" i="10"/>
  <c r="F174" i="10" s="1"/>
  <c r="B162" i="10"/>
  <c r="G161" i="10"/>
  <c r="D161" i="10"/>
  <c r="B161" i="10"/>
  <c r="G160" i="10"/>
  <c r="D160" i="10"/>
  <c r="B160" i="10"/>
  <c r="G159" i="10"/>
  <c r="D159" i="10"/>
  <c r="B159" i="10"/>
  <c r="G158" i="10"/>
  <c r="D158" i="10"/>
  <c r="B158" i="10"/>
  <c r="G157" i="10"/>
  <c r="D157" i="10"/>
  <c r="B157" i="10"/>
  <c r="G156" i="10"/>
  <c r="D156" i="10"/>
  <c r="F168" i="10" s="1"/>
  <c r="B156" i="10"/>
  <c r="G39" i="6" s="1"/>
  <c r="G155" i="10"/>
  <c r="D155" i="10"/>
  <c r="B155" i="10"/>
  <c r="G154" i="10"/>
  <c r="D154" i="10"/>
  <c r="F166" i="10" s="1"/>
  <c r="B154" i="10"/>
  <c r="G153" i="10"/>
  <c r="D153" i="10"/>
  <c r="B153" i="10"/>
  <c r="G152" i="10"/>
  <c r="D152" i="10"/>
  <c r="B152" i="10"/>
  <c r="G151" i="10"/>
  <c r="D151" i="10"/>
  <c r="B151" i="10"/>
  <c r="G150" i="10"/>
  <c r="D150" i="10"/>
  <c r="B150" i="10"/>
  <c r="G149" i="10"/>
  <c r="D149" i="10"/>
  <c r="B149" i="10"/>
  <c r="G148" i="10"/>
  <c r="D148" i="10"/>
  <c r="F160" i="10" s="1"/>
  <c r="B148" i="10"/>
  <c r="G147" i="10"/>
  <c r="D147" i="10"/>
  <c r="B147" i="10"/>
  <c r="G146" i="10"/>
  <c r="D146" i="10"/>
  <c r="F158" i="10" s="1"/>
  <c r="B146" i="10"/>
  <c r="G145" i="10"/>
  <c r="D145" i="10"/>
  <c r="B145" i="10"/>
  <c r="G144" i="10"/>
  <c r="D144" i="10"/>
  <c r="B144" i="10"/>
  <c r="G143" i="10"/>
  <c r="D143" i="10"/>
  <c r="B143" i="10"/>
  <c r="G26" i="6" s="1"/>
  <c r="G142" i="10"/>
  <c r="D142" i="10"/>
  <c r="B142" i="10"/>
  <c r="G141" i="10"/>
  <c r="D141" i="10"/>
  <c r="B141" i="10"/>
  <c r="G140" i="10"/>
  <c r="D140" i="10"/>
  <c r="F152" i="10" s="1"/>
  <c r="B140" i="10"/>
  <c r="G139" i="10"/>
  <c r="D139" i="10"/>
  <c r="B139" i="10"/>
  <c r="G138" i="10"/>
  <c r="D138" i="10"/>
  <c r="B138" i="10"/>
  <c r="G137" i="10"/>
  <c r="D137" i="10"/>
  <c r="B137" i="10"/>
  <c r="G136" i="10"/>
  <c r="D136" i="10"/>
  <c r="B136" i="10"/>
  <c r="G135" i="10"/>
  <c r="D135" i="10"/>
  <c r="F147" i="10" s="1"/>
  <c r="B135" i="10"/>
  <c r="G18" i="6" s="1"/>
  <c r="G134" i="10"/>
  <c r="D134" i="10"/>
  <c r="B134" i="10"/>
  <c r="G133" i="10"/>
  <c r="D133" i="10"/>
  <c r="B133" i="10"/>
  <c r="G132" i="10"/>
  <c r="D132" i="10"/>
  <c r="B132" i="10"/>
  <c r="G15" i="6" s="1"/>
  <c r="G131" i="10"/>
  <c r="D131" i="10"/>
  <c r="B131" i="10"/>
  <c r="G130" i="10"/>
  <c r="D130" i="10"/>
  <c r="B130" i="10"/>
  <c r="G129" i="10"/>
  <c r="E129" i="10"/>
  <c r="D129" i="10"/>
  <c r="B129" i="10"/>
  <c r="G128" i="10"/>
  <c r="D128" i="10"/>
  <c r="B128" i="10"/>
  <c r="C129" i="10" s="1"/>
  <c r="G127" i="10"/>
  <c r="F127" i="10"/>
  <c r="D127" i="10"/>
  <c r="B127" i="10"/>
  <c r="G126" i="10"/>
  <c r="D126" i="10"/>
  <c r="B126" i="10"/>
  <c r="C127" i="10" s="1"/>
  <c r="G125" i="10"/>
  <c r="D125" i="10"/>
  <c r="B125" i="10"/>
  <c r="G124" i="10"/>
  <c r="D124" i="10"/>
  <c r="B124" i="10"/>
  <c r="G123" i="10"/>
  <c r="D123" i="10"/>
  <c r="F123" i="10" s="1"/>
  <c r="B123" i="10"/>
  <c r="G122" i="10"/>
  <c r="D122" i="10"/>
  <c r="F134" i="10" s="1"/>
  <c r="B122" i="10"/>
  <c r="E134" i="10" s="1"/>
  <c r="G121" i="10"/>
  <c r="D121" i="10"/>
  <c r="B121" i="10"/>
  <c r="G120" i="10"/>
  <c r="D120" i="10"/>
  <c r="F120" i="10" s="1"/>
  <c r="B120" i="10"/>
  <c r="C121" i="10" s="1"/>
  <c r="G119" i="10"/>
  <c r="D119" i="10"/>
  <c r="F131" i="10" s="1"/>
  <c r="B119" i="10"/>
  <c r="G118" i="10"/>
  <c r="D118" i="10"/>
  <c r="B118" i="10"/>
  <c r="G117" i="10"/>
  <c r="D117" i="10"/>
  <c r="B117" i="10"/>
  <c r="G116" i="10"/>
  <c r="D116" i="10"/>
  <c r="B116" i="10"/>
  <c r="G115" i="10"/>
  <c r="D115" i="10"/>
  <c r="B115" i="10"/>
  <c r="G114" i="10"/>
  <c r="D114" i="10"/>
  <c r="F126" i="10" s="1"/>
  <c r="B114" i="10"/>
  <c r="G113" i="10"/>
  <c r="D113" i="10"/>
  <c r="B113" i="10"/>
  <c r="G112" i="10"/>
  <c r="D112" i="10"/>
  <c r="F124" i="10" s="1"/>
  <c r="B112" i="10"/>
  <c r="G111" i="10"/>
  <c r="D111" i="10"/>
  <c r="B111" i="10"/>
  <c r="G110" i="10"/>
  <c r="D110" i="10"/>
  <c r="B110" i="10"/>
  <c r="G109" i="10"/>
  <c r="D109" i="10"/>
  <c r="B109" i="10"/>
  <c r="G108" i="10"/>
  <c r="D108" i="10"/>
  <c r="B108" i="10"/>
  <c r="G107" i="10"/>
  <c r="F107" i="10"/>
  <c r="D107" i="10"/>
  <c r="B107" i="10"/>
  <c r="G106" i="10"/>
  <c r="D106" i="10"/>
  <c r="B106" i="10"/>
  <c r="G105" i="10"/>
  <c r="D105" i="10"/>
  <c r="B105" i="10"/>
  <c r="E117" i="10" s="1"/>
  <c r="G104" i="10"/>
  <c r="D104" i="10"/>
  <c r="F116" i="10" s="1"/>
  <c r="B104" i="10"/>
  <c r="G103" i="10"/>
  <c r="D103" i="10"/>
  <c r="B103" i="10"/>
  <c r="G102" i="10"/>
  <c r="D102" i="10"/>
  <c r="F114" i="10" s="1"/>
  <c r="B102" i="10"/>
  <c r="G101" i="10"/>
  <c r="E101" i="10"/>
  <c r="D101" i="10"/>
  <c r="B101" i="10"/>
  <c r="G100" i="10"/>
  <c r="D100" i="10"/>
  <c r="B100" i="10"/>
  <c r="G99" i="10"/>
  <c r="D99" i="10"/>
  <c r="F111" i="10" s="1"/>
  <c r="B99" i="10"/>
  <c r="C100" i="10" s="1"/>
  <c r="G98" i="10"/>
  <c r="D98" i="10"/>
  <c r="B98" i="10"/>
  <c r="E98" i="10" s="1"/>
  <c r="G97" i="10"/>
  <c r="D97" i="10"/>
  <c r="F109" i="10" s="1"/>
  <c r="B97" i="10"/>
  <c r="G96" i="10"/>
  <c r="D96" i="10"/>
  <c r="F108" i="10" s="1"/>
  <c r="B96" i="10"/>
  <c r="G95" i="10"/>
  <c r="F95" i="10"/>
  <c r="D95" i="10"/>
  <c r="B95" i="10"/>
  <c r="G94" i="10"/>
  <c r="D94" i="10"/>
  <c r="B94" i="10"/>
  <c r="E94" i="10" s="1"/>
  <c r="G93" i="10"/>
  <c r="D93" i="10"/>
  <c r="F105" i="10" s="1"/>
  <c r="B93" i="10"/>
  <c r="G92" i="10"/>
  <c r="D92" i="10"/>
  <c r="B92" i="10"/>
  <c r="G91" i="10"/>
  <c r="D91" i="10"/>
  <c r="B91" i="10"/>
  <c r="C92" i="10" s="1"/>
  <c r="G90" i="10"/>
  <c r="D90" i="10"/>
  <c r="F102" i="10" s="1"/>
  <c r="B90" i="10"/>
  <c r="E102" i="10" s="1"/>
  <c r="G89" i="10"/>
  <c r="D89" i="10"/>
  <c r="B89" i="10"/>
  <c r="C89" i="10" s="1"/>
  <c r="G88" i="10"/>
  <c r="D88" i="10"/>
  <c r="B88" i="10"/>
  <c r="G87" i="10"/>
  <c r="D87" i="10"/>
  <c r="C87" i="10"/>
  <c r="B87" i="10"/>
  <c r="G86" i="10"/>
  <c r="D86" i="10"/>
  <c r="B86" i="10"/>
  <c r="G85" i="10"/>
  <c r="D85" i="10"/>
  <c r="F85" i="10" s="1"/>
  <c r="B85" i="10"/>
  <c r="E85" i="10" s="1"/>
  <c r="G84" i="10"/>
  <c r="D84" i="10"/>
  <c r="B84" i="10"/>
  <c r="G83" i="10"/>
  <c r="D83" i="10"/>
  <c r="B83" i="10"/>
  <c r="G82" i="10"/>
  <c r="E82" i="10"/>
  <c r="D82" i="10"/>
  <c r="B82" i="10"/>
  <c r="G81" i="10"/>
  <c r="D81" i="10"/>
  <c r="B81" i="10"/>
  <c r="G80" i="10"/>
  <c r="D80" i="10"/>
  <c r="B80" i="10"/>
  <c r="E92" i="10" s="1"/>
  <c r="G79" i="10"/>
  <c r="D79" i="10"/>
  <c r="B79" i="10"/>
  <c r="G78" i="10"/>
  <c r="D78" i="10"/>
  <c r="F90" i="10" s="1"/>
  <c r="B78" i="10"/>
  <c r="E78" i="10" s="1"/>
  <c r="G77" i="10"/>
  <c r="D77" i="10"/>
  <c r="F89" i="10" s="1"/>
  <c r="B77" i="10"/>
  <c r="G76" i="10"/>
  <c r="D76" i="10"/>
  <c r="B76" i="10"/>
  <c r="G75" i="10"/>
  <c r="D75" i="10"/>
  <c r="B75" i="10"/>
  <c r="G74" i="10"/>
  <c r="D74" i="10"/>
  <c r="B74" i="10"/>
  <c r="E86" i="10" s="1"/>
  <c r="G73" i="10"/>
  <c r="D73" i="10"/>
  <c r="B73" i="10"/>
  <c r="G72" i="10"/>
  <c r="D72" i="10"/>
  <c r="B72" i="10"/>
  <c r="C73" i="10" s="1"/>
  <c r="G71" i="10"/>
  <c r="D71" i="10"/>
  <c r="B71" i="10"/>
  <c r="G70" i="10"/>
  <c r="D70" i="10"/>
  <c r="B70" i="10"/>
  <c r="G69" i="10"/>
  <c r="E69" i="10"/>
  <c r="D69" i="10"/>
  <c r="B69" i="10"/>
  <c r="G68" i="10"/>
  <c r="D68" i="10"/>
  <c r="B68" i="10"/>
  <c r="G67" i="10"/>
  <c r="D67" i="10"/>
  <c r="B67" i="10"/>
  <c r="G66" i="10"/>
  <c r="D66" i="10"/>
  <c r="B66" i="10"/>
  <c r="G65" i="10"/>
  <c r="D65" i="10"/>
  <c r="B65" i="10"/>
  <c r="G64" i="10"/>
  <c r="D64" i="10"/>
  <c r="F76" i="10" s="1"/>
  <c r="B64" i="10"/>
  <c r="C64" i="10" s="1"/>
  <c r="G63" i="10"/>
  <c r="D63" i="10"/>
  <c r="B63" i="10"/>
  <c r="G62" i="10"/>
  <c r="D62" i="10"/>
  <c r="F74" i="10" s="1"/>
  <c r="B62" i="10"/>
  <c r="G61" i="10"/>
  <c r="D61" i="10"/>
  <c r="F73" i="10" s="1"/>
  <c r="B61" i="10"/>
  <c r="G60" i="10"/>
  <c r="D60" i="10"/>
  <c r="B60" i="10"/>
  <c r="E72" i="10" s="1"/>
  <c r="G59" i="10"/>
  <c r="D59" i="10"/>
  <c r="B59" i="10"/>
  <c r="G58" i="10"/>
  <c r="D58" i="10"/>
  <c r="B58" i="10"/>
  <c r="G57" i="10"/>
  <c r="D57" i="10"/>
  <c r="B57" i="10"/>
  <c r="G56" i="10"/>
  <c r="D56" i="10"/>
  <c r="B56" i="10"/>
  <c r="G55" i="10"/>
  <c r="D55" i="10"/>
  <c r="C55" i="10"/>
  <c r="B55" i="10"/>
  <c r="G54" i="10"/>
  <c r="D54" i="10"/>
  <c r="B54" i="10"/>
  <c r="E66" i="10" s="1"/>
  <c r="G53" i="10"/>
  <c r="D53" i="10"/>
  <c r="B53" i="10"/>
  <c r="E65" i="10" s="1"/>
  <c r="G52" i="10"/>
  <c r="D52" i="10"/>
  <c r="B52" i="10"/>
  <c r="G51" i="10"/>
  <c r="D51" i="10"/>
  <c r="B51" i="10"/>
  <c r="G50" i="10"/>
  <c r="E50" i="10"/>
  <c r="D50" i="10"/>
  <c r="B50" i="10"/>
  <c r="G49" i="10"/>
  <c r="D49" i="10"/>
  <c r="F61" i="10" s="1"/>
  <c r="B49" i="10"/>
  <c r="G48" i="10"/>
  <c r="D48" i="10"/>
  <c r="F60" i="10" s="1"/>
  <c r="B48" i="10"/>
  <c r="G47" i="10"/>
  <c r="D47" i="10"/>
  <c r="B47" i="10"/>
  <c r="G46" i="10"/>
  <c r="D46" i="10"/>
  <c r="B46" i="10"/>
  <c r="G45" i="10"/>
  <c r="D45" i="10"/>
  <c r="F57" i="10" s="1"/>
  <c r="B45" i="10"/>
  <c r="G44" i="10"/>
  <c r="D44" i="10"/>
  <c r="B44" i="10"/>
  <c r="G43" i="10"/>
  <c r="D43" i="10"/>
  <c r="B43" i="10"/>
  <c r="C44" i="10" s="1"/>
  <c r="G42" i="10"/>
  <c r="D42" i="10"/>
  <c r="F54" i="10" s="1"/>
  <c r="B42" i="10"/>
  <c r="G41" i="10"/>
  <c r="D41" i="10"/>
  <c r="B41" i="10"/>
  <c r="G40" i="10"/>
  <c r="D40" i="10"/>
  <c r="F52" i="10" s="1"/>
  <c r="B40" i="10"/>
  <c r="E52" i="10" s="1"/>
  <c r="G39" i="10"/>
  <c r="D39" i="10"/>
  <c r="B39" i="10"/>
  <c r="G38" i="10"/>
  <c r="D38" i="10"/>
  <c r="B38" i="10"/>
  <c r="G37" i="10"/>
  <c r="D37" i="10"/>
  <c r="B37" i="10"/>
  <c r="G36" i="10"/>
  <c r="D36" i="10"/>
  <c r="B36" i="10"/>
  <c r="G35" i="10"/>
  <c r="D35" i="10"/>
  <c r="B35" i="10"/>
  <c r="C36" i="10" s="1"/>
  <c r="G34" i="10"/>
  <c r="D34" i="10"/>
  <c r="B34" i="10"/>
  <c r="G33" i="10"/>
  <c r="D33" i="10"/>
  <c r="B33" i="10"/>
  <c r="C33" i="10" s="1"/>
  <c r="G32" i="10"/>
  <c r="D32" i="10"/>
  <c r="F44" i="10" s="1"/>
  <c r="B32" i="10"/>
  <c r="G31" i="10"/>
  <c r="D31" i="10"/>
  <c r="B31" i="10"/>
  <c r="G30" i="10"/>
  <c r="D30" i="10"/>
  <c r="F30" i="10" s="1"/>
  <c r="B30" i="10"/>
  <c r="G29" i="10"/>
  <c r="D29" i="10"/>
  <c r="B29" i="10"/>
  <c r="G28" i="10"/>
  <c r="D28" i="10"/>
  <c r="B28" i="10"/>
  <c r="G27" i="10"/>
  <c r="D27" i="10"/>
  <c r="B27" i="10"/>
  <c r="G26" i="10"/>
  <c r="D26" i="10"/>
  <c r="F38" i="10" s="1"/>
  <c r="B26" i="10"/>
  <c r="G25" i="10"/>
  <c r="D25" i="10"/>
  <c r="F25" i="10" s="1"/>
  <c r="B25" i="10"/>
  <c r="E37" i="10" s="1"/>
  <c r="G24" i="10"/>
  <c r="D24" i="10"/>
  <c r="B24" i="10"/>
  <c r="E36" i="10" s="1"/>
  <c r="G23" i="10"/>
  <c r="D23" i="10"/>
  <c r="B23" i="10"/>
  <c r="G22" i="10"/>
  <c r="D22" i="10"/>
  <c r="F34" i="10" s="1"/>
  <c r="B22" i="10"/>
  <c r="G21" i="10"/>
  <c r="D21" i="10"/>
  <c r="B21" i="10"/>
  <c r="G20" i="10"/>
  <c r="D20" i="10"/>
  <c r="B20" i="10"/>
  <c r="G19" i="10"/>
  <c r="D19" i="10"/>
  <c r="B19" i="10"/>
  <c r="G18" i="10"/>
  <c r="D18" i="10"/>
  <c r="F18" i="10" s="1"/>
  <c r="B18" i="10"/>
  <c r="G17" i="10"/>
  <c r="D17" i="10"/>
  <c r="F29" i="10" s="1"/>
  <c r="B17" i="10"/>
  <c r="G16" i="10"/>
  <c r="D16" i="10"/>
  <c r="B16" i="10"/>
  <c r="G15" i="10"/>
  <c r="D15" i="10"/>
  <c r="B15" i="10"/>
  <c r="G14" i="10"/>
  <c r="D14" i="10"/>
  <c r="B14" i="10"/>
  <c r="G13" i="10"/>
  <c r="D13" i="10"/>
  <c r="B13" i="10"/>
  <c r="G12" i="10"/>
  <c r="D12" i="10"/>
  <c r="B12" i="10"/>
  <c r="G11" i="10"/>
  <c r="D11" i="10"/>
  <c r="B11" i="10"/>
  <c r="G10" i="10"/>
  <c r="D10" i="10"/>
  <c r="B10" i="10"/>
  <c r="G9" i="10"/>
  <c r="D9" i="10"/>
  <c r="F21" i="10" s="1"/>
  <c r="B9" i="10"/>
  <c r="E21" i="10" s="1"/>
  <c r="G8" i="10"/>
  <c r="D8" i="10"/>
  <c r="B8" i="10"/>
  <c r="G7" i="10"/>
  <c r="D7" i="10"/>
  <c r="F19" i="10" s="1"/>
  <c r="B7" i="10"/>
  <c r="G6" i="10"/>
  <c r="D6" i="10"/>
  <c r="B6" i="10"/>
  <c r="C7" i="10" s="1"/>
  <c r="K2" i="10"/>
  <c r="F210" i="9"/>
  <c r="D210" i="9"/>
  <c r="B210" i="9"/>
  <c r="F94" i="6" s="1"/>
  <c r="F209" i="9"/>
  <c r="D209" i="9"/>
  <c r="B209" i="9"/>
  <c r="F208" i="9"/>
  <c r="D208" i="9"/>
  <c r="B208" i="9"/>
  <c r="C209" i="9" s="1"/>
  <c r="F207" i="9"/>
  <c r="D207" i="9"/>
  <c r="E208" i="9" s="1"/>
  <c r="B207" i="9"/>
  <c r="F206" i="9"/>
  <c r="D206" i="9"/>
  <c r="B206" i="9"/>
  <c r="F205" i="9"/>
  <c r="D205" i="9"/>
  <c r="B205" i="9"/>
  <c r="F204" i="9"/>
  <c r="D204" i="9"/>
  <c r="B204" i="9"/>
  <c r="F203" i="9"/>
  <c r="D203" i="9"/>
  <c r="B203" i="9"/>
  <c r="C204" i="9" s="1"/>
  <c r="F202" i="9"/>
  <c r="D202" i="9"/>
  <c r="B202" i="9"/>
  <c r="C203" i="9" s="1"/>
  <c r="F201" i="9"/>
  <c r="D201" i="9"/>
  <c r="C201" i="9"/>
  <c r="B201" i="9"/>
  <c r="F200" i="9"/>
  <c r="D200" i="9"/>
  <c r="E201" i="9" s="1"/>
  <c r="B200" i="9"/>
  <c r="F199" i="9"/>
  <c r="D199" i="9"/>
  <c r="B199" i="9"/>
  <c r="F198" i="9"/>
  <c r="D198" i="9"/>
  <c r="B198" i="9"/>
  <c r="F82" i="6" s="1"/>
  <c r="F197" i="9"/>
  <c r="D197" i="9"/>
  <c r="E198" i="9" s="1"/>
  <c r="B197" i="9"/>
  <c r="F196" i="9"/>
  <c r="D196" i="9"/>
  <c r="B196" i="9"/>
  <c r="F80" i="6" s="1"/>
  <c r="F195" i="9"/>
  <c r="D195" i="9"/>
  <c r="B195" i="9"/>
  <c r="F194" i="9"/>
  <c r="D194" i="9"/>
  <c r="B194" i="9"/>
  <c r="C195" i="9" s="1"/>
  <c r="F193" i="9"/>
  <c r="D193" i="9"/>
  <c r="B193" i="9"/>
  <c r="F192" i="9"/>
  <c r="D192" i="9"/>
  <c r="B192" i="9"/>
  <c r="F76" i="6" s="1"/>
  <c r="F191" i="9"/>
  <c r="D191" i="9"/>
  <c r="B191" i="9"/>
  <c r="F190" i="9"/>
  <c r="D190" i="9"/>
  <c r="B190" i="9"/>
  <c r="F189" i="9"/>
  <c r="D189" i="9"/>
  <c r="B189" i="9"/>
  <c r="F188" i="9"/>
  <c r="D188" i="9"/>
  <c r="E189" i="9" s="1"/>
  <c r="B188" i="9"/>
  <c r="F187" i="9"/>
  <c r="D187" i="9"/>
  <c r="B187" i="9"/>
  <c r="F186" i="9"/>
  <c r="D186" i="9"/>
  <c r="B186" i="9"/>
  <c r="F185" i="9"/>
  <c r="D185" i="9"/>
  <c r="E186" i="9" s="1"/>
  <c r="B185" i="9"/>
  <c r="F184" i="9"/>
  <c r="D184" i="9"/>
  <c r="B184" i="9"/>
  <c r="F183" i="9"/>
  <c r="D183" i="9"/>
  <c r="B183" i="9"/>
  <c r="F182" i="9"/>
  <c r="D182" i="9"/>
  <c r="B182" i="9"/>
  <c r="C182" i="9" s="1"/>
  <c r="F181" i="9"/>
  <c r="D181" i="9"/>
  <c r="C181" i="9"/>
  <c r="B181" i="9"/>
  <c r="F180" i="9"/>
  <c r="D180" i="9"/>
  <c r="B180" i="9"/>
  <c r="F179" i="9"/>
  <c r="D179" i="9"/>
  <c r="B179" i="9"/>
  <c r="F178" i="9"/>
  <c r="D178" i="9"/>
  <c r="B178" i="9"/>
  <c r="F62" i="6" s="1"/>
  <c r="F177" i="9"/>
  <c r="D177" i="9"/>
  <c r="B177" i="9"/>
  <c r="F176" i="9"/>
  <c r="D176" i="9"/>
  <c r="B176" i="9"/>
  <c r="C177" i="9" s="1"/>
  <c r="F175" i="9"/>
  <c r="D175" i="9"/>
  <c r="B175" i="9"/>
  <c r="F174" i="9"/>
  <c r="D174" i="9"/>
  <c r="B174" i="9"/>
  <c r="F173" i="9"/>
  <c r="D173" i="9"/>
  <c r="E174" i="9" s="1"/>
  <c r="B173" i="9"/>
  <c r="F172" i="9"/>
  <c r="D172" i="9"/>
  <c r="B172" i="9"/>
  <c r="F171" i="9"/>
  <c r="D171" i="9"/>
  <c r="B171" i="9"/>
  <c r="F55" i="6" s="1"/>
  <c r="F170" i="9"/>
  <c r="D170" i="9"/>
  <c r="B170" i="9"/>
  <c r="C170" i="9" s="1"/>
  <c r="F169" i="9"/>
  <c r="D169" i="9"/>
  <c r="B169" i="9"/>
  <c r="F168" i="9"/>
  <c r="E168" i="9"/>
  <c r="D168" i="9"/>
  <c r="E169" i="9" s="1"/>
  <c r="B168" i="9"/>
  <c r="C169" i="9" s="1"/>
  <c r="F167" i="9"/>
  <c r="D167" i="9"/>
  <c r="B167" i="9"/>
  <c r="F166" i="9"/>
  <c r="D166" i="9"/>
  <c r="B166" i="9"/>
  <c r="F50" i="6" s="1"/>
  <c r="F165" i="9"/>
  <c r="D165" i="9"/>
  <c r="B165" i="9"/>
  <c r="F164" i="9"/>
  <c r="D164" i="9"/>
  <c r="B164" i="9"/>
  <c r="F163" i="9"/>
  <c r="D163" i="9"/>
  <c r="B163" i="9"/>
  <c r="F162" i="9"/>
  <c r="D162" i="9"/>
  <c r="B162" i="9"/>
  <c r="F161" i="9"/>
  <c r="D161" i="9"/>
  <c r="B161" i="9"/>
  <c r="F160" i="9"/>
  <c r="D160" i="9"/>
  <c r="B160" i="9"/>
  <c r="F159" i="9"/>
  <c r="D159" i="9"/>
  <c r="B159" i="9"/>
  <c r="F158" i="9"/>
  <c r="D158" i="9"/>
  <c r="E159" i="9" s="1"/>
  <c r="B158" i="9"/>
  <c r="F42" i="6" s="1"/>
  <c r="F157" i="9"/>
  <c r="E157" i="9"/>
  <c r="D157" i="9"/>
  <c r="B157" i="9"/>
  <c r="F156" i="9"/>
  <c r="D156" i="9"/>
  <c r="B156" i="9"/>
  <c r="C156" i="9" s="1"/>
  <c r="F155" i="9"/>
  <c r="D155" i="9"/>
  <c r="B155" i="9"/>
  <c r="F154" i="9"/>
  <c r="D154" i="9"/>
  <c r="B154" i="9"/>
  <c r="F153" i="9"/>
  <c r="D153" i="9"/>
  <c r="C153" i="9"/>
  <c r="B153" i="9"/>
  <c r="C154" i="9" s="1"/>
  <c r="F152" i="9"/>
  <c r="D152" i="9"/>
  <c r="B152" i="9"/>
  <c r="F151" i="9"/>
  <c r="D151" i="9"/>
  <c r="B151" i="9"/>
  <c r="C152" i="9" s="1"/>
  <c r="F150" i="9"/>
  <c r="E150" i="9"/>
  <c r="D150" i="9"/>
  <c r="E151" i="9" s="1"/>
  <c r="B150" i="9"/>
  <c r="F149" i="9"/>
  <c r="D149" i="9"/>
  <c r="B149" i="9"/>
  <c r="F148" i="9"/>
  <c r="D148" i="9"/>
  <c r="E149" i="9" s="1"/>
  <c r="B148" i="9"/>
  <c r="F147" i="9"/>
  <c r="D147" i="9"/>
  <c r="B147" i="9"/>
  <c r="F146" i="9"/>
  <c r="D146" i="9"/>
  <c r="B146" i="9"/>
  <c r="F145" i="9"/>
  <c r="D145" i="9"/>
  <c r="B145" i="9"/>
  <c r="F144" i="9"/>
  <c r="D144" i="9"/>
  <c r="B144" i="9"/>
  <c r="F143" i="9"/>
  <c r="E143" i="9"/>
  <c r="D143" i="9"/>
  <c r="B143" i="9"/>
  <c r="F142" i="9"/>
  <c r="D142" i="9"/>
  <c r="B142" i="9"/>
  <c r="F141" i="9"/>
  <c r="D141" i="9"/>
  <c r="E142" i="9" s="1"/>
  <c r="B141" i="9"/>
  <c r="F25" i="6" s="1"/>
  <c r="F140" i="9"/>
  <c r="D140" i="9"/>
  <c r="B140" i="9"/>
  <c r="F139" i="9"/>
  <c r="D139" i="9"/>
  <c r="B139" i="9"/>
  <c r="F138" i="9"/>
  <c r="D138" i="9"/>
  <c r="B138" i="9"/>
  <c r="C139" i="9" s="1"/>
  <c r="F137" i="9"/>
  <c r="D137" i="9"/>
  <c r="B137" i="9"/>
  <c r="F136" i="9"/>
  <c r="D136" i="9"/>
  <c r="B136" i="9"/>
  <c r="F135" i="9"/>
  <c r="D135" i="9"/>
  <c r="E136" i="9" s="1"/>
  <c r="B135" i="9"/>
  <c r="F134" i="9"/>
  <c r="D134" i="9"/>
  <c r="B134" i="9"/>
  <c r="F133" i="9"/>
  <c r="D133" i="9"/>
  <c r="E134" i="9" s="1"/>
  <c r="B133" i="9"/>
  <c r="F17" i="6" s="1"/>
  <c r="F132" i="9"/>
  <c r="D132" i="9"/>
  <c r="B132" i="9"/>
  <c r="F131" i="9"/>
  <c r="D131" i="9"/>
  <c r="E132" i="9" s="1"/>
  <c r="B131" i="9"/>
  <c r="F130" i="9"/>
  <c r="D130" i="9"/>
  <c r="E130" i="9" s="1"/>
  <c r="B130" i="9"/>
  <c r="C131" i="9" s="1"/>
  <c r="F129" i="9"/>
  <c r="D129" i="9"/>
  <c r="B129" i="9"/>
  <c r="F128" i="9"/>
  <c r="D128" i="9"/>
  <c r="B128" i="9"/>
  <c r="F127" i="9"/>
  <c r="D127" i="9"/>
  <c r="B127" i="9"/>
  <c r="F126" i="9"/>
  <c r="D126" i="9"/>
  <c r="B126" i="9"/>
  <c r="C127" i="9" s="1"/>
  <c r="F125" i="9"/>
  <c r="D125" i="9"/>
  <c r="E125" i="9" s="1"/>
  <c r="B125" i="9"/>
  <c r="F124" i="9"/>
  <c r="D124" i="9"/>
  <c r="B124" i="9"/>
  <c r="F123" i="9"/>
  <c r="D123" i="9"/>
  <c r="B123" i="9"/>
  <c r="F122" i="9"/>
  <c r="D122" i="9"/>
  <c r="B122" i="9"/>
  <c r="F121" i="9"/>
  <c r="D121" i="9"/>
  <c r="B121" i="9"/>
  <c r="F120" i="9"/>
  <c r="D120" i="9"/>
  <c r="E121" i="9" s="1"/>
  <c r="B120" i="9"/>
  <c r="C121" i="9" s="1"/>
  <c r="F119" i="9"/>
  <c r="D119" i="9"/>
  <c r="B119" i="9"/>
  <c r="F118" i="9"/>
  <c r="D118" i="9"/>
  <c r="E119" i="9" s="1"/>
  <c r="B118" i="9"/>
  <c r="F117" i="9"/>
  <c r="D117" i="9"/>
  <c r="B117" i="9"/>
  <c r="F116" i="9"/>
  <c r="D116" i="9"/>
  <c r="B116" i="9"/>
  <c r="F115" i="9"/>
  <c r="D115" i="9"/>
  <c r="B115" i="9"/>
  <c r="F114" i="9"/>
  <c r="D114" i="9"/>
  <c r="B114" i="9"/>
  <c r="F113" i="9"/>
  <c r="D113" i="9"/>
  <c r="B113" i="9"/>
  <c r="F112" i="9"/>
  <c r="D112" i="9"/>
  <c r="B112" i="9"/>
  <c r="C113" i="9" s="1"/>
  <c r="F111" i="9"/>
  <c r="D111" i="9"/>
  <c r="B111" i="9"/>
  <c r="F110" i="9"/>
  <c r="D110" i="9"/>
  <c r="B110" i="9"/>
  <c r="F109" i="9"/>
  <c r="D109" i="9"/>
  <c r="B109" i="9"/>
  <c r="F108" i="9"/>
  <c r="D108" i="9"/>
  <c r="B108" i="9"/>
  <c r="F107" i="9"/>
  <c r="D107" i="9"/>
  <c r="B107" i="9"/>
  <c r="F106" i="9"/>
  <c r="D106" i="9"/>
  <c r="B106" i="9"/>
  <c r="F105" i="9"/>
  <c r="D105" i="9"/>
  <c r="B105" i="9"/>
  <c r="F104" i="9"/>
  <c r="D104" i="9"/>
  <c r="B104" i="9"/>
  <c r="F103" i="9"/>
  <c r="D103" i="9"/>
  <c r="B103" i="9"/>
  <c r="F102" i="9"/>
  <c r="D102" i="9"/>
  <c r="E103" i="9" s="1"/>
  <c r="B102" i="9"/>
  <c r="F101" i="9"/>
  <c r="D101" i="9"/>
  <c r="B101" i="9"/>
  <c r="F100" i="9"/>
  <c r="D100" i="9"/>
  <c r="B100" i="9"/>
  <c r="F99" i="9"/>
  <c r="D99" i="9"/>
  <c r="B99" i="9"/>
  <c r="F98" i="9"/>
  <c r="D98" i="9"/>
  <c r="B98" i="9"/>
  <c r="C99" i="9" s="1"/>
  <c r="F97" i="9"/>
  <c r="D97" i="9"/>
  <c r="B97" i="9"/>
  <c r="F96" i="9"/>
  <c r="D96" i="9"/>
  <c r="B96" i="9"/>
  <c r="F95" i="9"/>
  <c r="D95" i="9"/>
  <c r="B95" i="9"/>
  <c r="F94" i="9"/>
  <c r="D94" i="9"/>
  <c r="B94" i="9"/>
  <c r="F93" i="9"/>
  <c r="D93" i="9"/>
  <c r="B93" i="9"/>
  <c r="F92" i="9"/>
  <c r="D92" i="9"/>
  <c r="B92" i="9"/>
  <c r="F91" i="9"/>
  <c r="E91" i="9"/>
  <c r="D91" i="9"/>
  <c r="B91" i="9"/>
  <c r="F90" i="9"/>
  <c r="D90" i="9"/>
  <c r="B90" i="9"/>
  <c r="F89" i="9"/>
  <c r="D89" i="9"/>
  <c r="C89" i="9"/>
  <c r="B89" i="9"/>
  <c r="F88" i="9"/>
  <c r="D88" i="9"/>
  <c r="B88" i="9"/>
  <c r="F87" i="9"/>
  <c r="D87" i="9"/>
  <c r="E87" i="9" s="1"/>
  <c r="B87" i="9"/>
  <c r="C88" i="9" s="1"/>
  <c r="F86" i="9"/>
  <c r="D86" i="9"/>
  <c r="B86" i="9"/>
  <c r="F85" i="9"/>
  <c r="D85" i="9"/>
  <c r="E86" i="9" s="1"/>
  <c r="B85" i="9"/>
  <c r="F84" i="9"/>
  <c r="D84" i="9"/>
  <c r="B84" i="9"/>
  <c r="F83" i="9"/>
  <c r="D83" i="9"/>
  <c r="B83" i="9"/>
  <c r="F82" i="9"/>
  <c r="D82" i="9"/>
  <c r="B82" i="9"/>
  <c r="F81" i="9"/>
  <c r="D81" i="9"/>
  <c r="B81" i="9"/>
  <c r="F80" i="9"/>
  <c r="D80" i="9"/>
  <c r="B80" i="9"/>
  <c r="C81" i="9" s="1"/>
  <c r="F79" i="9"/>
  <c r="D79" i="9"/>
  <c r="E79" i="9" s="1"/>
  <c r="B79" i="9"/>
  <c r="F78" i="9"/>
  <c r="D78" i="9"/>
  <c r="B78" i="9"/>
  <c r="F77" i="9"/>
  <c r="D77" i="9"/>
  <c r="B77" i="9"/>
  <c r="C78" i="9" s="1"/>
  <c r="F76" i="9"/>
  <c r="D76" i="9"/>
  <c r="B76" i="9"/>
  <c r="F75" i="9"/>
  <c r="D75" i="9"/>
  <c r="E76" i="9" s="1"/>
  <c r="B75" i="9"/>
  <c r="F74" i="9"/>
  <c r="E74" i="9"/>
  <c r="D74" i="9"/>
  <c r="B74" i="9"/>
  <c r="F73" i="9"/>
  <c r="D73" i="9"/>
  <c r="B73" i="9"/>
  <c r="F72" i="9"/>
  <c r="D72" i="9"/>
  <c r="B72" i="9"/>
  <c r="C72" i="9" s="1"/>
  <c r="F71" i="9"/>
  <c r="D71" i="9"/>
  <c r="B71" i="9"/>
  <c r="F70" i="9"/>
  <c r="D70" i="9"/>
  <c r="B70" i="9"/>
  <c r="F69" i="9"/>
  <c r="D69" i="9"/>
  <c r="B69" i="9"/>
  <c r="F68" i="9"/>
  <c r="D68" i="9"/>
  <c r="B68" i="9"/>
  <c r="F67" i="9"/>
  <c r="D67" i="9"/>
  <c r="B67" i="9"/>
  <c r="C67" i="9" s="1"/>
  <c r="F66" i="9"/>
  <c r="D66" i="9"/>
  <c r="B66" i="9"/>
  <c r="F65" i="9"/>
  <c r="D65" i="9"/>
  <c r="B65" i="9"/>
  <c r="F64" i="9"/>
  <c r="D64" i="9"/>
  <c r="E65" i="9" s="1"/>
  <c r="B64" i="9"/>
  <c r="F63" i="9"/>
  <c r="D63" i="9"/>
  <c r="B63" i="9"/>
  <c r="F62" i="9"/>
  <c r="D62" i="9"/>
  <c r="B62" i="9"/>
  <c r="F61" i="9"/>
  <c r="D61" i="9"/>
  <c r="B61" i="9"/>
  <c r="F60" i="9"/>
  <c r="D60" i="9"/>
  <c r="B60" i="9"/>
  <c r="C60" i="9" s="1"/>
  <c r="F59" i="9"/>
  <c r="D59" i="9"/>
  <c r="B59" i="9"/>
  <c r="F58" i="9"/>
  <c r="D58" i="9"/>
  <c r="B58" i="9"/>
  <c r="F57" i="9"/>
  <c r="D57" i="9"/>
  <c r="B57" i="9"/>
  <c r="F56" i="9"/>
  <c r="D56" i="9"/>
  <c r="B56" i="9"/>
  <c r="F55" i="9"/>
  <c r="D55" i="9"/>
  <c r="B55" i="9"/>
  <c r="F54" i="9"/>
  <c r="D54" i="9"/>
  <c r="B54" i="9"/>
  <c r="F53" i="9"/>
  <c r="D53" i="9"/>
  <c r="B53" i="9"/>
  <c r="F52" i="9"/>
  <c r="D52" i="9"/>
  <c r="B52" i="9"/>
  <c r="F51" i="9"/>
  <c r="D51" i="9"/>
  <c r="B51" i="9"/>
  <c r="F50" i="9"/>
  <c r="D50" i="9"/>
  <c r="B50" i="9"/>
  <c r="F49" i="9"/>
  <c r="D49" i="9"/>
  <c r="E49" i="9" s="1"/>
  <c r="B49" i="9"/>
  <c r="F48" i="9"/>
  <c r="D48" i="9"/>
  <c r="B48" i="9"/>
  <c r="F47" i="9"/>
  <c r="D47" i="9"/>
  <c r="B47" i="9"/>
  <c r="C47" i="9" s="1"/>
  <c r="F46" i="9"/>
  <c r="D46" i="9"/>
  <c r="B46" i="9"/>
  <c r="F45" i="9"/>
  <c r="D45" i="9"/>
  <c r="B45" i="9"/>
  <c r="F44" i="9"/>
  <c r="D44" i="9"/>
  <c r="E45" i="9" s="1"/>
  <c r="B44" i="9"/>
  <c r="C44" i="9" s="1"/>
  <c r="F43" i="9"/>
  <c r="D43" i="9"/>
  <c r="B43" i="9"/>
  <c r="F42" i="9"/>
  <c r="D42" i="9"/>
  <c r="E42" i="9" s="1"/>
  <c r="B42" i="9"/>
  <c r="C42" i="9" s="1"/>
  <c r="F41" i="9"/>
  <c r="D41" i="9"/>
  <c r="B41" i="9"/>
  <c r="F40" i="9"/>
  <c r="D40" i="9"/>
  <c r="B40" i="9"/>
  <c r="C41" i="9" s="1"/>
  <c r="F39" i="9"/>
  <c r="D39" i="9"/>
  <c r="B39" i="9"/>
  <c r="F38" i="9"/>
  <c r="D38" i="9"/>
  <c r="B38" i="9"/>
  <c r="F37" i="9"/>
  <c r="D37" i="9"/>
  <c r="B37" i="9"/>
  <c r="F36" i="9"/>
  <c r="D36" i="9"/>
  <c r="B36" i="9"/>
  <c r="F35" i="9"/>
  <c r="D35" i="9"/>
  <c r="B35" i="9"/>
  <c r="F34" i="9"/>
  <c r="D34" i="9"/>
  <c r="B34" i="9"/>
  <c r="C35" i="9" s="1"/>
  <c r="F33" i="9"/>
  <c r="D33" i="9"/>
  <c r="B33" i="9"/>
  <c r="F32" i="9"/>
  <c r="D32" i="9"/>
  <c r="B32" i="9"/>
  <c r="C32" i="9" s="1"/>
  <c r="F31" i="9"/>
  <c r="D31" i="9"/>
  <c r="E31" i="9" s="1"/>
  <c r="C31" i="9"/>
  <c r="B31" i="9"/>
  <c r="F30" i="9"/>
  <c r="D30" i="9"/>
  <c r="B30" i="9"/>
  <c r="F29" i="9"/>
  <c r="D29" i="9"/>
  <c r="B29" i="9"/>
  <c r="F28" i="9"/>
  <c r="D28" i="9"/>
  <c r="B28" i="9"/>
  <c r="F27" i="9"/>
  <c r="D27" i="9"/>
  <c r="B27" i="9"/>
  <c r="F26" i="9"/>
  <c r="D26" i="9"/>
  <c r="B26" i="9"/>
  <c r="F25" i="9"/>
  <c r="D25" i="9"/>
  <c r="B25" i="9"/>
  <c r="F24" i="9"/>
  <c r="D24" i="9"/>
  <c r="B24" i="9"/>
  <c r="F23" i="9"/>
  <c r="D23" i="9"/>
  <c r="B23" i="9"/>
  <c r="F22" i="9"/>
  <c r="D22" i="9"/>
  <c r="B22" i="9"/>
  <c r="F21" i="9"/>
  <c r="D21" i="9"/>
  <c r="B21" i="9"/>
  <c r="F20" i="9"/>
  <c r="D20" i="9"/>
  <c r="B20" i="9"/>
  <c r="F19" i="9"/>
  <c r="D19" i="9"/>
  <c r="B19" i="9"/>
  <c r="C19" i="9" s="1"/>
  <c r="F18" i="9"/>
  <c r="D18" i="9"/>
  <c r="B18" i="9"/>
  <c r="F17" i="9"/>
  <c r="D17" i="9"/>
  <c r="B17" i="9"/>
  <c r="F16" i="9"/>
  <c r="D16" i="9"/>
  <c r="B16" i="9"/>
  <c r="F15" i="9"/>
  <c r="D15" i="9"/>
  <c r="B15" i="9"/>
  <c r="F14" i="9"/>
  <c r="D14" i="9"/>
  <c r="B14" i="9"/>
  <c r="F13" i="9"/>
  <c r="D13" i="9"/>
  <c r="B13" i="9"/>
  <c r="F12" i="9"/>
  <c r="D12" i="9"/>
  <c r="B12" i="9"/>
  <c r="F11" i="9"/>
  <c r="D11" i="9"/>
  <c r="C11" i="9"/>
  <c r="B11" i="9"/>
  <c r="F10" i="9"/>
  <c r="D10" i="9"/>
  <c r="B10" i="9"/>
  <c r="F9" i="9"/>
  <c r="D9" i="9"/>
  <c r="E10" i="9" s="1"/>
  <c r="B9" i="9"/>
  <c r="F8" i="9"/>
  <c r="D8" i="9"/>
  <c r="E8" i="9" s="1"/>
  <c r="B8" i="9"/>
  <c r="F7" i="9"/>
  <c r="D7" i="9"/>
  <c r="B7" i="9"/>
  <c r="F6" i="9"/>
  <c r="D6" i="9"/>
  <c r="E7" i="9" s="1"/>
  <c r="B6" i="9"/>
  <c r="C7" i="9" s="1"/>
  <c r="K2" i="9"/>
  <c r="D141" i="8"/>
  <c r="D94" i="6" s="1"/>
  <c r="D9" i="6" s="1"/>
  <c r="B141" i="8"/>
  <c r="D140" i="8"/>
  <c r="B140" i="8"/>
  <c r="D139" i="8"/>
  <c r="D92" i="6" s="1"/>
  <c r="B139" i="8"/>
  <c r="C140" i="8" s="1"/>
  <c r="D138" i="8"/>
  <c r="D91" i="6" s="1"/>
  <c r="B138" i="8"/>
  <c r="E91" i="6" s="1"/>
  <c r="D137" i="8"/>
  <c r="B137" i="8"/>
  <c r="D136" i="8"/>
  <c r="B136" i="8"/>
  <c r="D135" i="8"/>
  <c r="B135" i="8"/>
  <c r="D134" i="8"/>
  <c r="D87" i="6" s="1"/>
  <c r="C134" i="8"/>
  <c r="B134" i="8"/>
  <c r="D133" i="8"/>
  <c r="D86" i="6" s="1"/>
  <c r="B133" i="8"/>
  <c r="D132" i="8"/>
  <c r="B132" i="8"/>
  <c r="C133" i="8" s="1"/>
  <c r="D131" i="8"/>
  <c r="D84" i="6" s="1"/>
  <c r="B131" i="8"/>
  <c r="C132" i="8" s="1"/>
  <c r="D130" i="8"/>
  <c r="D83" i="6" s="1"/>
  <c r="B130" i="8"/>
  <c r="E83" i="6" s="1"/>
  <c r="D129" i="8"/>
  <c r="B129" i="8"/>
  <c r="D128" i="8"/>
  <c r="B128" i="8"/>
  <c r="C128" i="8" s="1"/>
  <c r="D127" i="8"/>
  <c r="D80" i="6" s="1"/>
  <c r="B127" i="8"/>
  <c r="D126" i="8"/>
  <c r="B126" i="8"/>
  <c r="D125" i="8"/>
  <c r="D78" i="6" s="1"/>
  <c r="B125" i="8"/>
  <c r="E78" i="6" s="1"/>
  <c r="D124" i="8"/>
  <c r="B124" i="8"/>
  <c r="D123" i="8"/>
  <c r="B123" i="8"/>
  <c r="C124" i="8" s="1"/>
  <c r="D122" i="8"/>
  <c r="D75" i="6" s="1"/>
  <c r="B122" i="8"/>
  <c r="E75" i="6" s="1"/>
  <c r="D121" i="8"/>
  <c r="D74" i="6" s="1"/>
  <c r="B121" i="8"/>
  <c r="D120" i="8"/>
  <c r="B120" i="8"/>
  <c r="D119" i="8"/>
  <c r="D72" i="6" s="1"/>
  <c r="B119" i="8"/>
  <c r="D118" i="8"/>
  <c r="B118" i="8"/>
  <c r="E71" i="6" s="1"/>
  <c r="D117" i="8"/>
  <c r="D70" i="6" s="1"/>
  <c r="B117" i="8"/>
  <c r="D116" i="8"/>
  <c r="D69" i="6" s="1"/>
  <c r="B116" i="8"/>
  <c r="D115" i="8"/>
  <c r="B115" i="8"/>
  <c r="D114" i="8"/>
  <c r="B114" i="8"/>
  <c r="C114" i="8" s="1"/>
  <c r="D113" i="8"/>
  <c r="D66" i="6" s="1"/>
  <c r="B113" i="8"/>
  <c r="D112" i="8"/>
  <c r="D65" i="6" s="1"/>
  <c r="B112" i="8"/>
  <c r="D111" i="8"/>
  <c r="D64" i="6" s="1"/>
  <c r="B111" i="8"/>
  <c r="C112" i="8" s="1"/>
  <c r="D110" i="8"/>
  <c r="D63" i="6" s="1"/>
  <c r="B110" i="8"/>
  <c r="E63" i="6" s="1"/>
  <c r="D109" i="8"/>
  <c r="B109" i="8"/>
  <c r="E62" i="6" s="1"/>
  <c r="D108" i="8"/>
  <c r="B108" i="8"/>
  <c r="D107" i="8"/>
  <c r="B107" i="8"/>
  <c r="C108" i="8" s="1"/>
  <c r="D106" i="8"/>
  <c r="D59" i="6" s="1"/>
  <c r="B106" i="8"/>
  <c r="C106" i="8" s="1"/>
  <c r="D105" i="8"/>
  <c r="B105" i="8"/>
  <c r="D104" i="8"/>
  <c r="B104" i="8"/>
  <c r="D103" i="8"/>
  <c r="D56" i="6" s="1"/>
  <c r="B103" i="8"/>
  <c r="C104" i="8" s="1"/>
  <c r="D102" i="8"/>
  <c r="D55" i="6" s="1"/>
  <c r="B102" i="8"/>
  <c r="E55" i="6" s="1"/>
  <c r="D101" i="8"/>
  <c r="B101" i="8"/>
  <c r="E54" i="6" s="1"/>
  <c r="D100" i="8"/>
  <c r="B100" i="8"/>
  <c r="D99" i="8"/>
  <c r="B99" i="8"/>
  <c r="D98" i="8"/>
  <c r="D51" i="6" s="1"/>
  <c r="B98" i="8"/>
  <c r="D97" i="8"/>
  <c r="B97" i="8"/>
  <c r="C98" i="8" s="1"/>
  <c r="D96" i="8"/>
  <c r="B96" i="8"/>
  <c r="D95" i="8"/>
  <c r="D48" i="6" s="1"/>
  <c r="B95" i="8"/>
  <c r="C96" i="8" s="1"/>
  <c r="D94" i="8"/>
  <c r="B94" i="8"/>
  <c r="E47" i="6" s="1"/>
  <c r="D93" i="8"/>
  <c r="B93" i="8"/>
  <c r="C94" i="8" s="1"/>
  <c r="D92" i="8"/>
  <c r="B92" i="8"/>
  <c r="E45" i="6" s="1"/>
  <c r="D91" i="8"/>
  <c r="D44" i="6" s="1"/>
  <c r="B91" i="8"/>
  <c r="D90" i="8"/>
  <c r="D43" i="6" s="1"/>
  <c r="B90" i="8"/>
  <c r="D89" i="8"/>
  <c r="B89" i="8"/>
  <c r="D88" i="8"/>
  <c r="D41" i="6" s="1"/>
  <c r="B88" i="8"/>
  <c r="D87" i="8"/>
  <c r="D40" i="6" s="1"/>
  <c r="B87" i="8"/>
  <c r="C88" i="8" s="1"/>
  <c r="D86" i="8"/>
  <c r="B86" i="8"/>
  <c r="E39" i="6" s="1"/>
  <c r="D85" i="8"/>
  <c r="B85" i="8"/>
  <c r="D84" i="8"/>
  <c r="B84" i="8"/>
  <c r="D83" i="8"/>
  <c r="B83" i="8"/>
  <c r="D82" i="8"/>
  <c r="D35" i="6" s="1"/>
  <c r="B82" i="8"/>
  <c r="C83" i="8" s="1"/>
  <c r="D81" i="8"/>
  <c r="D34" i="6" s="1"/>
  <c r="B81" i="8"/>
  <c r="D80" i="8"/>
  <c r="B80" i="8"/>
  <c r="C81" i="8" s="1"/>
  <c r="D79" i="8"/>
  <c r="D32" i="6" s="1"/>
  <c r="B79" i="8"/>
  <c r="D78" i="8"/>
  <c r="B78" i="8"/>
  <c r="D77" i="8"/>
  <c r="B77" i="8"/>
  <c r="D76" i="8"/>
  <c r="B76" i="8"/>
  <c r="D75" i="8"/>
  <c r="B75" i="8"/>
  <c r="D74" i="8"/>
  <c r="B74" i="8"/>
  <c r="D73" i="8"/>
  <c r="B73" i="8"/>
  <c r="D72" i="8"/>
  <c r="B72" i="8"/>
  <c r="D71" i="8"/>
  <c r="D24" i="6" s="1"/>
  <c r="B71" i="8"/>
  <c r="D70" i="8"/>
  <c r="B70" i="8"/>
  <c r="D69" i="8"/>
  <c r="D22" i="6" s="1"/>
  <c r="B69" i="8"/>
  <c r="D68" i="8"/>
  <c r="B68" i="8"/>
  <c r="C69" i="8" s="1"/>
  <c r="D67" i="8"/>
  <c r="B67" i="8"/>
  <c r="D66" i="8"/>
  <c r="C66" i="8"/>
  <c r="B66" i="8"/>
  <c r="E19" i="6" s="1"/>
  <c r="D65" i="8"/>
  <c r="B65" i="8"/>
  <c r="D64" i="8"/>
  <c r="B64" i="8"/>
  <c r="D63" i="8"/>
  <c r="D16" i="6" s="1"/>
  <c r="B63" i="8"/>
  <c r="D62" i="8"/>
  <c r="D15" i="6" s="1"/>
  <c r="B62" i="8"/>
  <c r="D61" i="8"/>
  <c r="B61" i="8"/>
  <c r="D60" i="8"/>
  <c r="B60" i="8"/>
  <c r="D59" i="8"/>
  <c r="D12" i="6" s="1"/>
  <c r="B59" i="8"/>
  <c r="D58" i="8"/>
  <c r="B58" i="8"/>
  <c r="D57" i="8"/>
  <c r="B57" i="8"/>
  <c r="D56" i="8"/>
  <c r="B56" i="8"/>
  <c r="C57" i="8" s="1"/>
  <c r="D55" i="8"/>
  <c r="B55" i="8"/>
  <c r="C56" i="8" s="1"/>
  <c r="D54" i="8"/>
  <c r="B54" i="8"/>
  <c r="D53" i="8"/>
  <c r="B53" i="8"/>
  <c r="D52" i="8"/>
  <c r="B52" i="8"/>
  <c r="C53" i="8" s="1"/>
  <c r="D51" i="8"/>
  <c r="B51" i="8"/>
  <c r="C52" i="8" s="1"/>
  <c r="D50" i="8"/>
  <c r="B50" i="8"/>
  <c r="D49" i="8"/>
  <c r="B49" i="8"/>
  <c r="D48" i="8"/>
  <c r="B48" i="8"/>
  <c r="D47" i="8"/>
  <c r="B47" i="8"/>
  <c r="D46" i="8"/>
  <c r="B46" i="8"/>
  <c r="D45" i="8"/>
  <c r="B45" i="8"/>
  <c r="D44" i="8"/>
  <c r="B44" i="8"/>
  <c r="D43" i="8"/>
  <c r="B43" i="8"/>
  <c r="C44" i="8" s="1"/>
  <c r="D42" i="8"/>
  <c r="B42" i="8"/>
  <c r="D41" i="8"/>
  <c r="B41" i="8"/>
  <c r="D40" i="8"/>
  <c r="B40" i="8"/>
  <c r="C41" i="8" s="1"/>
  <c r="D39" i="8"/>
  <c r="B39" i="8"/>
  <c r="D38" i="8"/>
  <c r="B38" i="8"/>
  <c r="D37" i="8"/>
  <c r="B37" i="8"/>
  <c r="D36" i="8"/>
  <c r="B36" i="8"/>
  <c r="C37" i="8" s="1"/>
  <c r="D35" i="8"/>
  <c r="B35" i="8"/>
  <c r="D34" i="8"/>
  <c r="B34" i="8"/>
  <c r="D33" i="8"/>
  <c r="B33" i="8"/>
  <c r="D32" i="8"/>
  <c r="B32" i="8"/>
  <c r="D31" i="8"/>
  <c r="B31" i="8"/>
  <c r="D30" i="8"/>
  <c r="B30" i="8"/>
  <c r="D29" i="8"/>
  <c r="B29" i="8"/>
  <c r="D28" i="8"/>
  <c r="B28" i="8"/>
  <c r="D27" i="8"/>
  <c r="B27" i="8"/>
  <c r="C28" i="8" s="1"/>
  <c r="D26" i="8"/>
  <c r="B26" i="8"/>
  <c r="D25" i="8"/>
  <c r="B25" i="8"/>
  <c r="D24" i="8"/>
  <c r="B24" i="8"/>
  <c r="D23" i="8"/>
  <c r="B23" i="8"/>
  <c r="D22" i="8"/>
  <c r="B22" i="8"/>
  <c r="D21" i="8"/>
  <c r="B21" i="8"/>
  <c r="D20" i="8"/>
  <c r="B20" i="8"/>
  <c r="C21" i="8" s="1"/>
  <c r="D19" i="8"/>
  <c r="B19" i="8"/>
  <c r="C20" i="8" s="1"/>
  <c r="D18" i="8"/>
  <c r="B18" i="8"/>
  <c r="D17" i="8"/>
  <c r="B17" i="8"/>
  <c r="C18" i="8" s="1"/>
  <c r="D16" i="8"/>
  <c r="B16" i="8"/>
  <c r="C17" i="8" s="1"/>
  <c r="D15" i="8"/>
  <c r="B15" i="8"/>
  <c r="D14" i="8"/>
  <c r="B14" i="8"/>
  <c r="D13" i="8"/>
  <c r="B13" i="8"/>
  <c r="C14" i="8" s="1"/>
  <c r="D12" i="8"/>
  <c r="B12" i="8"/>
  <c r="D11" i="8"/>
  <c r="B11" i="8"/>
  <c r="D10" i="8"/>
  <c r="B10" i="8"/>
  <c r="D9" i="8"/>
  <c r="B9" i="8"/>
  <c r="C10" i="8" s="1"/>
  <c r="D8" i="8"/>
  <c r="B8" i="8"/>
  <c r="D7" i="8"/>
  <c r="B7" i="8"/>
  <c r="D6" i="8"/>
  <c r="B6" i="8"/>
  <c r="K2" i="8"/>
  <c r="D141" i="7"/>
  <c r="B141" i="7"/>
  <c r="C94" i="6" s="1"/>
  <c r="D140" i="7"/>
  <c r="B140" i="7"/>
  <c r="D139" i="7"/>
  <c r="B139" i="7"/>
  <c r="D138" i="7"/>
  <c r="B138" i="7"/>
  <c r="C91" i="6" s="1"/>
  <c r="D137" i="7"/>
  <c r="B137" i="7"/>
  <c r="F136" i="7"/>
  <c r="D136" i="7"/>
  <c r="B136" i="7"/>
  <c r="D135" i="7"/>
  <c r="B135" i="7"/>
  <c r="D134" i="7"/>
  <c r="B134" i="7"/>
  <c r="C87" i="6" s="1"/>
  <c r="D133" i="7"/>
  <c r="F133" i="7" s="1"/>
  <c r="B133" i="7"/>
  <c r="C86" i="6" s="1"/>
  <c r="D132" i="7"/>
  <c r="B132" i="7"/>
  <c r="D131" i="7"/>
  <c r="B131" i="7"/>
  <c r="D130" i="7"/>
  <c r="F130" i="7" s="1"/>
  <c r="B130" i="7"/>
  <c r="C83" i="6" s="1"/>
  <c r="D129" i="7"/>
  <c r="B129" i="7"/>
  <c r="D128" i="7"/>
  <c r="B128" i="7"/>
  <c r="D127" i="7"/>
  <c r="F127" i="7" s="1"/>
  <c r="B127" i="7"/>
  <c r="D126" i="7"/>
  <c r="B126" i="7"/>
  <c r="C126" i="7" s="1"/>
  <c r="D125" i="7"/>
  <c r="B125" i="7"/>
  <c r="C78" i="6" s="1"/>
  <c r="D124" i="7"/>
  <c r="B124" i="7"/>
  <c r="D123" i="7"/>
  <c r="F123" i="7" s="1"/>
  <c r="B123" i="7"/>
  <c r="C123" i="7" s="1"/>
  <c r="F122" i="7"/>
  <c r="D122" i="7"/>
  <c r="B122" i="7"/>
  <c r="D121" i="7"/>
  <c r="B121" i="7"/>
  <c r="C122" i="7" s="1"/>
  <c r="D120" i="7"/>
  <c r="B120" i="7"/>
  <c r="C121" i="7" s="1"/>
  <c r="D119" i="7"/>
  <c r="B119" i="7"/>
  <c r="D118" i="7"/>
  <c r="B118" i="7"/>
  <c r="D117" i="7"/>
  <c r="B117" i="7"/>
  <c r="D116" i="7"/>
  <c r="B116" i="7"/>
  <c r="D115" i="7"/>
  <c r="B115" i="7"/>
  <c r="D114" i="7"/>
  <c r="B114" i="7"/>
  <c r="C67" i="6" s="1"/>
  <c r="D113" i="7"/>
  <c r="F125" i="7" s="1"/>
  <c r="B113" i="7"/>
  <c r="E113" i="7" s="1"/>
  <c r="D112" i="7"/>
  <c r="B112" i="7"/>
  <c r="D111" i="7"/>
  <c r="B111" i="7"/>
  <c r="D110" i="7"/>
  <c r="B110" i="7"/>
  <c r="D109" i="7"/>
  <c r="B109" i="7"/>
  <c r="D108" i="7"/>
  <c r="F108" i="7" s="1"/>
  <c r="B108" i="7"/>
  <c r="D107" i="7"/>
  <c r="B107" i="7"/>
  <c r="D106" i="7"/>
  <c r="F118" i="7" s="1"/>
  <c r="B106" i="7"/>
  <c r="E118" i="7" s="1"/>
  <c r="D105" i="7"/>
  <c r="B105" i="7"/>
  <c r="D104" i="7"/>
  <c r="B104" i="7"/>
  <c r="D103" i="7"/>
  <c r="B103" i="7"/>
  <c r="D102" i="7"/>
  <c r="F114" i="7" s="1"/>
  <c r="B102" i="7"/>
  <c r="D101" i="7"/>
  <c r="F113" i="7" s="1"/>
  <c r="B101" i="7"/>
  <c r="C54" i="6" s="1"/>
  <c r="D100" i="7"/>
  <c r="B100" i="7"/>
  <c r="D99" i="7"/>
  <c r="B99" i="7"/>
  <c r="D98" i="7"/>
  <c r="F110" i="7" s="1"/>
  <c r="B98" i="7"/>
  <c r="E98" i="7" s="1"/>
  <c r="D97" i="7"/>
  <c r="F109" i="7" s="1"/>
  <c r="B97" i="7"/>
  <c r="D96" i="7"/>
  <c r="B96" i="7"/>
  <c r="C49" i="6" s="1"/>
  <c r="D95" i="7"/>
  <c r="B95" i="7"/>
  <c r="D94" i="7"/>
  <c r="F106" i="7" s="1"/>
  <c r="B94" i="7"/>
  <c r="D93" i="7"/>
  <c r="B93" i="7"/>
  <c r="C46" i="6" s="1"/>
  <c r="D92" i="7"/>
  <c r="B92" i="7"/>
  <c r="D91" i="7"/>
  <c r="F91" i="7" s="1"/>
  <c r="B91" i="7"/>
  <c r="E103" i="7" s="1"/>
  <c r="D90" i="7"/>
  <c r="B90" i="7"/>
  <c r="D89" i="7"/>
  <c r="B89" i="7"/>
  <c r="D88" i="7"/>
  <c r="B88" i="7"/>
  <c r="D87" i="7"/>
  <c r="B87" i="7"/>
  <c r="D86" i="7"/>
  <c r="B86" i="7"/>
  <c r="C87" i="7" s="1"/>
  <c r="D85" i="7"/>
  <c r="B85" i="7"/>
  <c r="C38" i="6" s="1"/>
  <c r="D84" i="7"/>
  <c r="F96" i="7" s="1"/>
  <c r="B84" i="7"/>
  <c r="D83" i="7"/>
  <c r="B83" i="7"/>
  <c r="D82" i="7"/>
  <c r="B82" i="7"/>
  <c r="C35" i="6" s="1"/>
  <c r="D81" i="7"/>
  <c r="F93" i="7" s="1"/>
  <c r="B81" i="7"/>
  <c r="E81" i="7" s="1"/>
  <c r="D80" i="7"/>
  <c r="B80" i="7"/>
  <c r="D79" i="7"/>
  <c r="B79" i="7"/>
  <c r="D78" i="7"/>
  <c r="F90" i="7" s="1"/>
  <c r="B78" i="7"/>
  <c r="D77" i="7"/>
  <c r="F89" i="7" s="1"/>
  <c r="B77" i="7"/>
  <c r="C30" i="6" s="1"/>
  <c r="D76" i="7"/>
  <c r="B76" i="7"/>
  <c r="D75" i="7"/>
  <c r="B75" i="7"/>
  <c r="C28" i="6" s="1"/>
  <c r="D74" i="7"/>
  <c r="B74" i="7"/>
  <c r="E86" i="7" s="1"/>
  <c r="D73" i="7"/>
  <c r="B73" i="7"/>
  <c r="C26" i="6" s="1"/>
  <c r="D72" i="7"/>
  <c r="B72" i="7"/>
  <c r="D71" i="7"/>
  <c r="B71" i="7"/>
  <c r="D70" i="7"/>
  <c r="F82" i="7" s="1"/>
  <c r="B70" i="7"/>
  <c r="E69" i="7"/>
  <c r="D69" i="7"/>
  <c r="F81" i="7" s="1"/>
  <c r="B69" i="7"/>
  <c r="D68" i="7"/>
  <c r="B68" i="7"/>
  <c r="D67" i="7"/>
  <c r="B67" i="7"/>
  <c r="D66" i="7"/>
  <c r="F78" i="7" s="1"/>
  <c r="B66" i="7"/>
  <c r="C19" i="6" s="1"/>
  <c r="D65" i="7"/>
  <c r="B65" i="7"/>
  <c r="D64" i="7"/>
  <c r="B64" i="7"/>
  <c r="C17" i="6" s="1"/>
  <c r="D63" i="7"/>
  <c r="B63" i="7"/>
  <c r="D62" i="7"/>
  <c r="F74" i="7" s="1"/>
  <c r="B62" i="7"/>
  <c r="C15" i="6" s="1"/>
  <c r="D61" i="7"/>
  <c r="B61" i="7"/>
  <c r="D60" i="7"/>
  <c r="B60" i="7"/>
  <c r="D59" i="7"/>
  <c r="B59" i="7"/>
  <c r="D58" i="7"/>
  <c r="F70" i="7" s="1"/>
  <c r="B58" i="7"/>
  <c r="D57" i="7"/>
  <c r="B57" i="7"/>
  <c r="D56" i="7"/>
  <c r="B56" i="7"/>
  <c r="C57" i="7" s="1"/>
  <c r="D55" i="7"/>
  <c r="B55" i="7"/>
  <c r="C55" i="7" s="1"/>
  <c r="D54" i="7"/>
  <c r="B54" i="7"/>
  <c r="D53" i="7"/>
  <c r="F65" i="7" s="1"/>
  <c r="B53" i="7"/>
  <c r="D52" i="7"/>
  <c r="B52" i="7"/>
  <c r="D51" i="7"/>
  <c r="B51" i="7"/>
  <c r="C51" i="7" s="1"/>
  <c r="D50" i="7"/>
  <c r="B50" i="7"/>
  <c r="D49" i="7"/>
  <c r="F61" i="7" s="1"/>
  <c r="B49" i="7"/>
  <c r="D48" i="7"/>
  <c r="B48" i="7"/>
  <c r="D47" i="7"/>
  <c r="B47" i="7"/>
  <c r="D46" i="7"/>
  <c r="B46" i="7"/>
  <c r="D45" i="7"/>
  <c r="B45" i="7"/>
  <c r="D44" i="7"/>
  <c r="B44" i="7"/>
  <c r="D43" i="7"/>
  <c r="B43" i="7"/>
  <c r="E55" i="7" s="1"/>
  <c r="D42" i="7"/>
  <c r="B42" i="7"/>
  <c r="E54" i="7" s="1"/>
  <c r="D41" i="7"/>
  <c r="B41" i="7"/>
  <c r="D40" i="7"/>
  <c r="B40" i="7"/>
  <c r="D39" i="7"/>
  <c r="B39" i="7"/>
  <c r="D38" i="7"/>
  <c r="F50" i="7" s="1"/>
  <c r="B38" i="7"/>
  <c r="D37" i="7"/>
  <c r="B37" i="7"/>
  <c r="D36" i="7"/>
  <c r="B36" i="7"/>
  <c r="D35" i="7"/>
  <c r="B35" i="7"/>
  <c r="C35" i="7" s="1"/>
  <c r="D34" i="7"/>
  <c r="F46" i="7" s="1"/>
  <c r="B34" i="7"/>
  <c r="D33" i="7"/>
  <c r="B33" i="7"/>
  <c r="E32" i="7"/>
  <c r="D32" i="7"/>
  <c r="F32" i="7" s="1"/>
  <c r="B32" i="7"/>
  <c r="D31" i="7"/>
  <c r="F31" i="7" s="1"/>
  <c r="B31" i="7"/>
  <c r="D30" i="7"/>
  <c r="B30" i="7"/>
  <c r="E29" i="7"/>
  <c r="D29" i="7"/>
  <c r="F41" i="7" s="1"/>
  <c r="B29" i="7"/>
  <c r="D28" i="7"/>
  <c r="B28" i="7"/>
  <c r="C29" i="7" s="1"/>
  <c r="D27" i="7"/>
  <c r="B27" i="7"/>
  <c r="D26" i="7"/>
  <c r="B26" i="7"/>
  <c r="D25" i="7"/>
  <c r="B25" i="7"/>
  <c r="C25" i="7" s="1"/>
  <c r="D24" i="7"/>
  <c r="F24" i="7" s="1"/>
  <c r="B24" i="7"/>
  <c r="D23" i="7"/>
  <c r="B23" i="7"/>
  <c r="D22" i="7"/>
  <c r="B22" i="7"/>
  <c r="C23" i="7" s="1"/>
  <c r="D21" i="7"/>
  <c r="B21" i="7"/>
  <c r="D20" i="7"/>
  <c r="B20" i="7"/>
  <c r="D19" i="7"/>
  <c r="B19" i="7"/>
  <c r="D18" i="7"/>
  <c r="B18" i="7"/>
  <c r="E18" i="7" s="1"/>
  <c r="D17" i="7"/>
  <c r="B17" i="7"/>
  <c r="D16" i="7"/>
  <c r="B16" i="7"/>
  <c r="D15" i="7"/>
  <c r="B15" i="7"/>
  <c r="C16" i="7" s="1"/>
  <c r="D14" i="7"/>
  <c r="B14" i="7"/>
  <c r="D13" i="7"/>
  <c r="B13" i="7"/>
  <c r="D12" i="7"/>
  <c r="B12" i="7"/>
  <c r="E24" i="7" s="1"/>
  <c r="D11" i="7"/>
  <c r="C11" i="7"/>
  <c r="B11" i="7"/>
  <c r="E23" i="7" s="1"/>
  <c r="D10" i="7"/>
  <c r="B10" i="7"/>
  <c r="D9" i="7"/>
  <c r="B9" i="7"/>
  <c r="C10" i="7" s="1"/>
  <c r="D8" i="7"/>
  <c r="B8" i="7"/>
  <c r="D7" i="7"/>
  <c r="F19" i="7" s="1"/>
  <c r="B7" i="7"/>
  <c r="C8" i="7" s="1"/>
  <c r="D6" i="7"/>
  <c r="B6" i="7"/>
  <c r="K2" i="7"/>
  <c r="AB94" i="6"/>
  <c r="AA94" i="6"/>
  <c r="AA9" i="6" s="1"/>
  <c r="Z94" i="6"/>
  <c r="Y94" i="6"/>
  <c r="X94" i="6"/>
  <c r="X9" i="6" s="1"/>
  <c r="W94" i="6"/>
  <c r="V94" i="6"/>
  <c r="U94" i="6"/>
  <c r="P32" i="1" s="1"/>
  <c r="T94" i="6"/>
  <c r="S94" i="6"/>
  <c r="S9" i="6" s="1"/>
  <c r="R94" i="6"/>
  <c r="Q94" i="6"/>
  <c r="P94" i="6"/>
  <c r="O94" i="6"/>
  <c r="N94" i="6"/>
  <c r="M94" i="6"/>
  <c r="P24" i="1" s="1"/>
  <c r="L94" i="6"/>
  <c r="K94" i="6"/>
  <c r="K9" i="6" s="1"/>
  <c r="J94" i="6"/>
  <c r="I94" i="6"/>
  <c r="H94" i="6"/>
  <c r="P19" i="1" s="1"/>
  <c r="G94" i="6"/>
  <c r="E94" i="6"/>
  <c r="AB93" i="6"/>
  <c r="AA93" i="6"/>
  <c r="Z93" i="6"/>
  <c r="Y93" i="6"/>
  <c r="X93" i="6"/>
  <c r="W93" i="6"/>
  <c r="V93" i="6"/>
  <c r="U93" i="6"/>
  <c r="T93" i="6"/>
  <c r="S93" i="6"/>
  <c r="R93" i="6"/>
  <c r="Q93" i="6"/>
  <c r="P93" i="6"/>
  <c r="O93" i="6"/>
  <c r="N93" i="6"/>
  <c r="M93" i="6"/>
  <c r="L93" i="6"/>
  <c r="K93" i="6"/>
  <c r="J93" i="6"/>
  <c r="I93" i="6"/>
  <c r="H93" i="6"/>
  <c r="G93" i="6"/>
  <c r="F93" i="6"/>
  <c r="E93" i="6"/>
  <c r="D93" i="6"/>
  <c r="AB92" i="6"/>
  <c r="AA92" i="6"/>
  <c r="Z92" i="6"/>
  <c r="Y92" i="6"/>
  <c r="X92" i="6"/>
  <c r="W92" i="6"/>
  <c r="V92" i="6"/>
  <c r="U92" i="6"/>
  <c r="T92" i="6"/>
  <c r="S92" i="6"/>
  <c r="R92" i="6"/>
  <c r="Q92" i="6"/>
  <c r="P92" i="6"/>
  <c r="O92" i="6"/>
  <c r="N92" i="6"/>
  <c r="M92" i="6"/>
  <c r="L92" i="6"/>
  <c r="K92" i="6"/>
  <c r="J92" i="6"/>
  <c r="I92" i="6"/>
  <c r="H92" i="6"/>
  <c r="G92" i="6"/>
  <c r="F92" i="6"/>
  <c r="AB91" i="6"/>
  <c r="AA91" i="6"/>
  <c r="Z91" i="6"/>
  <c r="Y91" i="6"/>
  <c r="X91" i="6"/>
  <c r="W91" i="6"/>
  <c r="V91" i="6"/>
  <c r="U91" i="6"/>
  <c r="T91" i="6"/>
  <c r="S91" i="6"/>
  <c r="R91" i="6"/>
  <c r="Q91" i="6"/>
  <c r="P91" i="6"/>
  <c r="O91" i="6"/>
  <c r="N91" i="6"/>
  <c r="M91" i="6"/>
  <c r="L91" i="6"/>
  <c r="K91" i="6"/>
  <c r="J91" i="6"/>
  <c r="I91" i="6"/>
  <c r="H91" i="6"/>
  <c r="G91" i="6"/>
  <c r="AB90" i="6"/>
  <c r="AA90" i="6"/>
  <c r="Z90" i="6"/>
  <c r="Y90" i="6"/>
  <c r="X90" i="6"/>
  <c r="W90" i="6"/>
  <c r="V90" i="6"/>
  <c r="U90" i="6"/>
  <c r="T90" i="6"/>
  <c r="S90" i="6"/>
  <c r="R90" i="6"/>
  <c r="Q90" i="6"/>
  <c r="P90" i="6"/>
  <c r="O90" i="6"/>
  <c r="N90" i="6"/>
  <c r="M90" i="6"/>
  <c r="L90" i="6"/>
  <c r="K90" i="6"/>
  <c r="J90" i="6"/>
  <c r="I90" i="6"/>
  <c r="H90" i="6"/>
  <c r="G90" i="6"/>
  <c r="F90" i="6"/>
  <c r="D90" i="6"/>
  <c r="AB89" i="6"/>
  <c r="AA89" i="6"/>
  <c r="Z89" i="6"/>
  <c r="Y89" i="6"/>
  <c r="X89" i="6"/>
  <c r="W89" i="6"/>
  <c r="V89" i="6"/>
  <c r="U89" i="6"/>
  <c r="T89" i="6"/>
  <c r="S89" i="6"/>
  <c r="R89" i="6"/>
  <c r="Q89" i="6"/>
  <c r="P89" i="6"/>
  <c r="O89" i="6"/>
  <c r="N89" i="6"/>
  <c r="M89" i="6"/>
  <c r="L89" i="6"/>
  <c r="K89" i="6"/>
  <c r="J89" i="6"/>
  <c r="I89" i="6"/>
  <c r="H89" i="6"/>
  <c r="G89" i="6"/>
  <c r="F89" i="6"/>
  <c r="E89" i="6"/>
  <c r="D89" i="6"/>
  <c r="AB88" i="6"/>
  <c r="AA88" i="6"/>
  <c r="Z88" i="6"/>
  <c r="Y88" i="6"/>
  <c r="X88" i="6"/>
  <c r="W88" i="6"/>
  <c r="V88" i="6"/>
  <c r="U88" i="6"/>
  <c r="T88" i="6"/>
  <c r="S88" i="6"/>
  <c r="R88" i="6"/>
  <c r="Q88" i="6"/>
  <c r="P88" i="6"/>
  <c r="O88" i="6"/>
  <c r="N88" i="6"/>
  <c r="M88" i="6"/>
  <c r="L88" i="6"/>
  <c r="K88" i="6"/>
  <c r="J88" i="6"/>
  <c r="I88" i="6"/>
  <c r="H88" i="6"/>
  <c r="G88" i="6"/>
  <c r="F88" i="6"/>
  <c r="E88" i="6"/>
  <c r="D88" i="6"/>
  <c r="AB87" i="6"/>
  <c r="AA87" i="6"/>
  <c r="Z87" i="6"/>
  <c r="Y87" i="6"/>
  <c r="X87" i="6"/>
  <c r="W87" i="6"/>
  <c r="V87" i="6"/>
  <c r="U87" i="6"/>
  <c r="T87" i="6"/>
  <c r="S87" i="6"/>
  <c r="R87" i="6"/>
  <c r="Q87" i="6"/>
  <c r="P87" i="6"/>
  <c r="O87" i="6"/>
  <c r="N87" i="6"/>
  <c r="M87" i="6"/>
  <c r="L87" i="6"/>
  <c r="K87" i="6"/>
  <c r="J87" i="6"/>
  <c r="I87" i="6"/>
  <c r="F87" i="6"/>
  <c r="E87" i="6"/>
  <c r="AB86" i="6"/>
  <c r="AA86" i="6"/>
  <c r="Z86" i="6"/>
  <c r="Y86" i="6"/>
  <c r="X86" i="6"/>
  <c r="W86" i="6"/>
  <c r="V86" i="6"/>
  <c r="U86" i="6"/>
  <c r="T86" i="6"/>
  <c r="S86" i="6"/>
  <c r="R86" i="6"/>
  <c r="Q86" i="6"/>
  <c r="P86" i="6"/>
  <c r="O86" i="6"/>
  <c r="N86" i="6"/>
  <c r="M86" i="6"/>
  <c r="L86" i="6"/>
  <c r="K86" i="6"/>
  <c r="J86" i="6"/>
  <c r="I86" i="6"/>
  <c r="G86" i="6"/>
  <c r="F86" i="6"/>
  <c r="E86" i="6"/>
  <c r="AB85" i="6"/>
  <c r="AA85" i="6"/>
  <c r="Z85" i="6"/>
  <c r="Y85" i="6"/>
  <c r="X85" i="6"/>
  <c r="W85" i="6"/>
  <c r="V85" i="6"/>
  <c r="U85" i="6"/>
  <c r="T85" i="6"/>
  <c r="S85" i="6"/>
  <c r="R85" i="6"/>
  <c r="Q85" i="6"/>
  <c r="P85" i="6"/>
  <c r="O85" i="6"/>
  <c r="N85" i="6"/>
  <c r="M85" i="6"/>
  <c r="L85" i="6"/>
  <c r="K85" i="6"/>
  <c r="J85" i="6"/>
  <c r="I85" i="6"/>
  <c r="H85" i="6"/>
  <c r="G85" i="6"/>
  <c r="F85" i="6"/>
  <c r="E85" i="6"/>
  <c r="D85" i="6"/>
  <c r="AB84" i="6"/>
  <c r="AA84" i="6"/>
  <c r="Z84" i="6"/>
  <c r="Y84" i="6"/>
  <c r="X84" i="6"/>
  <c r="W84" i="6"/>
  <c r="V84" i="6"/>
  <c r="U84" i="6"/>
  <c r="T84" i="6"/>
  <c r="S84" i="6"/>
  <c r="R84" i="6"/>
  <c r="Q84" i="6"/>
  <c r="P84" i="6"/>
  <c r="O84" i="6"/>
  <c r="N84" i="6"/>
  <c r="M84" i="6"/>
  <c r="L84" i="6"/>
  <c r="K84" i="6"/>
  <c r="J84" i="6"/>
  <c r="I84" i="6"/>
  <c r="H84" i="6"/>
  <c r="G84" i="6"/>
  <c r="F84" i="6"/>
  <c r="AB83" i="6"/>
  <c r="AA83" i="6"/>
  <c r="Z83" i="6"/>
  <c r="Y83" i="6"/>
  <c r="X83" i="6"/>
  <c r="W83" i="6"/>
  <c r="V83" i="6"/>
  <c r="U83" i="6"/>
  <c r="T83" i="6"/>
  <c r="S83" i="6"/>
  <c r="R83" i="6"/>
  <c r="Q83" i="6"/>
  <c r="P83" i="6"/>
  <c r="O83" i="6"/>
  <c r="N83" i="6"/>
  <c r="M83" i="6"/>
  <c r="L83" i="6"/>
  <c r="K83" i="6"/>
  <c r="J83" i="6"/>
  <c r="I83" i="6"/>
  <c r="H83" i="6"/>
  <c r="G83" i="6"/>
  <c r="AB82" i="6"/>
  <c r="AA82" i="6"/>
  <c r="Z82" i="6"/>
  <c r="Y82" i="6"/>
  <c r="Y7" i="6" s="1"/>
  <c r="X82" i="6"/>
  <c r="W82" i="6"/>
  <c r="V82" i="6"/>
  <c r="U82" i="6"/>
  <c r="T82" i="6"/>
  <c r="S82" i="6"/>
  <c r="R82" i="6"/>
  <c r="Q82" i="6"/>
  <c r="P82" i="6"/>
  <c r="O82" i="6"/>
  <c r="N82" i="6"/>
  <c r="M82" i="6"/>
  <c r="L82" i="6"/>
  <c r="K82" i="6"/>
  <c r="J82" i="6"/>
  <c r="I82" i="6"/>
  <c r="H82" i="6"/>
  <c r="D82" i="6"/>
  <c r="C82" i="6"/>
  <c r="AB81" i="6"/>
  <c r="AA81" i="6"/>
  <c r="Z81" i="6"/>
  <c r="Y81" i="6"/>
  <c r="X81" i="6"/>
  <c r="W81" i="6"/>
  <c r="V81" i="6"/>
  <c r="U81" i="6"/>
  <c r="T81" i="6"/>
  <c r="S81" i="6"/>
  <c r="R81" i="6"/>
  <c r="Q81" i="6"/>
  <c r="P81" i="6"/>
  <c r="O81" i="6"/>
  <c r="N81" i="6"/>
  <c r="M81" i="6"/>
  <c r="L81" i="6"/>
  <c r="K81" i="6"/>
  <c r="J81" i="6"/>
  <c r="I81" i="6"/>
  <c r="H81" i="6"/>
  <c r="G81" i="6"/>
  <c r="D81" i="6"/>
  <c r="C81" i="6"/>
  <c r="AB80" i="6"/>
  <c r="AA80" i="6"/>
  <c r="Z80" i="6"/>
  <c r="Y80" i="6"/>
  <c r="X80" i="6"/>
  <c r="W80" i="6"/>
  <c r="V80" i="6"/>
  <c r="U80" i="6"/>
  <c r="T80" i="6"/>
  <c r="S80" i="6"/>
  <c r="R80" i="6"/>
  <c r="Q80" i="6"/>
  <c r="P80" i="6"/>
  <c r="O80" i="6"/>
  <c r="N80" i="6"/>
  <c r="M80" i="6"/>
  <c r="L80" i="6"/>
  <c r="K80" i="6"/>
  <c r="J80" i="6"/>
  <c r="I80" i="6"/>
  <c r="G80" i="6"/>
  <c r="E80" i="6"/>
  <c r="AB79" i="6"/>
  <c r="AA79" i="6"/>
  <c r="Z79" i="6"/>
  <c r="Y79" i="6"/>
  <c r="X79" i="6"/>
  <c r="W79" i="6"/>
  <c r="V79" i="6"/>
  <c r="U79" i="6"/>
  <c r="T79" i="6"/>
  <c r="S79" i="6"/>
  <c r="R79" i="6"/>
  <c r="Q79" i="6"/>
  <c r="P79" i="6"/>
  <c r="O79" i="6"/>
  <c r="N79" i="6"/>
  <c r="M79" i="6"/>
  <c r="L79" i="6"/>
  <c r="K79" i="6"/>
  <c r="J79" i="6"/>
  <c r="I79" i="6"/>
  <c r="F79" i="6"/>
  <c r="D79" i="6"/>
  <c r="AB78" i="6"/>
  <c r="AA78" i="6"/>
  <c r="Z78" i="6"/>
  <c r="Y78" i="6"/>
  <c r="X78" i="6"/>
  <c r="W78" i="6"/>
  <c r="V78" i="6"/>
  <c r="U78" i="6"/>
  <c r="T78" i="6"/>
  <c r="S78" i="6"/>
  <c r="R78" i="6"/>
  <c r="Q78" i="6"/>
  <c r="P78" i="6"/>
  <c r="O78" i="6"/>
  <c r="N78" i="6"/>
  <c r="M78" i="6"/>
  <c r="L78" i="6"/>
  <c r="K78" i="6"/>
  <c r="J78" i="6"/>
  <c r="I78" i="6"/>
  <c r="G78" i="6"/>
  <c r="AB77" i="6"/>
  <c r="AA77" i="6"/>
  <c r="Z77" i="6"/>
  <c r="Y77" i="6"/>
  <c r="X77" i="6"/>
  <c r="W77" i="6"/>
  <c r="V77" i="6"/>
  <c r="U77" i="6"/>
  <c r="T77" i="6"/>
  <c r="S77" i="6"/>
  <c r="R77" i="6"/>
  <c r="Q77" i="6"/>
  <c r="P77" i="6"/>
  <c r="O77" i="6"/>
  <c r="N77" i="6"/>
  <c r="M77" i="6"/>
  <c r="L77" i="6"/>
  <c r="K77" i="6"/>
  <c r="J77" i="6"/>
  <c r="I77" i="6"/>
  <c r="H77" i="6"/>
  <c r="G77" i="6"/>
  <c r="F77" i="6"/>
  <c r="E77" i="6"/>
  <c r="D77" i="6"/>
  <c r="AB76" i="6"/>
  <c r="AA76" i="6"/>
  <c r="Z76" i="6"/>
  <c r="Y76" i="6"/>
  <c r="X76" i="6"/>
  <c r="W76" i="6"/>
  <c r="V76" i="6"/>
  <c r="U76" i="6"/>
  <c r="T76" i="6"/>
  <c r="S76" i="6"/>
  <c r="R76" i="6"/>
  <c r="Q76" i="6"/>
  <c r="P76" i="6"/>
  <c r="O76" i="6"/>
  <c r="N76" i="6"/>
  <c r="M76" i="6"/>
  <c r="L76" i="6"/>
  <c r="K76" i="6"/>
  <c r="J76" i="6"/>
  <c r="I76" i="6"/>
  <c r="H76" i="6"/>
  <c r="G76" i="6"/>
  <c r="D76" i="6"/>
  <c r="AB75" i="6"/>
  <c r="AA75" i="6"/>
  <c r="Z75" i="6"/>
  <c r="Y75" i="6"/>
  <c r="X75" i="6"/>
  <c r="W75" i="6"/>
  <c r="V75" i="6"/>
  <c r="U75" i="6"/>
  <c r="T75" i="6"/>
  <c r="S75" i="6"/>
  <c r="R75" i="6"/>
  <c r="Q75" i="6"/>
  <c r="P75" i="6"/>
  <c r="O75" i="6"/>
  <c r="N75" i="6"/>
  <c r="M75" i="6"/>
  <c r="L75" i="6"/>
  <c r="K75" i="6"/>
  <c r="J75" i="6"/>
  <c r="I75" i="6"/>
  <c r="H75" i="6"/>
  <c r="G75" i="6"/>
  <c r="F75" i="6"/>
  <c r="C75" i="6"/>
  <c r="AB74" i="6"/>
  <c r="AA74" i="6"/>
  <c r="Z74" i="6"/>
  <c r="Y74" i="6"/>
  <c r="X74" i="6"/>
  <c r="W74" i="6"/>
  <c r="V74" i="6"/>
  <c r="U74" i="6"/>
  <c r="T74" i="6"/>
  <c r="S74" i="6"/>
  <c r="R74" i="6"/>
  <c r="Q74" i="6"/>
  <c r="P74" i="6"/>
  <c r="O74" i="6"/>
  <c r="N74" i="6"/>
  <c r="M74" i="6"/>
  <c r="L74" i="6"/>
  <c r="K74" i="6"/>
  <c r="J74" i="6"/>
  <c r="I74" i="6"/>
  <c r="H74" i="6"/>
  <c r="F74" i="6"/>
  <c r="AB73" i="6"/>
  <c r="AA73" i="6"/>
  <c r="Z73" i="6"/>
  <c r="Y73" i="6"/>
  <c r="X73" i="6"/>
  <c r="W73" i="6"/>
  <c r="V73" i="6"/>
  <c r="U73" i="6"/>
  <c r="T73" i="6"/>
  <c r="S73" i="6"/>
  <c r="R73" i="6"/>
  <c r="Q73" i="6"/>
  <c r="P73" i="6"/>
  <c r="O73" i="6"/>
  <c r="N73" i="6"/>
  <c r="M73" i="6"/>
  <c r="L73" i="6"/>
  <c r="K73" i="6"/>
  <c r="J73" i="6"/>
  <c r="I73" i="6"/>
  <c r="H73" i="6"/>
  <c r="G73" i="6"/>
  <c r="F73" i="6"/>
  <c r="E73" i="6"/>
  <c r="D73" i="6"/>
  <c r="AB72" i="6"/>
  <c r="AA72" i="6"/>
  <c r="Z72" i="6"/>
  <c r="Y72" i="6"/>
  <c r="X72" i="6"/>
  <c r="W72" i="6"/>
  <c r="V72" i="6"/>
  <c r="U72" i="6"/>
  <c r="T72" i="6"/>
  <c r="S72" i="6"/>
  <c r="R72" i="6"/>
  <c r="Q72" i="6"/>
  <c r="P72" i="6"/>
  <c r="O72" i="6"/>
  <c r="N72" i="6"/>
  <c r="M72" i="6"/>
  <c r="L72" i="6"/>
  <c r="K72" i="6"/>
  <c r="J72" i="6"/>
  <c r="I72" i="6"/>
  <c r="H72" i="6"/>
  <c r="G72" i="6"/>
  <c r="F72" i="6"/>
  <c r="E72" i="6"/>
  <c r="AB71" i="6"/>
  <c r="AA71" i="6"/>
  <c r="Z71" i="6"/>
  <c r="Y71" i="6"/>
  <c r="X71" i="6"/>
  <c r="W71" i="6"/>
  <c r="V71" i="6"/>
  <c r="U71" i="6"/>
  <c r="T71" i="6"/>
  <c r="S71" i="6"/>
  <c r="R71" i="6"/>
  <c r="Q71" i="6"/>
  <c r="P71" i="6"/>
  <c r="O71" i="6"/>
  <c r="N71" i="6"/>
  <c r="M71" i="6"/>
  <c r="L71" i="6"/>
  <c r="K71" i="6"/>
  <c r="J71" i="6"/>
  <c r="I71" i="6"/>
  <c r="H71" i="6"/>
  <c r="G71" i="6"/>
  <c r="F71" i="6"/>
  <c r="D71" i="6"/>
  <c r="C71" i="6"/>
  <c r="AB70" i="6"/>
  <c r="AA70" i="6"/>
  <c r="Z70" i="6"/>
  <c r="Y70" i="6"/>
  <c r="X70" i="6"/>
  <c r="W70" i="6"/>
  <c r="V70" i="6"/>
  <c r="U70" i="6"/>
  <c r="T70" i="6"/>
  <c r="S70" i="6"/>
  <c r="R70" i="6"/>
  <c r="Q70" i="6"/>
  <c r="P70" i="6"/>
  <c r="O70" i="6"/>
  <c r="N70" i="6"/>
  <c r="M70" i="6"/>
  <c r="L70" i="6"/>
  <c r="K70" i="6"/>
  <c r="J70" i="6"/>
  <c r="I70" i="6"/>
  <c r="H70" i="6"/>
  <c r="G70" i="6"/>
  <c r="F70" i="6"/>
  <c r="E70" i="6"/>
  <c r="C70" i="6"/>
  <c r="AB69" i="6"/>
  <c r="AA69" i="6"/>
  <c r="Z69" i="6"/>
  <c r="Y69" i="6"/>
  <c r="X69" i="6"/>
  <c r="W69" i="6"/>
  <c r="V69" i="6"/>
  <c r="U69" i="6"/>
  <c r="T69" i="6"/>
  <c r="S69" i="6"/>
  <c r="R69" i="6"/>
  <c r="Q69" i="6"/>
  <c r="P69" i="6"/>
  <c r="O69" i="6"/>
  <c r="N69" i="6"/>
  <c r="M69" i="6"/>
  <c r="L69" i="6"/>
  <c r="K69" i="6"/>
  <c r="J69" i="6"/>
  <c r="I69" i="6"/>
  <c r="H69" i="6"/>
  <c r="G69" i="6"/>
  <c r="F69" i="6"/>
  <c r="E69" i="6"/>
  <c r="AB68" i="6"/>
  <c r="AA68" i="6"/>
  <c r="Z68" i="6"/>
  <c r="Y68" i="6"/>
  <c r="X68" i="6"/>
  <c r="W68" i="6"/>
  <c r="V68" i="6"/>
  <c r="U68" i="6"/>
  <c r="T68" i="6"/>
  <c r="S68" i="6"/>
  <c r="R68" i="6"/>
  <c r="Q68" i="6"/>
  <c r="P68" i="6"/>
  <c r="O68" i="6"/>
  <c r="N68" i="6"/>
  <c r="M68" i="6"/>
  <c r="L68" i="6"/>
  <c r="K68" i="6"/>
  <c r="J68" i="6"/>
  <c r="I68" i="6"/>
  <c r="H68" i="6"/>
  <c r="F68" i="6"/>
  <c r="D68" i="6"/>
  <c r="AB67" i="6"/>
  <c r="AA67" i="6"/>
  <c r="Z67" i="6"/>
  <c r="Y67" i="6"/>
  <c r="X67" i="6"/>
  <c r="W67" i="6"/>
  <c r="V67" i="6"/>
  <c r="U67" i="6"/>
  <c r="T67" i="6"/>
  <c r="S67" i="6"/>
  <c r="R67" i="6"/>
  <c r="Q67" i="6"/>
  <c r="P67" i="6"/>
  <c r="O67" i="6"/>
  <c r="N67" i="6"/>
  <c r="M67" i="6"/>
  <c r="L67" i="6"/>
  <c r="K67" i="6"/>
  <c r="J67" i="6"/>
  <c r="I67" i="6"/>
  <c r="H67" i="6"/>
  <c r="F67" i="6"/>
  <c r="E67" i="6"/>
  <c r="D67" i="6"/>
  <c r="AB66" i="6"/>
  <c r="AA66" i="6"/>
  <c r="Z66" i="6"/>
  <c r="Y66" i="6"/>
  <c r="X66" i="6"/>
  <c r="W66" i="6"/>
  <c r="V66" i="6"/>
  <c r="U66" i="6"/>
  <c r="T66" i="6"/>
  <c r="S66" i="6"/>
  <c r="R66" i="6"/>
  <c r="Q66" i="6"/>
  <c r="P66" i="6"/>
  <c r="O66" i="6"/>
  <c r="N66" i="6"/>
  <c r="M66" i="6"/>
  <c r="L66" i="6"/>
  <c r="K66" i="6"/>
  <c r="J66" i="6"/>
  <c r="I66" i="6"/>
  <c r="H66" i="6"/>
  <c r="G66" i="6"/>
  <c r="F66" i="6"/>
  <c r="E66" i="6"/>
  <c r="AB65" i="6"/>
  <c r="AA65" i="6"/>
  <c r="Z65" i="6"/>
  <c r="Y65" i="6"/>
  <c r="X65" i="6"/>
  <c r="W65" i="6"/>
  <c r="V65" i="6"/>
  <c r="U65" i="6"/>
  <c r="T65" i="6"/>
  <c r="S65" i="6"/>
  <c r="R65" i="6"/>
  <c r="Q65" i="6"/>
  <c r="P65" i="6"/>
  <c r="O65" i="6"/>
  <c r="N65" i="6"/>
  <c r="M65" i="6"/>
  <c r="L65" i="6"/>
  <c r="K65" i="6"/>
  <c r="J65" i="6"/>
  <c r="I65" i="6"/>
  <c r="H65" i="6"/>
  <c r="G65" i="6"/>
  <c r="F65" i="6"/>
  <c r="E65" i="6"/>
  <c r="AB64" i="6"/>
  <c r="AA64" i="6"/>
  <c r="Z64" i="6"/>
  <c r="Y64" i="6"/>
  <c r="X64" i="6"/>
  <c r="W64" i="6"/>
  <c r="V64" i="6"/>
  <c r="U64" i="6"/>
  <c r="T64" i="6"/>
  <c r="S64" i="6"/>
  <c r="R64" i="6"/>
  <c r="Q64" i="6"/>
  <c r="P64" i="6"/>
  <c r="O64" i="6"/>
  <c r="N64" i="6"/>
  <c r="M64" i="6"/>
  <c r="L64" i="6"/>
  <c r="K64" i="6"/>
  <c r="J64" i="6"/>
  <c r="I64" i="6"/>
  <c r="H64" i="6"/>
  <c r="G64" i="6"/>
  <c r="F64" i="6"/>
  <c r="E64" i="6"/>
  <c r="AB63" i="6"/>
  <c r="AA63" i="6"/>
  <c r="Z63" i="6"/>
  <c r="Y63" i="6"/>
  <c r="X63" i="6"/>
  <c r="W63" i="6"/>
  <c r="V63" i="6"/>
  <c r="U63" i="6"/>
  <c r="T63" i="6"/>
  <c r="S63" i="6"/>
  <c r="R63" i="6"/>
  <c r="Q63" i="6"/>
  <c r="P63" i="6"/>
  <c r="O63" i="6"/>
  <c r="N63" i="6"/>
  <c r="M63" i="6"/>
  <c r="L63" i="6"/>
  <c r="K63" i="6"/>
  <c r="J63" i="6"/>
  <c r="I63" i="6"/>
  <c r="H63" i="6"/>
  <c r="G63" i="6"/>
  <c r="F63" i="6"/>
  <c r="AB62" i="6"/>
  <c r="AA62" i="6"/>
  <c r="Z62" i="6"/>
  <c r="Y62" i="6"/>
  <c r="X62" i="6"/>
  <c r="W62" i="6"/>
  <c r="V62" i="6"/>
  <c r="U62" i="6"/>
  <c r="T62" i="6"/>
  <c r="S62" i="6"/>
  <c r="R62" i="6"/>
  <c r="Q62" i="6"/>
  <c r="P62" i="6"/>
  <c r="O62" i="6"/>
  <c r="N62" i="6"/>
  <c r="M62" i="6"/>
  <c r="L62" i="6"/>
  <c r="K62" i="6"/>
  <c r="J62" i="6"/>
  <c r="I62" i="6"/>
  <c r="H62" i="6"/>
  <c r="G62" i="6"/>
  <c r="D62" i="6"/>
  <c r="C62" i="6"/>
  <c r="AB61" i="6"/>
  <c r="AA61" i="6"/>
  <c r="Z61" i="6"/>
  <c r="Y61" i="6"/>
  <c r="X61" i="6"/>
  <c r="W61" i="6"/>
  <c r="V61" i="6"/>
  <c r="U61" i="6"/>
  <c r="T61" i="6"/>
  <c r="S61" i="6"/>
  <c r="R61" i="6"/>
  <c r="Q61" i="6"/>
  <c r="P61" i="6"/>
  <c r="O61" i="6"/>
  <c r="N61" i="6"/>
  <c r="M61" i="6"/>
  <c r="L61" i="6"/>
  <c r="K61" i="6"/>
  <c r="J61" i="6"/>
  <c r="I61" i="6"/>
  <c r="H61" i="6"/>
  <c r="G61" i="6"/>
  <c r="F61" i="6"/>
  <c r="E61" i="6"/>
  <c r="D61" i="6"/>
  <c r="AB60" i="6"/>
  <c r="AA60" i="6"/>
  <c r="Z60" i="6"/>
  <c r="Y60" i="6"/>
  <c r="X60" i="6"/>
  <c r="W60" i="6"/>
  <c r="V60" i="6"/>
  <c r="U60" i="6"/>
  <c r="T60" i="6"/>
  <c r="S60" i="6"/>
  <c r="R60" i="6"/>
  <c r="Q60" i="6"/>
  <c r="P60" i="6"/>
  <c r="O60" i="6"/>
  <c r="N60" i="6"/>
  <c r="M60" i="6"/>
  <c r="L60" i="6"/>
  <c r="K60" i="6"/>
  <c r="J60" i="6"/>
  <c r="I60" i="6"/>
  <c r="H60" i="6"/>
  <c r="G60" i="6"/>
  <c r="F60" i="6"/>
  <c r="D60" i="6"/>
  <c r="C60" i="6"/>
  <c r="AB59" i="6"/>
  <c r="AA59" i="6"/>
  <c r="Z59" i="6"/>
  <c r="Y59" i="6"/>
  <c r="X59" i="6"/>
  <c r="W59" i="6"/>
  <c r="V59" i="6"/>
  <c r="U59" i="6"/>
  <c r="T59" i="6"/>
  <c r="S59" i="6"/>
  <c r="R59" i="6"/>
  <c r="Q59" i="6"/>
  <c r="P59" i="6"/>
  <c r="O59" i="6"/>
  <c r="N59" i="6"/>
  <c r="M59" i="6"/>
  <c r="L59" i="6"/>
  <c r="K59" i="6"/>
  <c r="J59" i="6"/>
  <c r="I59" i="6"/>
  <c r="H59" i="6"/>
  <c r="G59" i="6"/>
  <c r="F59" i="6"/>
  <c r="AB58" i="6"/>
  <c r="AA58" i="6"/>
  <c r="Z58" i="6"/>
  <c r="Y58" i="6"/>
  <c r="X58" i="6"/>
  <c r="W58" i="6"/>
  <c r="V58" i="6"/>
  <c r="U58" i="6"/>
  <c r="T58" i="6"/>
  <c r="S58" i="6"/>
  <c r="R58" i="6"/>
  <c r="Q58" i="6"/>
  <c r="P58" i="6"/>
  <c r="O58" i="6"/>
  <c r="N58" i="6"/>
  <c r="M58" i="6"/>
  <c r="L58" i="6"/>
  <c r="K58" i="6"/>
  <c r="J58" i="6"/>
  <c r="I58" i="6"/>
  <c r="H58" i="6"/>
  <c r="G58" i="6"/>
  <c r="F58" i="6"/>
  <c r="E58" i="6"/>
  <c r="D58" i="6"/>
  <c r="C58" i="6"/>
  <c r="AB57" i="6"/>
  <c r="AA57" i="6"/>
  <c r="Z57" i="6"/>
  <c r="Y57" i="6"/>
  <c r="X57" i="6"/>
  <c r="W57" i="6"/>
  <c r="V57" i="6"/>
  <c r="U57" i="6"/>
  <c r="T57" i="6"/>
  <c r="S57" i="6"/>
  <c r="R57" i="6"/>
  <c r="Q57" i="6"/>
  <c r="P57" i="6"/>
  <c r="O57" i="6"/>
  <c r="N57" i="6"/>
  <c r="M57" i="6"/>
  <c r="L57" i="6"/>
  <c r="K57" i="6"/>
  <c r="J57" i="6"/>
  <c r="I57" i="6"/>
  <c r="H57" i="6"/>
  <c r="G57" i="6"/>
  <c r="F57" i="6"/>
  <c r="E57" i="6"/>
  <c r="D57" i="6"/>
  <c r="C57" i="6"/>
  <c r="AB56" i="6"/>
  <c r="AA56" i="6"/>
  <c r="Z56" i="6"/>
  <c r="Y56" i="6"/>
  <c r="X56" i="6"/>
  <c r="W56" i="6"/>
  <c r="V56" i="6"/>
  <c r="U56" i="6"/>
  <c r="T56" i="6"/>
  <c r="S56" i="6"/>
  <c r="R56" i="6"/>
  <c r="Q56" i="6"/>
  <c r="P56" i="6"/>
  <c r="O56" i="6"/>
  <c r="N56" i="6"/>
  <c r="M56" i="6"/>
  <c r="L56" i="6"/>
  <c r="K56" i="6"/>
  <c r="J56" i="6"/>
  <c r="I56" i="6"/>
  <c r="H56" i="6"/>
  <c r="G56" i="6"/>
  <c r="F56" i="6"/>
  <c r="E56" i="6"/>
  <c r="AB55" i="6"/>
  <c r="AA55" i="6"/>
  <c r="Z55" i="6"/>
  <c r="Y55" i="6"/>
  <c r="X55" i="6"/>
  <c r="W55" i="6"/>
  <c r="V55" i="6"/>
  <c r="U55" i="6"/>
  <c r="T55" i="6"/>
  <c r="S55" i="6"/>
  <c r="R55" i="6"/>
  <c r="Q55" i="6"/>
  <c r="P55" i="6"/>
  <c r="O55" i="6"/>
  <c r="N55" i="6"/>
  <c r="M55" i="6"/>
  <c r="L55" i="6"/>
  <c r="K55" i="6"/>
  <c r="J55" i="6"/>
  <c r="I55" i="6"/>
  <c r="H55" i="6"/>
  <c r="G55" i="6"/>
  <c r="AB54" i="6"/>
  <c r="AA54" i="6"/>
  <c r="Z54" i="6"/>
  <c r="Y54" i="6"/>
  <c r="X54" i="6"/>
  <c r="W54" i="6"/>
  <c r="V54" i="6"/>
  <c r="U54" i="6"/>
  <c r="T54" i="6"/>
  <c r="S54" i="6"/>
  <c r="R54" i="6"/>
  <c r="Q54" i="6"/>
  <c r="P54" i="6"/>
  <c r="O54" i="6"/>
  <c r="N54" i="6"/>
  <c r="M54" i="6"/>
  <c r="L54" i="6"/>
  <c r="K54" i="6"/>
  <c r="J54" i="6"/>
  <c r="I54" i="6"/>
  <c r="H54" i="6"/>
  <c r="G54" i="6"/>
  <c r="F54" i="6"/>
  <c r="D54" i="6"/>
  <c r="AB53" i="6"/>
  <c r="AA53" i="6"/>
  <c r="Z53" i="6"/>
  <c r="Y53" i="6"/>
  <c r="X53" i="6"/>
  <c r="W53" i="6"/>
  <c r="V53" i="6"/>
  <c r="U53" i="6"/>
  <c r="T53" i="6"/>
  <c r="S53" i="6"/>
  <c r="R53" i="6"/>
  <c r="Q53" i="6"/>
  <c r="P53" i="6"/>
  <c r="O53" i="6"/>
  <c r="N53" i="6"/>
  <c r="M53" i="6"/>
  <c r="L53" i="6"/>
  <c r="K53" i="6"/>
  <c r="J53" i="6"/>
  <c r="I53" i="6"/>
  <c r="H53" i="6"/>
  <c r="G53" i="6"/>
  <c r="F53" i="6"/>
  <c r="E53" i="6"/>
  <c r="D53" i="6"/>
  <c r="AB52" i="6"/>
  <c r="AA52" i="6"/>
  <c r="Z52" i="6"/>
  <c r="Y52" i="6"/>
  <c r="X52" i="6"/>
  <c r="W52" i="6"/>
  <c r="V52" i="6"/>
  <c r="U52" i="6"/>
  <c r="T52" i="6"/>
  <c r="S52" i="6"/>
  <c r="R52" i="6"/>
  <c r="Q52" i="6"/>
  <c r="P52" i="6"/>
  <c r="O52" i="6"/>
  <c r="N52" i="6"/>
  <c r="M52" i="6"/>
  <c r="L52" i="6"/>
  <c r="K52" i="6"/>
  <c r="J52" i="6"/>
  <c r="I52" i="6"/>
  <c r="H52" i="6"/>
  <c r="G52" i="6"/>
  <c r="F52" i="6"/>
  <c r="D52" i="6"/>
  <c r="C52" i="6"/>
  <c r="AB51" i="6"/>
  <c r="AA51" i="6"/>
  <c r="Z51" i="6"/>
  <c r="Y51" i="6"/>
  <c r="X51" i="6"/>
  <c r="W51" i="6"/>
  <c r="V51" i="6"/>
  <c r="U51" i="6"/>
  <c r="T51" i="6"/>
  <c r="S51" i="6"/>
  <c r="R51" i="6"/>
  <c r="Q51" i="6"/>
  <c r="P51" i="6"/>
  <c r="O51" i="6"/>
  <c r="N51" i="6"/>
  <c r="M51" i="6"/>
  <c r="L51" i="6"/>
  <c r="K51" i="6"/>
  <c r="J51" i="6"/>
  <c r="I51" i="6"/>
  <c r="H51" i="6"/>
  <c r="G51" i="6"/>
  <c r="E51" i="6"/>
  <c r="AB50" i="6"/>
  <c r="AA50" i="6"/>
  <c r="Z50" i="6"/>
  <c r="Y50" i="6"/>
  <c r="X50" i="6"/>
  <c r="W50" i="6"/>
  <c r="V50" i="6"/>
  <c r="U50" i="6"/>
  <c r="T50" i="6"/>
  <c r="S50" i="6"/>
  <c r="R50" i="6"/>
  <c r="Q50" i="6"/>
  <c r="P50" i="6"/>
  <c r="O50" i="6"/>
  <c r="N50" i="6"/>
  <c r="M50" i="6"/>
  <c r="L50" i="6"/>
  <c r="K50" i="6"/>
  <c r="J50" i="6"/>
  <c r="I50" i="6"/>
  <c r="H50" i="6"/>
  <c r="E50" i="6"/>
  <c r="D50" i="6"/>
  <c r="C50" i="6"/>
  <c r="AB49" i="6"/>
  <c r="AA49" i="6"/>
  <c r="Z49" i="6"/>
  <c r="Y49" i="6"/>
  <c r="X49" i="6"/>
  <c r="W49" i="6"/>
  <c r="V49" i="6"/>
  <c r="U49" i="6"/>
  <c r="T49" i="6"/>
  <c r="S49" i="6"/>
  <c r="R49" i="6"/>
  <c r="Q49" i="6"/>
  <c r="P49" i="6"/>
  <c r="O49" i="6"/>
  <c r="N49" i="6"/>
  <c r="M49" i="6"/>
  <c r="L49" i="6"/>
  <c r="K49" i="6"/>
  <c r="J49" i="6"/>
  <c r="I49" i="6"/>
  <c r="H49" i="6"/>
  <c r="G49" i="6"/>
  <c r="F49" i="6"/>
  <c r="E49" i="6"/>
  <c r="D49" i="6"/>
  <c r="AB48" i="6"/>
  <c r="AA48" i="6"/>
  <c r="Z48" i="6"/>
  <c r="Y48" i="6"/>
  <c r="X48" i="6"/>
  <c r="W48" i="6"/>
  <c r="V48" i="6"/>
  <c r="U48" i="6"/>
  <c r="T48" i="6"/>
  <c r="S48" i="6"/>
  <c r="R48" i="6"/>
  <c r="Q48" i="6"/>
  <c r="P48" i="6"/>
  <c r="O48" i="6"/>
  <c r="N48" i="6"/>
  <c r="M48" i="6"/>
  <c r="L48" i="6"/>
  <c r="K48" i="6"/>
  <c r="J48" i="6"/>
  <c r="I48" i="6"/>
  <c r="H48" i="6"/>
  <c r="G48" i="6"/>
  <c r="F48" i="6"/>
  <c r="AB47" i="6"/>
  <c r="AA47" i="6"/>
  <c r="Z47" i="6"/>
  <c r="Y47" i="6"/>
  <c r="X47" i="6"/>
  <c r="W47" i="6"/>
  <c r="V47" i="6"/>
  <c r="U47" i="6"/>
  <c r="T47" i="6"/>
  <c r="S47" i="6"/>
  <c r="R47" i="6"/>
  <c r="Q47" i="6"/>
  <c r="P47" i="6"/>
  <c r="O47" i="6"/>
  <c r="N47" i="6"/>
  <c r="M47" i="6"/>
  <c r="L47" i="6"/>
  <c r="K47" i="6"/>
  <c r="J47" i="6"/>
  <c r="I47" i="6"/>
  <c r="H47" i="6"/>
  <c r="G47" i="6"/>
  <c r="F47" i="6"/>
  <c r="D47" i="6"/>
  <c r="AB46" i="6"/>
  <c r="AA46" i="6"/>
  <c r="Z46" i="6"/>
  <c r="Y46" i="6"/>
  <c r="X46" i="6"/>
  <c r="W46" i="6"/>
  <c r="V46" i="6"/>
  <c r="U46" i="6"/>
  <c r="T46" i="6"/>
  <c r="S46" i="6"/>
  <c r="R46" i="6"/>
  <c r="Q46" i="6"/>
  <c r="P46" i="6"/>
  <c r="O46" i="6"/>
  <c r="N46" i="6"/>
  <c r="M46" i="6"/>
  <c r="L46" i="6"/>
  <c r="K46" i="6"/>
  <c r="J46" i="6"/>
  <c r="I46" i="6"/>
  <c r="H46" i="6"/>
  <c r="G46" i="6"/>
  <c r="F46" i="6"/>
  <c r="D46" i="6"/>
  <c r="AB45" i="6"/>
  <c r="AA45" i="6"/>
  <c r="Z45" i="6"/>
  <c r="Y45" i="6"/>
  <c r="X45" i="6"/>
  <c r="W45" i="6"/>
  <c r="V45" i="6"/>
  <c r="U45" i="6"/>
  <c r="T45" i="6"/>
  <c r="S45" i="6"/>
  <c r="R45" i="6"/>
  <c r="Q45" i="6"/>
  <c r="P45" i="6"/>
  <c r="O45" i="6"/>
  <c r="N45" i="6"/>
  <c r="M45" i="6"/>
  <c r="L45" i="6"/>
  <c r="K45" i="6"/>
  <c r="J45" i="6"/>
  <c r="I45" i="6"/>
  <c r="H45" i="6"/>
  <c r="G45" i="6"/>
  <c r="D45" i="6"/>
  <c r="AB44" i="6"/>
  <c r="AA44" i="6"/>
  <c r="Z44" i="6"/>
  <c r="Y44" i="6"/>
  <c r="X44" i="6"/>
  <c r="W44" i="6"/>
  <c r="V44" i="6"/>
  <c r="U44" i="6"/>
  <c r="T44" i="6"/>
  <c r="S44" i="6"/>
  <c r="R44" i="6"/>
  <c r="Q44" i="6"/>
  <c r="P44" i="6"/>
  <c r="O44" i="6"/>
  <c r="N44" i="6"/>
  <c r="M44" i="6"/>
  <c r="L44" i="6"/>
  <c r="K44" i="6"/>
  <c r="J44" i="6"/>
  <c r="I44" i="6"/>
  <c r="H44" i="6"/>
  <c r="G44" i="6"/>
  <c r="F44" i="6"/>
  <c r="C44" i="6"/>
  <c r="AB43" i="6"/>
  <c r="AA43" i="6"/>
  <c r="Z43" i="6"/>
  <c r="Y43" i="6"/>
  <c r="X43" i="6"/>
  <c r="W43" i="6"/>
  <c r="V43" i="6"/>
  <c r="U43" i="6"/>
  <c r="T43" i="6"/>
  <c r="S43" i="6"/>
  <c r="R43" i="6"/>
  <c r="Q43" i="6"/>
  <c r="P43" i="6"/>
  <c r="O43" i="6"/>
  <c r="N43" i="6"/>
  <c r="M43" i="6"/>
  <c r="L43" i="6"/>
  <c r="K43" i="6"/>
  <c r="J43" i="6"/>
  <c r="I43" i="6"/>
  <c r="H43" i="6"/>
  <c r="G43" i="6"/>
  <c r="F43" i="6"/>
  <c r="E43" i="6"/>
  <c r="C43" i="6"/>
  <c r="AB42" i="6"/>
  <c r="AA42" i="6"/>
  <c r="Z42" i="6"/>
  <c r="Y42" i="6"/>
  <c r="X42" i="6"/>
  <c r="W42" i="6"/>
  <c r="V42" i="6"/>
  <c r="U42" i="6"/>
  <c r="T42" i="6"/>
  <c r="S42" i="6"/>
  <c r="R42" i="6"/>
  <c r="Q42" i="6"/>
  <c r="P42" i="6"/>
  <c r="O42" i="6"/>
  <c r="N42" i="6"/>
  <c r="M42" i="6"/>
  <c r="L42" i="6"/>
  <c r="K42" i="6"/>
  <c r="J42" i="6"/>
  <c r="I42" i="6"/>
  <c r="H42" i="6"/>
  <c r="G42" i="6"/>
  <c r="D42" i="6"/>
  <c r="AB41" i="6"/>
  <c r="AA41" i="6"/>
  <c r="Z41" i="6"/>
  <c r="Y41" i="6"/>
  <c r="X41" i="6"/>
  <c r="W41" i="6"/>
  <c r="V41" i="6"/>
  <c r="U41" i="6"/>
  <c r="T41" i="6"/>
  <c r="S41" i="6"/>
  <c r="R41" i="6"/>
  <c r="Q41" i="6"/>
  <c r="P41" i="6"/>
  <c r="O41" i="6"/>
  <c r="N41" i="6"/>
  <c r="M41" i="6"/>
  <c r="L41" i="6"/>
  <c r="K41" i="6"/>
  <c r="J41" i="6"/>
  <c r="I41" i="6"/>
  <c r="H41" i="6"/>
  <c r="G41" i="6"/>
  <c r="F41" i="6"/>
  <c r="E41" i="6"/>
  <c r="C41" i="6"/>
  <c r="AB40" i="6"/>
  <c r="AA40" i="6"/>
  <c r="Z40" i="6"/>
  <c r="Y40" i="6"/>
  <c r="X40" i="6"/>
  <c r="W40" i="6"/>
  <c r="V40" i="6"/>
  <c r="U40" i="6"/>
  <c r="T40" i="6"/>
  <c r="S40" i="6"/>
  <c r="R40" i="6"/>
  <c r="Q40" i="6"/>
  <c r="P40" i="6"/>
  <c r="O40" i="6"/>
  <c r="N40" i="6"/>
  <c r="M40" i="6"/>
  <c r="L40" i="6"/>
  <c r="K40" i="6"/>
  <c r="J40" i="6"/>
  <c r="I40" i="6"/>
  <c r="H40" i="6"/>
  <c r="G40" i="6"/>
  <c r="E40" i="6"/>
  <c r="AB39" i="6"/>
  <c r="AA39" i="6"/>
  <c r="Z39" i="6"/>
  <c r="Y39" i="6"/>
  <c r="X39" i="6"/>
  <c r="W39" i="6"/>
  <c r="V39" i="6"/>
  <c r="U39" i="6"/>
  <c r="T39" i="6"/>
  <c r="S39" i="6"/>
  <c r="R39" i="6"/>
  <c r="Q39" i="6"/>
  <c r="P39" i="6"/>
  <c r="O39" i="6"/>
  <c r="N39" i="6"/>
  <c r="M39" i="6"/>
  <c r="L39" i="6"/>
  <c r="K39" i="6"/>
  <c r="J39" i="6"/>
  <c r="I39" i="6"/>
  <c r="F39" i="6"/>
  <c r="D39" i="6"/>
  <c r="C39" i="6"/>
  <c r="AB38" i="6"/>
  <c r="AA38" i="6"/>
  <c r="Z38" i="6"/>
  <c r="Y38" i="6"/>
  <c r="X38" i="6"/>
  <c r="W38" i="6"/>
  <c r="V38" i="6"/>
  <c r="U38" i="6"/>
  <c r="T38" i="6"/>
  <c r="S38" i="6"/>
  <c r="R38" i="6"/>
  <c r="Q38" i="6"/>
  <c r="P38" i="6"/>
  <c r="O38" i="6"/>
  <c r="N38" i="6"/>
  <c r="M38" i="6"/>
  <c r="L38" i="6"/>
  <c r="K38" i="6"/>
  <c r="J38" i="6"/>
  <c r="I38" i="6"/>
  <c r="G38" i="6"/>
  <c r="F38" i="6"/>
  <c r="D38" i="6"/>
  <c r="AB37" i="6"/>
  <c r="AA37" i="6"/>
  <c r="Z37" i="6"/>
  <c r="Y37" i="6"/>
  <c r="X37" i="6"/>
  <c r="W37" i="6"/>
  <c r="V37" i="6"/>
  <c r="U37" i="6"/>
  <c r="T37" i="6"/>
  <c r="S37" i="6"/>
  <c r="R37" i="6"/>
  <c r="Q37" i="6"/>
  <c r="P37" i="6"/>
  <c r="O37" i="6"/>
  <c r="N37" i="6"/>
  <c r="M37" i="6"/>
  <c r="L37" i="6"/>
  <c r="K37" i="6"/>
  <c r="J37" i="6"/>
  <c r="I37" i="6"/>
  <c r="H37" i="6"/>
  <c r="G37" i="6"/>
  <c r="F37" i="6"/>
  <c r="E37" i="6"/>
  <c r="D37" i="6"/>
  <c r="AB36" i="6"/>
  <c r="AA36" i="6"/>
  <c r="Z36" i="6"/>
  <c r="Y36" i="6"/>
  <c r="X36" i="6"/>
  <c r="W36" i="6"/>
  <c r="V36" i="6"/>
  <c r="U36" i="6"/>
  <c r="T36" i="6"/>
  <c r="S36" i="6"/>
  <c r="R36" i="6"/>
  <c r="Q36" i="6"/>
  <c r="P36" i="6"/>
  <c r="O36" i="6"/>
  <c r="N36" i="6"/>
  <c r="M36" i="6"/>
  <c r="L36" i="6"/>
  <c r="K36" i="6"/>
  <c r="J36" i="6"/>
  <c r="I36" i="6"/>
  <c r="H36" i="6"/>
  <c r="G36" i="6"/>
  <c r="F36" i="6"/>
  <c r="D36" i="6"/>
  <c r="C36" i="6"/>
  <c r="AB35" i="6"/>
  <c r="AA35" i="6"/>
  <c r="Z35" i="6"/>
  <c r="Y35" i="6"/>
  <c r="X35" i="6"/>
  <c r="W35" i="6"/>
  <c r="V35" i="6"/>
  <c r="U35" i="6"/>
  <c r="T35" i="6"/>
  <c r="S35" i="6"/>
  <c r="R35" i="6"/>
  <c r="Q35" i="6"/>
  <c r="P35" i="6"/>
  <c r="O35" i="6"/>
  <c r="N35" i="6"/>
  <c r="M35" i="6"/>
  <c r="L35" i="6"/>
  <c r="K35" i="6"/>
  <c r="J35" i="6"/>
  <c r="I35" i="6"/>
  <c r="H35" i="6"/>
  <c r="G35" i="6"/>
  <c r="E35" i="6"/>
  <c r="AB34" i="6"/>
  <c r="AA34" i="6"/>
  <c r="Z34" i="6"/>
  <c r="Y34" i="6"/>
  <c r="X34" i="6"/>
  <c r="W34" i="6"/>
  <c r="V34" i="6"/>
  <c r="U34" i="6"/>
  <c r="T34" i="6"/>
  <c r="S34" i="6"/>
  <c r="R34" i="6"/>
  <c r="Q34" i="6"/>
  <c r="P34" i="6"/>
  <c r="O34" i="6"/>
  <c r="N34" i="6"/>
  <c r="M34" i="6"/>
  <c r="L34" i="6"/>
  <c r="K34" i="6"/>
  <c r="J34" i="6"/>
  <c r="I34" i="6"/>
  <c r="H34" i="6"/>
  <c r="G34" i="6"/>
  <c r="F34" i="6"/>
  <c r="E34" i="6"/>
  <c r="AB33" i="6"/>
  <c r="AA33" i="6"/>
  <c r="Z33" i="6"/>
  <c r="Y33" i="6"/>
  <c r="X33" i="6"/>
  <c r="W33" i="6"/>
  <c r="V33" i="6"/>
  <c r="U33" i="6"/>
  <c r="T33" i="6"/>
  <c r="S33" i="6"/>
  <c r="R33" i="6"/>
  <c r="Q33" i="6"/>
  <c r="P33" i="6"/>
  <c r="O33" i="6"/>
  <c r="N33" i="6"/>
  <c r="M33" i="6"/>
  <c r="L33" i="6"/>
  <c r="K33" i="6"/>
  <c r="J33" i="6"/>
  <c r="I33" i="6"/>
  <c r="H33" i="6"/>
  <c r="G33" i="6"/>
  <c r="F33" i="6"/>
  <c r="E33" i="6"/>
  <c r="D33" i="6"/>
  <c r="C33" i="6"/>
  <c r="AB32" i="6"/>
  <c r="AA32" i="6"/>
  <c r="Z32" i="6"/>
  <c r="Y32" i="6"/>
  <c r="X32" i="6"/>
  <c r="W32" i="6"/>
  <c r="V32" i="6"/>
  <c r="U32" i="6"/>
  <c r="T32" i="6"/>
  <c r="S32" i="6"/>
  <c r="R32" i="6"/>
  <c r="Q32" i="6"/>
  <c r="P32" i="6"/>
  <c r="O32" i="6"/>
  <c r="N32" i="6"/>
  <c r="M32" i="6"/>
  <c r="L32" i="6"/>
  <c r="K32" i="6"/>
  <c r="J32" i="6"/>
  <c r="I32" i="6"/>
  <c r="H32" i="6"/>
  <c r="G32" i="6"/>
  <c r="F32" i="6"/>
  <c r="E32" i="6"/>
  <c r="AB31" i="6"/>
  <c r="AA31" i="6"/>
  <c r="Z31" i="6"/>
  <c r="Y31" i="6"/>
  <c r="X31" i="6"/>
  <c r="W31" i="6"/>
  <c r="V31" i="6"/>
  <c r="U31" i="6"/>
  <c r="T31" i="6"/>
  <c r="S31" i="6"/>
  <c r="R31" i="6"/>
  <c r="Q31" i="6"/>
  <c r="P31" i="6"/>
  <c r="O31" i="6"/>
  <c r="N31" i="6"/>
  <c r="M31" i="6"/>
  <c r="L31" i="6"/>
  <c r="K31" i="6"/>
  <c r="J31" i="6"/>
  <c r="I31" i="6"/>
  <c r="G31" i="6"/>
  <c r="F31" i="6"/>
  <c r="D31" i="6"/>
  <c r="AB30" i="6"/>
  <c r="AA30" i="6"/>
  <c r="Z30" i="6"/>
  <c r="Y30" i="6"/>
  <c r="X30" i="6"/>
  <c r="W30" i="6"/>
  <c r="V30" i="6"/>
  <c r="U30" i="6"/>
  <c r="T30" i="6"/>
  <c r="S30" i="6"/>
  <c r="R30" i="6"/>
  <c r="Q30" i="6"/>
  <c r="P30" i="6"/>
  <c r="O30" i="6"/>
  <c r="N30" i="6"/>
  <c r="M30" i="6"/>
  <c r="L30" i="6"/>
  <c r="K30" i="6"/>
  <c r="J30" i="6"/>
  <c r="I30" i="6"/>
  <c r="H30" i="6"/>
  <c r="G30" i="6"/>
  <c r="F30" i="6"/>
  <c r="E30" i="6"/>
  <c r="D30" i="6"/>
  <c r="AB29" i="6"/>
  <c r="AA29" i="6"/>
  <c r="Z29" i="6"/>
  <c r="Y29" i="6"/>
  <c r="X29" i="6"/>
  <c r="W29" i="6"/>
  <c r="V29" i="6"/>
  <c r="U29" i="6"/>
  <c r="T29" i="6"/>
  <c r="S29" i="6"/>
  <c r="R29" i="6"/>
  <c r="Q29" i="6"/>
  <c r="P29" i="6"/>
  <c r="O29" i="6"/>
  <c r="N29" i="6"/>
  <c r="M29" i="6"/>
  <c r="L29" i="6"/>
  <c r="K29" i="6"/>
  <c r="J29" i="6"/>
  <c r="I29" i="6"/>
  <c r="H29" i="6"/>
  <c r="G29" i="6"/>
  <c r="F29" i="6"/>
  <c r="E29" i="6"/>
  <c r="D29" i="6"/>
  <c r="AB28" i="6"/>
  <c r="AA28" i="6"/>
  <c r="Z28" i="6"/>
  <c r="Y28" i="6"/>
  <c r="X28" i="6"/>
  <c r="W28" i="6"/>
  <c r="V28" i="6"/>
  <c r="U28" i="6"/>
  <c r="T28" i="6"/>
  <c r="S28" i="6"/>
  <c r="R28" i="6"/>
  <c r="Q28" i="6"/>
  <c r="P28" i="6"/>
  <c r="O28" i="6"/>
  <c r="N28" i="6"/>
  <c r="M28" i="6"/>
  <c r="L28" i="6"/>
  <c r="K28" i="6"/>
  <c r="J28" i="6"/>
  <c r="I28" i="6"/>
  <c r="H28" i="6"/>
  <c r="G28" i="6"/>
  <c r="F28" i="6"/>
  <c r="D28" i="6"/>
  <c r="AB27" i="6"/>
  <c r="AA27" i="6"/>
  <c r="Z27" i="6"/>
  <c r="Y27" i="6"/>
  <c r="X27" i="6"/>
  <c r="W27" i="6"/>
  <c r="V27" i="6"/>
  <c r="U27" i="6"/>
  <c r="T27" i="6"/>
  <c r="S27" i="6"/>
  <c r="R27" i="6"/>
  <c r="Q27" i="6"/>
  <c r="P27" i="6"/>
  <c r="O27" i="6"/>
  <c r="N27" i="6"/>
  <c r="M27" i="6"/>
  <c r="L27" i="6"/>
  <c r="K27" i="6"/>
  <c r="J27" i="6"/>
  <c r="I27" i="6"/>
  <c r="H27" i="6"/>
  <c r="G27" i="6"/>
  <c r="D27" i="6"/>
  <c r="C27" i="6"/>
  <c r="AB26" i="6"/>
  <c r="AA26" i="6"/>
  <c r="Z26" i="6"/>
  <c r="Y26" i="6"/>
  <c r="X26" i="6"/>
  <c r="W26" i="6"/>
  <c r="V26" i="6"/>
  <c r="U26" i="6"/>
  <c r="T26" i="6"/>
  <c r="S26" i="6"/>
  <c r="R26" i="6"/>
  <c r="Q26" i="6"/>
  <c r="P26" i="6"/>
  <c r="O26" i="6"/>
  <c r="N26" i="6"/>
  <c r="M26" i="6"/>
  <c r="L26" i="6"/>
  <c r="K26" i="6"/>
  <c r="J26" i="6"/>
  <c r="I26" i="6"/>
  <c r="H26" i="6"/>
  <c r="F26" i="6"/>
  <c r="E26" i="6"/>
  <c r="D26" i="6"/>
  <c r="AB25" i="6"/>
  <c r="AA25" i="6"/>
  <c r="Z25" i="6"/>
  <c r="Y25" i="6"/>
  <c r="X25" i="6"/>
  <c r="W25" i="6"/>
  <c r="V25" i="6"/>
  <c r="U25" i="6"/>
  <c r="T25" i="6"/>
  <c r="S25" i="6"/>
  <c r="R25" i="6"/>
  <c r="Q25" i="6"/>
  <c r="P25" i="6"/>
  <c r="O25" i="6"/>
  <c r="N25" i="6"/>
  <c r="M25" i="6"/>
  <c r="L25" i="6"/>
  <c r="K25" i="6"/>
  <c r="J25" i="6"/>
  <c r="I25" i="6"/>
  <c r="H25" i="6"/>
  <c r="G25" i="6"/>
  <c r="E25" i="6"/>
  <c r="D25" i="6"/>
  <c r="C25" i="6"/>
  <c r="AB24" i="6"/>
  <c r="AA24" i="6"/>
  <c r="Z24" i="6"/>
  <c r="Y24" i="6"/>
  <c r="X24" i="6"/>
  <c r="W24" i="6"/>
  <c r="V24" i="6"/>
  <c r="U24" i="6"/>
  <c r="T24" i="6"/>
  <c r="S24" i="6"/>
  <c r="R24" i="6"/>
  <c r="Q24" i="6"/>
  <c r="P24" i="6"/>
  <c r="O24" i="6"/>
  <c r="N24" i="6"/>
  <c r="M24" i="6"/>
  <c r="L24" i="6"/>
  <c r="K24" i="6"/>
  <c r="J24" i="6"/>
  <c r="I24" i="6"/>
  <c r="H24" i="6"/>
  <c r="G24" i="6"/>
  <c r="F24" i="6"/>
  <c r="E24" i="6"/>
  <c r="AB23" i="6"/>
  <c r="AA23" i="6"/>
  <c r="Z23" i="6"/>
  <c r="Y23" i="6"/>
  <c r="X23" i="6"/>
  <c r="W23" i="6"/>
  <c r="V23" i="6"/>
  <c r="U23" i="6"/>
  <c r="T23" i="6"/>
  <c r="S23" i="6"/>
  <c r="R23" i="6"/>
  <c r="Q23" i="6"/>
  <c r="P23" i="6"/>
  <c r="O23" i="6"/>
  <c r="N23" i="6"/>
  <c r="M23" i="6"/>
  <c r="L23" i="6"/>
  <c r="K23" i="6"/>
  <c r="J23" i="6"/>
  <c r="I23" i="6"/>
  <c r="H23" i="6"/>
  <c r="G23" i="6"/>
  <c r="F23" i="6"/>
  <c r="D23" i="6"/>
  <c r="AB22" i="6"/>
  <c r="AA22" i="6"/>
  <c r="Z22" i="6"/>
  <c r="Y22" i="6"/>
  <c r="X22" i="6"/>
  <c r="W22" i="6"/>
  <c r="V22" i="6"/>
  <c r="U22" i="6"/>
  <c r="T22" i="6"/>
  <c r="S22" i="6"/>
  <c r="R22" i="6"/>
  <c r="Q22" i="6"/>
  <c r="P22" i="6"/>
  <c r="O22" i="6"/>
  <c r="N22" i="6"/>
  <c r="M22" i="6"/>
  <c r="L22" i="6"/>
  <c r="K22" i="6"/>
  <c r="J22" i="6"/>
  <c r="I22" i="6"/>
  <c r="H22" i="6"/>
  <c r="G22" i="6"/>
  <c r="F22" i="6"/>
  <c r="E22" i="6"/>
  <c r="C22" i="6"/>
  <c r="AB21" i="6"/>
  <c r="AA21" i="6"/>
  <c r="Z21" i="6"/>
  <c r="Y21" i="6"/>
  <c r="X21" i="6"/>
  <c r="W21" i="6"/>
  <c r="V21" i="6"/>
  <c r="U21" i="6"/>
  <c r="T21" i="6"/>
  <c r="S21" i="6"/>
  <c r="R21" i="6"/>
  <c r="Q21" i="6"/>
  <c r="P21" i="6"/>
  <c r="O21" i="6"/>
  <c r="N21" i="6"/>
  <c r="M21" i="6"/>
  <c r="L21" i="6"/>
  <c r="K21" i="6"/>
  <c r="J21" i="6"/>
  <c r="I21" i="6"/>
  <c r="H21" i="6"/>
  <c r="G21" i="6"/>
  <c r="F21" i="6"/>
  <c r="E21" i="6"/>
  <c r="D21" i="6"/>
  <c r="AB20" i="6"/>
  <c r="AA20" i="6"/>
  <c r="Z20" i="6"/>
  <c r="Y20" i="6"/>
  <c r="X20" i="6"/>
  <c r="W20" i="6"/>
  <c r="V20" i="6"/>
  <c r="U20" i="6"/>
  <c r="T20" i="6"/>
  <c r="S20" i="6"/>
  <c r="R20" i="6"/>
  <c r="Q20" i="6"/>
  <c r="P20" i="6"/>
  <c r="O20" i="6"/>
  <c r="N20" i="6"/>
  <c r="M20" i="6"/>
  <c r="L20" i="6"/>
  <c r="K20" i="6"/>
  <c r="J20" i="6"/>
  <c r="I20" i="6"/>
  <c r="H20" i="6"/>
  <c r="G20" i="6"/>
  <c r="D20" i="6"/>
  <c r="C20" i="6"/>
  <c r="AB19" i="6"/>
  <c r="AA19" i="6"/>
  <c r="Z19" i="6"/>
  <c r="Y19" i="6"/>
  <c r="X19" i="6"/>
  <c r="W19" i="6"/>
  <c r="V19" i="6"/>
  <c r="U19" i="6"/>
  <c r="T19" i="6"/>
  <c r="S19" i="6"/>
  <c r="R19" i="6"/>
  <c r="Q19" i="6"/>
  <c r="P19" i="6"/>
  <c r="O19" i="6"/>
  <c r="N19" i="6"/>
  <c r="M19" i="6"/>
  <c r="L19" i="6"/>
  <c r="K19" i="6"/>
  <c r="J19" i="6"/>
  <c r="I19" i="6"/>
  <c r="H19" i="6"/>
  <c r="G19" i="6"/>
  <c r="D19" i="6"/>
  <c r="AB18" i="6"/>
  <c r="AA18" i="6"/>
  <c r="Z18" i="6"/>
  <c r="Y18" i="6"/>
  <c r="X18" i="6"/>
  <c r="W18" i="6"/>
  <c r="V18" i="6"/>
  <c r="U18" i="6"/>
  <c r="T18" i="6"/>
  <c r="S18" i="6"/>
  <c r="R18" i="6"/>
  <c r="Q18" i="6"/>
  <c r="P18" i="6"/>
  <c r="O18" i="6"/>
  <c r="N18" i="6"/>
  <c r="M18" i="6"/>
  <c r="L18" i="6"/>
  <c r="K18" i="6"/>
  <c r="J18" i="6"/>
  <c r="I18" i="6"/>
  <c r="H18" i="6"/>
  <c r="F18" i="6"/>
  <c r="E18" i="6"/>
  <c r="D18" i="6"/>
  <c r="C18" i="6"/>
  <c r="AB17" i="6"/>
  <c r="AA17" i="6"/>
  <c r="Z17" i="6"/>
  <c r="Y17" i="6"/>
  <c r="X17" i="6"/>
  <c r="W17" i="6"/>
  <c r="V17" i="6"/>
  <c r="U17" i="6"/>
  <c r="T17" i="6"/>
  <c r="S17" i="6"/>
  <c r="R17" i="6"/>
  <c r="Q17" i="6"/>
  <c r="P17" i="6"/>
  <c r="O17" i="6"/>
  <c r="N17" i="6"/>
  <c r="M17" i="6"/>
  <c r="L17" i="6"/>
  <c r="K17" i="6"/>
  <c r="J17" i="6"/>
  <c r="I17" i="6"/>
  <c r="H17" i="6"/>
  <c r="G17" i="6"/>
  <c r="E17" i="6"/>
  <c r="D17" i="6"/>
  <c r="AB16" i="6"/>
  <c r="AA16" i="6"/>
  <c r="Z16" i="6"/>
  <c r="Y16" i="6"/>
  <c r="X16" i="6"/>
  <c r="W16" i="6"/>
  <c r="V16" i="6"/>
  <c r="U16" i="6"/>
  <c r="T16" i="6"/>
  <c r="S16" i="6"/>
  <c r="R16" i="6"/>
  <c r="Q16" i="6"/>
  <c r="P16" i="6"/>
  <c r="O16" i="6"/>
  <c r="N16" i="6"/>
  <c r="M16" i="6"/>
  <c r="L16" i="6"/>
  <c r="K16" i="6"/>
  <c r="J16" i="6"/>
  <c r="I16" i="6"/>
  <c r="H16" i="6"/>
  <c r="G16" i="6"/>
  <c r="F16" i="6"/>
  <c r="E16" i="6"/>
  <c r="AB15" i="6"/>
  <c r="AA15" i="6"/>
  <c r="Z15" i="6"/>
  <c r="Y15" i="6"/>
  <c r="X15" i="6"/>
  <c r="W15" i="6"/>
  <c r="V15" i="6"/>
  <c r="U15" i="6"/>
  <c r="T15" i="6"/>
  <c r="S15" i="6"/>
  <c r="R15" i="6"/>
  <c r="Q15" i="6"/>
  <c r="P15" i="6"/>
  <c r="O15" i="6"/>
  <c r="N15" i="6"/>
  <c r="M15" i="6"/>
  <c r="L15" i="6"/>
  <c r="K15" i="6"/>
  <c r="J15" i="6"/>
  <c r="I15" i="6"/>
  <c r="H15" i="6"/>
  <c r="F15" i="6"/>
  <c r="AB14" i="6"/>
  <c r="AA14" i="6"/>
  <c r="Z14" i="6"/>
  <c r="Y14" i="6"/>
  <c r="X14" i="6"/>
  <c r="W14" i="6"/>
  <c r="V14" i="6"/>
  <c r="U14" i="6"/>
  <c r="T14" i="6"/>
  <c r="S14" i="6"/>
  <c r="R14" i="6"/>
  <c r="Q14" i="6"/>
  <c r="P14" i="6"/>
  <c r="O14" i="6"/>
  <c r="N14" i="6"/>
  <c r="M14" i="6"/>
  <c r="L14" i="6"/>
  <c r="K14" i="6"/>
  <c r="J14" i="6"/>
  <c r="I14" i="6"/>
  <c r="H14" i="6"/>
  <c r="G14" i="6"/>
  <c r="E14" i="6"/>
  <c r="D14" i="6"/>
  <c r="C14" i="6"/>
  <c r="AB13" i="6"/>
  <c r="AA13" i="6"/>
  <c r="Z13" i="6"/>
  <c r="Y13" i="6"/>
  <c r="X13" i="6"/>
  <c r="W13" i="6"/>
  <c r="V13" i="6"/>
  <c r="U13" i="6"/>
  <c r="T13" i="6"/>
  <c r="S13" i="6"/>
  <c r="R13" i="6"/>
  <c r="Q13" i="6"/>
  <c r="P13" i="6"/>
  <c r="O13" i="6"/>
  <c r="N13" i="6"/>
  <c r="M13" i="6"/>
  <c r="L13" i="6"/>
  <c r="K13" i="6"/>
  <c r="J13" i="6"/>
  <c r="I13" i="6"/>
  <c r="H13" i="6"/>
  <c r="G13" i="6"/>
  <c r="F13" i="6"/>
  <c r="E13" i="6"/>
  <c r="D13" i="6"/>
  <c r="AB12" i="6"/>
  <c r="AA12" i="6"/>
  <c r="Z12" i="6"/>
  <c r="Y12" i="6"/>
  <c r="X12" i="6"/>
  <c r="W12" i="6"/>
  <c r="V12" i="6"/>
  <c r="U12" i="6"/>
  <c r="T12" i="6"/>
  <c r="S12" i="6"/>
  <c r="R12" i="6"/>
  <c r="Q12" i="6"/>
  <c r="P12" i="6"/>
  <c r="O12" i="6"/>
  <c r="N12" i="6"/>
  <c r="M12" i="6"/>
  <c r="L12" i="6"/>
  <c r="K12" i="6"/>
  <c r="J12" i="6"/>
  <c r="I12" i="6"/>
  <c r="H12" i="6"/>
  <c r="G12" i="6"/>
  <c r="C12" i="6"/>
  <c r="AB9" i="6"/>
  <c r="Z9" i="6"/>
  <c r="Y9" i="6"/>
  <c r="W9" i="6"/>
  <c r="V9" i="6"/>
  <c r="U9" i="6"/>
  <c r="T9" i="6"/>
  <c r="R9" i="6"/>
  <c r="Q9" i="6"/>
  <c r="P9" i="6"/>
  <c r="O9" i="6"/>
  <c r="N9" i="6"/>
  <c r="M9" i="6"/>
  <c r="J9" i="6"/>
  <c r="I9" i="6"/>
  <c r="H9" i="6"/>
  <c r="G9" i="6"/>
  <c r="F9" i="6"/>
  <c r="E9" i="6"/>
  <c r="X7" i="6"/>
  <c r="W7" i="6"/>
  <c r="V7" i="6"/>
  <c r="N7" i="6"/>
  <c r="M7" i="6"/>
  <c r="AG4" i="6"/>
  <c r="AG3" i="6"/>
  <c r="V8" i="6" s="1"/>
  <c r="V10" i="6" s="1"/>
  <c r="P39" i="1"/>
  <c r="P38" i="1"/>
  <c r="P37" i="1"/>
  <c r="P36" i="1"/>
  <c r="P35" i="1"/>
  <c r="P34" i="1"/>
  <c r="P33" i="1"/>
  <c r="P31" i="1"/>
  <c r="P30" i="1"/>
  <c r="P29" i="1"/>
  <c r="P28" i="1"/>
  <c r="P27" i="1"/>
  <c r="P26" i="1"/>
  <c r="P25" i="1"/>
  <c r="P22" i="1"/>
  <c r="P21" i="1"/>
  <c r="P20" i="1"/>
  <c r="P18" i="1"/>
  <c r="P17" i="1"/>
  <c r="Q13" i="1"/>
  <c r="Q30" i="1" s="1"/>
  <c r="C205" i="10" l="1"/>
  <c r="G87" i="6"/>
  <c r="C14" i="11"/>
  <c r="C30" i="11"/>
  <c r="C46" i="11"/>
  <c r="C62" i="11"/>
  <c r="C78" i="11"/>
  <c r="C94" i="11"/>
  <c r="F40" i="7"/>
  <c r="E66" i="7"/>
  <c r="C78" i="7"/>
  <c r="E117" i="7"/>
  <c r="C90" i="8"/>
  <c r="E42" i="6"/>
  <c r="C129" i="9"/>
  <c r="F12" i="6"/>
  <c r="C137" i="9"/>
  <c r="F20" i="6"/>
  <c r="E89" i="7"/>
  <c r="C120" i="9"/>
  <c r="Q22" i="1"/>
  <c r="R22" i="1" s="1"/>
  <c r="F35" i="6"/>
  <c r="C73" i="6"/>
  <c r="I7" i="6"/>
  <c r="C18" i="7"/>
  <c r="E48" i="7"/>
  <c r="F55" i="7"/>
  <c r="F63" i="7"/>
  <c r="F75" i="7"/>
  <c r="C67" i="7"/>
  <c r="C31" i="8"/>
  <c r="C39" i="8"/>
  <c r="C55" i="8"/>
  <c r="F52" i="7"/>
  <c r="E114" i="7"/>
  <c r="C55" i="6"/>
  <c r="C75" i="8"/>
  <c r="E27" i="6"/>
  <c r="C130" i="8"/>
  <c r="E82" i="6"/>
  <c r="C100" i="9"/>
  <c r="C101" i="9"/>
  <c r="C34" i="6"/>
  <c r="F40" i="6"/>
  <c r="C51" i="6"/>
  <c r="C74" i="6"/>
  <c r="Q21" i="1"/>
  <c r="E49" i="7"/>
  <c r="C127" i="8"/>
  <c r="E79" i="6"/>
  <c r="E52" i="9"/>
  <c r="C63" i="9"/>
  <c r="C13" i="10"/>
  <c r="E24" i="10"/>
  <c r="Q33" i="1"/>
  <c r="Q35" i="1"/>
  <c r="R35" i="1" s="1"/>
  <c r="Q29" i="1"/>
  <c r="C90" i="6"/>
  <c r="C138" i="7"/>
  <c r="C89" i="7"/>
  <c r="C129" i="8"/>
  <c r="E81" i="6"/>
  <c r="Q16" i="1"/>
  <c r="Q38" i="1"/>
  <c r="R38" i="1" s="1"/>
  <c r="Q18" i="1"/>
  <c r="L9" i="6"/>
  <c r="P23" i="1"/>
  <c r="C19" i="7"/>
  <c r="C80" i="9"/>
  <c r="P15" i="1"/>
  <c r="Q26" i="1"/>
  <c r="Q39" i="1"/>
  <c r="R39" i="1" s="1"/>
  <c r="F14" i="6"/>
  <c r="Q27" i="1"/>
  <c r="Q34" i="1"/>
  <c r="C31" i="6"/>
  <c r="P7" i="6"/>
  <c r="Q31" i="1"/>
  <c r="R31" i="1" s="1"/>
  <c r="F141" i="7"/>
  <c r="C9" i="8"/>
  <c r="C144" i="9"/>
  <c r="F27" i="6"/>
  <c r="E85" i="9"/>
  <c r="C95" i="9"/>
  <c r="E100" i="9"/>
  <c r="C105" i="9"/>
  <c r="C123" i="9"/>
  <c r="E175" i="9"/>
  <c r="E176" i="9"/>
  <c r="C186" i="9"/>
  <c r="F47" i="10"/>
  <c r="F82" i="10"/>
  <c r="F94" i="10"/>
  <c r="C36" i="14"/>
  <c r="E47" i="14"/>
  <c r="C77" i="12"/>
  <c r="C85" i="12"/>
  <c r="C116" i="12"/>
  <c r="C16" i="13"/>
  <c r="C24" i="13"/>
  <c r="C39" i="13"/>
  <c r="C47" i="13"/>
  <c r="C78" i="13"/>
  <c r="C86" i="13"/>
  <c r="C94" i="13"/>
  <c r="C109" i="13"/>
  <c r="C117" i="13"/>
  <c r="C125" i="13"/>
  <c r="C133" i="13"/>
  <c r="C132" i="14"/>
  <c r="E143" i="14"/>
  <c r="C86" i="14"/>
  <c r="C165" i="11"/>
  <c r="C41" i="12"/>
  <c r="C117" i="12"/>
  <c r="C155" i="12"/>
  <c r="C79" i="14"/>
  <c r="C78" i="15"/>
  <c r="F60" i="7"/>
  <c r="F98" i="7"/>
  <c r="F92" i="7"/>
  <c r="F103" i="7"/>
  <c r="E40" i="9"/>
  <c r="C50" i="9"/>
  <c r="E70" i="9"/>
  <c r="E95" i="9"/>
  <c r="E40" i="10"/>
  <c r="C62" i="14"/>
  <c r="E73" i="14"/>
  <c r="F64" i="14"/>
  <c r="E98" i="14"/>
  <c r="E7" i="6"/>
  <c r="F26" i="7"/>
  <c r="C30" i="7"/>
  <c r="E57" i="7"/>
  <c r="F71" i="7"/>
  <c r="E87" i="7"/>
  <c r="E102" i="7"/>
  <c r="C12" i="9"/>
  <c r="C39" i="9"/>
  <c r="E58" i="9"/>
  <c r="E63" i="9"/>
  <c r="E73" i="9"/>
  <c r="C87" i="9"/>
  <c r="C143" i="9"/>
  <c r="C145" i="9"/>
  <c r="C155" i="9"/>
  <c r="C160" i="9"/>
  <c r="E179" i="9"/>
  <c r="E210" i="9"/>
  <c r="E18" i="10"/>
  <c r="F35" i="10"/>
  <c r="F45" i="10"/>
  <c r="F70" i="10"/>
  <c r="E120" i="10"/>
  <c r="C109" i="10"/>
  <c r="AB7" i="6"/>
  <c r="C7" i="6"/>
  <c r="Z7" i="6"/>
  <c r="C7" i="7"/>
  <c r="C38" i="7"/>
  <c r="C46" i="7"/>
  <c r="F73" i="7"/>
  <c r="F68" i="7"/>
  <c r="F102" i="7"/>
  <c r="F105" i="7"/>
  <c r="C105" i="7"/>
  <c r="E119" i="7"/>
  <c r="F128" i="7"/>
  <c r="C132" i="7"/>
  <c r="C137" i="7"/>
  <c r="C139" i="7"/>
  <c r="C15" i="8"/>
  <c r="C26" i="8"/>
  <c r="C30" i="8"/>
  <c r="C34" i="8"/>
  <c r="C42" i="8"/>
  <c r="C46" i="8"/>
  <c r="C50" i="8"/>
  <c r="C62" i="8"/>
  <c r="C97" i="8"/>
  <c r="C10" i="9"/>
  <c r="C28" i="9"/>
  <c r="C34" i="9"/>
  <c r="E38" i="9"/>
  <c r="E48" i="9"/>
  <c r="E53" i="9"/>
  <c r="E69" i="9"/>
  <c r="E94" i="9"/>
  <c r="C97" i="9"/>
  <c r="C107" i="9"/>
  <c r="E111" i="9"/>
  <c r="C124" i="9"/>
  <c r="E145" i="9"/>
  <c r="C196" i="9"/>
  <c r="E206" i="9"/>
  <c r="F22" i="10"/>
  <c r="F115" i="10"/>
  <c r="E118" i="10"/>
  <c r="C108" i="10"/>
  <c r="F130" i="10"/>
  <c r="C55" i="14"/>
  <c r="C93" i="14"/>
  <c r="H39" i="6"/>
  <c r="O7" i="6"/>
  <c r="F18" i="7"/>
  <c r="E22" i="7"/>
  <c r="F25" i="7"/>
  <c r="F27" i="7"/>
  <c r="F58" i="7"/>
  <c r="F66" i="7"/>
  <c r="E70" i="7"/>
  <c r="F77" i="7"/>
  <c r="E80" i="7"/>
  <c r="E112" i="7"/>
  <c r="F134" i="7"/>
  <c r="C74" i="8"/>
  <c r="C86" i="8"/>
  <c r="C105" i="8"/>
  <c r="C24" i="9"/>
  <c r="E33" i="9"/>
  <c r="C64" i="9"/>
  <c r="C75" i="9"/>
  <c r="E97" i="9"/>
  <c r="C110" i="9"/>
  <c r="C140" i="9"/>
  <c r="E153" i="9"/>
  <c r="E158" i="9"/>
  <c r="C176" i="9"/>
  <c r="E178" i="9"/>
  <c r="E188" i="9"/>
  <c r="E209" i="9"/>
  <c r="F48" i="10"/>
  <c r="F56" i="10"/>
  <c r="F96" i="10"/>
  <c r="C91" i="10"/>
  <c r="E108" i="10"/>
  <c r="F101" i="10"/>
  <c r="F108" i="14"/>
  <c r="F96" i="14"/>
  <c r="C85" i="16"/>
  <c r="C125" i="16"/>
  <c r="C124" i="16"/>
  <c r="F110" i="14"/>
  <c r="F174" i="14"/>
  <c r="E164" i="14"/>
  <c r="E175" i="14"/>
  <c r="C183" i="14"/>
  <c r="C108" i="15"/>
  <c r="C130" i="15"/>
  <c r="C130" i="17"/>
  <c r="C117" i="18"/>
  <c r="C17" i="19"/>
  <c r="C32" i="19"/>
  <c r="C48" i="19"/>
  <c r="C64" i="19"/>
  <c r="C80" i="19"/>
  <c r="C96" i="19"/>
  <c r="C72" i="23"/>
  <c r="C126" i="23"/>
  <c r="C127" i="23"/>
  <c r="C52" i="20"/>
  <c r="C53" i="20"/>
  <c r="C111" i="23"/>
  <c r="F79" i="10"/>
  <c r="F72" i="10"/>
  <c r="E123" i="10"/>
  <c r="F193" i="10"/>
  <c r="F201" i="10"/>
  <c r="F209" i="10"/>
  <c r="F205" i="10"/>
  <c r="C30" i="12"/>
  <c r="F63" i="14"/>
  <c r="F71" i="14"/>
  <c r="E85" i="14"/>
  <c r="F98" i="14"/>
  <c r="F102" i="14"/>
  <c r="F150" i="14"/>
  <c r="F157" i="14"/>
  <c r="F172" i="14"/>
  <c r="F195" i="14"/>
  <c r="C161" i="9"/>
  <c r="E167" i="9"/>
  <c r="C184" i="9"/>
  <c r="C189" i="9"/>
  <c r="E191" i="9"/>
  <c r="C202" i="9"/>
  <c r="F43" i="10"/>
  <c r="F50" i="10"/>
  <c r="C41" i="10"/>
  <c r="F63" i="10"/>
  <c r="C57" i="10"/>
  <c r="E75" i="10"/>
  <c r="F77" i="10"/>
  <c r="E100" i="10"/>
  <c r="F92" i="10"/>
  <c r="E114" i="10"/>
  <c r="F128" i="10"/>
  <c r="F138" i="10"/>
  <c r="F188" i="10"/>
  <c r="F204" i="10"/>
  <c r="C26" i="11"/>
  <c r="C58" i="11"/>
  <c r="C90" i="11"/>
  <c r="C122" i="11"/>
  <c r="C154" i="11"/>
  <c r="C9" i="12"/>
  <c r="C24" i="12"/>
  <c r="C60" i="12"/>
  <c r="C66" i="12"/>
  <c r="C81" i="12"/>
  <c r="C113" i="12"/>
  <c r="C143" i="12"/>
  <c r="C21" i="13"/>
  <c r="C52" i="13"/>
  <c r="C138" i="13"/>
  <c r="C146" i="13"/>
  <c r="C154" i="13"/>
  <c r="E22" i="14"/>
  <c r="F48" i="14"/>
  <c r="F52" i="14"/>
  <c r="E75" i="14"/>
  <c r="F78" i="14"/>
  <c r="C78" i="14"/>
  <c r="F95" i="14"/>
  <c r="F127" i="14"/>
  <c r="C118" i="14"/>
  <c r="F165" i="14"/>
  <c r="E169" i="14"/>
  <c r="F180" i="14"/>
  <c r="E207" i="14"/>
  <c r="C42" i="15"/>
  <c r="C50" i="15"/>
  <c r="C58" i="15"/>
  <c r="C40" i="16"/>
  <c r="C56" i="16"/>
  <c r="C57" i="17"/>
  <c r="C73" i="17"/>
  <c r="C81" i="17"/>
  <c r="C89" i="17"/>
  <c r="C97" i="17"/>
  <c r="C50" i="18"/>
  <c r="C58" i="18"/>
  <c r="C66" i="18"/>
  <c r="C56" i="20"/>
  <c r="C64" i="20"/>
  <c r="C80" i="20"/>
  <c r="C96" i="20"/>
  <c r="E81" i="10"/>
  <c r="C124" i="10"/>
  <c r="F30" i="14"/>
  <c r="C23" i="14"/>
  <c r="C38" i="14"/>
  <c r="F72" i="14"/>
  <c r="F75" i="14"/>
  <c r="E92" i="14"/>
  <c r="C85" i="14"/>
  <c r="F99" i="14"/>
  <c r="E124" i="14"/>
  <c r="E122" i="14"/>
  <c r="F140" i="14"/>
  <c r="F146" i="14"/>
  <c r="F162" i="14"/>
  <c r="F196" i="14"/>
  <c r="C151" i="9"/>
  <c r="E154" i="9"/>
  <c r="C173" i="9"/>
  <c r="C178" i="9"/>
  <c r="C180" i="9"/>
  <c r="E182" i="9"/>
  <c r="C200" i="9"/>
  <c r="C210" i="9"/>
  <c r="C23" i="10"/>
  <c r="E59" i="10"/>
  <c r="F66" i="10"/>
  <c r="E88" i="10"/>
  <c r="F98" i="10"/>
  <c r="F121" i="10"/>
  <c r="E124" i="10"/>
  <c r="C45" i="11"/>
  <c r="C53" i="11"/>
  <c r="C109" i="11"/>
  <c r="C117" i="11"/>
  <c r="C149" i="11"/>
  <c r="C172" i="11"/>
  <c r="C11" i="12"/>
  <c r="C40" i="12"/>
  <c r="C55" i="12"/>
  <c r="C84" i="12"/>
  <c r="C92" i="12"/>
  <c r="C107" i="12"/>
  <c r="C114" i="12"/>
  <c r="C123" i="12"/>
  <c r="C131" i="12"/>
  <c r="C161" i="12"/>
  <c r="C15" i="13"/>
  <c r="C62" i="13"/>
  <c r="C69" i="13"/>
  <c r="C148" i="13"/>
  <c r="C164" i="13"/>
  <c r="C16" i="14"/>
  <c r="F53" i="14"/>
  <c r="E100" i="14"/>
  <c r="F106" i="14"/>
  <c r="E152" i="14"/>
  <c r="E163" i="14"/>
  <c r="F166" i="14"/>
  <c r="C158" i="14"/>
  <c r="C28" i="15"/>
  <c r="C44" i="15"/>
  <c r="C52" i="15"/>
  <c r="C60" i="15"/>
  <c r="C121" i="15"/>
  <c r="C143" i="15"/>
  <c r="C171" i="15"/>
  <c r="C179" i="15"/>
  <c r="C29" i="17"/>
  <c r="C58" i="17"/>
  <c r="C75" i="17"/>
  <c r="C106" i="17"/>
  <c r="C102" i="19"/>
  <c r="C118" i="19"/>
  <c r="C134" i="19"/>
  <c r="C13" i="20"/>
  <c r="C50" i="20"/>
  <c r="C40" i="25"/>
  <c r="C63" i="25"/>
  <c r="C49" i="25"/>
  <c r="C109" i="25"/>
  <c r="C118" i="25"/>
  <c r="C105" i="26"/>
  <c r="C129" i="26"/>
  <c r="C7" i="27"/>
  <c r="C15" i="27"/>
  <c r="C30" i="27"/>
  <c r="C83" i="27"/>
  <c r="C91" i="27"/>
  <c r="C139" i="27"/>
  <c r="C9" i="28"/>
  <c r="C25" i="28"/>
  <c r="C47" i="28"/>
  <c r="C55" i="28"/>
  <c r="C63" i="28"/>
  <c r="C69" i="28"/>
  <c r="C11" i="30"/>
  <c r="C19" i="30"/>
  <c r="C43" i="30"/>
  <c r="C51" i="30"/>
  <c r="C66" i="30"/>
  <c r="C249" i="31"/>
  <c r="C115" i="32"/>
  <c r="C116" i="32"/>
  <c r="C44" i="35"/>
  <c r="C138" i="15"/>
  <c r="C151" i="15"/>
  <c r="C42" i="16"/>
  <c r="C58" i="16"/>
  <c r="C65" i="16"/>
  <c r="C120" i="16"/>
  <c r="C127" i="16"/>
  <c r="C142" i="16"/>
  <c r="C149" i="16"/>
  <c r="C164" i="16"/>
  <c r="C172" i="16"/>
  <c r="C179" i="16"/>
  <c r="C187" i="16"/>
  <c r="C52" i="17"/>
  <c r="C68" i="17"/>
  <c r="C90" i="17"/>
  <c r="C113" i="17"/>
  <c r="C125" i="17"/>
  <c r="C138" i="17"/>
  <c r="C22" i="18"/>
  <c r="C37" i="18"/>
  <c r="C44" i="18"/>
  <c r="C60" i="18"/>
  <c r="C74" i="18"/>
  <c r="C98" i="18"/>
  <c r="C105" i="18"/>
  <c r="C120" i="18"/>
  <c r="C128" i="18"/>
  <c r="C26" i="19"/>
  <c r="C34" i="19"/>
  <c r="C90" i="19"/>
  <c r="C104" i="19"/>
  <c r="C113" i="19"/>
  <c r="C120" i="19"/>
  <c r="C129" i="19"/>
  <c r="C37" i="20"/>
  <c r="C45" i="20"/>
  <c r="C126" i="20"/>
  <c r="C114" i="22"/>
  <c r="C121" i="22"/>
  <c r="C129" i="22"/>
  <c r="C150" i="22"/>
  <c r="C167" i="22"/>
  <c r="C15" i="23"/>
  <c r="C60" i="23"/>
  <c r="C107" i="24"/>
  <c r="C11" i="25"/>
  <c r="C19" i="25"/>
  <c r="C115" i="26"/>
  <c r="C138" i="26"/>
  <c r="C9" i="27"/>
  <c r="C47" i="27"/>
  <c r="C61" i="27"/>
  <c r="C69" i="27"/>
  <c r="C110" i="28"/>
  <c r="C117" i="28"/>
  <c r="C11" i="29"/>
  <c r="C126" i="29"/>
  <c r="C134" i="29"/>
  <c r="C13" i="30"/>
  <c r="C31" i="31"/>
  <c r="C39" i="31"/>
  <c r="C62" i="31"/>
  <c r="C116" i="31"/>
  <c r="C124" i="31"/>
  <c r="C139" i="31"/>
  <c r="C146" i="31"/>
  <c r="C223" i="31"/>
  <c r="C231" i="31"/>
  <c r="C64" i="32"/>
  <c r="C83" i="18"/>
  <c r="C106" i="18"/>
  <c r="C122" i="22"/>
  <c r="C69" i="26"/>
  <c r="C95" i="28"/>
  <c r="C93" i="30"/>
  <c r="C101" i="30"/>
  <c r="C48" i="31"/>
  <c r="C56" i="31"/>
  <c r="C95" i="31"/>
  <c r="C103" i="31"/>
  <c r="C217" i="31"/>
  <c r="F129" i="14"/>
  <c r="F160" i="14"/>
  <c r="F171" i="14"/>
  <c r="F182" i="14"/>
  <c r="C175" i="14"/>
  <c r="E197" i="14"/>
  <c r="F211" i="14"/>
  <c r="C10" i="15"/>
  <c r="C18" i="15"/>
  <c r="C32" i="15"/>
  <c r="C176" i="15"/>
  <c r="C183" i="15"/>
  <c r="C7" i="16"/>
  <c r="C15" i="16"/>
  <c r="C61" i="16"/>
  <c r="C68" i="16"/>
  <c r="C76" i="16"/>
  <c r="C99" i="16"/>
  <c r="C107" i="16"/>
  <c r="C138" i="16"/>
  <c r="C175" i="16"/>
  <c r="C20" i="17"/>
  <c r="C27" i="17"/>
  <c r="C86" i="17"/>
  <c r="C94" i="17"/>
  <c r="C18" i="18"/>
  <c r="C85" i="18"/>
  <c r="C93" i="18"/>
  <c r="C123" i="18"/>
  <c r="C131" i="18"/>
  <c r="C21" i="19"/>
  <c r="C45" i="19"/>
  <c r="C53" i="19"/>
  <c r="C61" i="19"/>
  <c r="C68" i="19"/>
  <c r="C140" i="19"/>
  <c r="C18" i="20"/>
  <c r="C24" i="20"/>
  <c r="C32" i="20"/>
  <c r="C62" i="20"/>
  <c r="C78" i="20"/>
  <c r="C128" i="20"/>
  <c r="C7" i="21"/>
  <c r="C13" i="22"/>
  <c r="C45" i="22"/>
  <c r="C53" i="22"/>
  <c r="C61" i="22"/>
  <c r="C69" i="22"/>
  <c r="C77" i="22"/>
  <c r="C117" i="22"/>
  <c r="C78" i="23"/>
  <c r="C101" i="23"/>
  <c r="C23" i="24"/>
  <c r="C53" i="24"/>
  <c r="C93" i="24"/>
  <c r="C102" i="24"/>
  <c r="C116" i="24"/>
  <c r="C117" i="24"/>
  <c r="C33" i="26"/>
  <c r="C56" i="26"/>
  <c r="E183" i="14"/>
  <c r="C179" i="14"/>
  <c r="F193" i="14"/>
  <c r="C92" i="15"/>
  <c r="C100" i="15"/>
  <c r="C107" i="15"/>
  <c r="C127" i="15"/>
  <c r="C155" i="15"/>
  <c r="C54" i="16"/>
  <c r="C108" i="16"/>
  <c r="C183" i="16"/>
  <c r="C8" i="17"/>
  <c r="C14" i="17"/>
  <c r="C42" i="17"/>
  <c r="C56" i="17"/>
  <c r="C109" i="17"/>
  <c r="C141" i="17"/>
  <c r="C19" i="18"/>
  <c r="C34" i="18"/>
  <c r="C48" i="18"/>
  <c r="C64" i="18"/>
  <c r="C78" i="18"/>
  <c r="C86" i="18"/>
  <c r="C109" i="18"/>
  <c r="C124" i="18"/>
  <c r="C30" i="19"/>
  <c r="C70" i="19"/>
  <c r="C86" i="19"/>
  <c r="C109" i="19"/>
  <c r="C117" i="19"/>
  <c r="C125" i="19"/>
  <c r="C141" i="19"/>
  <c r="C12" i="20"/>
  <c r="C19" i="20"/>
  <c r="C25" i="20"/>
  <c r="C85" i="20"/>
  <c r="C94" i="20"/>
  <c r="C100" i="20"/>
  <c r="C17" i="21"/>
  <c r="C33" i="21"/>
  <c r="C49" i="21"/>
  <c r="C65" i="21"/>
  <c r="C81" i="21"/>
  <c r="C97" i="21"/>
  <c r="C105" i="21"/>
  <c r="C113" i="21"/>
  <c r="C121" i="21"/>
  <c r="C129" i="21"/>
  <c r="C14" i="22"/>
  <c r="C30" i="22"/>
  <c r="C46" i="22"/>
  <c r="C62" i="22"/>
  <c r="C78" i="22"/>
  <c r="C94" i="22"/>
  <c r="C110" i="22"/>
  <c r="C71" i="23"/>
  <c r="C42" i="26"/>
  <c r="C15" i="28"/>
  <c r="C23" i="28"/>
  <c r="C31" i="28"/>
  <c r="C53" i="28"/>
  <c r="C61" i="28"/>
  <c r="C87" i="30"/>
  <c r="C196" i="31"/>
  <c r="C11" i="32"/>
  <c r="C20" i="32"/>
  <c r="C131" i="34"/>
  <c r="C8" i="23"/>
  <c r="C49" i="23"/>
  <c r="C70" i="23"/>
  <c r="C108" i="23"/>
  <c r="C116" i="23"/>
  <c r="C124" i="23"/>
  <c r="C44" i="24"/>
  <c r="C59" i="24"/>
  <c r="C23" i="25"/>
  <c r="C32" i="26"/>
  <c r="C39" i="26"/>
  <c r="C46" i="26"/>
  <c r="C53" i="26"/>
  <c r="C61" i="26"/>
  <c r="C120" i="26"/>
  <c r="C29" i="27"/>
  <c r="C37" i="27"/>
  <c r="C88" i="27"/>
  <c r="C96" i="27"/>
  <c r="C112" i="27"/>
  <c r="C30" i="28"/>
  <c r="C60" i="28"/>
  <c r="C81" i="28"/>
  <c r="C109" i="28"/>
  <c r="C124" i="28"/>
  <c r="C131" i="28"/>
  <c r="C18" i="29"/>
  <c r="C24" i="29"/>
  <c r="C32" i="29"/>
  <c r="C78" i="29"/>
  <c r="C86" i="29"/>
  <c r="C93" i="29"/>
  <c r="C116" i="29"/>
  <c r="C124" i="29"/>
  <c r="C55" i="30"/>
  <c r="C115" i="30"/>
  <c r="C130" i="30"/>
  <c r="C84" i="31"/>
  <c r="C129" i="31"/>
  <c r="C214" i="31"/>
  <c r="C264" i="31"/>
  <c r="C296" i="31"/>
  <c r="C316" i="31"/>
  <c r="C324" i="31"/>
  <c r="C340" i="31"/>
  <c r="C49" i="32"/>
  <c r="C55" i="32"/>
  <c r="C114" i="32"/>
  <c r="C65" i="33"/>
  <c r="C77" i="34"/>
  <c r="C92" i="34"/>
  <c r="C174" i="34"/>
  <c r="C181" i="34"/>
  <c r="C213" i="34"/>
  <c r="C267" i="34"/>
  <c r="C71" i="35"/>
  <c r="C102" i="35"/>
  <c r="C109" i="35"/>
  <c r="C16" i="36"/>
  <c r="C40" i="36"/>
  <c r="C47" i="36"/>
  <c r="C62" i="36"/>
  <c r="C70" i="36"/>
  <c r="C24" i="37"/>
  <c r="C31" i="37"/>
  <c r="C45" i="37"/>
  <c r="C111" i="37"/>
  <c r="C126" i="37"/>
  <c r="C154" i="37"/>
  <c r="C224" i="37"/>
  <c r="C232" i="37"/>
  <c r="C37" i="33"/>
  <c r="C44" i="33"/>
  <c r="C14" i="34"/>
  <c r="C21" i="34"/>
  <c r="C100" i="34"/>
  <c r="C53" i="33"/>
  <c r="C60" i="33"/>
  <c r="C7" i="34"/>
  <c r="C15" i="34"/>
  <c r="C51" i="34"/>
  <c r="C59" i="34"/>
  <c r="C65" i="34"/>
  <c r="C101" i="34"/>
  <c r="C115" i="34"/>
  <c r="C123" i="34"/>
  <c r="C183" i="34"/>
  <c r="C199" i="34"/>
  <c r="C207" i="34"/>
  <c r="C215" i="34"/>
  <c r="C261" i="34"/>
  <c r="C112" i="35"/>
  <c r="C48" i="36"/>
  <c r="C57" i="36"/>
  <c r="C64" i="36"/>
  <c r="C72" i="36"/>
  <c r="C39" i="37"/>
  <c r="C55" i="37"/>
  <c r="C63" i="37"/>
  <c r="C93" i="37"/>
  <c r="C120" i="37"/>
  <c r="C30" i="34"/>
  <c r="C94" i="34"/>
  <c r="C128" i="37"/>
  <c r="C74" i="23"/>
  <c r="C120" i="23"/>
  <c r="C128" i="28"/>
  <c r="C135" i="28"/>
  <c r="C7" i="29"/>
  <c r="C15" i="29"/>
  <c r="C45" i="29"/>
  <c r="C53" i="29"/>
  <c r="C60" i="29"/>
  <c r="C105" i="29"/>
  <c r="C141" i="30"/>
  <c r="C12" i="31"/>
  <c r="C246" i="31"/>
  <c r="C260" i="31"/>
  <c r="C30" i="35"/>
  <c r="C126" i="22"/>
  <c r="C24" i="23"/>
  <c r="C80" i="24"/>
  <c r="C22" i="25"/>
  <c r="C51" i="26"/>
  <c r="C59" i="26"/>
  <c r="C66" i="26"/>
  <c r="C26" i="27"/>
  <c r="C12" i="28"/>
  <c r="C137" i="28"/>
  <c r="C30" i="29"/>
  <c r="C38" i="29"/>
  <c r="C92" i="29"/>
  <c r="C98" i="29"/>
  <c r="C106" i="29"/>
  <c r="C46" i="30"/>
  <c r="C83" i="30"/>
  <c r="C89" i="30"/>
  <c r="C97" i="30"/>
  <c r="C105" i="30"/>
  <c r="C136" i="30"/>
  <c r="C20" i="31"/>
  <c r="C67" i="31"/>
  <c r="C74" i="31"/>
  <c r="C90" i="31"/>
  <c r="C112" i="31"/>
  <c r="C120" i="31"/>
  <c r="C185" i="31"/>
  <c r="C278" i="31"/>
  <c r="C112" i="32"/>
  <c r="C119" i="32"/>
  <c r="C19" i="33"/>
  <c r="C10" i="34"/>
  <c r="C26" i="34"/>
  <c r="C33" i="34"/>
  <c r="C41" i="34"/>
  <c r="C48" i="34"/>
  <c r="C147" i="34"/>
  <c r="C186" i="34"/>
  <c r="C195" i="34"/>
  <c r="C219" i="34"/>
  <c r="C227" i="34"/>
  <c r="C249" i="34"/>
  <c r="C54" i="35"/>
  <c r="C85" i="35"/>
  <c r="C93" i="35"/>
  <c r="C22" i="36"/>
  <c r="C38" i="36"/>
  <c r="C52" i="36"/>
  <c r="C74" i="36"/>
  <c r="C37" i="37"/>
  <c r="C71" i="37"/>
  <c r="C80" i="37"/>
  <c r="C88" i="37"/>
  <c r="C124" i="37"/>
  <c r="C142" i="22"/>
  <c r="C165" i="22"/>
  <c r="C19" i="23"/>
  <c r="C26" i="23"/>
  <c r="C34" i="23"/>
  <c r="C47" i="23"/>
  <c r="C75" i="23"/>
  <c r="C84" i="23"/>
  <c r="C115" i="23"/>
  <c r="C130" i="23"/>
  <c r="C28" i="24"/>
  <c r="C73" i="24"/>
  <c r="C82" i="24"/>
  <c r="C90" i="24"/>
  <c r="C46" i="25"/>
  <c r="C54" i="25"/>
  <c r="C61" i="25"/>
  <c r="C107" i="25"/>
  <c r="C139" i="25"/>
  <c r="C17" i="26"/>
  <c r="C45" i="26"/>
  <c r="C68" i="26"/>
  <c r="C73" i="26"/>
  <c r="C111" i="26"/>
  <c r="C119" i="26"/>
  <c r="C28" i="27"/>
  <c r="C43" i="27"/>
  <c r="C51" i="27"/>
  <c r="C65" i="27"/>
  <c r="C80" i="27"/>
  <c r="C119" i="27"/>
  <c r="C127" i="27"/>
  <c r="C74" i="28"/>
  <c r="C100" i="28"/>
  <c r="C115" i="28"/>
  <c r="C123" i="28"/>
  <c r="C39" i="29"/>
  <c r="C85" i="29"/>
  <c r="C309" i="31"/>
  <c r="C48" i="32"/>
  <c r="C68" i="32"/>
  <c r="C105" i="32"/>
  <c r="C113" i="32"/>
  <c r="C120" i="32"/>
  <c r="C12" i="33"/>
  <c r="C27" i="34"/>
  <c r="C142" i="34"/>
  <c r="C149" i="34"/>
  <c r="C117" i="35"/>
  <c r="C72" i="37"/>
  <c r="C152" i="37"/>
  <c r="C200" i="37"/>
  <c r="C223" i="37"/>
  <c r="T3" i="6"/>
  <c r="T4" i="6"/>
  <c r="T5" i="6"/>
  <c r="T6" i="6" s="1"/>
  <c r="G3" i="6"/>
  <c r="G4" i="6"/>
  <c r="G5" i="6"/>
  <c r="G6" i="6" s="1"/>
  <c r="C65" i="6"/>
  <c r="E21" i="7"/>
  <c r="X5" i="6"/>
  <c r="X3" i="6"/>
  <c r="X4" i="6"/>
  <c r="Q7" i="6"/>
  <c r="Q5" i="6"/>
  <c r="Q6" i="6" s="1"/>
  <c r="Q3" i="6"/>
  <c r="Q4" i="6"/>
  <c r="P16" i="1"/>
  <c r="Q20" i="1"/>
  <c r="Q24" i="1"/>
  <c r="Q37" i="1"/>
  <c r="R37" i="1" s="1"/>
  <c r="H7" i="6"/>
  <c r="U7" i="6"/>
  <c r="K4" i="6"/>
  <c r="K5" i="6"/>
  <c r="K6" i="6" s="1"/>
  <c r="K3" i="6"/>
  <c r="S4" i="6"/>
  <c r="S5" i="6"/>
  <c r="S3" i="6"/>
  <c r="AA4" i="6"/>
  <c r="AA5" i="6"/>
  <c r="AA6" i="6" s="1"/>
  <c r="AA3" i="6"/>
  <c r="C42" i="6"/>
  <c r="E46" i="6"/>
  <c r="E48" i="6"/>
  <c r="S6" i="6"/>
  <c r="E59" i="6"/>
  <c r="F78" i="6"/>
  <c r="F22" i="7"/>
  <c r="C15" i="7"/>
  <c r="C21" i="7"/>
  <c r="F49" i="7"/>
  <c r="F43" i="7"/>
  <c r="F47" i="7"/>
  <c r="F59" i="7"/>
  <c r="E50" i="7"/>
  <c r="F72" i="7"/>
  <c r="E129" i="7"/>
  <c r="E135" i="7"/>
  <c r="C59" i="8"/>
  <c r="C58" i="8"/>
  <c r="C8" i="9"/>
  <c r="C9" i="9"/>
  <c r="C57" i="9"/>
  <c r="E59" i="9"/>
  <c r="E71" i="9"/>
  <c r="E89" i="9"/>
  <c r="C133" i="9"/>
  <c r="E164" i="9"/>
  <c r="E60" i="10"/>
  <c r="E139" i="10"/>
  <c r="C128" i="10"/>
  <c r="E41" i="7"/>
  <c r="C42" i="7"/>
  <c r="E73" i="7"/>
  <c r="C74" i="7"/>
  <c r="C118" i="7"/>
  <c r="E130" i="7"/>
  <c r="F120" i="7"/>
  <c r="C122" i="8"/>
  <c r="E74" i="6"/>
  <c r="E122" i="9"/>
  <c r="E123" i="9"/>
  <c r="C191" i="9"/>
  <c r="C190" i="9"/>
  <c r="E200" i="9"/>
  <c r="E199" i="9"/>
  <c r="E43" i="10"/>
  <c r="C32" i="10"/>
  <c r="U3" i="6"/>
  <c r="U4" i="6"/>
  <c r="U5" i="6"/>
  <c r="U6" i="6" s="1"/>
  <c r="C89" i="6"/>
  <c r="E38" i="7"/>
  <c r="F34" i="7"/>
  <c r="C41" i="7"/>
  <c r="F44" i="7"/>
  <c r="F56" i="7"/>
  <c r="C70" i="7"/>
  <c r="C71" i="7"/>
  <c r="C73" i="7"/>
  <c r="E85" i="7"/>
  <c r="F100" i="7"/>
  <c r="C106" i="7"/>
  <c r="F138" i="7"/>
  <c r="E18" i="9"/>
  <c r="E19" i="9"/>
  <c r="C23" i="9"/>
  <c r="C112" i="9"/>
  <c r="C111" i="9"/>
  <c r="C164" i="9"/>
  <c r="C165" i="9"/>
  <c r="C192" i="9"/>
  <c r="C197" i="9"/>
  <c r="F81" i="6"/>
  <c r="F26" i="10"/>
  <c r="C76" i="10"/>
  <c r="C105" i="10"/>
  <c r="E116" i="10"/>
  <c r="F38" i="7"/>
  <c r="C52" i="7"/>
  <c r="C58" i="7"/>
  <c r="E64" i="7"/>
  <c r="F76" i="7"/>
  <c r="F88" i="7"/>
  <c r="E82" i="7"/>
  <c r="F112" i="7"/>
  <c r="C134" i="7"/>
  <c r="C82" i="8"/>
  <c r="C85" i="8"/>
  <c r="C106" i="9"/>
  <c r="E118" i="9"/>
  <c r="E190" i="9"/>
  <c r="E53" i="10"/>
  <c r="C60" i="10"/>
  <c r="E142" i="10"/>
  <c r="E130" i="10"/>
  <c r="F64" i="7"/>
  <c r="C116" i="7"/>
  <c r="E128" i="7"/>
  <c r="F139" i="7"/>
  <c r="E16" i="9"/>
  <c r="E17" i="9"/>
  <c r="E21" i="9"/>
  <c r="E26" i="9"/>
  <c r="E27" i="9"/>
  <c r="E77" i="9"/>
  <c r="E78" i="9"/>
  <c r="E82" i="9"/>
  <c r="C128" i="9"/>
  <c r="E56" i="10"/>
  <c r="C45" i="10"/>
  <c r="X6" i="6"/>
  <c r="D3" i="6"/>
  <c r="D4" i="6"/>
  <c r="D5" i="6"/>
  <c r="D6" i="6" s="1"/>
  <c r="V3" i="6"/>
  <c r="V4" i="6"/>
  <c r="V5" i="6"/>
  <c r="V6" i="6" s="1"/>
  <c r="O3" i="6"/>
  <c r="O4" i="6"/>
  <c r="O5" i="6"/>
  <c r="O6" i="6" s="1"/>
  <c r="F57" i="7"/>
  <c r="P5" i="6"/>
  <c r="P6" i="6" s="1"/>
  <c r="P3" i="6"/>
  <c r="P4" i="6"/>
  <c r="E38" i="6"/>
  <c r="J7" i="6"/>
  <c r="C22" i="7"/>
  <c r="E34" i="7"/>
  <c r="C27" i="7"/>
  <c r="E39" i="7"/>
  <c r="F29" i="7"/>
  <c r="C36" i="7"/>
  <c r="F39" i="7"/>
  <c r="F54" i="7"/>
  <c r="F86" i="7"/>
  <c r="F95" i="7"/>
  <c r="E101" i="7"/>
  <c r="F104" i="7"/>
  <c r="C107" i="7"/>
  <c r="C110" i="7"/>
  <c r="C93" i="8"/>
  <c r="E9" i="9"/>
  <c r="E105" i="9"/>
  <c r="E104" i="9"/>
  <c r="E109" i="9"/>
  <c r="E110" i="9"/>
  <c r="C183" i="9"/>
  <c r="E34" i="10"/>
  <c r="AB3" i="6"/>
  <c r="AB4" i="6"/>
  <c r="AB5" i="6"/>
  <c r="AB6" i="6" s="1"/>
  <c r="N3" i="6"/>
  <c r="N4" i="6"/>
  <c r="N5" i="6"/>
  <c r="N6" i="6" s="1"/>
  <c r="W3" i="6"/>
  <c r="W4" i="6"/>
  <c r="W5" i="6"/>
  <c r="W6" i="6" s="1"/>
  <c r="C83" i="7"/>
  <c r="C119" i="7"/>
  <c r="I5" i="6"/>
  <c r="I6" i="6" s="1"/>
  <c r="I3" i="6"/>
  <c r="I4" i="6"/>
  <c r="C59" i="6"/>
  <c r="F28" i="7"/>
  <c r="E33" i="7"/>
  <c r="F36" i="7"/>
  <c r="F48" i="7"/>
  <c r="C43" i="7"/>
  <c r="F80" i="7"/>
  <c r="C84" i="7"/>
  <c r="E96" i="7"/>
  <c r="C102" i="7"/>
  <c r="C103" i="7"/>
  <c r="C135" i="7"/>
  <c r="C73" i="8"/>
  <c r="C72" i="8"/>
  <c r="C121" i="8"/>
  <c r="C138" i="8"/>
  <c r="E90" i="6"/>
  <c r="E20" i="9"/>
  <c r="E39" i="9"/>
  <c r="E41" i="9"/>
  <c r="E81" i="9"/>
  <c r="E93" i="9"/>
  <c r="C96" i="9"/>
  <c r="E127" i="9"/>
  <c r="E126" i="9"/>
  <c r="E155" i="9"/>
  <c r="E166" i="9"/>
  <c r="C193" i="9"/>
  <c r="C206" i="9"/>
  <c r="F51" i="10"/>
  <c r="C75" i="10"/>
  <c r="F148" i="10"/>
  <c r="F156" i="10"/>
  <c r="F164" i="10"/>
  <c r="F172" i="10"/>
  <c r="F180" i="10"/>
  <c r="L3" i="6"/>
  <c r="L4" i="6"/>
  <c r="L5" i="6"/>
  <c r="L6" i="6" s="1"/>
  <c r="M3" i="6"/>
  <c r="M4" i="6"/>
  <c r="M5" i="6"/>
  <c r="C39" i="7"/>
  <c r="Q19" i="1"/>
  <c r="R19" i="1" s="1"/>
  <c r="Q23" i="1"/>
  <c r="R23" i="1" s="1"/>
  <c r="Q36" i="1"/>
  <c r="R36" i="1" s="1"/>
  <c r="F7" i="6"/>
  <c r="L8" i="6"/>
  <c r="L10" i="6" s="1"/>
  <c r="Y5" i="6"/>
  <c r="Y6" i="6" s="1"/>
  <c r="Y3" i="6"/>
  <c r="Y4" i="6"/>
  <c r="Q28" i="1"/>
  <c r="R28" i="1" s="1"/>
  <c r="Q32" i="1"/>
  <c r="R32" i="1" s="1"/>
  <c r="G7" i="6"/>
  <c r="R7" i="6"/>
  <c r="J5" i="6"/>
  <c r="J6" i="6" s="1"/>
  <c r="J3" i="6"/>
  <c r="J4" i="6"/>
  <c r="R5" i="6"/>
  <c r="R6" i="6" s="1"/>
  <c r="R3" i="6"/>
  <c r="R4" i="6"/>
  <c r="Z5" i="6"/>
  <c r="Z6" i="6" s="1"/>
  <c r="Z3" i="6"/>
  <c r="Z4" i="6"/>
  <c r="C23" i="6"/>
  <c r="F45" i="6"/>
  <c r="E37" i="7"/>
  <c r="C26" i="7"/>
  <c r="F42" i="7"/>
  <c r="F45" i="7"/>
  <c r="F62" i="7"/>
  <c r="E53" i="7"/>
  <c r="C75" i="7"/>
  <c r="F84" i="7"/>
  <c r="F87" i="7"/>
  <c r="C90" i="7"/>
  <c r="F107" i="7"/>
  <c r="C120" i="8"/>
  <c r="E113" i="9"/>
  <c r="E135" i="9"/>
  <c r="C138" i="9"/>
  <c r="E140" i="9"/>
  <c r="E146" i="9"/>
  <c r="C28" i="10"/>
  <c r="C42" i="11"/>
  <c r="C170" i="12"/>
  <c r="C8" i="13"/>
  <c r="C44" i="13"/>
  <c r="C75" i="13"/>
  <c r="C29" i="14"/>
  <c r="E55" i="14"/>
  <c r="C46" i="14"/>
  <c r="C47" i="14"/>
  <c r="E58" i="14"/>
  <c r="E53" i="14"/>
  <c r="C54" i="14"/>
  <c r="C112" i="14"/>
  <c r="C111" i="14"/>
  <c r="C134" i="16"/>
  <c r="C148" i="16"/>
  <c r="C170" i="16"/>
  <c r="C50" i="17"/>
  <c r="E26" i="14"/>
  <c r="F36" i="14"/>
  <c r="F40" i="14"/>
  <c r="F51" i="14"/>
  <c r="F58" i="14"/>
  <c r="E154" i="14"/>
  <c r="C143" i="14"/>
  <c r="F173" i="14"/>
  <c r="F121" i="7"/>
  <c r="C115" i="7"/>
  <c r="E121" i="7"/>
  <c r="F132" i="7"/>
  <c r="F135" i="7"/>
  <c r="F140" i="7"/>
  <c r="C12" i="8"/>
  <c r="C23" i="8"/>
  <c r="C49" i="8"/>
  <c r="E23" i="9"/>
  <c r="C33" i="9"/>
  <c r="C40" i="9"/>
  <c r="C51" i="9"/>
  <c r="C73" i="9"/>
  <c r="C119" i="9"/>
  <c r="E129" i="9"/>
  <c r="F31" i="10"/>
  <c r="C25" i="10"/>
  <c r="E38" i="10"/>
  <c r="C27" i="10"/>
  <c r="F81" i="10"/>
  <c r="E107" i="10"/>
  <c r="C96" i="10"/>
  <c r="C97" i="10"/>
  <c r="E133" i="10"/>
  <c r="F137" i="10"/>
  <c r="C10" i="11"/>
  <c r="C88" i="11"/>
  <c r="C158" i="11"/>
  <c r="C173" i="11"/>
  <c r="C12" i="12"/>
  <c r="C121" i="12"/>
  <c r="C129" i="12"/>
  <c r="C31" i="13"/>
  <c r="C46" i="13"/>
  <c r="C110" i="14"/>
  <c r="C109" i="14"/>
  <c r="F147" i="14"/>
  <c r="F135" i="14"/>
  <c r="C142" i="14"/>
  <c r="E161" i="14"/>
  <c r="C150" i="14"/>
  <c r="E193" i="14"/>
  <c r="C208" i="14"/>
  <c r="C106" i="15"/>
  <c r="C131" i="15"/>
  <c r="C139" i="15"/>
  <c r="C158" i="15"/>
  <c r="C70" i="16"/>
  <c r="C84" i="16"/>
  <c r="C106" i="16"/>
  <c r="C128" i="16"/>
  <c r="C38" i="17"/>
  <c r="C30" i="18"/>
  <c r="C136" i="12"/>
  <c r="C137" i="12"/>
  <c r="C54" i="13"/>
  <c r="C55" i="13"/>
  <c r="E41" i="14"/>
  <c r="C30" i="14"/>
  <c r="E33" i="14"/>
  <c r="E45" i="14"/>
  <c r="E184" i="14"/>
  <c r="C173" i="14"/>
  <c r="C126" i="15"/>
  <c r="H87" i="6"/>
  <c r="H5" i="6" s="1"/>
  <c r="H6" i="6" s="1"/>
  <c r="C12" i="7"/>
  <c r="F35" i="7"/>
  <c r="C54" i="7"/>
  <c r="C59" i="7"/>
  <c r="C62" i="7"/>
  <c r="E65" i="7"/>
  <c r="C68" i="7"/>
  <c r="F79" i="7"/>
  <c r="F94" i="7"/>
  <c r="F97" i="7"/>
  <c r="C99" i="7"/>
  <c r="E105" i="7"/>
  <c r="F116" i="7"/>
  <c r="F119" i="7"/>
  <c r="E134" i="7"/>
  <c r="F124" i="7"/>
  <c r="E133" i="7"/>
  <c r="C135" i="8"/>
  <c r="E13" i="9"/>
  <c r="C15" i="9"/>
  <c r="C52" i="9"/>
  <c r="C76" i="9"/>
  <c r="C92" i="9"/>
  <c r="E98" i="9"/>
  <c r="E108" i="9"/>
  <c r="E117" i="9"/>
  <c r="E137" i="9"/>
  <c r="C159" i="9"/>
  <c r="C163" i="9"/>
  <c r="C172" i="9"/>
  <c r="E185" i="9"/>
  <c r="C205" i="9"/>
  <c r="E25" i="10"/>
  <c r="F32" i="10"/>
  <c r="F41" i="10"/>
  <c r="E54" i="10"/>
  <c r="F86" i="10"/>
  <c r="F99" i="10"/>
  <c r="F103" i="10"/>
  <c r="F140" i="10"/>
  <c r="C21" i="11"/>
  <c r="C44" i="11"/>
  <c r="C52" i="11"/>
  <c r="C67" i="11"/>
  <c r="C106" i="11"/>
  <c r="C137" i="11"/>
  <c r="C145" i="11"/>
  <c r="C61" i="12"/>
  <c r="C20" i="13"/>
  <c r="C34" i="13"/>
  <c r="C72" i="13"/>
  <c r="C80" i="13"/>
  <c r="C88" i="13"/>
  <c r="C96" i="13"/>
  <c r="C111" i="13"/>
  <c r="C127" i="13"/>
  <c r="C158" i="13"/>
  <c r="C53" i="14"/>
  <c r="F83" i="14"/>
  <c r="F86" i="14"/>
  <c r="F109" i="14"/>
  <c r="E149" i="14"/>
  <c r="E162" i="14"/>
  <c r="C172" i="14"/>
  <c r="C51" i="15"/>
  <c r="C59" i="15"/>
  <c r="C86" i="15"/>
  <c r="C182" i="15"/>
  <c r="C21" i="16"/>
  <c r="C35" i="16"/>
  <c r="C43" i="16"/>
  <c r="C182" i="16"/>
  <c r="C7" i="17"/>
  <c r="C13" i="17"/>
  <c r="C78" i="17"/>
  <c r="C25" i="8"/>
  <c r="C36" i="8"/>
  <c r="C47" i="8"/>
  <c r="C78" i="8"/>
  <c r="C113" i="8"/>
  <c r="C116" i="8"/>
  <c r="E37" i="9"/>
  <c r="C46" i="9"/>
  <c r="C55" i="9"/>
  <c r="C65" i="9"/>
  <c r="C91" i="9"/>
  <c r="C132" i="9"/>
  <c r="C142" i="9"/>
  <c r="E162" i="9"/>
  <c r="C174" i="9"/>
  <c r="C9" i="10"/>
  <c r="E28" i="10"/>
  <c r="F39" i="10"/>
  <c r="E44" i="10"/>
  <c r="F93" i="10"/>
  <c r="F112" i="10"/>
  <c r="F136" i="10"/>
  <c r="F182" i="10"/>
  <c r="F190" i="10"/>
  <c r="F57" i="14"/>
  <c r="E103" i="14"/>
  <c r="C120" i="14"/>
  <c r="C119" i="14"/>
  <c r="E201" i="14"/>
  <c r="F204" i="14"/>
  <c r="C210" i="14"/>
  <c r="F30" i="7"/>
  <c r="F33" i="7"/>
  <c r="E71" i="7"/>
  <c r="C86" i="7"/>
  <c r="C91" i="7"/>
  <c r="C94" i="7"/>
  <c r="E97" i="7"/>
  <c r="C100" i="7"/>
  <c r="F111" i="7"/>
  <c r="F126" i="7"/>
  <c r="F129" i="7"/>
  <c r="F137" i="7"/>
  <c r="C131" i="7"/>
  <c r="E137" i="7"/>
  <c r="C7" i="8"/>
  <c r="C33" i="8"/>
  <c r="C65" i="8"/>
  <c r="C89" i="8"/>
  <c r="C141" i="8"/>
  <c r="C14" i="9"/>
  <c r="C18" i="9"/>
  <c r="C20" i="9"/>
  <c r="C25" i="9"/>
  <c r="C43" i="9"/>
  <c r="E50" i="9"/>
  <c r="E55" i="9"/>
  <c r="C71" i="9"/>
  <c r="E72" i="9"/>
  <c r="C79" i="9"/>
  <c r="E90" i="9"/>
  <c r="E102" i="9"/>
  <c r="C108" i="9"/>
  <c r="E114" i="9"/>
  <c r="E141" i="9"/>
  <c r="E161" i="9"/>
  <c r="C185" i="9"/>
  <c r="E187" i="9"/>
  <c r="E196" i="9"/>
  <c r="E204" i="9"/>
  <c r="C208" i="9"/>
  <c r="F20" i="10"/>
  <c r="F28" i="10"/>
  <c r="E30" i="10"/>
  <c r="F67" i="10"/>
  <c r="E76" i="10"/>
  <c r="F80" i="10"/>
  <c r="E91" i="10"/>
  <c r="E104" i="10"/>
  <c r="C119" i="10"/>
  <c r="C130" i="10"/>
  <c r="E141" i="10"/>
  <c r="F145" i="10"/>
  <c r="F153" i="10"/>
  <c r="C203" i="10"/>
  <c r="C208" i="10"/>
  <c r="C23" i="11"/>
  <c r="C85" i="11"/>
  <c r="C108" i="11"/>
  <c r="C116" i="11"/>
  <c r="C131" i="11"/>
  <c r="C170" i="11"/>
  <c r="C49" i="12"/>
  <c r="C7" i="13"/>
  <c r="C14" i="13"/>
  <c r="C27" i="13"/>
  <c r="C74" i="13"/>
  <c r="C167" i="13"/>
  <c r="F28" i="14"/>
  <c r="F32" i="14"/>
  <c r="F38" i="14"/>
  <c r="C61" i="14"/>
  <c r="F88" i="14"/>
  <c r="E107" i="14"/>
  <c r="F131" i="14"/>
  <c r="E137" i="14"/>
  <c r="E131" i="14"/>
  <c r="C149" i="14"/>
  <c r="C152" i="14"/>
  <c r="C157" i="14"/>
  <c r="E188" i="14"/>
  <c r="C182" i="14"/>
  <c r="F192" i="14"/>
  <c r="C207" i="14"/>
  <c r="C30" i="15"/>
  <c r="C31" i="15"/>
  <c r="C170" i="15"/>
  <c r="C177" i="16"/>
  <c r="C110" i="17"/>
  <c r="C134" i="22"/>
  <c r="C135" i="22"/>
  <c r="C99" i="25"/>
  <c r="C98" i="25"/>
  <c r="F142" i="10"/>
  <c r="F144" i="10"/>
  <c r="C138" i="10"/>
  <c r="F196" i="10"/>
  <c r="F202" i="10"/>
  <c r="F207" i="10"/>
  <c r="C211" i="10"/>
  <c r="C8" i="11"/>
  <c r="C29" i="11"/>
  <c r="C51" i="11"/>
  <c r="C65" i="11"/>
  <c r="C72" i="11"/>
  <c r="C93" i="11"/>
  <c r="C115" i="11"/>
  <c r="C129" i="11"/>
  <c r="C136" i="11"/>
  <c r="C157" i="11"/>
  <c r="C10" i="12"/>
  <c r="C17" i="12"/>
  <c r="C23" i="12"/>
  <c r="C71" i="12"/>
  <c r="C82" i="12"/>
  <c r="C96" i="12"/>
  <c r="C108" i="12"/>
  <c r="C120" i="12"/>
  <c r="C128" i="12"/>
  <c r="C134" i="12"/>
  <c r="C148" i="12"/>
  <c r="C162" i="12"/>
  <c r="C169" i="12"/>
  <c r="C19" i="13"/>
  <c r="C38" i="13"/>
  <c r="C53" i="13"/>
  <c r="C95" i="13"/>
  <c r="C126" i="13"/>
  <c r="C141" i="13"/>
  <c r="C149" i="13"/>
  <c r="C157" i="13"/>
  <c r="C165" i="13"/>
  <c r="F19" i="14"/>
  <c r="F23" i="14"/>
  <c r="F27" i="14"/>
  <c r="E37" i="14"/>
  <c r="F54" i="14"/>
  <c r="E69" i="14"/>
  <c r="F74" i="14"/>
  <c r="E65" i="14"/>
  <c r="F80" i="14"/>
  <c r="F89" i="14"/>
  <c r="F115" i="14"/>
  <c r="F114" i="14"/>
  <c r="F139" i="14"/>
  <c r="F142" i="14"/>
  <c r="F186" i="14"/>
  <c r="C201" i="14"/>
  <c r="C7" i="15"/>
  <c r="C15" i="15"/>
  <c r="C22" i="15"/>
  <c r="C36" i="15"/>
  <c r="C43" i="15"/>
  <c r="C57" i="15"/>
  <c r="C64" i="15"/>
  <c r="C70" i="15"/>
  <c r="C76" i="15"/>
  <c r="C84" i="15"/>
  <c r="C91" i="15"/>
  <c r="C98" i="15"/>
  <c r="C112" i="15"/>
  <c r="C144" i="15"/>
  <c r="C150" i="15"/>
  <c r="C156" i="15"/>
  <c r="C162" i="15"/>
  <c r="C13" i="16"/>
  <c r="C19" i="16"/>
  <c r="C27" i="16"/>
  <c r="C41" i="16"/>
  <c r="C48" i="16"/>
  <c r="C62" i="16"/>
  <c r="C69" i="16"/>
  <c r="C77" i="16"/>
  <c r="C83" i="16"/>
  <c r="C91" i="16"/>
  <c r="C105" i="16"/>
  <c r="C112" i="16"/>
  <c r="C126" i="16"/>
  <c r="C133" i="16"/>
  <c r="C141" i="16"/>
  <c r="C147" i="16"/>
  <c r="C155" i="16"/>
  <c r="C169" i="16"/>
  <c r="C24" i="17"/>
  <c r="C36" i="17"/>
  <c r="C59" i="17"/>
  <c r="C91" i="17"/>
  <c r="C136" i="17"/>
  <c r="C12" i="18"/>
  <c r="C51" i="18"/>
  <c r="C135" i="18"/>
  <c r="C11" i="19"/>
  <c r="C33" i="20"/>
  <c r="C41" i="20"/>
  <c r="C49" i="20"/>
  <c r="C92" i="20"/>
  <c r="C105" i="20"/>
  <c r="C112" i="20"/>
  <c r="C20" i="23"/>
  <c r="C77" i="23"/>
  <c r="C76" i="23"/>
  <c r="C25" i="17"/>
  <c r="C37" i="17"/>
  <c r="C49" i="17"/>
  <c r="C61" i="17"/>
  <c r="C93" i="17"/>
  <c r="C100" i="17"/>
  <c r="C137" i="17"/>
  <c r="C13" i="18"/>
  <c r="C108" i="18"/>
  <c r="C152" i="22"/>
  <c r="C151" i="22"/>
  <c r="C42" i="23"/>
  <c r="C43" i="23"/>
  <c r="C37" i="24"/>
  <c r="C36" i="24"/>
  <c r="C122" i="18"/>
  <c r="C12" i="19"/>
  <c r="C13" i="19"/>
  <c r="C35" i="20"/>
  <c r="C65" i="20"/>
  <c r="C73" i="20"/>
  <c r="C136" i="20"/>
  <c r="C15" i="21"/>
  <c r="C23" i="21"/>
  <c r="C31" i="21"/>
  <c r="C39" i="21"/>
  <c r="C47" i="21"/>
  <c r="C55" i="21"/>
  <c r="C63" i="21"/>
  <c r="C71" i="21"/>
  <c r="C79" i="21"/>
  <c r="C87" i="21"/>
  <c r="C95" i="21"/>
  <c r="C103" i="21"/>
  <c r="C111" i="21"/>
  <c r="C119" i="21"/>
  <c r="C70" i="24"/>
  <c r="C69" i="24"/>
  <c r="C34" i="25"/>
  <c r="C33" i="25"/>
  <c r="E194" i="9"/>
  <c r="E203" i="9"/>
  <c r="E207" i="9"/>
  <c r="F37" i="10"/>
  <c r="F64" i="10"/>
  <c r="E70" i="10"/>
  <c r="F83" i="10"/>
  <c r="F118" i="10"/>
  <c r="F139" i="10"/>
  <c r="F141" i="10"/>
  <c r="F150" i="10"/>
  <c r="F155" i="10"/>
  <c r="F163" i="10"/>
  <c r="F171" i="10"/>
  <c r="F179" i="10"/>
  <c r="F187" i="10"/>
  <c r="F200" i="10"/>
  <c r="C19" i="11"/>
  <c r="C33" i="11"/>
  <c r="C40" i="11"/>
  <c r="C61" i="11"/>
  <c r="C83" i="11"/>
  <c r="C97" i="11"/>
  <c r="C104" i="11"/>
  <c r="C125" i="11"/>
  <c r="C147" i="11"/>
  <c r="C161" i="11"/>
  <c r="C168" i="11"/>
  <c r="C20" i="12"/>
  <c r="C32" i="12"/>
  <c r="C44" i="12"/>
  <c r="C56" i="12"/>
  <c r="C68" i="12"/>
  <c r="C124" i="12"/>
  <c r="C138" i="12"/>
  <c r="C144" i="12"/>
  <c r="C151" i="12"/>
  <c r="C158" i="12"/>
  <c r="C165" i="12"/>
  <c r="C23" i="13"/>
  <c r="C29" i="13"/>
  <c r="C42" i="13"/>
  <c r="C70" i="13"/>
  <c r="C83" i="13"/>
  <c r="C91" i="13"/>
  <c r="C99" i="13"/>
  <c r="C106" i="13"/>
  <c r="C114" i="13"/>
  <c r="C122" i="13"/>
  <c r="C137" i="13"/>
  <c r="C153" i="13"/>
  <c r="F43" i="14"/>
  <c r="F46" i="14"/>
  <c r="E56" i="14"/>
  <c r="C48" i="14"/>
  <c r="F67" i="14"/>
  <c r="E67" i="14"/>
  <c r="E81" i="14"/>
  <c r="C94" i="14"/>
  <c r="E120" i="14"/>
  <c r="F132" i="14"/>
  <c r="F149" i="14"/>
  <c r="C144" i="14"/>
  <c r="F168" i="14"/>
  <c r="F189" i="14"/>
  <c r="F194" i="14"/>
  <c r="F200" i="14"/>
  <c r="C196" i="14"/>
  <c r="F210" i="14"/>
  <c r="C11" i="15"/>
  <c r="C47" i="15"/>
  <c r="C54" i="15"/>
  <c r="C73" i="15"/>
  <c r="C80" i="15"/>
  <c r="C95" i="15"/>
  <c r="C102" i="15"/>
  <c r="C128" i="15"/>
  <c r="C134" i="15"/>
  <c r="C172" i="15"/>
  <c r="C178" i="15"/>
  <c r="C9" i="16"/>
  <c r="C16" i="16"/>
  <c r="C30" i="16"/>
  <c r="C37" i="16"/>
  <c r="C51" i="16"/>
  <c r="C59" i="16"/>
  <c r="C73" i="16"/>
  <c r="C80" i="16"/>
  <c r="C94" i="16"/>
  <c r="C101" i="16"/>
  <c r="C115" i="16"/>
  <c r="C123" i="16"/>
  <c r="C137" i="16"/>
  <c r="C144" i="16"/>
  <c r="C165" i="16"/>
  <c r="C9" i="17"/>
  <c r="C21" i="17"/>
  <c r="C33" i="17"/>
  <c r="C45" i="17"/>
  <c r="C70" i="17"/>
  <c r="C121" i="17"/>
  <c r="C97" i="18"/>
  <c r="C9" i="20"/>
  <c r="C67" i="20"/>
  <c r="C129" i="20"/>
  <c r="F195" i="10"/>
  <c r="F208" i="10"/>
  <c r="C15" i="14"/>
  <c r="E35" i="14"/>
  <c r="F65" i="14"/>
  <c r="E88" i="14"/>
  <c r="F93" i="14"/>
  <c r="C88" i="14"/>
  <c r="E99" i="14"/>
  <c r="F117" i="14"/>
  <c r="E133" i="14"/>
  <c r="F138" i="14"/>
  <c r="F161" i="14"/>
  <c r="F163" i="14"/>
  <c r="F176" i="14"/>
  <c r="C176" i="14"/>
  <c r="C184" i="14"/>
  <c r="C203" i="14"/>
  <c r="F207" i="14"/>
  <c r="E211" i="14"/>
  <c r="C12" i="15"/>
  <c r="C48" i="15"/>
  <c r="C68" i="15"/>
  <c r="C116" i="15"/>
  <c r="C123" i="15"/>
  <c r="C148" i="15"/>
  <c r="C160" i="15"/>
  <c r="C166" i="15"/>
  <c r="C10" i="16"/>
  <c r="C31" i="16"/>
  <c r="C38" i="16"/>
  <c r="C74" i="16"/>
  <c r="C95" i="16"/>
  <c r="C102" i="16"/>
  <c r="C117" i="20"/>
  <c r="C125" i="24"/>
  <c r="C124" i="24"/>
  <c r="F125" i="10"/>
  <c r="F161" i="10"/>
  <c r="F169" i="10"/>
  <c r="F177" i="10"/>
  <c r="F185" i="10"/>
  <c r="F203" i="10"/>
  <c r="C13" i="11"/>
  <c r="C35" i="11"/>
  <c r="C49" i="11"/>
  <c r="C56" i="11"/>
  <c r="C77" i="11"/>
  <c r="C99" i="11"/>
  <c r="C113" i="11"/>
  <c r="C120" i="11"/>
  <c r="C141" i="11"/>
  <c r="C163" i="11"/>
  <c r="C28" i="12"/>
  <c r="C39" i="12"/>
  <c r="C64" i="12"/>
  <c r="C76" i="12"/>
  <c r="C88" i="12"/>
  <c r="C100" i="12"/>
  <c r="C126" i="12"/>
  <c r="C139" i="12"/>
  <c r="C146" i="12"/>
  <c r="C153" i="12"/>
  <c r="C159" i="12"/>
  <c r="C167" i="12"/>
  <c r="C174" i="12"/>
  <c r="C11" i="13"/>
  <c r="C25" i="13"/>
  <c r="C51" i="13"/>
  <c r="C65" i="13"/>
  <c r="C85" i="13"/>
  <c r="C93" i="13"/>
  <c r="C101" i="13"/>
  <c r="C116" i="13"/>
  <c r="C132" i="13"/>
  <c r="C139" i="13"/>
  <c r="C147" i="13"/>
  <c r="C155" i="13"/>
  <c r="C163" i="13"/>
  <c r="F18" i="14"/>
  <c r="F33" i="14"/>
  <c r="F82" i="14"/>
  <c r="F85" i="14"/>
  <c r="C80" i="14"/>
  <c r="F104" i="14"/>
  <c r="F125" i="14"/>
  <c r="F136" i="14"/>
  <c r="F126" i="14"/>
  <c r="F144" i="14"/>
  <c r="F153" i="14"/>
  <c r="F179" i="14"/>
  <c r="F178" i="14"/>
  <c r="C27" i="15"/>
  <c r="C34" i="15"/>
  <c r="C41" i="15"/>
  <c r="C82" i="15"/>
  <c r="C89" i="15"/>
  <c r="C96" i="15"/>
  <c r="C186" i="15"/>
  <c r="C11" i="16"/>
  <c r="C25" i="16"/>
  <c r="C32" i="16"/>
  <c r="C46" i="16"/>
  <c r="C53" i="16"/>
  <c r="C67" i="16"/>
  <c r="C75" i="16"/>
  <c r="C89" i="16"/>
  <c r="C96" i="16"/>
  <c r="C110" i="16"/>
  <c r="C117" i="16"/>
  <c r="C131" i="16"/>
  <c r="C139" i="16"/>
  <c r="C153" i="16"/>
  <c r="C160" i="16"/>
  <c r="C167" i="16"/>
  <c r="C174" i="16"/>
  <c r="C186" i="16"/>
  <c r="C41" i="17"/>
  <c r="C53" i="17"/>
  <c r="C65" i="17"/>
  <c r="C72" i="17"/>
  <c r="C85" i="17"/>
  <c r="C104" i="17"/>
  <c r="C116" i="17"/>
  <c r="C17" i="18"/>
  <c r="C42" i="18"/>
  <c r="C23" i="19"/>
  <c r="C38" i="19"/>
  <c r="C54" i="19"/>
  <c r="C77" i="19"/>
  <c r="C85" i="19"/>
  <c r="C93" i="19"/>
  <c r="C108" i="19"/>
  <c r="C124" i="19"/>
  <c r="C132" i="19"/>
  <c r="C61" i="20"/>
  <c r="C116" i="20"/>
  <c r="C83" i="23"/>
  <c r="C16" i="18"/>
  <c r="C28" i="18"/>
  <c r="C65" i="18"/>
  <c r="C77" i="18"/>
  <c r="C89" i="18"/>
  <c r="C101" i="18"/>
  <c r="C127" i="18"/>
  <c r="C10" i="19"/>
  <c r="C29" i="19"/>
  <c r="C44" i="19"/>
  <c r="C60" i="19"/>
  <c r="C83" i="19"/>
  <c r="C91" i="19"/>
  <c r="C99" i="19"/>
  <c r="C122" i="19"/>
  <c r="C136" i="19"/>
  <c r="C8" i="20"/>
  <c r="C60" i="20"/>
  <c r="C72" i="20"/>
  <c r="C110" i="20"/>
  <c r="C12" i="21"/>
  <c r="C28" i="21"/>
  <c r="C44" i="21"/>
  <c r="C60" i="21"/>
  <c r="C76" i="21"/>
  <c r="C92" i="21"/>
  <c r="C101" i="21"/>
  <c r="C108" i="21"/>
  <c r="C117" i="21"/>
  <c r="C124" i="21"/>
  <c r="C133" i="21"/>
  <c r="C88" i="23"/>
  <c r="C96" i="23"/>
  <c r="C75" i="24"/>
  <c r="C83" i="24"/>
  <c r="C113" i="24"/>
  <c r="C85" i="25"/>
  <c r="C93" i="25"/>
  <c r="C122" i="25"/>
  <c r="C121" i="25"/>
  <c r="C77" i="26"/>
  <c r="C137" i="26"/>
  <c r="C76" i="31"/>
  <c r="C75" i="31"/>
  <c r="C134" i="23"/>
  <c r="C17" i="24"/>
  <c r="C28" i="25"/>
  <c r="C72" i="25"/>
  <c r="C86" i="25"/>
  <c r="C123" i="25"/>
  <c r="C131" i="25"/>
  <c r="C65" i="26"/>
  <c r="C78" i="26"/>
  <c r="C123" i="26"/>
  <c r="C122" i="26"/>
  <c r="C131" i="26"/>
  <c r="C81" i="27"/>
  <c r="C82" i="27"/>
  <c r="C73" i="25"/>
  <c r="C50" i="26"/>
  <c r="C25" i="29"/>
  <c r="C26" i="29"/>
  <c r="C24" i="31"/>
  <c r="C23" i="31"/>
  <c r="C258" i="31"/>
  <c r="C257" i="31"/>
  <c r="C86" i="24"/>
  <c r="C85" i="24"/>
  <c r="C65" i="25"/>
  <c r="C66" i="25"/>
  <c r="C110" i="18"/>
  <c r="C40" i="19"/>
  <c r="C56" i="19"/>
  <c r="C86" i="22"/>
  <c r="C102" i="22"/>
  <c r="C118" i="22"/>
  <c r="C146" i="22"/>
  <c r="C107" i="23"/>
  <c r="C21" i="24"/>
  <c r="C20" i="24"/>
  <c r="C32" i="25"/>
  <c r="C31" i="25"/>
  <c r="C39" i="25"/>
  <c r="C110" i="25"/>
  <c r="C38" i="26"/>
  <c r="C82" i="26"/>
  <c r="C81" i="26"/>
  <c r="C234" i="31"/>
  <c r="C233" i="31"/>
  <c r="C77" i="17"/>
  <c r="C120" i="17"/>
  <c r="C132" i="17"/>
  <c r="C33" i="18"/>
  <c r="C45" i="18"/>
  <c r="C57" i="18"/>
  <c r="C69" i="18"/>
  <c r="C113" i="18"/>
  <c r="C119" i="18"/>
  <c r="C132" i="18"/>
  <c r="C15" i="19"/>
  <c r="C20" i="19"/>
  <c r="C58" i="19"/>
  <c r="C72" i="19"/>
  <c r="C81" i="19"/>
  <c r="C88" i="19"/>
  <c r="C97" i="19"/>
  <c r="C112" i="19"/>
  <c r="C128" i="19"/>
  <c r="C135" i="19"/>
  <c r="C14" i="20"/>
  <c r="C46" i="20"/>
  <c r="C83" i="20"/>
  <c r="C89" i="20"/>
  <c r="C109" i="20"/>
  <c r="C120" i="20"/>
  <c r="C140" i="20"/>
  <c r="C11" i="21"/>
  <c r="C19" i="21"/>
  <c r="C27" i="21"/>
  <c r="C35" i="21"/>
  <c r="C43" i="21"/>
  <c r="C51" i="21"/>
  <c r="C59" i="21"/>
  <c r="C67" i="21"/>
  <c r="C75" i="21"/>
  <c r="C83" i="21"/>
  <c r="C91" i="21"/>
  <c r="C99" i="21"/>
  <c r="C107" i="21"/>
  <c r="C115" i="21"/>
  <c r="C123" i="21"/>
  <c r="C131" i="21"/>
  <c r="C8" i="22"/>
  <c r="C24" i="22"/>
  <c r="C40" i="22"/>
  <c r="C56" i="22"/>
  <c r="C72" i="22"/>
  <c r="C79" i="22"/>
  <c r="C88" i="22"/>
  <c r="C95" i="22"/>
  <c r="C104" i="22"/>
  <c r="C111" i="22"/>
  <c r="C31" i="23"/>
  <c r="C30" i="23"/>
  <c r="C38" i="23"/>
  <c r="C52" i="23"/>
  <c r="C87" i="23"/>
  <c r="C86" i="23"/>
  <c r="C102" i="23"/>
  <c r="C43" i="24"/>
  <c r="C131" i="24"/>
  <c r="C38" i="25"/>
  <c r="C105" i="25"/>
  <c r="C83" i="26"/>
  <c r="C91" i="26"/>
  <c r="C98" i="26"/>
  <c r="C99" i="26"/>
  <c r="C94" i="27"/>
  <c r="C93" i="27"/>
  <c r="C138" i="22"/>
  <c r="C37" i="23"/>
  <c r="C56" i="23"/>
  <c r="C64" i="23"/>
  <c r="C69" i="23"/>
  <c r="C95" i="23"/>
  <c r="C106" i="23"/>
  <c r="C113" i="23"/>
  <c r="C128" i="23"/>
  <c r="C133" i="23"/>
  <c r="C8" i="24"/>
  <c r="C35" i="24"/>
  <c r="C41" i="24"/>
  <c r="C47" i="24"/>
  <c r="C68" i="24"/>
  <c r="C100" i="24"/>
  <c r="C106" i="24"/>
  <c r="C129" i="24"/>
  <c r="C136" i="24"/>
  <c r="C8" i="25"/>
  <c r="C26" i="25"/>
  <c r="C57" i="25"/>
  <c r="C64" i="25"/>
  <c r="C84" i="25"/>
  <c r="C91" i="25"/>
  <c r="C130" i="25"/>
  <c r="C137" i="25"/>
  <c r="C18" i="26"/>
  <c r="C49" i="26"/>
  <c r="C64" i="26"/>
  <c r="C89" i="26"/>
  <c r="C97" i="26"/>
  <c r="C109" i="26"/>
  <c r="C33" i="27"/>
  <c r="C46" i="27"/>
  <c r="C66" i="27"/>
  <c r="C73" i="27"/>
  <c r="C109" i="27"/>
  <c r="C125" i="27"/>
  <c r="C141" i="27"/>
  <c r="C11" i="28"/>
  <c r="C105" i="28"/>
  <c r="C127" i="28"/>
  <c r="C13" i="29"/>
  <c r="C20" i="29"/>
  <c r="C42" i="29"/>
  <c r="C49" i="29"/>
  <c r="C130" i="29"/>
  <c r="C137" i="29"/>
  <c r="C15" i="30"/>
  <c r="C23" i="30"/>
  <c r="C30" i="30"/>
  <c r="C133" i="30"/>
  <c r="C220" i="31"/>
  <c r="C41" i="32"/>
  <c r="C28" i="33"/>
  <c r="C36" i="33"/>
  <c r="C205" i="34"/>
  <c r="C204" i="34"/>
  <c r="C48" i="27"/>
  <c r="C75" i="27"/>
  <c r="C89" i="27"/>
  <c r="C103" i="27"/>
  <c r="C110" i="27"/>
  <c r="C111" i="27"/>
  <c r="C29" i="29"/>
  <c r="C52" i="29"/>
  <c r="C102" i="29"/>
  <c r="C109" i="29"/>
  <c r="C104" i="30"/>
  <c r="C135" i="30"/>
  <c r="C19" i="31"/>
  <c r="C26" i="31"/>
  <c r="C123" i="31"/>
  <c r="C275" i="31"/>
  <c r="C129" i="28"/>
  <c r="C130" i="28"/>
  <c r="C17" i="30"/>
  <c r="C18" i="30"/>
  <c r="C90" i="22"/>
  <c r="C106" i="22"/>
  <c r="C115" i="22"/>
  <c r="C136" i="22"/>
  <c r="C63" i="24"/>
  <c r="C29" i="25"/>
  <c r="C49" i="27"/>
  <c r="C31" i="29"/>
  <c r="C89" i="29"/>
  <c r="C90" i="29"/>
  <c r="C96" i="29"/>
  <c r="C95" i="29"/>
  <c r="C132" i="31"/>
  <c r="C174" i="31"/>
  <c r="C181" i="31"/>
  <c r="C216" i="31"/>
  <c r="C162" i="34"/>
  <c r="C161" i="34"/>
  <c r="C127" i="21"/>
  <c r="C135" i="21"/>
  <c r="C170" i="22"/>
  <c r="C10" i="23"/>
  <c r="C29" i="23"/>
  <c r="C41" i="23"/>
  <c r="C54" i="23"/>
  <c r="C73" i="23"/>
  <c r="C92" i="23"/>
  <c r="C110" i="23"/>
  <c r="C125" i="23"/>
  <c r="C51" i="24"/>
  <c r="C57" i="24"/>
  <c r="C65" i="24"/>
  <c r="C72" i="24"/>
  <c r="C79" i="24"/>
  <c r="C110" i="24"/>
  <c r="C115" i="24"/>
  <c r="C121" i="24"/>
  <c r="C134" i="24"/>
  <c r="C12" i="25"/>
  <c r="C17" i="25"/>
  <c r="C81" i="25"/>
  <c r="C95" i="25"/>
  <c r="C101" i="25"/>
  <c r="C108" i="25"/>
  <c r="C114" i="25"/>
  <c r="C127" i="25"/>
  <c r="C9" i="26"/>
  <c r="C74" i="26"/>
  <c r="C87" i="26"/>
  <c r="C113" i="26"/>
  <c r="C10" i="27"/>
  <c r="C24" i="27"/>
  <c r="C130" i="27"/>
  <c r="C22" i="28"/>
  <c r="C38" i="28"/>
  <c r="C102" i="28"/>
  <c r="C10" i="29"/>
  <c r="C84" i="29"/>
  <c r="C97" i="29"/>
  <c r="C35" i="30"/>
  <c r="C49" i="30"/>
  <c r="C56" i="30"/>
  <c r="C107" i="30"/>
  <c r="C59" i="31"/>
  <c r="C87" i="31"/>
  <c r="C160" i="31"/>
  <c r="C167" i="31"/>
  <c r="C210" i="31"/>
  <c r="C256" i="31"/>
  <c r="C155" i="34"/>
  <c r="C154" i="34"/>
  <c r="C85" i="22"/>
  <c r="C93" i="22"/>
  <c r="C101" i="22"/>
  <c r="C131" i="22"/>
  <c r="C137" i="22"/>
  <c r="C164" i="22"/>
  <c r="C23" i="23"/>
  <c r="C55" i="23"/>
  <c r="C93" i="23"/>
  <c r="C105" i="23"/>
  <c r="C118" i="23"/>
  <c r="C27" i="24"/>
  <c r="C39" i="24"/>
  <c r="C66" i="24"/>
  <c r="C127" i="24"/>
  <c r="C30" i="25"/>
  <c r="C42" i="25"/>
  <c r="C69" i="25"/>
  <c r="C76" i="25"/>
  <c r="C89" i="25"/>
  <c r="C96" i="25"/>
  <c r="C128" i="25"/>
  <c r="C135" i="25"/>
  <c r="C10" i="26"/>
  <c r="C23" i="26"/>
  <c r="C36" i="26"/>
  <c r="C41" i="26"/>
  <c r="C55" i="26"/>
  <c r="C88" i="26"/>
  <c r="C114" i="26"/>
  <c r="C128" i="26"/>
  <c r="C123" i="27"/>
  <c r="C89" i="28"/>
  <c r="C90" i="28"/>
  <c r="C140" i="28"/>
  <c r="C70" i="29"/>
  <c r="C77" i="29"/>
  <c r="C21" i="30"/>
  <c r="C57" i="30"/>
  <c r="C65" i="30"/>
  <c r="C72" i="30"/>
  <c r="C92" i="30"/>
  <c r="C100" i="30"/>
  <c r="C30" i="31"/>
  <c r="C52" i="31"/>
  <c r="C60" i="31"/>
  <c r="C111" i="31"/>
  <c r="C119" i="31"/>
  <c r="C183" i="31"/>
  <c r="C263" i="31"/>
  <c r="C295" i="31"/>
  <c r="C67" i="32"/>
  <c r="C132" i="27"/>
  <c r="C10" i="28"/>
  <c r="C24" i="28"/>
  <c r="C40" i="28"/>
  <c r="C46" i="28"/>
  <c r="C62" i="28"/>
  <c r="C82" i="28"/>
  <c r="C94" i="28"/>
  <c r="C101" i="28"/>
  <c r="C19" i="29"/>
  <c r="C37" i="29"/>
  <c r="C51" i="29"/>
  <c r="C79" i="29"/>
  <c r="C125" i="29"/>
  <c r="C131" i="29"/>
  <c r="C139" i="29"/>
  <c r="C10" i="30"/>
  <c r="C29" i="30"/>
  <c r="C71" i="30"/>
  <c r="C78" i="30"/>
  <c r="C99" i="30"/>
  <c r="C113" i="30"/>
  <c r="C120" i="30"/>
  <c r="C128" i="30"/>
  <c r="C32" i="31"/>
  <c r="C40" i="31"/>
  <c r="C46" i="31"/>
  <c r="C68" i="31"/>
  <c r="C96" i="31"/>
  <c r="C104" i="31"/>
  <c r="C110" i="31"/>
  <c r="C131" i="31"/>
  <c r="C137" i="31"/>
  <c r="C144" i="31"/>
  <c r="C150" i="31"/>
  <c r="C155" i="31"/>
  <c r="C162" i="31"/>
  <c r="C169" i="31"/>
  <c r="C190" i="31"/>
  <c r="C209" i="31"/>
  <c r="C222" i="31"/>
  <c r="C241" i="31"/>
  <c r="C277" i="31"/>
  <c r="C332" i="31"/>
  <c r="C339" i="31"/>
  <c r="C8" i="32"/>
  <c r="C28" i="32"/>
  <c r="C16" i="33"/>
  <c r="C30" i="33"/>
  <c r="C13" i="34"/>
  <c r="C107" i="34"/>
  <c r="C114" i="34"/>
  <c r="C121" i="34"/>
  <c r="C129" i="34"/>
  <c r="C200" i="34"/>
  <c r="C206" i="34"/>
  <c r="C9" i="35"/>
  <c r="C39" i="35"/>
  <c r="C46" i="35"/>
  <c r="C68" i="35"/>
  <c r="C76" i="35"/>
  <c r="C304" i="31"/>
  <c r="C318" i="31"/>
  <c r="C91" i="32"/>
  <c r="C18" i="35"/>
  <c r="C25" i="35"/>
  <c r="C32" i="35"/>
  <c r="C47" i="35"/>
  <c r="C61" i="35"/>
  <c r="C193" i="34"/>
  <c r="C49" i="36"/>
  <c r="C19" i="27"/>
  <c r="C38" i="27"/>
  <c r="C58" i="27"/>
  <c r="C78" i="27"/>
  <c r="C97" i="27"/>
  <c r="C135" i="27"/>
  <c r="C82" i="29"/>
  <c r="C28" i="31"/>
  <c r="C92" i="31"/>
  <c r="C172" i="31"/>
  <c r="C218" i="31"/>
  <c r="C225" i="31"/>
  <c r="C243" i="31"/>
  <c r="C259" i="31"/>
  <c r="C286" i="31"/>
  <c r="C58" i="32"/>
  <c r="C72" i="32"/>
  <c r="C69" i="33"/>
  <c r="C20" i="36"/>
  <c r="C36" i="36"/>
  <c r="C37" i="36"/>
  <c r="C45" i="27"/>
  <c r="C60" i="27"/>
  <c r="C79" i="27"/>
  <c r="C92" i="27"/>
  <c r="C98" i="27"/>
  <c r="C113" i="27"/>
  <c r="C128" i="27"/>
  <c r="C21" i="28"/>
  <c r="C28" i="28"/>
  <c r="C50" i="28"/>
  <c r="C58" i="28"/>
  <c r="C92" i="28"/>
  <c r="C97" i="28"/>
  <c r="C132" i="28"/>
  <c r="C138" i="28"/>
  <c r="C28" i="29"/>
  <c r="C33" i="29"/>
  <c r="C47" i="29"/>
  <c r="C61" i="29"/>
  <c r="C67" i="29"/>
  <c r="C75" i="29"/>
  <c r="C88" i="29"/>
  <c r="C100" i="29"/>
  <c r="C107" i="29"/>
  <c r="C113" i="29"/>
  <c r="C128" i="29"/>
  <c r="C20" i="30"/>
  <c r="C25" i="30"/>
  <c r="C33" i="30"/>
  <c r="C40" i="30"/>
  <c r="C60" i="30"/>
  <c r="C68" i="30"/>
  <c r="C88" i="30"/>
  <c r="C109" i="30"/>
  <c r="C131" i="30"/>
  <c r="C8" i="31"/>
  <c r="C14" i="31"/>
  <c r="C36" i="31"/>
  <c r="C64" i="31"/>
  <c r="C72" i="31"/>
  <c r="C78" i="31"/>
  <c r="C100" i="31"/>
  <c r="C128" i="31"/>
  <c r="C141" i="31"/>
  <c r="C179" i="31"/>
  <c r="C193" i="31"/>
  <c r="C199" i="31"/>
  <c r="C205" i="31"/>
  <c r="C232" i="31"/>
  <c r="C238" i="31"/>
  <c r="C273" i="31"/>
  <c r="C321" i="31"/>
  <c r="C71" i="32"/>
  <c r="C79" i="32"/>
  <c r="C48" i="33"/>
  <c r="C81" i="34"/>
  <c r="C89" i="34"/>
  <c r="C240" i="34"/>
  <c r="C107" i="27"/>
  <c r="C114" i="27"/>
  <c r="C122" i="27"/>
  <c r="C129" i="27"/>
  <c r="C8" i="28"/>
  <c r="C14" i="28"/>
  <c r="C37" i="28"/>
  <c r="C44" i="28"/>
  <c r="C51" i="28"/>
  <c r="C67" i="28"/>
  <c r="C99" i="28"/>
  <c r="C119" i="28"/>
  <c r="C133" i="28"/>
  <c r="C9" i="29"/>
  <c r="C34" i="29"/>
  <c r="C41" i="29"/>
  <c r="C83" i="29"/>
  <c r="C101" i="29"/>
  <c r="C115" i="29"/>
  <c r="C129" i="29"/>
  <c r="C7" i="30"/>
  <c r="C26" i="30"/>
  <c r="C34" i="30"/>
  <c r="C41" i="30"/>
  <c r="C61" i="30"/>
  <c r="C103" i="30"/>
  <c r="C110" i="30"/>
  <c r="C132" i="30"/>
  <c r="C15" i="31"/>
  <c r="C44" i="31"/>
  <c r="C51" i="31"/>
  <c r="C58" i="31"/>
  <c r="C79" i="31"/>
  <c r="C108" i="31"/>
  <c r="C115" i="31"/>
  <c r="C122" i="31"/>
  <c r="C159" i="31"/>
  <c r="C180" i="31"/>
  <c r="C200" i="31"/>
  <c r="C206" i="31"/>
  <c r="C255" i="31"/>
  <c r="C280" i="31"/>
  <c r="C287" i="31"/>
  <c r="C40" i="32"/>
  <c r="C47" i="32"/>
  <c r="C59" i="32"/>
  <c r="C66" i="32"/>
  <c r="C73" i="32"/>
  <c r="C42" i="33"/>
  <c r="C49" i="33"/>
  <c r="C56" i="33"/>
  <c r="C63" i="33"/>
  <c r="C37" i="34"/>
  <c r="C57" i="34"/>
  <c r="C69" i="34"/>
  <c r="C76" i="34"/>
  <c r="C83" i="34"/>
  <c r="C133" i="34"/>
  <c r="C226" i="34"/>
  <c r="C89" i="35"/>
  <c r="C96" i="35"/>
  <c r="C118" i="35"/>
  <c r="C84" i="32"/>
  <c r="C104" i="32"/>
  <c r="C111" i="32"/>
  <c r="C8" i="33"/>
  <c r="C15" i="33"/>
  <c r="C62" i="33"/>
  <c r="C12" i="34"/>
  <c r="C36" i="34"/>
  <c r="C50" i="34"/>
  <c r="C68" i="34"/>
  <c r="C153" i="34"/>
  <c r="C160" i="34"/>
  <c r="C173" i="34"/>
  <c r="C185" i="34"/>
  <c r="C192" i="34"/>
  <c r="C224" i="34"/>
  <c r="C238" i="34"/>
  <c r="C244" i="34"/>
  <c r="C251" i="34"/>
  <c r="C258" i="34"/>
  <c r="C15" i="35"/>
  <c r="C37" i="35"/>
  <c r="C73" i="35"/>
  <c r="C80" i="35"/>
  <c r="C87" i="35"/>
  <c r="C7" i="36"/>
  <c r="C35" i="36"/>
  <c r="C54" i="36"/>
  <c r="C61" i="36"/>
  <c r="C67" i="36"/>
  <c r="C80" i="36"/>
  <c r="C29" i="37"/>
  <c r="C59" i="37"/>
  <c r="C78" i="37"/>
  <c r="C90" i="37"/>
  <c r="C108" i="37"/>
  <c r="C140" i="37"/>
  <c r="C158" i="37"/>
  <c r="C177" i="37"/>
  <c r="C189" i="37"/>
  <c r="C196" i="37"/>
  <c r="C203" i="37"/>
  <c r="C209" i="37"/>
  <c r="C222" i="37"/>
  <c r="C237" i="37"/>
  <c r="C54" i="37"/>
  <c r="C60" i="37"/>
  <c r="C85" i="37"/>
  <c r="C91" i="37"/>
  <c r="C109" i="37"/>
  <c r="C141" i="37"/>
  <c r="C159" i="37"/>
  <c r="C172" i="37"/>
  <c r="C190" i="37"/>
  <c r="C204" i="37"/>
  <c r="C16" i="37"/>
  <c r="C183" i="37"/>
  <c r="C103" i="37"/>
  <c r="C294" i="31"/>
  <c r="C328" i="31"/>
  <c r="C335" i="31"/>
  <c r="C36" i="32"/>
  <c r="C43" i="32"/>
  <c r="C50" i="32"/>
  <c r="C56" i="32"/>
  <c r="C81" i="32"/>
  <c r="C88" i="32"/>
  <c r="C71" i="33"/>
  <c r="C28" i="34"/>
  <c r="C34" i="34"/>
  <c r="C53" i="34"/>
  <c r="C60" i="34"/>
  <c r="C66" i="34"/>
  <c r="C91" i="34"/>
  <c r="C110" i="34"/>
  <c r="C137" i="34"/>
  <c r="C164" i="34"/>
  <c r="C171" i="34"/>
  <c r="C178" i="34"/>
  <c r="C208" i="34"/>
  <c r="C214" i="34"/>
  <c r="C235" i="34"/>
  <c r="C255" i="34"/>
  <c r="C20" i="35"/>
  <c r="C27" i="35"/>
  <c r="C55" i="35"/>
  <c r="C70" i="35"/>
  <c r="C113" i="35"/>
  <c r="C120" i="35"/>
  <c r="C11" i="36"/>
  <c r="C24" i="36"/>
  <c r="C32" i="36"/>
  <c r="C39" i="36"/>
  <c r="C46" i="36"/>
  <c r="C14" i="37"/>
  <c r="C20" i="37"/>
  <c r="C44" i="37"/>
  <c r="C100" i="37"/>
  <c r="C149" i="37"/>
  <c r="C155" i="37"/>
  <c r="C180" i="37"/>
  <c r="C186" i="37"/>
  <c r="C24" i="32"/>
  <c r="C70" i="32"/>
  <c r="C33" i="33"/>
  <c r="C80" i="34"/>
  <c r="C98" i="34"/>
  <c r="C100" i="35"/>
  <c r="C19" i="36"/>
  <c r="C66" i="36"/>
  <c r="C113" i="37"/>
  <c r="C208" i="37"/>
  <c r="C337" i="31"/>
  <c r="C18" i="32"/>
  <c r="C23" i="32"/>
  <c r="C31" i="32"/>
  <c r="C69" i="32"/>
  <c r="C7" i="33"/>
  <c r="C21" i="33"/>
  <c r="C32" i="33"/>
  <c r="C40" i="33"/>
  <c r="C72" i="33"/>
  <c r="C18" i="34"/>
  <c r="C79" i="34"/>
  <c r="C97" i="34"/>
  <c r="C105" i="34"/>
  <c r="C112" i="34"/>
  <c r="C132" i="34"/>
  <c r="C139" i="34"/>
  <c r="C146" i="34"/>
  <c r="C165" i="34"/>
  <c r="C197" i="34"/>
  <c r="C203" i="34"/>
  <c r="C223" i="34"/>
  <c r="C237" i="34"/>
  <c r="C7" i="35"/>
  <c r="C14" i="35"/>
  <c r="C29" i="35"/>
  <c r="C57" i="35"/>
  <c r="C64" i="35"/>
  <c r="C79" i="35"/>
  <c r="C108" i="35"/>
  <c r="C18" i="36"/>
  <c r="C26" i="36"/>
  <c r="C34" i="36"/>
  <c r="C65" i="36"/>
  <c r="C85" i="36"/>
  <c r="C22" i="37"/>
  <c r="C46" i="37"/>
  <c r="C52" i="37"/>
  <c r="C77" i="37"/>
  <c r="C145" i="37"/>
  <c r="C164" i="37"/>
  <c r="C182" i="37"/>
  <c r="C195" i="37"/>
  <c r="C221" i="37"/>
  <c r="C228" i="37"/>
  <c r="C236" i="37"/>
  <c r="R21" i="1"/>
  <c r="R24" i="1"/>
  <c r="R16" i="1"/>
  <c r="R29" i="1"/>
  <c r="R34" i="1"/>
  <c r="R26" i="1"/>
  <c r="R18" i="1"/>
  <c r="R33" i="1"/>
  <c r="R27" i="1"/>
  <c r="R20" i="1"/>
  <c r="R30" i="1"/>
  <c r="Z8" i="6"/>
  <c r="Z10" i="6" s="1"/>
  <c r="R8" i="6"/>
  <c r="R10" i="6" s="1"/>
  <c r="J8" i="6"/>
  <c r="J10" i="6" s="1"/>
  <c r="Y8" i="6"/>
  <c r="Y10" i="6" s="1"/>
  <c r="Q8" i="6"/>
  <c r="Q10" i="6" s="1"/>
  <c r="I8" i="6"/>
  <c r="I10" i="6" s="1"/>
  <c r="X8" i="6"/>
  <c r="X10" i="6" s="1"/>
  <c r="T8" i="6"/>
  <c r="T10" i="6" s="1"/>
  <c r="K8" i="6"/>
  <c r="K10" i="6" s="1"/>
  <c r="U8" i="6"/>
  <c r="U10" i="6" s="1"/>
  <c r="C47" i="6"/>
  <c r="C66" i="6"/>
  <c r="C79" i="6"/>
  <c r="F20" i="7"/>
  <c r="F23" i="7"/>
  <c r="C20" i="7"/>
  <c r="C24" i="7"/>
  <c r="E35" i="7"/>
  <c r="C34" i="7"/>
  <c r="C40" i="7"/>
  <c r="E51" i="7"/>
  <c r="E45" i="7"/>
  <c r="C50" i="7"/>
  <c r="C56" i="7"/>
  <c r="E67" i="7"/>
  <c r="E61" i="7"/>
  <c r="C66" i="7"/>
  <c r="C72" i="7"/>
  <c r="C24" i="6"/>
  <c r="E83" i="7"/>
  <c r="E77" i="7"/>
  <c r="C82" i="7"/>
  <c r="C88" i="7"/>
  <c r="C40" i="6"/>
  <c r="E99" i="7"/>
  <c r="E93" i="7"/>
  <c r="C98" i="7"/>
  <c r="C104" i="7"/>
  <c r="C56" i="6"/>
  <c r="E115" i="7"/>
  <c r="E109" i="7"/>
  <c r="C114" i="7"/>
  <c r="C120" i="7"/>
  <c r="C72" i="6"/>
  <c r="E131" i="7"/>
  <c r="E125" i="7"/>
  <c r="C130" i="7"/>
  <c r="C136" i="7"/>
  <c r="C88" i="6"/>
  <c r="E141" i="7"/>
  <c r="C8" i="8"/>
  <c r="C11" i="8"/>
  <c r="C22" i="8"/>
  <c r="C24" i="8"/>
  <c r="C27" i="8"/>
  <c r="C38" i="8"/>
  <c r="C40" i="8"/>
  <c r="C43" i="8"/>
  <c r="C54" i="8"/>
  <c r="C70" i="8"/>
  <c r="C110" i="8"/>
  <c r="C109" i="8"/>
  <c r="C17" i="9"/>
  <c r="C16" i="9"/>
  <c r="C54" i="9"/>
  <c r="C53" i="9"/>
  <c r="C84" i="9"/>
  <c r="C85" i="9"/>
  <c r="C136" i="9"/>
  <c r="F19" i="6"/>
  <c r="C135" i="9"/>
  <c r="C148" i="9"/>
  <c r="C149" i="9"/>
  <c r="C69" i="9"/>
  <c r="C68" i="9"/>
  <c r="E172" i="9"/>
  <c r="E173" i="9"/>
  <c r="C17" i="7"/>
  <c r="E28" i="7"/>
  <c r="C100" i="8"/>
  <c r="C99" i="8"/>
  <c r="E52" i="6"/>
  <c r="C118" i="8"/>
  <c r="C117" i="8"/>
  <c r="C22" i="9"/>
  <c r="C21" i="9"/>
  <c r="C27" i="9"/>
  <c r="C26" i="9"/>
  <c r="E47" i="9"/>
  <c r="E46" i="9"/>
  <c r="E57" i="9"/>
  <c r="E56" i="9"/>
  <c r="E62" i="9"/>
  <c r="E61" i="9"/>
  <c r="C83" i="9"/>
  <c r="C82" i="9"/>
  <c r="E106" i="9"/>
  <c r="E107" i="9"/>
  <c r="C147" i="9"/>
  <c r="C146" i="9"/>
  <c r="E25" i="7"/>
  <c r="C14" i="7"/>
  <c r="E44" i="7"/>
  <c r="C45" i="7"/>
  <c r="E60" i="7"/>
  <c r="C61" i="7"/>
  <c r="C13" i="6"/>
  <c r="E76" i="7"/>
  <c r="C77" i="7"/>
  <c r="C29" i="6"/>
  <c r="E92" i="7"/>
  <c r="C93" i="7"/>
  <c r="C45" i="6"/>
  <c r="E108" i="7"/>
  <c r="C109" i="7"/>
  <c r="C61" i="6"/>
  <c r="E124" i="7"/>
  <c r="C125" i="7"/>
  <c r="C77" i="6"/>
  <c r="E140" i="7"/>
  <c r="C141" i="7"/>
  <c r="C93" i="6"/>
  <c r="Q15" i="1" s="1"/>
  <c r="R15" i="1" s="1"/>
  <c r="C68" i="8"/>
  <c r="E20" i="6"/>
  <c r="E23" i="6"/>
  <c r="C71" i="8"/>
  <c r="C84" i="8"/>
  <c r="E36" i="6"/>
  <c r="E15" i="9"/>
  <c r="E14" i="9"/>
  <c r="E67" i="9"/>
  <c r="E66" i="9"/>
  <c r="E171" i="9"/>
  <c r="E170" i="9"/>
  <c r="C13" i="7"/>
  <c r="C28" i="7"/>
  <c r="C32" i="7"/>
  <c r="E43" i="7"/>
  <c r="C44" i="7"/>
  <c r="C48" i="7"/>
  <c r="E59" i="7"/>
  <c r="C60" i="7"/>
  <c r="C64" i="7"/>
  <c r="C16" i="6"/>
  <c r="E75" i="7"/>
  <c r="C76" i="7"/>
  <c r="C80" i="7"/>
  <c r="C32" i="6"/>
  <c r="E91" i="7"/>
  <c r="C92" i="7"/>
  <c r="C96" i="7"/>
  <c r="C48" i="6"/>
  <c r="E107" i="7"/>
  <c r="C108" i="7"/>
  <c r="C112" i="7"/>
  <c r="C64" i="6"/>
  <c r="E123" i="7"/>
  <c r="C124" i="7"/>
  <c r="C128" i="7"/>
  <c r="C80" i="6"/>
  <c r="E139" i="7"/>
  <c r="C140" i="7"/>
  <c r="C16" i="8"/>
  <c r="C19" i="8"/>
  <c r="C32" i="8"/>
  <c r="C35" i="8"/>
  <c r="C48" i="8"/>
  <c r="C51" i="8"/>
  <c r="C64" i="8"/>
  <c r="C67" i="8"/>
  <c r="C80" i="8"/>
  <c r="C126" i="8"/>
  <c r="C125" i="8"/>
  <c r="C104" i="9"/>
  <c r="C103" i="9"/>
  <c r="C116" i="9"/>
  <c r="C117" i="9"/>
  <c r="D8" i="6"/>
  <c r="D10" i="6" s="1"/>
  <c r="E8" i="6"/>
  <c r="E10" i="6" s="1"/>
  <c r="O8" i="6"/>
  <c r="O10" i="6" s="1"/>
  <c r="AA8" i="6"/>
  <c r="AA10" i="6" s="1"/>
  <c r="F8" i="6"/>
  <c r="F10" i="6" s="1"/>
  <c r="P8" i="6"/>
  <c r="P10" i="6" s="1"/>
  <c r="AB8" i="6"/>
  <c r="AB10" i="6" s="1"/>
  <c r="C63" i="6"/>
  <c r="F21" i="7"/>
  <c r="C31" i="7"/>
  <c r="C33" i="7"/>
  <c r="F37" i="7"/>
  <c r="C47" i="7"/>
  <c r="C49" i="7"/>
  <c r="F53" i="7"/>
  <c r="C63" i="7"/>
  <c r="C65" i="7"/>
  <c r="F69" i="7"/>
  <c r="C79" i="7"/>
  <c r="C81" i="7"/>
  <c r="F85" i="7"/>
  <c r="C95" i="7"/>
  <c r="C97" i="7"/>
  <c r="F101" i="7"/>
  <c r="C111" i="7"/>
  <c r="C113" i="7"/>
  <c r="F117" i="7"/>
  <c r="C127" i="7"/>
  <c r="C129" i="7"/>
  <c r="C13" i="8"/>
  <c r="C29" i="8"/>
  <c r="C45" i="8"/>
  <c r="C61" i="8"/>
  <c r="C77" i="8"/>
  <c r="E25" i="9"/>
  <c r="E24" i="9"/>
  <c r="E30" i="9"/>
  <c r="E29" i="9"/>
  <c r="C37" i="9"/>
  <c r="C36" i="9"/>
  <c r="C168" i="9"/>
  <c r="F51" i="6"/>
  <c r="C167" i="9"/>
  <c r="E181" i="9"/>
  <c r="E180" i="9"/>
  <c r="M8" i="6"/>
  <c r="M10" i="6" s="1"/>
  <c r="Q17" i="1"/>
  <c r="R17" i="1" s="1"/>
  <c r="Q25" i="1"/>
  <c r="R25" i="1" s="1"/>
  <c r="M6" i="6"/>
  <c r="G8" i="6"/>
  <c r="G10" i="6" s="1"/>
  <c r="S8" i="6"/>
  <c r="S10" i="6" s="1"/>
  <c r="C9" i="7"/>
  <c r="E20" i="7"/>
  <c r="E26" i="7"/>
  <c r="E40" i="7"/>
  <c r="E42" i="7"/>
  <c r="F51" i="7"/>
  <c r="E56" i="7"/>
  <c r="E58" i="7"/>
  <c r="F67" i="7"/>
  <c r="E72" i="7"/>
  <c r="E74" i="7"/>
  <c r="F83" i="7"/>
  <c r="E88" i="7"/>
  <c r="E90" i="7"/>
  <c r="F99" i="7"/>
  <c r="E104" i="7"/>
  <c r="E106" i="7"/>
  <c r="F115" i="7"/>
  <c r="E120" i="7"/>
  <c r="E122" i="7"/>
  <c r="F131" i="7"/>
  <c r="E136" i="7"/>
  <c r="E138" i="7"/>
  <c r="C102" i="8"/>
  <c r="C101" i="8"/>
  <c r="C115" i="9"/>
  <c r="C114" i="9"/>
  <c r="E138" i="9"/>
  <c r="E139" i="9"/>
  <c r="W8" i="6"/>
  <c r="W10" i="6" s="1"/>
  <c r="N8" i="6"/>
  <c r="N10" i="6" s="1"/>
  <c r="H8" i="6"/>
  <c r="H10" i="6" s="1"/>
  <c r="E30" i="7"/>
  <c r="E31" i="7"/>
  <c r="E46" i="7"/>
  <c r="E36" i="7"/>
  <c r="C37" i="7"/>
  <c r="E47" i="7"/>
  <c r="E62" i="7"/>
  <c r="E52" i="7"/>
  <c r="C53" i="7"/>
  <c r="E63" i="7"/>
  <c r="E78" i="7"/>
  <c r="E68" i="7"/>
  <c r="C69" i="7"/>
  <c r="C21" i="6"/>
  <c r="E79" i="7"/>
  <c r="E94" i="7"/>
  <c r="E84" i="7"/>
  <c r="C85" i="7"/>
  <c r="C37" i="6"/>
  <c r="E95" i="7"/>
  <c r="E110" i="7"/>
  <c r="E100" i="7"/>
  <c r="C101" i="7"/>
  <c r="C53" i="6"/>
  <c r="E111" i="7"/>
  <c r="E126" i="7"/>
  <c r="E116" i="7"/>
  <c r="C117" i="7"/>
  <c r="C69" i="6"/>
  <c r="E127" i="7"/>
  <c r="E132" i="7"/>
  <c r="C133" i="7"/>
  <c r="C85" i="6"/>
  <c r="C60" i="8"/>
  <c r="E12" i="6"/>
  <c r="E15" i="6"/>
  <c r="C63" i="8"/>
  <c r="C76" i="8"/>
  <c r="E28" i="6"/>
  <c r="E31" i="6"/>
  <c r="C79" i="8"/>
  <c r="C92" i="8"/>
  <c r="C91" i="8"/>
  <c r="E44" i="6"/>
  <c r="C137" i="8"/>
  <c r="C136" i="8"/>
  <c r="E35" i="9"/>
  <c r="E34" i="9"/>
  <c r="C49" i="9"/>
  <c r="C48" i="9"/>
  <c r="C59" i="9"/>
  <c r="C58" i="9"/>
  <c r="E60" i="6"/>
  <c r="E68" i="6"/>
  <c r="E76" i="6"/>
  <c r="E84" i="6"/>
  <c r="E92" i="6"/>
  <c r="E19" i="7"/>
  <c r="E27" i="7"/>
  <c r="C87" i="8"/>
  <c r="C95" i="8"/>
  <c r="C103" i="8"/>
  <c r="C111" i="8"/>
  <c r="C119" i="8"/>
  <c r="C131" i="8"/>
  <c r="E22" i="9"/>
  <c r="E28" i="9"/>
  <c r="C29" i="9"/>
  <c r="E32" i="9"/>
  <c r="E54" i="9"/>
  <c r="C56" i="9"/>
  <c r="E60" i="9"/>
  <c r="C61" i="9"/>
  <c r="E64" i="9"/>
  <c r="C66" i="9"/>
  <c r="E92" i="9"/>
  <c r="C102" i="9"/>
  <c r="E124" i="9"/>
  <c r="C134" i="9"/>
  <c r="E156" i="9"/>
  <c r="C166" i="9"/>
  <c r="C198" i="9"/>
  <c r="E27" i="10"/>
  <c r="C16" i="10"/>
  <c r="F33" i="10"/>
  <c r="E48" i="10"/>
  <c r="C37" i="10"/>
  <c r="F55" i="10"/>
  <c r="C46" i="10"/>
  <c r="E57" i="10"/>
  <c r="F68" i="10"/>
  <c r="C65" i="10"/>
  <c r="C79" i="10"/>
  <c r="E90" i="10"/>
  <c r="F97" i="10"/>
  <c r="E112" i="10"/>
  <c r="C101" i="10"/>
  <c r="F119" i="10"/>
  <c r="C110" i="10"/>
  <c r="E121" i="10"/>
  <c r="F132" i="10"/>
  <c r="F146" i="10"/>
  <c r="F154" i="10"/>
  <c r="F162" i="10"/>
  <c r="F170" i="10"/>
  <c r="F178" i="10"/>
  <c r="F186" i="10"/>
  <c r="F194" i="10"/>
  <c r="C28" i="11"/>
  <c r="C60" i="11"/>
  <c r="C92" i="11"/>
  <c r="C124" i="11"/>
  <c r="C156" i="11"/>
  <c r="C43" i="12"/>
  <c r="C42" i="12"/>
  <c r="E22" i="10"/>
  <c r="C11" i="10"/>
  <c r="C50" i="10"/>
  <c r="E61" i="10"/>
  <c r="E79" i="10"/>
  <c r="C67" i="10"/>
  <c r="E83" i="10"/>
  <c r="C72" i="10"/>
  <c r="C114" i="10"/>
  <c r="E125" i="10"/>
  <c r="E143" i="10"/>
  <c r="C131" i="10"/>
  <c r="E147" i="10"/>
  <c r="C136" i="10"/>
  <c r="E155" i="10"/>
  <c r="C144" i="10"/>
  <c r="C146" i="10"/>
  <c r="E145" i="10"/>
  <c r="E163" i="10"/>
  <c r="C152" i="10"/>
  <c r="C154" i="10"/>
  <c r="E153" i="10"/>
  <c r="E171" i="10"/>
  <c r="C160" i="10"/>
  <c r="C162" i="10"/>
  <c r="E161" i="10"/>
  <c r="E179" i="10"/>
  <c r="C168" i="10"/>
  <c r="C170" i="10"/>
  <c r="E169" i="10"/>
  <c r="E187" i="10"/>
  <c r="C176" i="10"/>
  <c r="C178" i="10"/>
  <c r="E177" i="10"/>
  <c r="E195" i="10"/>
  <c r="C184" i="10"/>
  <c r="C186" i="10"/>
  <c r="E185" i="10"/>
  <c r="E203" i="10"/>
  <c r="C192" i="10"/>
  <c r="C194" i="10"/>
  <c r="E193" i="10"/>
  <c r="E211" i="10"/>
  <c r="C200" i="10"/>
  <c r="C202" i="10"/>
  <c r="E201" i="10"/>
  <c r="C210" i="10"/>
  <c r="E209" i="10"/>
  <c r="C111" i="12"/>
  <c r="C110" i="12"/>
  <c r="C199" i="9"/>
  <c r="E202" i="9"/>
  <c r="E32" i="10"/>
  <c r="C21" i="10"/>
  <c r="C30" i="10"/>
  <c r="E41" i="10"/>
  <c r="C49" i="10"/>
  <c r="C63" i="10"/>
  <c r="E74" i="10"/>
  <c r="C71" i="10"/>
  <c r="C80" i="10"/>
  <c r="E96" i="10"/>
  <c r="C85" i="10"/>
  <c r="C94" i="10"/>
  <c r="E105" i="10"/>
  <c r="C113" i="10"/>
  <c r="C137" i="10"/>
  <c r="C145" i="10"/>
  <c r="C153" i="10"/>
  <c r="C161" i="10"/>
  <c r="C169" i="10"/>
  <c r="C177" i="10"/>
  <c r="C185" i="10"/>
  <c r="C193" i="10"/>
  <c r="C201" i="10"/>
  <c r="C209" i="10"/>
  <c r="C18" i="11"/>
  <c r="C22" i="11"/>
  <c r="C50" i="11"/>
  <c r="C54" i="11"/>
  <c r="C82" i="11"/>
  <c r="C86" i="11"/>
  <c r="C118" i="11"/>
  <c r="C150" i="11"/>
  <c r="C15" i="12"/>
  <c r="C27" i="12"/>
  <c r="C26" i="12"/>
  <c r="C63" i="12"/>
  <c r="C62" i="12"/>
  <c r="E51" i="9"/>
  <c r="C77" i="9"/>
  <c r="E80" i="9"/>
  <c r="E99" i="9"/>
  <c r="E101" i="9"/>
  <c r="C109" i="9"/>
  <c r="E112" i="9"/>
  <c r="E131" i="9"/>
  <c r="E133" i="9"/>
  <c r="C141" i="9"/>
  <c r="E144" i="9"/>
  <c r="E163" i="9"/>
  <c r="E165" i="9"/>
  <c r="C175" i="9"/>
  <c r="E195" i="9"/>
  <c r="E197" i="9"/>
  <c r="C207" i="9"/>
  <c r="C20" i="10"/>
  <c r="F27" i="10"/>
  <c r="C29" i="10"/>
  <c r="C34" i="10"/>
  <c r="E45" i="10"/>
  <c r="E63" i="10"/>
  <c r="C51" i="10"/>
  <c r="E67" i="10"/>
  <c r="C56" i="10"/>
  <c r="F78" i="10"/>
  <c r="C84" i="10"/>
  <c r="F91" i="10"/>
  <c r="C93" i="10"/>
  <c r="C98" i="10"/>
  <c r="E109" i="10"/>
  <c r="E127" i="10"/>
  <c r="C115" i="10"/>
  <c r="E131" i="10"/>
  <c r="C120" i="10"/>
  <c r="E140" i="10"/>
  <c r="F135" i="10"/>
  <c r="F143" i="10"/>
  <c r="E149" i="10"/>
  <c r="F151" i="10"/>
  <c r="E157" i="10"/>
  <c r="F159" i="10"/>
  <c r="E165" i="10"/>
  <c r="F167" i="10"/>
  <c r="E173" i="10"/>
  <c r="F175" i="10"/>
  <c r="E181" i="10"/>
  <c r="F183" i="10"/>
  <c r="E189" i="10"/>
  <c r="F191" i="10"/>
  <c r="E197" i="10"/>
  <c r="F199" i="10"/>
  <c r="E205" i="10"/>
  <c r="C14" i="12"/>
  <c r="C107" i="8"/>
  <c r="C115" i="8"/>
  <c r="C123" i="8"/>
  <c r="E12" i="9"/>
  <c r="C13" i="9"/>
  <c r="E44" i="9"/>
  <c r="C45" i="9"/>
  <c r="E75" i="9"/>
  <c r="C86" i="9"/>
  <c r="C90" i="9"/>
  <c r="C118" i="9"/>
  <c r="C122" i="9"/>
  <c r="C150" i="9"/>
  <c r="F36" i="10"/>
  <c r="F40" i="10"/>
  <c r="C47" i="10"/>
  <c r="E58" i="10"/>
  <c r="E49" i="10"/>
  <c r="F65" i="10"/>
  <c r="E62" i="10"/>
  <c r="E80" i="10"/>
  <c r="C69" i="10"/>
  <c r="F69" i="10"/>
  <c r="F87" i="10"/>
  <c r="C78" i="10"/>
  <c r="E89" i="10"/>
  <c r="F100" i="10"/>
  <c r="F104" i="10"/>
  <c r="C111" i="10"/>
  <c r="E122" i="10"/>
  <c r="E113" i="10"/>
  <c r="F129" i="10"/>
  <c r="E126" i="10"/>
  <c r="E144" i="10"/>
  <c r="C133" i="10"/>
  <c r="F133" i="10"/>
  <c r="F149" i="10"/>
  <c r="F157" i="10"/>
  <c r="F165" i="10"/>
  <c r="F173" i="10"/>
  <c r="C95" i="12"/>
  <c r="C94" i="12"/>
  <c r="E11" i="9"/>
  <c r="C38" i="9"/>
  <c r="E43" i="9"/>
  <c r="C70" i="9"/>
  <c r="E88" i="9"/>
  <c r="E120" i="9"/>
  <c r="E152" i="9"/>
  <c r="C188" i="9"/>
  <c r="C194" i="9"/>
  <c r="E205" i="9"/>
  <c r="F23" i="10"/>
  <c r="E26" i="10"/>
  <c r="C15" i="10"/>
  <c r="E20" i="10"/>
  <c r="E47" i="10"/>
  <c r="C35" i="10"/>
  <c r="E51" i="10"/>
  <c r="C40" i="10"/>
  <c r="F58" i="10"/>
  <c r="C59" i="10"/>
  <c r="F62" i="10"/>
  <c r="C68" i="10"/>
  <c r="F75" i="10"/>
  <c r="C77" i="10"/>
  <c r="C82" i="10"/>
  <c r="E93" i="10"/>
  <c r="E84" i="10"/>
  <c r="E111" i="10"/>
  <c r="C99" i="10"/>
  <c r="E115" i="10"/>
  <c r="C104" i="10"/>
  <c r="F122" i="10"/>
  <c r="C123" i="10"/>
  <c r="C132" i="10"/>
  <c r="C139" i="10"/>
  <c r="E150" i="10"/>
  <c r="E152" i="10"/>
  <c r="C141" i="10"/>
  <c r="C147" i="10"/>
  <c r="E158" i="10"/>
  <c r="E160" i="10"/>
  <c r="C149" i="10"/>
  <c r="C155" i="10"/>
  <c r="E166" i="10"/>
  <c r="E168" i="10"/>
  <c r="C157" i="10"/>
  <c r="C163" i="10"/>
  <c r="E174" i="10"/>
  <c r="E176" i="10"/>
  <c r="C165" i="10"/>
  <c r="C171" i="10"/>
  <c r="E182" i="10"/>
  <c r="E184" i="10"/>
  <c r="C173" i="10"/>
  <c r="C179" i="10"/>
  <c r="E190" i="10"/>
  <c r="E192" i="10"/>
  <c r="C181" i="10"/>
  <c r="C187" i="10"/>
  <c r="E198" i="10"/>
  <c r="E200" i="10"/>
  <c r="C189" i="10"/>
  <c r="C195" i="10"/>
  <c r="E206" i="10"/>
  <c r="E208" i="10"/>
  <c r="C197" i="10"/>
  <c r="C47" i="12"/>
  <c r="C46" i="12"/>
  <c r="C59" i="12"/>
  <c r="C58" i="12"/>
  <c r="K7" i="6"/>
  <c r="S7" i="6"/>
  <c r="AA7" i="6"/>
  <c r="C68" i="6"/>
  <c r="C76" i="6"/>
  <c r="C84" i="6"/>
  <c r="C92" i="6"/>
  <c r="E36" i="9"/>
  <c r="E68" i="9"/>
  <c r="C74" i="9"/>
  <c r="E84" i="9"/>
  <c r="C94" i="9"/>
  <c r="C98" i="9"/>
  <c r="E116" i="9"/>
  <c r="C126" i="9"/>
  <c r="C130" i="9"/>
  <c r="E148" i="9"/>
  <c r="C158" i="9"/>
  <c r="C162" i="9"/>
  <c r="E184" i="9"/>
  <c r="E193" i="9"/>
  <c r="E192" i="9"/>
  <c r="C18" i="10"/>
  <c r="E29" i="10"/>
  <c r="F24" i="10"/>
  <c r="C31" i="10"/>
  <c r="E42" i="10"/>
  <c r="E33" i="10"/>
  <c r="F49" i="10"/>
  <c r="C39" i="10"/>
  <c r="E46" i="10"/>
  <c r="C48" i="10"/>
  <c r="E64" i="10"/>
  <c r="C53" i="10"/>
  <c r="F53" i="10"/>
  <c r="F71" i="10"/>
  <c r="C62" i="10"/>
  <c r="E73" i="10"/>
  <c r="F84" i="10"/>
  <c r="C81" i="10"/>
  <c r="F88" i="10"/>
  <c r="C95" i="10"/>
  <c r="E106" i="10"/>
  <c r="E97" i="10"/>
  <c r="F113" i="10"/>
  <c r="C103" i="10"/>
  <c r="E110" i="10"/>
  <c r="C112" i="10"/>
  <c r="E128" i="10"/>
  <c r="C117" i="10"/>
  <c r="F117" i="10"/>
  <c r="C126" i="10"/>
  <c r="E137" i="10"/>
  <c r="C140" i="10"/>
  <c r="C148" i="10"/>
  <c r="C156" i="10"/>
  <c r="C164" i="10"/>
  <c r="C172" i="10"/>
  <c r="C180" i="10"/>
  <c r="C188" i="10"/>
  <c r="C196" i="10"/>
  <c r="C204" i="10"/>
  <c r="C38" i="11"/>
  <c r="C70" i="11"/>
  <c r="C102" i="11"/>
  <c r="C134" i="11"/>
  <c r="C166" i="11"/>
  <c r="D7" i="6"/>
  <c r="L7" i="6"/>
  <c r="T7" i="6"/>
  <c r="F83" i="6"/>
  <c r="F91" i="6"/>
  <c r="C139" i="8"/>
  <c r="C30" i="9"/>
  <c r="C62" i="9"/>
  <c r="E83" i="9"/>
  <c r="C93" i="9"/>
  <c r="E96" i="9"/>
  <c r="E115" i="9"/>
  <c r="C125" i="9"/>
  <c r="E128" i="9"/>
  <c r="E147" i="9"/>
  <c r="C157" i="9"/>
  <c r="E160" i="9"/>
  <c r="C171" i="9"/>
  <c r="E183" i="9"/>
  <c r="C17" i="10"/>
  <c r="E31" i="10"/>
  <c r="C19" i="10"/>
  <c r="E35" i="10"/>
  <c r="C24" i="10"/>
  <c r="F42" i="10"/>
  <c r="C43" i="10"/>
  <c r="F46" i="10"/>
  <c r="C52" i="10"/>
  <c r="F59" i="10"/>
  <c r="C61" i="10"/>
  <c r="C66" i="10"/>
  <c r="E77" i="10"/>
  <c r="E68" i="10"/>
  <c r="E95" i="10"/>
  <c r="C83" i="10"/>
  <c r="E99" i="10"/>
  <c r="C88" i="10"/>
  <c r="F106" i="10"/>
  <c r="C107" i="10"/>
  <c r="F110" i="10"/>
  <c r="C116" i="10"/>
  <c r="C125" i="10"/>
  <c r="E132" i="10"/>
  <c r="E138" i="10"/>
  <c r="E146" i="10"/>
  <c r="E154" i="10"/>
  <c r="E162" i="10"/>
  <c r="E170" i="10"/>
  <c r="E178" i="10"/>
  <c r="E186" i="10"/>
  <c r="E194" i="10"/>
  <c r="E202" i="10"/>
  <c r="E210" i="10"/>
  <c r="C31" i="12"/>
  <c r="C79" i="12"/>
  <c r="C78" i="12"/>
  <c r="E177" i="9"/>
  <c r="E19" i="10"/>
  <c r="C8" i="10"/>
  <c r="E39" i="10"/>
  <c r="E55" i="10"/>
  <c r="E71" i="10"/>
  <c r="E87" i="10"/>
  <c r="E103" i="10"/>
  <c r="E119" i="10"/>
  <c r="E135" i="10"/>
  <c r="C11" i="11"/>
  <c r="C16" i="11"/>
  <c r="C27" i="11"/>
  <c r="C32" i="11"/>
  <c r="C43" i="11"/>
  <c r="C48" i="11"/>
  <c r="C59" i="11"/>
  <c r="C64" i="11"/>
  <c r="C75" i="11"/>
  <c r="C80" i="11"/>
  <c r="C91" i="11"/>
  <c r="C96" i="11"/>
  <c r="C107" i="11"/>
  <c r="C112" i="11"/>
  <c r="C123" i="11"/>
  <c r="C128" i="11"/>
  <c r="C139" i="11"/>
  <c r="C144" i="11"/>
  <c r="C155" i="11"/>
  <c r="C160" i="11"/>
  <c r="C171" i="11"/>
  <c r="C8" i="12"/>
  <c r="C19" i="12"/>
  <c r="C35" i="12"/>
  <c r="C51" i="12"/>
  <c r="C67" i="12"/>
  <c r="C83" i="12"/>
  <c r="C99" i="12"/>
  <c r="C115" i="12"/>
  <c r="C156" i="12"/>
  <c r="C160" i="12"/>
  <c r="C9" i="13"/>
  <c r="C73" i="13"/>
  <c r="C98" i="13"/>
  <c r="C110" i="13"/>
  <c r="C130" i="13"/>
  <c r="C142" i="13"/>
  <c r="C162" i="13"/>
  <c r="E24" i="14"/>
  <c r="C13" i="14"/>
  <c r="C31" i="14"/>
  <c r="E42" i="14"/>
  <c r="F39" i="14"/>
  <c r="C57" i="14"/>
  <c r="C63" i="14"/>
  <c r="E74" i="14"/>
  <c r="C77" i="14"/>
  <c r="E91" i="14"/>
  <c r="C92" i="14"/>
  <c r="C141" i="14"/>
  <c r="E155" i="14"/>
  <c r="C156" i="14"/>
  <c r="C205" i="14"/>
  <c r="E209" i="14"/>
  <c r="C20" i="15"/>
  <c r="C79" i="15"/>
  <c r="C105" i="15"/>
  <c r="C36" i="16"/>
  <c r="C72" i="16"/>
  <c r="C100" i="16"/>
  <c r="C136" i="16"/>
  <c r="C10" i="14"/>
  <c r="E21" i="14"/>
  <c r="C20" i="14"/>
  <c r="E31" i="14"/>
  <c r="E52" i="14"/>
  <c r="C41" i="14"/>
  <c r="C52" i="14"/>
  <c r="E63" i="14"/>
  <c r="F91" i="14"/>
  <c r="F79" i="14"/>
  <c r="C90" i="14"/>
  <c r="E89" i="14"/>
  <c r="E108" i="14"/>
  <c r="C97" i="14"/>
  <c r="C114" i="14"/>
  <c r="E125" i="14"/>
  <c r="F155" i="14"/>
  <c r="F143" i="14"/>
  <c r="C154" i="14"/>
  <c r="E153" i="14"/>
  <c r="E172" i="14"/>
  <c r="C161" i="14"/>
  <c r="C178" i="14"/>
  <c r="E189" i="14"/>
  <c r="C45" i="16"/>
  <c r="C109" i="16"/>
  <c r="C158" i="16"/>
  <c r="C157" i="16"/>
  <c r="C127" i="12"/>
  <c r="C32" i="13"/>
  <c r="C50" i="13"/>
  <c r="C104" i="13"/>
  <c r="C136" i="13"/>
  <c r="E18" i="14"/>
  <c r="C7" i="14"/>
  <c r="C19" i="14"/>
  <c r="E48" i="14"/>
  <c r="C37" i="14"/>
  <c r="E50" i="14"/>
  <c r="C39" i="14"/>
  <c r="C51" i="14"/>
  <c r="E80" i="14"/>
  <c r="C69" i="14"/>
  <c r="E82" i="14"/>
  <c r="C71" i="14"/>
  <c r="E84" i="14"/>
  <c r="C73" i="14"/>
  <c r="C89" i="14"/>
  <c r="C95" i="14"/>
  <c r="E106" i="14"/>
  <c r="C113" i="14"/>
  <c r="E144" i="14"/>
  <c r="C133" i="14"/>
  <c r="E146" i="14"/>
  <c r="C135" i="14"/>
  <c r="E148" i="14"/>
  <c r="C137" i="14"/>
  <c r="C153" i="14"/>
  <c r="C159" i="14"/>
  <c r="E170" i="14"/>
  <c r="C177" i="14"/>
  <c r="E208" i="14"/>
  <c r="C197" i="14"/>
  <c r="E210" i="14"/>
  <c r="C199" i="14"/>
  <c r="C9" i="15"/>
  <c r="C14" i="15"/>
  <c r="C21" i="15"/>
  <c r="C26" i="15"/>
  <c r="C99" i="15"/>
  <c r="C24" i="16"/>
  <c r="C52" i="16"/>
  <c r="C88" i="16"/>
  <c r="C116" i="16"/>
  <c r="C152" i="16"/>
  <c r="C168" i="12"/>
  <c r="C173" i="12"/>
  <c r="C22" i="13"/>
  <c r="C92" i="13"/>
  <c r="C124" i="13"/>
  <c r="C156" i="13"/>
  <c r="C50" i="14"/>
  <c r="E61" i="14"/>
  <c r="C84" i="14"/>
  <c r="E95" i="14"/>
  <c r="E118" i="14"/>
  <c r="C107" i="14"/>
  <c r="E142" i="14"/>
  <c r="C131" i="14"/>
  <c r="C148" i="14"/>
  <c r="E159" i="14"/>
  <c r="E182" i="14"/>
  <c r="C171" i="14"/>
  <c r="E206" i="14"/>
  <c r="C195" i="14"/>
  <c r="C145" i="12"/>
  <c r="C63" i="13"/>
  <c r="C68" i="13"/>
  <c r="C87" i="13"/>
  <c r="C119" i="13"/>
  <c r="C151" i="13"/>
  <c r="C18" i="14"/>
  <c r="E29" i="14"/>
  <c r="E19" i="14"/>
  <c r="E46" i="14"/>
  <c r="C35" i="14"/>
  <c r="C44" i="14"/>
  <c r="C49" i="14"/>
  <c r="E51" i="14"/>
  <c r="F60" i="14"/>
  <c r="E78" i="14"/>
  <c r="C67" i="14"/>
  <c r="C83" i="14"/>
  <c r="E101" i="14"/>
  <c r="E113" i="14"/>
  <c r="F120" i="14"/>
  <c r="E123" i="14"/>
  <c r="C124" i="14"/>
  <c r="C147" i="14"/>
  <c r="E165" i="14"/>
  <c r="E177" i="14"/>
  <c r="F184" i="14"/>
  <c r="E187" i="14"/>
  <c r="C188" i="14"/>
  <c r="C211" i="14"/>
  <c r="C46" i="15"/>
  <c r="C104" i="16"/>
  <c r="C132" i="16"/>
  <c r="C187" i="9"/>
  <c r="C14" i="10"/>
  <c r="C26" i="10"/>
  <c r="C42" i="10"/>
  <c r="C58" i="10"/>
  <c r="C74" i="10"/>
  <c r="C90" i="10"/>
  <c r="C106" i="10"/>
  <c r="C122" i="10"/>
  <c r="E136" i="10"/>
  <c r="C135" i="10"/>
  <c r="C143" i="10"/>
  <c r="C151" i="10"/>
  <c r="C159" i="10"/>
  <c r="C167" i="10"/>
  <c r="C175" i="10"/>
  <c r="C183" i="10"/>
  <c r="C191" i="10"/>
  <c r="C199" i="10"/>
  <c r="C207" i="10"/>
  <c r="C74" i="12"/>
  <c r="C90" i="12"/>
  <c r="C106" i="12"/>
  <c r="C40" i="13"/>
  <c r="C12" i="14"/>
  <c r="E23" i="14"/>
  <c r="C14" i="14"/>
  <c r="C17" i="14"/>
  <c r="F24" i="14"/>
  <c r="E27" i="14"/>
  <c r="C28" i="14"/>
  <c r="E36" i="14"/>
  <c r="F68" i="14"/>
  <c r="E68" i="14"/>
  <c r="C76" i="14"/>
  <c r="C82" i="14"/>
  <c r="E93" i="14"/>
  <c r="F94" i="14"/>
  <c r="F103" i="14"/>
  <c r="F123" i="14"/>
  <c r="F111" i="14"/>
  <c r="C122" i="14"/>
  <c r="E121" i="14"/>
  <c r="C123" i="14"/>
  <c r="E140" i="14"/>
  <c r="C129" i="14"/>
  <c r="E130" i="14"/>
  <c r="E132" i="14"/>
  <c r="C140" i="14"/>
  <c r="C146" i="14"/>
  <c r="E157" i="14"/>
  <c r="F158" i="14"/>
  <c r="F167" i="14"/>
  <c r="F187" i="14"/>
  <c r="F175" i="14"/>
  <c r="C186" i="14"/>
  <c r="E185" i="14"/>
  <c r="C187" i="14"/>
  <c r="E204" i="14"/>
  <c r="C193" i="14"/>
  <c r="E194" i="14"/>
  <c r="E196" i="14"/>
  <c r="C83" i="15"/>
  <c r="E23" i="10"/>
  <c r="C12" i="10"/>
  <c r="E148" i="10"/>
  <c r="E151" i="10"/>
  <c r="E156" i="10"/>
  <c r="E159" i="10"/>
  <c r="E164" i="10"/>
  <c r="E167" i="10"/>
  <c r="E172" i="10"/>
  <c r="E175" i="10"/>
  <c r="E180" i="10"/>
  <c r="E183" i="10"/>
  <c r="E188" i="10"/>
  <c r="E191" i="10"/>
  <c r="E196" i="10"/>
  <c r="E199" i="10"/>
  <c r="E204" i="10"/>
  <c r="E207" i="10"/>
  <c r="C15" i="11"/>
  <c r="C31" i="11"/>
  <c r="C47" i="11"/>
  <c r="C63" i="11"/>
  <c r="C79" i="11"/>
  <c r="C95" i="11"/>
  <c r="C111" i="11"/>
  <c r="C127" i="11"/>
  <c r="C143" i="11"/>
  <c r="C159" i="11"/>
  <c r="C142" i="12"/>
  <c r="C164" i="12"/>
  <c r="C60" i="13"/>
  <c r="C9" i="14"/>
  <c r="E20" i="14"/>
  <c r="C11" i="14"/>
  <c r="C26" i="14"/>
  <c r="E25" i="14"/>
  <c r="C27" i="14"/>
  <c r="E34" i="14"/>
  <c r="E54" i="14"/>
  <c r="C43" i="14"/>
  <c r="E49" i="14"/>
  <c r="F56" i="14"/>
  <c r="E59" i="14"/>
  <c r="C60" i="14"/>
  <c r="E66" i="14"/>
  <c r="C81" i="14"/>
  <c r="E83" i="14"/>
  <c r="F92" i="14"/>
  <c r="E112" i="14"/>
  <c r="C101" i="14"/>
  <c r="E114" i="14"/>
  <c r="C103" i="14"/>
  <c r="E116" i="14"/>
  <c r="C105" i="14"/>
  <c r="C121" i="14"/>
  <c r="C127" i="14"/>
  <c r="E138" i="14"/>
  <c r="C145" i="14"/>
  <c r="E147" i="14"/>
  <c r="F156" i="14"/>
  <c r="E176" i="14"/>
  <c r="C165" i="14"/>
  <c r="E178" i="14"/>
  <c r="C167" i="14"/>
  <c r="E180" i="14"/>
  <c r="C169" i="14"/>
  <c r="C185" i="14"/>
  <c r="C191" i="14"/>
  <c r="E202" i="14"/>
  <c r="C209" i="14"/>
  <c r="C35" i="15"/>
  <c r="C179" i="9"/>
  <c r="C10" i="10"/>
  <c r="C22" i="10"/>
  <c r="C38" i="10"/>
  <c r="C54" i="10"/>
  <c r="C70" i="10"/>
  <c r="C86" i="10"/>
  <c r="C102" i="10"/>
  <c r="C118" i="10"/>
  <c r="C134" i="10"/>
  <c r="C142" i="10"/>
  <c r="C150" i="10"/>
  <c r="C158" i="10"/>
  <c r="C166" i="10"/>
  <c r="C174" i="10"/>
  <c r="C182" i="10"/>
  <c r="C190" i="10"/>
  <c r="C198" i="10"/>
  <c r="C206" i="10"/>
  <c r="C7" i="12"/>
  <c r="C22" i="12"/>
  <c r="C38" i="12"/>
  <c r="C54" i="12"/>
  <c r="C70" i="12"/>
  <c r="C86" i="12"/>
  <c r="C102" i="12"/>
  <c r="C141" i="12"/>
  <c r="C37" i="13"/>
  <c r="C59" i="13"/>
  <c r="C108" i="13"/>
  <c r="C140" i="13"/>
  <c r="C8" i="14"/>
  <c r="F22" i="14"/>
  <c r="C25" i="14"/>
  <c r="E44" i="14"/>
  <c r="C33" i="14"/>
  <c r="E39" i="14"/>
  <c r="C45" i="14"/>
  <c r="F59" i="14"/>
  <c r="F47" i="14"/>
  <c r="C58" i="14"/>
  <c r="E57" i="14"/>
  <c r="C59" i="14"/>
  <c r="E76" i="14"/>
  <c r="C65" i="14"/>
  <c r="E86" i="14"/>
  <c r="C75" i="14"/>
  <c r="E110" i="14"/>
  <c r="C99" i="14"/>
  <c r="C100" i="14"/>
  <c r="C102" i="14"/>
  <c r="C116" i="14"/>
  <c r="E127" i="14"/>
  <c r="C126" i="14"/>
  <c r="F128" i="14"/>
  <c r="E150" i="14"/>
  <c r="C139" i="14"/>
  <c r="F164" i="14"/>
  <c r="E174" i="14"/>
  <c r="C163" i="14"/>
  <c r="C164" i="14"/>
  <c r="C166" i="14"/>
  <c r="C180" i="14"/>
  <c r="E191" i="14"/>
  <c r="C190" i="14"/>
  <c r="C25" i="15"/>
  <c r="C37" i="15"/>
  <c r="C115" i="15"/>
  <c r="C14" i="16"/>
  <c r="C29" i="16"/>
  <c r="C57" i="16"/>
  <c r="C78" i="16"/>
  <c r="C93" i="16"/>
  <c r="C121" i="16"/>
  <c r="C118" i="12"/>
  <c r="C150" i="12"/>
  <c r="C13" i="13"/>
  <c r="C45" i="13"/>
  <c r="C77" i="13"/>
  <c r="F25" i="14"/>
  <c r="F49" i="14"/>
  <c r="F50" i="14"/>
  <c r="F81" i="14"/>
  <c r="F113" i="14"/>
  <c r="F145" i="14"/>
  <c r="F177" i="14"/>
  <c r="F209" i="14"/>
  <c r="C18" i="16"/>
  <c r="C23" i="16"/>
  <c r="C34" i="16"/>
  <c r="C39" i="16"/>
  <c r="C50" i="16"/>
  <c r="C55" i="16"/>
  <c r="C66" i="16"/>
  <c r="C71" i="16"/>
  <c r="C82" i="16"/>
  <c r="C87" i="16"/>
  <c r="C98" i="16"/>
  <c r="C103" i="16"/>
  <c r="C114" i="16"/>
  <c r="C119" i="16"/>
  <c r="C130" i="16"/>
  <c r="C135" i="16"/>
  <c r="C146" i="16"/>
  <c r="C151" i="16"/>
  <c r="C162" i="16"/>
  <c r="C178" i="16"/>
  <c r="C12" i="17"/>
  <c r="C28" i="17"/>
  <c r="C44" i="17"/>
  <c r="C60" i="17"/>
  <c r="C76" i="17"/>
  <c r="C92" i="17"/>
  <c r="C108" i="17"/>
  <c r="C124" i="17"/>
  <c r="C140" i="17"/>
  <c r="C20" i="18"/>
  <c r="C36" i="18"/>
  <c r="C52" i="18"/>
  <c r="C68" i="18"/>
  <c r="C84" i="18"/>
  <c r="C100" i="18"/>
  <c r="C19" i="19"/>
  <c r="C43" i="19"/>
  <c r="C63" i="19"/>
  <c r="C75" i="19"/>
  <c r="C95" i="19"/>
  <c r="C107" i="19"/>
  <c r="C127" i="19"/>
  <c r="C139" i="19"/>
  <c r="C29" i="20"/>
  <c r="C40" i="20"/>
  <c r="C137" i="15"/>
  <c r="C153" i="15"/>
  <c r="C169" i="15"/>
  <c r="C185" i="15"/>
  <c r="C9" i="21"/>
  <c r="C8" i="21"/>
  <c r="C25" i="21"/>
  <c r="C24" i="21"/>
  <c r="C41" i="21"/>
  <c r="C40" i="21"/>
  <c r="C57" i="21"/>
  <c r="C56" i="21"/>
  <c r="C73" i="21"/>
  <c r="C72" i="21"/>
  <c r="C89" i="21"/>
  <c r="C111" i="18"/>
  <c r="C134" i="18"/>
  <c r="C14" i="19"/>
  <c r="C37" i="19"/>
  <c r="C69" i="19"/>
  <c r="C101" i="19"/>
  <c r="C133" i="19"/>
  <c r="C69" i="15"/>
  <c r="C85" i="15"/>
  <c r="C101" i="15"/>
  <c r="C117" i="15"/>
  <c r="C133" i="15"/>
  <c r="C149" i="15"/>
  <c r="C165" i="15"/>
  <c r="C181" i="15"/>
  <c r="C8" i="16"/>
  <c r="C168" i="16"/>
  <c r="C173" i="16"/>
  <c r="C23" i="17"/>
  <c r="C39" i="17"/>
  <c r="C55" i="17"/>
  <c r="C71" i="17"/>
  <c r="C87" i="17"/>
  <c r="C103" i="17"/>
  <c r="C119" i="17"/>
  <c r="C135" i="17"/>
  <c r="C15" i="18"/>
  <c r="C31" i="18"/>
  <c r="C47" i="18"/>
  <c r="C63" i="18"/>
  <c r="C79" i="18"/>
  <c r="C95" i="18"/>
  <c r="C116" i="18"/>
  <c r="C9" i="19"/>
  <c r="C57" i="19"/>
  <c r="C89" i="19"/>
  <c r="C121" i="19"/>
  <c r="C17" i="20"/>
  <c r="C52" i="19"/>
  <c r="C84" i="19"/>
  <c r="C116" i="19"/>
  <c r="C55" i="20"/>
  <c r="E30" i="14"/>
  <c r="E32" i="14"/>
  <c r="C32" i="14"/>
  <c r="C34" i="14"/>
  <c r="E62" i="14"/>
  <c r="E64" i="14"/>
  <c r="C64" i="14"/>
  <c r="C66" i="14"/>
  <c r="E94" i="14"/>
  <c r="E96" i="14"/>
  <c r="C96" i="14"/>
  <c r="C98" i="14"/>
  <c r="E126" i="14"/>
  <c r="E128" i="14"/>
  <c r="C128" i="14"/>
  <c r="C130" i="14"/>
  <c r="E158" i="14"/>
  <c r="E160" i="14"/>
  <c r="C160" i="14"/>
  <c r="C162" i="14"/>
  <c r="E190" i="14"/>
  <c r="E192" i="14"/>
  <c r="C192" i="14"/>
  <c r="C194" i="14"/>
  <c r="C17" i="15"/>
  <c r="C33" i="15"/>
  <c r="C49" i="15"/>
  <c r="C65" i="15"/>
  <c r="C81" i="15"/>
  <c r="C97" i="15"/>
  <c r="C113" i="15"/>
  <c r="C129" i="15"/>
  <c r="C145" i="15"/>
  <c r="C161" i="15"/>
  <c r="C177" i="15"/>
  <c r="C185" i="16"/>
  <c r="C19" i="17"/>
  <c r="C35" i="17"/>
  <c r="C51" i="17"/>
  <c r="C67" i="17"/>
  <c r="C83" i="17"/>
  <c r="C99" i="17"/>
  <c r="C115" i="17"/>
  <c r="C131" i="17"/>
  <c r="C11" i="18"/>
  <c r="C27" i="18"/>
  <c r="C43" i="18"/>
  <c r="C59" i="18"/>
  <c r="C75" i="18"/>
  <c r="C91" i="18"/>
  <c r="C107" i="18"/>
  <c r="C21" i="21"/>
  <c r="C20" i="21"/>
  <c r="C37" i="21"/>
  <c r="C36" i="21"/>
  <c r="C53" i="21"/>
  <c r="C52" i="21"/>
  <c r="C69" i="21"/>
  <c r="C68" i="21"/>
  <c r="C85" i="21"/>
  <c r="C84" i="21"/>
  <c r="F41" i="14"/>
  <c r="F73" i="14"/>
  <c r="F105" i="14"/>
  <c r="F137" i="14"/>
  <c r="F169" i="14"/>
  <c r="F201" i="14"/>
  <c r="C22" i="16"/>
  <c r="C16" i="17"/>
  <c r="C32" i="17"/>
  <c r="C48" i="17"/>
  <c r="C64" i="17"/>
  <c r="C80" i="17"/>
  <c r="C96" i="17"/>
  <c r="C112" i="17"/>
  <c r="C128" i="17"/>
  <c r="C8" i="18"/>
  <c r="C24" i="18"/>
  <c r="C40" i="18"/>
  <c r="C56" i="18"/>
  <c r="C72" i="18"/>
  <c r="C88" i="18"/>
  <c r="C104" i="18"/>
  <c r="C22" i="19"/>
  <c r="C42" i="19"/>
  <c r="C74" i="19"/>
  <c r="C106" i="19"/>
  <c r="C138" i="19"/>
  <c r="C14" i="21"/>
  <c r="C13" i="21"/>
  <c r="C30" i="21"/>
  <c r="C29" i="21"/>
  <c r="C46" i="21"/>
  <c r="C45" i="21"/>
  <c r="C62" i="21"/>
  <c r="C61" i="21"/>
  <c r="C78" i="21"/>
  <c r="C77" i="21"/>
  <c r="C122" i="12"/>
  <c r="C154" i="12"/>
  <c r="C17" i="13"/>
  <c r="C49" i="13"/>
  <c r="C81" i="13"/>
  <c r="C97" i="13"/>
  <c r="C102" i="13"/>
  <c r="C113" i="13"/>
  <c r="C118" i="13"/>
  <c r="C129" i="13"/>
  <c r="C134" i="13"/>
  <c r="C145" i="13"/>
  <c r="C150" i="13"/>
  <c r="C161" i="13"/>
  <c r="C166" i="13"/>
  <c r="E38" i="14"/>
  <c r="E40" i="14"/>
  <c r="C40" i="14"/>
  <c r="C42" i="14"/>
  <c r="F55" i="14"/>
  <c r="E70" i="14"/>
  <c r="E72" i="14"/>
  <c r="C72" i="14"/>
  <c r="C74" i="14"/>
  <c r="F87" i="14"/>
  <c r="E102" i="14"/>
  <c r="E104" i="14"/>
  <c r="C104" i="14"/>
  <c r="C106" i="14"/>
  <c r="F119" i="14"/>
  <c r="E134" i="14"/>
  <c r="E136" i="14"/>
  <c r="C136" i="14"/>
  <c r="C138" i="14"/>
  <c r="F151" i="14"/>
  <c r="E166" i="14"/>
  <c r="E168" i="14"/>
  <c r="C168" i="14"/>
  <c r="C170" i="14"/>
  <c r="F183" i="14"/>
  <c r="E198" i="14"/>
  <c r="E200" i="14"/>
  <c r="C200" i="14"/>
  <c r="C202" i="14"/>
  <c r="C8" i="15"/>
  <c r="C13" i="15"/>
  <c r="C24" i="15"/>
  <c r="C29" i="15"/>
  <c r="C40" i="15"/>
  <c r="C45" i="15"/>
  <c r="C56" i="15"/>
  <c r="C61" i="15"/>
  <c r="C72" i="15"/>
  <c r="C77" i="15"/>
  <c r="C88" i="15"/>
  <c r="C93" i="15"/>
  <c r="C104" i="15"/>
  <c r="C109" i="15"/>
  <c r="C120" i="15"/>
  <c r="C125" i="15"/>
  <c r="C136" i="15"/>
  <c r="C141" i="15"/>
  <c r="C152" i="15"/>
  <c r="C157" i="15"/>
  <c r="C168" i="15"/>
  <c r="C173" i="15"/>
  <c r="C184" i="15"/>
  <c r="C181" i="16"/>
  <c r="C15" i="17"/>
  <c r="C31" i="17"/>
  <c r="C47" i="17"/>
  <c r="C63" i="17"/>
  <c r="C79" i="17"/>
  <c r="C95" i="17"/>
  <c r="C111" i="17"/>
  <c r="C127" i="17"/>
  <c r="C23" i="18"/>
  <c r="C39" i="18"/>
  <c r="C55" i="18"/>
  <c r="C71" i="18"/>
  <c r="C87" i="18"/>
  <c r="C103" i="18"/>
  <c r="C121" i="18"/>
  <c r="C24" i="19"/>
  <c r="C41" i="19"/>
  <c r="C73" i="19"/>
  <c r="C105" i="19"/>
  <c r="C137" i="19"/>
  <c r="C34" i="20"/>
  <c r="C39" i="20"/>
  <c r="C77" i="20"/>
  <c r="C88" i="20"/>
  <c r="C125" i="18"/>
  <c r="C27" i="19"/>
  <c r="C11" i="20"/>
  <c r="C22" i="20"/>
  <c r="C27" i="20"/>
  <c r="C38" i="20"/>
  <c r="C43" i="20"/>
  <c r="C54" i="20"/>
  <c r="C59" i="20"/>
  <c r="C70" i="20"/>
  <c r="C75" i="20"/>
  <c r="C86" i="20"/>
  <c r="C91" i="20"/>
  <c r="C102" i="20"/>
  <c r="C107" i="20"/>
  <c r="C118" i="20"/>
  <c r="C123" i="20"/>
  <c r="C134" i="20"/>
  <c r="C139" i="20"/>
  <c r="C17" i="23"/>
  <c r="C81" i="23"/>
  <c r="C50" i="24"/>
  <c r="C105" i="24"/>
  <c r="C94" i="21"/>
  <c r="C110" i="21"/>
  <c r="C126" i="21"/>
  <c r="C12" i="22"/>
  <c r="C28" i="22"/>
  <c r="C44" i="22"/>
  <c r="C60" i="22"/>
  <c r="C76" i="22"/>
  <c r="C92" i="22"/>
  <c r="C108" i="22"/>
  <c r="C124" i="22"/>
  <c r="C140" i="22"/>
  <c r="C156" i="22"/>
  <c r="C59" i="23"/>
  <c r="C123" i="23"/>
  <c r="C16" i="24"/>
  <c r="C56" i="24"/>
  <c r="C55" i="24"/>
  <c r="C66" i="20"/>
  <c r="C71" i="20"/>
  <c r="C82" i="20"/>
  <c r="C87" i="20"/>
  <c r="C98" i="20"/>
  <c r="C103" i="20"/>
  <c r="C114" i="20"/>
  <c r="C119" i="20"/>
  <c r="C130" i="20"/>
  <c r="C135" i="20"/>
  <c r="C88" i="21"/>
  <c r="C93" i="21"/>
  <c r="C104" i="21"/>
  <c r="C109" i="21"/>
  <c r="C120" i="21"/>
  <c r="C125" i="21"/>
  <c r="C11" i="22"/>
  <c r="C22" i="22"/>
  <c r="C27" i="22"/>
  <c r="C38" i="22"/>
  <c r="C43" i="22"/>
  <c r="C54" i="22"/>
  <c r="C59" i="22"/>
  <c r="C70" i="22"/>
  <c r="C75" i="22"/>
  <c r="C91" i="22"/>
  <c r="C107" i="22"/>
  <c r="C123" i="22"/>
  <c r="C139" i="22"/>
  <c r="C155" i="22"/>
  <c r="C13" i="23"/>
  <c r="C18" i="23"/>
  <c r="C36" i="23"/>
  <c r="C40" i="23"/>
  <c r="C58" i="23"/>
  <c r="C82" i="23"/>
  <c r="C100" i="23"/>
  <c r="C104" i="23"/>
  <c r="C122" i="23"/>
  <c r="C99" i="24"/>
  <c r="C109" i="22"/>
  <c r="C125" i="22"/>
  <c r="C141" i="22"/>
  <c r="C157" i="22"/>
  <c r="C100" i="21"/>
  <c r="C116" i="21"/>
  <c r="C132" i="21"/>
  <c r="C7" i="22"/>
  <c r="C18" i="22"/>
  <c r="C34" i="22"/>
  <c r="C50" i="22"/>
  <c r="C66" i="22"/>
  <c r="C82" i="22"/>
  <c r="C87" i="22"/>
  <c r="C98" i="22"/>
  <c r="C103" i="22"/>
  <c r="C46" i="24"/>
  <c r="C45" i="24"/>
  <c r="C64" i="24"/>
  <c r="C77" i="24"/>
  <c r="C76" i="24"/>
  <c r="C50" i="19"/>
  <c r="C66" i="19"/>
  <c r="C82" i="19"/>
  <c r="C98" i="19"/>
  <c r="C114" i="19"/>
  <c r="C130" i="19"/>
  <c r="C22" i="21"/>
  <c r="C38" i="21"/>
  <c r="C54" i="21"/>
  <c r="C70" i="21"/>
  <c r="C86" i="21"/>
  <c r="C102" i="21"/>
  <c r="C118" i="21"/>
  <c r="C134" i="21"/>
  <c r="C20" i="22"/>
  <c r="C36" i="22"/>
  <c r="C52" i="22"/>
  <c r="C68" i="22"/>
  <c r="C84" i="22"/>
  <c r="C100" i="22"/>
  <c r="C116" i="22"/>
  <c r="C132" i="22"/>
  <c r="C148" i="22"/>
  <c r="C153" i="22"/>
  <c r="C163" i="22"/>
  <c r="C168" i="22"/>
  <c r="C27" i="23"/>
  <c r="C48" i="23"/>
  <c r="C91" i="23"/>
  <c r="C112" i="23"/>
  <c r="C29" i="24"/>
  <c r="C71" i="24"/>
  <c r="C133" i="18"/>
  <c r="C7" i="19"/>
  <c r="C35" i="19"/>
  <c r="C10" i="20"/>
  <c r="C15" i="20"/>
  <c r="C26" i="20"/>
  <c r="C31" i="20"/>
  <c r="C42" i="20"/>
  <c r="C47" i="20"/>
  <c r="C58" i="20"/>
  <c r="C63" i="20"/>
  <c r="C74" i="20"/>
  <c r="C79" i="20"/>
  <c r="C90" i="20"/>
  <c r="C95" i="20"/>
  <c r="C106" i="20"/>
  <c r="C111" i="20"/>
  <c r="C122" i="20"/>
  <c r="C127" i="20"/>
  <c r="C138" i="20"/>
  <c r="C50" i="23"/>
  <c r="C68" i="23"/>
  <c r="C132" i="23"/>
  <c r="C24" i="24"/>
  <c r="C129" i="18"/>
  <c r="C31" i="19"/>
  <c r="C46" i="19"/>
  <c r="C62" i="19"/>
  <c r="C78" i="19"/>
  <c r="C94" i="19"/>
  <c r="C110" i="19"/>
  <c r="C126" i="19"/>
  <c r="C18" i="21"/>
  <c r="C34" i="21"/>
  <c r="C50" i="21"/>
  <c r="C66" i="21"/>
  <c r="C82" i="21"/>
  <c r="C98" i="21"/>
  <c r="C114" i="21"/>
  <c r="C130" i="21"/>
  <c r="C16" i="22"/>
  <c r="C32" i="22"/>
  <c r="C48" i="22"/>
  <c r="C64" i="22"/>
  <c r="C80" i="22"/>
  <c r="C96" i="22"/>
  <c r="C112" i="22"/>
  <c r="C128" i="22"/>
  <c r="C133" i="22"/>
  <c r="C144" i="22"/>
  <c r="C149" i="22"/>
  <c r="C160" i="22"/>
  <c r="C45" i="23"/>
  <c r="C109" i="23"/>
  <c r="C26" i="24"/>
  <c r="C32" i="24"/>
  <c r="C31" i="24"/>
  <c r="C61" i="24"/>
  <c r="C60" i="24"/>
  <c r="C21" i="23"/>
  <c r="C53" i="23"/>
  <c r="C85" i="23"/>
  <c r="C117" i="23"/>
  <c r="C10" i="24"/>
  <c r="C34" i="24"/>
  <c r="C58" i="24"/>
  <c r="C81" i="24"/>
  <c r="C120" i="24"/>
  <c r="C27" i="25"/>
  <c r="C80" i="25"/>
  <c r="C79" i="25"/>
  <c r="C22" i="26"/>
  <c r="C90" i="26"/>
  <c r="C136" i="26"/>
  <c r="C135" i="26"/>
  <c r="C50" i="27"/>
  <c r="C16" i="25"/>
  <c r="C35" i="26"/>
  <c r="C34" i="26"/>
  <c r="C118" i="26"/>
  <c r="C117" i="26"/>
  <c r="C15" i="25"/>
  <c r="C134" i="25"/>
  <c r="C67" i="26"/>
  <c r="C27" i="27"/>
  <c r="C129" i="25"/>
  <c r="C51" i="25"/>
  <c r="C63" i="26"/>
  <c r="C62" i="26"/>
  <c r="C140" i="26"/>
  <c r="C139" i="26"/>
  <c r="C23" i="27"/>
  <c r="C22" i="27"/>
  <c r="C166" i="22"/>
  <c r="C33" i="23"/>
  <c r="C65" i="23"/>
  <c r="C97" i="23"/>
  <c r="C129" i="23"/>
  <c r="C18" i="24"/>
  <c r="C42" i="24"/>
  <c r="C67" i="24"/>
  <c r="C78" i="24"/>
  <c r="C130" i="24"/>
  <c r="C135" i="24"/>
  <c r="C36" i="25"/>
  <c r="C41" i="25"/>
  <c r="C53" i="25"/>
  <c r="C83" i="25"/>
  <c r="C106" i="25"/>
  <c r="C111" i="25"/>
  <c r="C95" i="26"/>
  <c r="C94" i="26"/>
  <c r="C141" i="26"/>
  <c r="C55" i="27"/>
  <c r="C54" i="27"/>
  <c r="C58" i="26"/>
  <c r="C57" i="26"/>
  <c r="C108" i="26"/>
  <c r="C107" i="26"/>
  <c r="C18" i="27"/>
  <c r="C17" i="27"/>
  <c r="C68" i="27"/>
  <c r="C67" i="27"/>
  <c r="C25" i="23"/>
  <c r="C57" i="23"/>
  <c r="C89" i="23"/>
  <c r="C121" i="23"/>
  <c r="C14" i="24"/>
  <c r="C38" i="24"/>
  <c r="C48" i="24"/>
  <c r="C91" i="24"/>
  <c r="C114" i="24"/>
  <c r="C119" i="24"/>
  <c r="C25" i="25"/>
  <c r="C48" i="25"/>
  <c r="C47" i="25"/>
  <c r="C27" i="26"/>
  <c r="C26" i="26"/>
  <c r="C118" i="24"/>
  <c r="C62" i="25"/>
  <c r="C116" i="25"/>
  <c r="C8" i="26"/>
  <c r="C59" i="29"/>
  <c r="C58" i="29"/>
  <c r="C72" i="28"/>
  <c r="C71" i="28"/>
  <c r="C44" i="26"/>
  <c r="C72" i="26"/>
  <c r="C32" i="27"/>
  <c r="C77" i="27"/>
  <c r="C99" i="27"/>
  <c r="C106" i="27"/>
  <c r="C131" i="27"/>
  <c r="C138" i="27"/>
  <c r="C27" i="28"/>
  <c r="C34" i="28"/>
  <c r="C59" i="28"/>
  <c r="C66" i="28"/>
  <c r="C101" i="27"/>
  <c r="C121" i="27"/>
  <c r="C133" i="27"/>
  <c r="C17" i="28"/>
  <c r="C29" i="28"/>
  <c r="C49" i="28"/>
  <c r="C54" i="28"/>
  <c r="C87" i="28"/>
  <c r="C86" i="28"/>
  <c r="C123" i="29"/>
  <c r="C122" i="29"/>
  <c r="C22" i="24"/>
  <c r="C54" i="24"/>
  <c r="C97" i="24"/>
  <c r="C111" i="24"/>
  <c r="C122" i="24"/>
  <c r="C137" i="24"/>
  <c r="C18" i="25"/>
  <c r="C44" i="25"/>
  <c r="C59" i="25"/>
  <c r="C92" i="25"/>
  <c r="C103" i="25"/>
  <c r="C126" i="25"/>
  <c r="C12" i="26"/>
  <c r="C40" i="26"/>
  <c r="C95" i="27"/>
  <c r="C88" i="24"/>
  <c r="C71" i="25"/>
  <c r="C127" i="26"/>
  <c r="C87" i="27"/>
  <c r="C115" i="27"/>
  <c r="C114" i="28"/>
  <c r="C113" i="28"/>
  <c r="C122" i="28"/>
  <c r="C121" i="28"/>
  <c r="C64" i="29"/>
  <c r="C63" i="29"/>
  <c r="C74" i="24"/>
  <c r="C87" i="24"/>
  <c r="C98" i="24"/>
  <c r="C128" i="24"/>
  <c r="C138" i="24"/>
  <c r="C9" i="25"/>
  <c r="C20" i="25"/>
  <c r="C35" i="25"/>
  <c r="C50" i="25"/>
  <c r="C70" i="25"/>
  <c r="C82" i="25"/>
  <c r="C94" i="25"/>
  <c r="C13" i="26"/>
  <c r="C31" i="26"/>
  <c r="C54" i="26"/>
  <c r="C76" i="26"/>
  <c r="C104" i="26"/>
  <c r="C126" i="26"/>
  <c r="C14" i="27"/>
  <c r="C36" i="27"/>
  <c r="C64" i="27"/>
  <c r="C86" i="27"/>
  <c r="C105" i="27"/>
  <c r="C117" i="27"/>
  <c r="C137" i="27"/>
  <c r="C13" i="28"/>
  <c r="C33" i="28"/>
  <c r="C45" i="28"/>
  <c r="C65" i="28"/>
  <c r="C77" i="28"/>
  <c r="C108" i="28"/>
  <c r="C107" i="28"/>
  <c r="C62" i="24"/>
  <c r="C94" i="24"/>
  <c r="C126" i="24"/>
  <c r="C24" i="25"/>
  <c r="C56" i="25"/>
  <c r="C88" i="25"/>
  <c r="C120" i="25"/>
  <c r="C16" i="26"/>
  <c r="C48" i="26"/>
  <c r="C80" i="26"/>
  <c r="C112" i="26"/>
  <c r="C8" i="27"/>
  <c r="C40" i="27"/>
  <c r="C72" i="27"/>
  <c r="C141" i="28"/>
  <c r="C46" i="29"/>
  <c r="C50" i="29"/>
  <c r="C110" i="29"/>
  <c r="C114" i="29"/>
  <c r="C44" i="30"/>
  <c r="C76" i="30"/>
  <c r="C76" i="28"/>
  <c r="C91" i="28"/>
  <c r="C136" i="28"/>
  <c r="C23" i="29"/>
  <c r="C69" i="29"/>
  <c r="C87" i="29"/>
  <c r="C133" i="29"/>
  <c r="C124" i="30"/>
  <c r="C123" i="30"/>
  <c r="C127" i="29"/>
  <c r="C9" i="30"/>
  <c r="C14" i="30"/>
  <c r="C35" i="29"/>
  <c r="C99" i="29"/>
  <c r="C68" i="25"/>
  <c r="C100" i="25"/>
  <c r="C132" i="25"/>
  <c r="C28" i="26"/>
  <c r="C60" i="26"/>
  <c r="C92" i="26"/>
  <c r="C124" i="26"/>
  <c r="C20" i="27"/>
  <c r="C52" i="27"/>
  <c r="C84" i="27"/>
  <c r="C108" i="27"/>
  <c r="C124" i="27"/>
  <c r="C140" i="27"/>
  <c r="C20" i="28"/>
  <c r="C36" i="28"/>
  <c r="C41" i="28"/>
  <c r="C52" i="28"/>
  <c r="C57" i="28"/>
  <c r="C68" i="28"/>
  <c r="C83" i="28"/>
  <c r="C104" i="28"/>
  <c r="C126" i="28"/>
  <c r="C55" i="29"/>
  <c r="C119" i="29"/>
  <c r="C27" i="30"/>
  <c r="C59" i="30"/>
  <c r="C91" i="30"/>
  <c r="C73" i="28"/>
  <c r="C84" i="28"/>
  <c r="C118" i="29"/>
  <c r="C124" i="25"/>
  <c r="C20" i="26"/>
  <c r="C52" i="26"/>
  <c r="C84" i="26"/>
  <c r="C116" i="26"/>
  <c r="C12" i="27"/>
  <c r="C44" i="27"/>
  <c r="C76" i="27"/>
  <c r="C104" i="27"/>
  <c r="C120" i="27"/>
  <c r="C136" i="27"/>
  <c r="C16" i="28"/>
  <c r="C32" i="28"/>
  <c r="C48" i="28"/>
  <c r="C64" i="28"/>
  <c r="C118" i="28"/>
  <c r="C139" i="28"/>
  <c r="C68" i="29"/>
  <c r="C132" i="29"/>
  <c r="C24" i="30"/>
  <c r="C50" i="30"/>
  <c r="C82" i="30"/>
  <c r="C108" i="30"/>
  <c r="C116" i="28"/>
  <c r="C12" i="29"/>
  <c r="C44" i="29"/>
  <c r="C76" i="29"/>
  <c r="C108" i="29"/>
  <c r="C140" i="29"/>
  <c r="C32" i="30"/>
  <c r="C48" i="30"/>
  <c r="C64" i="30"/>
  <c r="C80" i="30"/>
  <c r="C96" i="30"/>
  <c r="C112" i="30"/>
  <c r="C18" i="31"/>
  <c r="C34" i="31"/>
  <c r="C50" i="31"/>
  <c r="C66" i="31"/>
  <c r="C82" i="31"/>
  <c r="C98" i="31"/>
  <c r="C114" i="31"/>
  <c r="C130" i="31"/>
  <c r="C282" i="31"/>
  <c r="C281" i="31"/>
  <c r="C10" i="33"/>
  <c r="C9" i="33"/>
  <c r="C80" i="28"/>
  <c r="C112" i="28"/>
  <c r="C8" i="29"/>
  <c r="C40" i="29"/>
  <c r="C72" i="29"/>
  <c r="C104" i="29"/>
  <c r="C136" i="29"/>
  <c r="C31" i="30"/>
  <c r="C38" i="30"/>
  <c r="C47" i="30"/>
  <c r="C54" i="30"/>
  <c r="C63" i="30"/>
  <c r="C70" i="30"/>
  <c r="C79" i="30"/>
  <c r="C86" i="30"/>
  <c r="C95" i="30"/>
  <c r="C102" i="30"/>
  <c r="C111" i="30"/>
  <c r="C118" i="30"/>
  <c r="C127" i="30"/>
  <c r="C134" i="30"/>
  <c r="C17" i="31"/>
  <c r="C33" i="31"/>
  <c r="C49" i="31"/>
  <c r="C65" i="31"/>
  <c r="C81" i="31"/>
  <c r="C97" i="31"/>
  <c r="C113" i="31"/>
  <c r="C136" i="31"/>
  <c r="C148" i="31"/>
  <c r="C158" i="31"/>
  <c r="C163" i="31"/>
  <c r="C187" i="31"/>
  <c r="C230" i="31"/>
  <c r="C262" i="31"/>
  <c r="C288" i="31"/>
  <c r="C326" i="31"/>
  <c r="C61" i="32"/>
  <c r="C60" i="32"/>
  <c r="C51" i="33"/>
  <c r="C50" i="33"/>
  <c r="C139" i="30"/>
  <c r="C13" i="31"/>
  <c r="C29" i="31"/>
  <c r="C45" i="31"/>
  <c r="C61" i="31"/>
  <c r="C77" i="31"/>
  <c r="C93" i="31"/>
  <c r="C109" i="31"/>
  <c r="C125" i="31"/>
  <c r="C177" i="31"/>
  <c r="C194" i="31"/>
  <c r="C303" i="31"/>
  <c r="C323" i="31"/>
  <c r="C322" i="31"/>
  <c r="C265" i="31"/>
  <c r="C266" i="31"/>
  <c r="C329" i="31"/>
  <c r="C330" i="31"/>
  <c r="C102" i="32"/>
  <c r="C101" i="32"/>
  <c r="C39" i="33"/>
  <c r="C38" i="33"/>
  <c r="C9" i="31"/>
  <c r="C25" i="31"/>
  <c r="C41" i="31"/>
  <c r="C57" i="31"/>
  <c r="C73" i="31"/>
  <c r="C89" i="31"/>
  <c r="C105" i="31"/>
  <c r="C121" i="31"/>
  <c r="C208" i="31"/>
  <c r="C226" i="31"/>
  <c r="C317" i="31"/>
  <c r="C38" i="32"/>
  <c r="C37" i="32"/>
  <c r="C125" i="30"/>
  <c r="C22" i="31"/>
  <c r="C38" i="31"/>
  <c r="C54" i="31"/>
  <c r="C70" i="31"/>
  <c r="C86" i="31"/>
  <c r="C102" i="31"/>
  <c r="C118" i="31"/>
  <c r="C161" i="31"/>
  <c r="C221" i="31"/>
  <c r="C90" i="32"/>
  <c r="C89" i="32"/>
  <c r="C88" i="28"/>
  <c r="C120" i="28"/>
  <c r="C16" i="29"/>
  <c r="C48" i="29"/>
  <c r="C80" i="29"/>
  <c r="C112" i="29"/>
  <c r="C8" i="30"/>
  <c r="C42" i="30"/>
  <c r="C58" i="30"/>
  <c r="C74" i="30"/>
  <c r="C90" i="30"/>
  <c r="C106" i="30"/>
  <c r="C122" i="30"/>
  <c r="C138" i="30"/>
  <c r="C21" i="31"/>
  <c r="C37" i="31"/>
  <c r="C53" i="31"/>
  <c r="C69" i="31"/>
  <c r="C85" i="31"/>
  <c r="C101" i="31"/>
  <c r="C117" i="31"/>
  <c r="C157" i="31"/>
  <c r="C173" i="31"/>
  <c r="C198" i="31"/>
  <c r="C274" i="31"/>
  <c r="C307" i="31"/>
  <c r="C306" i="31"/>
  <c r="C338" i="31"/>
  <c r="C26" i="32"/>
  <c r="C25" i="32"/>
  <c r="C134" i="31"/>
  <c r="C166" i="31"/>
  <c r="C182" i="31"/>
  <c r="C291" i="31"/>
  <c r="C290" i="31"/>
  <c r="C314" i="31"/>
  <c r="C313" i="31"/>
  <c r="C16" i="32"/>
  <c r="C34" i="32"/>
  <c r="C39" i="32"/>
  <c r="C80" i="32"/>
  <c r="C98" i="32"/>
  <c r="C103" i="32"/>
  <c r="C29" i="33"/>
  <c r="C47" i="33"/>
  <c r="C52" i="33"/>
  <c r="C44" i="34"/>
  <c r="C108" i="34"/>
  <c r="C128" i="34"/>
  <c r="C127" i="34"/>
  <c r="C135" i="34"/>
  <c r="C134" i="34"/>
  <c r="C176" i="34"/>
  <c r="C175" i="34"/>
  <c r="C65" i="32"/>
  <c r="C14" i="33"/>
  <c r="C11" i="34"/>
  <c r="C75" i="34"/>
  <c r="C154" i="31"/>
  <c r="C168" i="31"/>
  <c r="C184" i="31"/>
  <c r="C204" i="31"/>
  <c r="C254" i="31"/>
  <c r="C270" i="31"/>
  <c r="C334" i="31"/>
  <c r="C13" i="32"/>
  <c r="C12" i="32"/>
  <c r="C54" i="32"/>
  <c r="C53" i="32"/>
  <c r="C77" i="32"/>
  <c r="C76" i="32"/>
  <c r="C118" i="32"/>
  <c r="C117" i="32"/>
  <c r="C26" i="33"/>
  <c r="C25" i="33"/>
  <c r="C67" i="33"/>
  <c r="C66" i="33"/>
  <c r="C23" i="34"/>
  <c r="C22" i="34"/>
  <c r="C64" i="34"/>
  <c r="C63" i="34"/>
  <c r="C87" i="34"/>
  <c r="C86" i="34"/>
  <c r="C144" i="34"/>
  <c r="C143" i="34"/>
  <c r="C158" i="34"/>
  <c r="C157" i="34"/>
  <c r="C190" i="34"/>
  <c r="C189" i="34"/>
  <c r="C35" i="34"/>
  <c r="C47" i="34"/>
  <c r="C70" i="34"/>
  <c r="C99" i="34"/>
  <c r="C111" i="34"/>
  <c r="C142" i="31"/>
  <c r="C170" i="31"/>
  <c r="C186" i="31"/>
  <c r="C191" i="31"/>
  <c r="C239" i="31"/>
  <c r="C245" i="31"/>
  <c r="C261" i="31"/>
  <c r="C272" i="31"/>
  <c r="C284" i="31"/>
  <c r="C325" i="31"/>
  <c r="C336" i="31"/>
  <c r="C33" i="32"/>
  <c r="C97" i="32"/>
  <c r="C46" i="33"/>
  <c r="C43" i="34"/>
  <c r="C119" i="34"/>
  <c r="C118" i="34"/>
  <c r="C126" i="34"/>
  <c r="C125" i="34"/>
  <c r="C217" i="34"/>
  <c r="C216" i="34"/>
  <c r="C138" i="31"/>
  <c r="C176" i="31"/>
  <c r="C197" i="31"/>
  <c r="C207" i="31"/>
  <c r="C213" i="31"/>
  <c r="C229" i="31"/>
  <c r="C302" i="31"/>
  <c r="C22" i="32"/>
  <c r="C21" i="32"/>
  <c r="C45" i="32"/>
  <c r="C44" i="32"/>
  <c r="C86" i="32"/>
  <c r="C85" i="32"/>
  <c r="C109" i="32"/>
  <c r="C108" i="32"/>
  <c r="C35" i="33"/>
  <c r="C34" i="33"/>
  <c r="C58" i="33"/>
  <c r="C57" i="33"/>
  <c r="C32" i="34"/>
  <c r="C31" i="34"/>
  <c r="C55" i="34"/>
  <c r="C54" i="34"/>
  <c r="C96" i="34"/>
  <c r="C95" i="34"/>
  <c r="C167" i="34"/>
  <c r="C166" i="34"/>
  <c r="C11" i="35"/>
  <c r="C10" i="35"/>
  <c r="C34" i="35"/>
  <c r="C33" i="35"/>
  <c r="C75" i="35"/>
  <c r="C74" i="35"/>
  <c r="C98" i="35"/>
  <c r="C97" i="35"/>
  <c r="C43" i="36"/>
  <c r="C42" i="36"/>
  <c r="C68" i="36"/>
  <c r="C69" i="36"/>
  <c r="C10" i="37"/>
  <c r="C11" i="37"/>
  <c r="C140" i="34"/>
  <c r="C172" i="34"/>
  <c r="C212" i="34"/>
  <c r="C245" i="34"/>
  <c r="C257" i="34"/>
  <c r="C28" i="35"/>
  <c r="C40" i="35"/>
  <c r="C69" i="35"/>
  <c r="C92" i="35"/>
  <c r="C14" i="36"/>
  <c r="C25" i="36"/>
  <c r="C203" i="31"/>
  <c r="C235" i="31"/>
  <c r="C267" i="31"/>
  <c r="C299" i="31"/>
  <c r="C331" i="31"/>
  <c r="C30" i="32"/>
  <c r="C62" i="32"/>
  <c r="C94" i="32"/>
  <c r="C11" i="33"/>
  <c r="C43" i="33"/>
  <c r="C8" i="34"/>
  <c r="C40" i="34"/>
  <c r="C72" i="34"/>
  <c r="C104" i="34"/>
  <c r="C136" i="34"/>
  <c r="C168" i="34"/>
  <c r="C196" i="34"/>
  <c r="C253" i="34"/>
  <c r="C13" i="35"/>
  <c r="C17" i="35"/>
  <c r="C24" i="35"/>
  <c r="C36" i="35"/>
  <c r="C58" i="35"/>
  <c r="C77" i="35"/>
  <c r="C81" i="35"/>
  <c r="C88" i="35"/>
  <c r="C106" i="35"/>
  <c r="C111" i="35"/>
  <c r="C45" i="36"/>
  <c r="C242" i="34"/>
  <c r="C241" i="34"/>
  <c r="C265" i="34"/>
  <c r="C264" i="34"/>
  <c r="C236" i="34"/>
  <c r="C259" i="34"/>
  <c r="C43" i="35"/>
  <c r="C42" i="35"/>
  <c r="C66" i="35"/>
  <c r="C65" i="35"/>
  <c r="C119" i="35"/>
  <c r="C33" i="36"/>
  <c r="C150" i="34"/>
  <c r="C159" i="34"/>
  <c r="C191" i="34"/>
  <c r="C225" i="34"/>
  <c r="C248" i="34"/>
  <c r="C8" i="35"/>
  <c r="C60" i="35"/>
  <c r="C72" i="35"/>
  <c r="C115" i="35"/>
  <c r="C28" i="36"/>
  <c r="C219" i="31"/>
  <c r="C251" i="31"/>
  <c r="C283" i="31"/>
  <c r="C315" i="31"/>
  <c r="C14" i="32"/>
  <c r="C46" i="32"/>
  <c r="C78" i="32"/>
  <c r="C110" i="32"/>
  <c r="C27" i="33"/>
  <c r="C59" i="33"/>
  <c r="C24" i="34"/>
  <c r="C56" i="34"/>
  <c r="C88" i="34"/>
  <c r="C120" i="34"/>
  <c r="C152" i="34"/>
  <c r="C184" i="34"/>
  <c r="C187" i="34"/>
  <c r="C221" i="34"/>
  <c r="C26" i="35"/>
  <c r="C45" i="35"/>
  <c r="C90" i="35"/>
  <c r="C101" i="35"/>
  <c r="C10" i="36"/>
  <c r="C215" i="31"/>
  <c r="C247" i="31"/>
  <c r="C279" i="31"/>
  <c r="C311" i="31"/>
  <c r="C10" i="32"/>
  <c r="C42" i="32"/>
  <c r="C74" i="32"/>
  <c r="C106" i="32"/>
  <c r="C23" i="33"/>
  <c r="C55" i="33"/>
  <c r="C20" i="34"/>
  <c r="C52" i="34"/>
  <c r="C84" i="34"/>
  <c r="C116" i="34"/>
  <c r="C148" i="34"/>
  <c r="C180" i="34"/>
  <c r="C210" i="34"/>
  <c r="C209" i="34"/>
  <c r="C233" i="34"/>
  <c r="C232" i="34"/>
  <c r="C22" i="35"/>
  <c r="C86" i="35"/>
  <c r="C19" i="37"/>
  <c r="C18" i="37"/>
  <c r="C84" i="36"/>
  <c r="C83" i="37"/>
  <c r="C82" i="37"/>
  <c r="C218" i="34"/>
  <c r="C250" i="34"/>
  <c r="C19" i="35"/>
  <c r="C51" i="35"/>
  <c r="C83" i="35"/>
  <c r="C30" i="36"/>
  <c r="C44" i="36"/>
  <c r="C55" i="36"/>
  <c r="C75" i="36"/>
  <c r="C86" i="36"/>
  <c r="C21" i="37"/>
  <c r="C43" i="37"/>
  <c r="C42" i="37"/>
  <c r="C61" i="37"/>
  <c r="C84" i="37"/>
  <c r="C107" i="37"/>
  <c r="C106" i="37"/>
  <c r="C125" i="37"/>
  <c r="C148" i="37"/>
  <c r="C147" i="37"/>
  <c r="C87" i="36"/>
  <c r="C26" i="37"/>
  <c r="C67" i="37"/>
  <c r="C66" i="37"/>
  <c r="C131" i="37"/>
  <c r="C130" i="37"/>
  <c r="C163" i="37"/>
  <c r="C162" i="37"/>
  <c r="C77" i="36"/>
  <c r="C28" i="37"/>
  <c r="C51" i="37"/>
  <c r="C50" i="37"/>
  <c r="C69" i="37"/>
  <c r="C92" i="37"/>
  <c r="C115" i="37"/>
  <c r="C114" i="37"/>
  <c r="C133" i="37"/>
  <c r="C139" i="37"/>
  <c r="C138" i="37"/>
  <c r="C157" i="37"/>
  <c r="C156" i="37"/>
  <c r="C202" i="34"/>
  <c r="C234" i="34"/>
  <c r="C266" i="34"/>
  <c r="C35" i="35"/>
  <c r="C67" i="35"/>
  <c r="C104" i="35"/>
  <c r="C23" i="36"/>
  <c r="C75" i="37"/>
  <c r="C74" i="37"/>
  <c r="C171" i="37"/>
  <c r="C170" i="37"/>
  <c r="C198" i="34"/>
  <c r="C230" i="34"/>
  <c r="C262" i="34"/>
  <c r="C31" i="35"/>
  <c r="C63" i="35"/>
  <c r="C95" i="35"/>
  <c r="C114" i="35"/>
  <c r="C53" i="36"/>
  <c r="C63" i="36"/>
  <c r="C79" i="36"/>
  <c r="C13" i="37"/>
  <c r="C35" i="37"/>
  <c r="C34" i="37"/>
  <c r="C53" i="37"/>
  <c r="C58" i="37"/>
  <c r="C76" i="37"/>
  <c r="C99" i="37"/>
  <c r="C98" i="37"/>
  <c r="C117" i="37"/>
  <c r="C122" i="37"/>
  <c r="C51" i="36"/>
  <c r="C83" i="36"/>
  <c r="C33" i="37"/>
  <c r="C65" i="37"/>
  <c r="C97" i="37"/>
  <c r="C129" i="37"/>
  <c r="C161" i="37"/>
  <c r="C193" i="37"/>
  <c r="C225" i="37"/>
  <c r="C25" i="37"/>
  <c r="C57" i="37"/>
  <c r="C89" i="37"/>
  <c r="C121" i="37"/>
  <c r="C153" i="37"/>
  <c r="C179" i="37"/>
  <c r="C185" i="37"/>
  <c r="C188" i="37"/>
  <c r="C202" i="37"/>
  <c r="C211" i="37"/>
  <c r="C217" i="37"/>
  <c r="C220" i="37"/>
  <c r="C194" i="37"/>
  <c r="C226" i="37"/>
  <c r="C110" i="35"/>
  <c r="C27" i="36"/>
  <c r="C59" i="36"/>
  <c r="C9" i="37"/>
  <c r="C41" i="37"/>
  <c r="C73" i="37"/>
  <c r="C105" i="37"/>
  <c r="C137" i="37"/>
  <c r="C169" i="37"/>
  <c r="C201" i="37"/>
  <c r="C233" i="37"/>
  <c r="C165" i="37"/>
  <c r="C197" i="37"/>
  <c r="C229" i="37"/>
  <c r="C3" i="6" l="1"/>
  <c r="F3" i="6"/>
  <c r="E3" i="6"/>
  <c r="E4" i="6"/>
  <c r="E5" i="6"/>
  <c r="E6" i="6" s="1"/>
  <c r="C5" i="6"/>
  <c r="C6" i="6" s="1"/>
  <c r="C4" i="6"/>
  <c r="F5" i="6"/>
  <c r="F6" i="6" s="1"/>
  <c r="F4" i="6"/>
  <c r="H4" i="6"/>
  <c r="H3" i="6"/>
  <c r="C8" i="6"/>
  <c r="C10" i="6" s="1"/>
</calcChain>
</file>

<file path=xl/sharedStrings.xml><?xml version="1.0" encoding="utf-8"?>
<sst xmlns="http://schemas.openxmlformats.org/spreadsheetml/2006/main" count="317" uniqueCount="118">
  <si>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</si>
  <si>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</si>
  <si>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</si>
  <si>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</si>
  <si>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</si>
  <si>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</si>
  <si>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</si>
  <si>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</si>
  <si>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</si>
  <si>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</si>
  <si>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</si>
  <si>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</si>
  <si>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</si>
  <si>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</si>
  <si>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</si>
  <si>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</si>
  <si>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</si>
  <si>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</si>
  <si>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</si>
  <si>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</si>
  <si>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</si>
  <si>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</si>
  <si>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</si>
  <si>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</si>
  <si>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</si>
  <si>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</si>
  <si>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</si>
  <si>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</si>
  <si>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</si>
  <si>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</si>
  <si>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</si>
  <si>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</si>
  <si>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</si>
  <si>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</si>
  <si>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</si>
  <si>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</si>
  <si>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</si>
  <si>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</si>
  <si>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</si>
  <si>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</si>
  <si>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</si>
  <si>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</si>
  <si>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</si>
  <si>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</si>
  <si>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</si>
  <si>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</si>
  <si>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</si>
  <si>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</si>
  <si>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</si>
  <si>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</si>
  <si>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</si>
  <si>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</si>
  <si>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</si>
  <si>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</si>
  <si>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</si>
  <si>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</si>
  <si>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</si>
  <si>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</si>
  <si>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</si>
  <si>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</si>
  <si>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</si>
  <si>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</si>
  <si>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</si>
  <si>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</si>
  <si>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</si>
  <si>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</si>
  <si>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</si>
  <si>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</si>
  <si>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</si>
  <si>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</si>
  <si>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</si>
  <si>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</si>
  <si>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</si>
  <si>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</si>
  <si>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</si>
  <si>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</si>
  <si>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</si>
  <si>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</si>
  <si>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</si>
  <si>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</si>
  <si>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DATE</t>
  </si>
  <si>
    <t>ACWI</t>
  </si>
  <si>
    <t>EZU</t>
  </si>
  <si>
    <t>EWU</t>
  </si>
  <si>
    <t>EuroGDPQoQ</t>
  </si>
  <si>
    <t>China Business Confidence</t>
  </si>
  <si>
    <t>China GDP</t>
  </si>
  <si>
    <t>ISM Manufacturing</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</si>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</sst>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1">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3" xfId="0" applyFont="1" applyFill="1" applyBorder="1"/>
    <xf numFmtId="0" fontId="0" fillId="0" borderId="0" xfId="0"/>
    <xf numFmtId="0" fontId="0" fillId="2" borderId="0" xfId="0" applyFill="1" applyAlignment="1">
      <alignment wrapText="1"/>
    </xf>
    <xf numFmtId="0" fontId="0" fillId="2" borderId="0" xfId="0" applyFill="1"/>
    <xf numFmtId="166" fontId="0" fillId="0" borderId="0" xfId="0" applyNumberFormat="1"/>
    <xf numFmtId="164" fontId="0" fillId="2" borderId="0" xfId="0" applyNumberFormat="1" applyFill="1"/>
    <xf numFmtId="17" fontId="14" fillId="2" borderId="0" xfId="0" applyNumberFormat="1" applyFont="1" applyFill="1" applyBorder="1" applyAlignment="1">
      <alignment horizontal="left" vertical="top" wrapText="1"/>
    </xf>
    <xf numFmtId="0" fontId="3" fillId="4" borderId="9" xfId="0" applyFont="1" applyFill="1" applyBorder="1" applyAlignment="1">
      <alignment horizontal="center"/>
    </xf>
    <xf numFmtId="0" fontId="0" fillId="0" borderId="6" xfId="0" applyBorder="1"/>
    <xf numFmtId="0" fontId="3" fillId="2" borderId="0" xfId="0" applyFont="1" applyFill="1"/>
    <xf numFmtId="0" fontId="0" fillId="2" borderId="0" xfId="0" applyFill="1"/>
    <xf numFmtId="0" fontId="0" fillId="0" borderId="0" xfId="0" applyAlignment="1">
      <alignment vertical="center"/>
    </xf>
    <xf numFmtId="0" fontId="0" fillId="0" borderId="5" xfId="0" applyBorder="1"/>
    <xf numFmtId="0" fontId="0" fillId="2" borderId="0" xfId="0"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30" xfId="0" applyFont="1" applyFill="1" applyBorder="1" applyAlignment="1">
      <alignment horizontal="center"/>
    </xf>
  </cellXfs>
  <cellStyles count="4">
    <cellStyle name="Hyperlink" xfId="2" builtinId="8"/>
    <cellStyle name="Normal" xfId="0" builtinId="0"/>
    <cellStyle name="Normal 3" xfId="3" xr:uid="{00000000-0005-0000-0000-000003000000}"/>
    <cellStyle name="Per 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Global!$A$6:$A$142</c:f>
              <c:numCache>
                <c:formatCode>m/d/yy</c:formatCode>
                <c:ptCount val="13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Global!$E$6:$E$142</c:f>
              <c:numCache>
                <c:formatCode>General</c:formatCode>
                <c:ptCount val="137"/>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-2.2000000000000028</c:v>
                </c:pt>
              </c:numCache>
            </c:numRef>
          </c:val>
          <c:smooth val="0"/>
          <c:extLst>
            <c:ext xmlns:c16="http://schemas.microsoft.com/office/drawing/2014/chart" uri="{C3380CC4-5D6E-409C-BE32-E72D297353CC}">
              <c16:uniqueId val="{00000000-BB5C-D54B-A388-7780F297346B}"/>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Global!$A$6:$A$142</c:f>
              <c:numCache>
                <c:formatCode>m/d/yy</c:formatCode>
                <c:ptCount val="13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Global!$F$6:$F$142</c:f>
              <c:numCache>
                <c:formatCode>General</c:formatCode>
                <c:ptCount val="137"/>
                <c:pt idx="12" formatCode="0.00%">
                  <c:v>-7.3857552040256652E-3</c:v>
                </c:pt>
                <c:pt idx="13" formatCode="0.00%">
                  <c:v>3.1470275798260914E-3</c:v>
                </c:pt>
                <c:pt idx="14" formatCode="0.00%">
                  <c:v>-7.9495423189755554E-2</c:v>
                </c:pt>
                <c:pt idx="15" formatCode="0.00%">
                  <c:v>-3.7995307405771721E-2</c:v>
                </c:pt>
                <c:pt idx="16" formatCode="0.00%">
                  <c:v>-2.083826914467525E-2</c:v>
                </c:pt>
                <c:pt idx="17" formatCode="0.00%">
                  <c:v>-1.331854981962675E-3</c:v>
                </c:pt>
                <c:pt idx="18" formatCode="0.00%">
                  <c:v>-5.8136688753538307E-2</c:v>
                </c:pt>
                <c:pt idx="19" formatCode="0.00%">
                  <c:v>-0.12851980154947726</c:v>
                </c:pt>
                <c:pt idx="20" formatCode="0.00%">
                  <c:v>-6.9672593653423709E-2</c:v>
                </c:pt>
                <c:pt idx="21" formatCode="0.00%">
                  <c:v>-3.8328594169613636E-2</c:v>
                </c:pt>
                <c:pt idx="22" formatCode="0.00%">
                  <c:v>6.6935318409265046E-2</c:v>
                </c:pt>
                <c:pt idx="23" formatCode="0.00%">
                  <c:v>0.22353524576743383</c:v>
                </c:pt>
                <c:pt idx="24" formatCode="0.00%">
                  <c:v>9.342483619429609E-2</c:v>
                </c:pt>
                <c:pt idx="25" formatCode="0.00%">
                  <c:v>0.12374604195664571</c:v>
                </c:pt>
                <c:pt idx="26" formatCode="0.00%">
                  <c:v>0.16883254367966435</c:v>
                </c:pt>
                <c:pt idx="27" formatCode="0.00%">
                  <c:v>0.14851314876240657</c:v>
                </c:pt>
                <c:pt idx="28" formatCode="0.00%">
                  <c:v>9.3287595422608019E-2</c:v>
                </c:pt>
                <c:pt idx="29" formatCode="0.00%">
                  <c:v>0.1009846221750121</c:v>
                </c:pt>
                <c:pt idx="30" formatCode="0.00%">
                  <c:v>0.14532788282934386</c:v>
                </c:pt>
                <c:pt idx="31" formatCode="0.00%">
                  <c:v>0.25764650514559928</c:v>
                </c:pt>
                <c:pt idx="32" formatCode="0.00%">
                  <c:v>0.16705016473303155</c:v>
                </c:pt>
                <c:pt idx="33" formatCode="0.00%">
                  <c:v>0.20926412120304644</c:v>
                </c:pt>
                <c:pt idx="34" formatCode="0.00%">
                  <c:v>0.14954527059908287</c:v>
                </c:pt>
                <c:pt idx="35" formatCode="0.00%">
                  <c:v>0.18125992346815889</c:v>
                </c:pt>
                <c:pt idx="36" formatCode="0.00%">
                  <c:v>0.23426782025155907</c:v>
                </c:pt>
                <c:pt idx="37" formatCode="0.00%">
                  <c:v>0.23377075067606268</c:v>
                </c:pt>
                <c:pt idx="38" formatCode="0.00%">
                  <c:v>0.22582431287684818</c:v>
                </c:pt>
                <c:pt idx="39" formatCode="0.00%">
                  <c:v>0.12471323501954514</c:v>
                </c:pt>
                <c:pt idx="40" formatCode="0.00%">
                  <c:v>0.18443870267193468</c:v>
                </c:pt>
                <c:pt idx="41" formatCode="0.00%">
                  <c:v>0.16984040922956339</c:v>
                </c:pt>
                <c:pt idx="42" formatCode="0.00%">
                  <c:v>0.15106317651014095</c:v>
                </c:pt>
                <c:pt idx="43" formatCode="0.00%">
                  <c:v>0.1786679370415814</c:v>
                </c:pt>
                <c:pt idx="44" formatCode="0.00%">
                  <c:v>0.23068440326121861</c:v>
                </c:pt>
                <c:pt idx="45" formatCode="0.00%">
                  <c:v>0.16118408191453668</c:v>
                </c:pt>
                <c:pt idx="46" formatCode="0.00%">
                  <c:v>0.21907487631483466</c:v>
                </c:pt>
                <c:pt idx="47" formatCode="0.00%">
                  <c:v>0.11679073125625425</c:v>
                </c:pt>
                <c:pt idx="48" formatCode="0.00%">
                  <c:v>8.7301253974189405E-2</c:v>
                </c:pt>
                <c:pt idx="49" formatCode="0.00%">
                  <c:v>8.5410691721465773E-2</c:v>
                </c:pt>
                <c:pt idx="50" formatCode="0.00%">
                  <c:v>3.7980185144532247E-2</c:v>
                </c:pt>
                <c:pt idx="51" formatCode="0.00%">
                  <c:v>7.4456091895683946E-2</c:v>
                </c:pt>
                <c:pt idx="52" formatCode="0.00%">
                  <c:v>7.7557278574998612E-2</c:v>
                </c:pt>
                <c:pt idx="53" formatCode="0.00%">
                  <c:v>5.5785590160123397E-2</c:v>
                </c:pt>
                <c:pt idx="54" formatCode="0.00%">
                  <c:v>7.3303417988569819E-2</c:v>
                </c:pt>
                <c:pt idx="55" formatCode="0.00%">
                  <c:v>5.21986715208052E-2</c:v>
                </c:pt>
                <c:pt idx="56" formatCode="0.00%">
                  <c:v>8.9686165865075669E-3</c:v>
                </c:pt>
                <c:pt idx="57" formatCode="0.00%">
                  <c:v>2.9931904022211478E-2</c:v>
                </c:pt>
                <c:pt idx="58" formatCode="0.00%">
                  <c:v>-6.4279315836189066E-2</c:v>
                </c:pt>
                <c:pt idx="59" formatCode="0.00%">
                  <c:v>-6.5453709570827329E-2</c:v>
                </c:pt>
                <c:pt idx="60" formatCode="0.00%">
                  <c:v>-5.8822962465478017E-3</c:v>
                </c:pt>
                <c:pt idx="61" formatCode="0.00%">
                  <c:v>-2.4606672137665903E-2</c:v>
                </c:pt>
                <c:pt idx="62" formatCode="0.00%">
                  <c:v>-2.626871616716284E-2</c:v>
                </c:pt>
                <c:pt idx="63" formatCode="0.00%">
                  <c:v>-6.1594980232489389E-2</c:v>
                </c:pt>
                <c:pt idx="64" formatCode="0.00%">
                  <c:v>-0.12169224755647431</c:v>
                </c:pt>
                <c:pt idx="65" formatCode="0.00%">
                  <c:v>-4.2757693528922405E-2</c:v>
                </c:pt>
                <c:pt idx="66" formatCode="0.00%">
                  <c:v>-5.6975481218044036E-2</c:v>
                </c:pt>
                <c:pt idx="67" formatCode="0.00%">
                  <c:v>-5.3821726954554047E-2</c:v>
                </c:pt>
                <c:pt idx="68" formatCode="0.00%">
                  <c:v>-3.0649524854303382E-2</c:v>
                </c:pt>
                <c:pt idx="69" formatCode="0.00%">
                  <c:v>-8.9856346343827474E-4</c:v>
                </c:pt>
                <c:pt idx="70" formatCode="0.00%">
                  <c:v>7.5749748618868698E-2</c:v>
                </c:pt>
                <c:pt idx="71" formatCode="0.00%">
                  <c:v>0.12450632541048255</c:v>
                </c:pt>
                <c:pt idx="72" formatCode="0.00%">
                  <c:v>2.4558932328688797E-2</c:v>
                </c:pt>
                <c:pt idx="73" formatCode="0.00%">
                  <c:v>4.0718828824874022E-2</c:v>
                </c:pt>
                <c:pt idx="74" formatCode="0.00%">
                  <c:v>8.7920257848946581E-2</c:v>
                </c:pt>
                <c:pt idx="75" formatCode="0.00%">
                  <c:v>0.17793964654113106</c:v>
                </c:pt>
                <c:pt idx="76" formatCode="0.00%">
                  <c:v>0.22280547641377896</c:v>
                </c:pt>
                <c:pt idx="77" formatCode="0.00%">
                  <c:v>0.15393201770751189</c:v>
                </c:pt>
                <c:pt idx="78" formatCode="0.00%">
                  <c:v>0.15705819852219041</c:v>
                </c:pt>
                <c:pt idx="79" formatCode="0.00%">
                  <c:v>0.17867678844175378</c:v>
                </c:pt>
                <c:pt idx="80" formatCode="0.00%">
                  <c:v>0.19099835745734059</c:v>
                </c:pt>
                <c:pt idx="81" formatCode="0.00%">
                  <c:v>0.17666745397816877</c:v>
                </c:pt>
                <c:pt idx="82" formatCode="0.00%">
                  <c:v>0.17735431898985177</c:v>
                </c:pt>
                <c:pt idx="83" formatCode="0.00%">
                  <c:v>0.18832668233970881</c:v>
                </c:pt>
                <c:pt idx="84" formatCode="0.00%">
                  <c:v>0.23754417862508995</c:v>
                </c:pt>
                <c:pt idx="85" formatCode="0.00%">
                  <c:v>0.24960790756884688</c:v>
                </c:pt>
                <c:pt idx="86" formatCode="0.00%">
                  <c:v>0.2433175573775381</c:v>
                </c:pt>
                <c:pt idx="87" formatCode="0.00%">
                  <c:v>0.27709504504965798</c:v>
                </c:pt>
                <c:pt idx="88" formatCode="0.00%">
                  <c:v>0.19004181653535085</c:v>
                </c:pt>
                <c:pt idx="89" formatCode="0.00%">
                  <c:v>0.15665597460279063</c:v>
                </c:pt>
                <c:pt idx="90" formatCode="0.00%">
                  <c:v>0.14290620809001592</c:v>
                </c:pt>
                <c:pt idx="91" formatCode="0.00%">
                  <c:v>0.12348520459237024</c:v>
                </c:pt>
                <c:pt idx="92" formatCode="0.00%">
                  <c:v>0.10823285895698793</c:v>
                </c:pt>
                <c:pt idx="93" formatCode="0.00%">
                  <c:v>0.11176806092952205</c:v>
                </c:pt>
                <c:pt idx="94" formatCode="0.00%">
                  <c:v>0.11502834993595318</c:v>
                </c:pt>
                <c:pt idx="95" formatCode="0.00%">
                  <c:v>0.10112438740386269</c:v>
                </c:pt>
                <c:pt idx="96" formatCode="0.00%">
                  <c:v>-2.1846097161785593E-3</c:v>
                </c:pt>
                <c:pt idx="97" formatCode="0.00%">
                  <c:v>-6.4313893913623679E-3</c:v>
                </c:pt>
                <c:pt idx="98" formatCode="0.00%">
                  <c:v>-9.1791534371349418E-2</c:v>
                </c:pt>
                <c:pt idx="99" formatCode="0.00%">
                  <c:v>-7.1120947015069477E-2</c:v>
                </c:pt>
                <c:pt idx="100" formatCode="0.00%">
                  <c:v>-3.6186882674752864E-3</c:v>
                </c:pt>
                <c:pt idx="101" formatCode="0.00%">
                  <c:v>2.7478360290312188E-2</c:v>
                </c:pt>
                <c:pt idx="102" formatCode="0.00%">
                  <c:v>5.8372552779939219E-2</c:v>
                </c:pt>
                <c:pt idx="103" formatCode="0.00%">
                  <c:v>-1.0551803498773922E-2</c:v>
                </c:pt>
                <c:pt idx="104" formatCode="0.00%">
                  <c:v>5.8254628617497924E-2</c:v>
                </c:pt>
                <c:pt idx="105" formatCode="0.00%">
                  <c:v>2.9047264476753598E-2</c:v>
                </c:pt>
                <c:pt idx="106" formatCode="0.00%">
                  <c:v>-6.4628931897636451E-4</c:v>
                </c:pt>
                <c:pt idx="107" formatCode="0.00%">
                  <c:v>1.5606659694887708E-2</c:v>
                </c:pt>
                <c:pt idx="108" formatCode="0.00%">
                  <c:v>0.12721383741798986</c:v>
                </c:pt>
                <c:pt idx="109" formatCode="0.00%">
                  <c:v>0.13553928499836382</c:v>
                </c:pt>
                <c:pt idx="110" formatCode="0.00%">
                  <c:v>0.26314550751615551</c:v>
                </c:pt>
                <c:pt idx="111" formatCode="0.00%">
                  <c:v>0.15481250280710615</c:v>
                </c:pt>
                <c:pt idx="112" formatCode="0.00%">
                  <c:v>4.2604676135763977E-2</c:v>
                </c:pt>
                <c:pt idx="113" formatCode="0.00%">
                  <c:v>-0.11122198004785054</c:v>
                </c:pt>
                <c:pt idx="114" formatCode="0.00%">
                  <c:v>-5.6175190733927488E-2</c:v>
                </c:pt>
                <c:pt idx="115" formatCode="0.00%">
                  <c:v>5.6002450615596021E-2</c:v>
                </c:pt>
                <c:pt idx="116" formatCode="0.00%">
                  <c:v>2.4996450848252753E-2</c:v>
                </c:pt>
                <c:pt idx="117" formatCode="0.00%">
                  <c:v>7.4766909653962085E-2</c:v>
                </c:pt>
                <c:pt idx="118" formatCode="0.00%">
                  <c:v>0.16527816329375403</c:v>
                </c:pt>
                <c:pt idx="119" formatCode="0.00%">
                  <c:v>0.10605161499629985</c:v>
                </c:pt>
                <c:pt idx="120" formatCode="0.00%">
                  <c:v>5.2587044823728578E-2</c:v>
                </c:pt>
                <c:pt idx="121" formatCode="0.00%">
                  <c:v>0.14952822187234116</c:v>
                </c:pt>
                <c:pt idx="122" formatCode="0.00%">
                  <c:v>0.16838423077128495</c:v>
                </c:pt>
                <c:pt idx="123" formatCode="0.00%">
                  <c:v>0.17670337356717267</c:v>
                </c:pt>
                <c:pt idx="124" formatCode="0.00%">
                  <c:v>0.30107936903129784</c:v>
                </c:pt>
                <c:pt idx="125" formatCode="0.00%">
                  <c:v>0.54545278565663124</c:v>
                </c:pt>
                <c:pt idx="126" formatCode="0.00%">
                  <c:v>0.46689087066267865</c:v>
                </c:pt>
                <c:pt idx="127" formatCode="0.00%">
                  <c:v>0.41634596526995898</c:v>
                </c:pt>
                <c:pt idx="128" formatCode="0.00%">
                  <c:v>0.39497166395171074</c:v>
                </c:pt>
                <c:pt idx="129" formatCode="0.00%">
                  <c:v>0.33440379491020017</c:v>
                </c:pt>
                <c:pt idx="130" formatCode="0.00%">
                  <c:v>0.28593153010579681</c:v>
                </c:pt>
                <c:pt idx="131" formatCode="0.00%">
                  <c:v>0.2690222230620184</c:v>
                </c:pt>
                <c:pt idx="132" formatCode="0.00%">
                  <c:v>0.36794441527210187</c:v>
                </c:pt>
                <c:pt idx="133" formatCode="0.00%">
                  <c:v>0.19574810839384796</c:v>
                </c:pt>
                <c:pt idx="134" formatCode="0.00%">
                  <c:v>0.18351229032345409</c:v>
                </c:pt>
                <c:pt idx="135" formatCode="0.00%">
                  <c:v>0.13616629874276276</c:v>
                </c:pt>
              </c:numCache>
            </c:numRef>
          </c:val>
          <c:smooth val="0"/>
          <c:extLst>
            <c:ext xmlns:c16="http://schemas.microsoft.com/office/drawing/2014/chart" uri="{C3380CC4-5D6E-409C-BE32-E72D297353CC}">
              <c16:uniqueId val="{00000001-BB5C-D54B-A388-7780F297346B}"/>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51.4</c:v>
                </c:pt>
              </c:numCache>
            </c:numRef>
          </c:val>
          <c:smooth val="0"/>
          <c:extLst>
            <c:ext xmlns:c16="http://schemas.microsoft.com/office/drawing/2014/chart" uri="{C3380CC4-5D6E-409C-BE32-E72D297353CC}">
              <c16:uniqueId val="{00000000-1E45-3641-BC8C-2FD066F68D98}"/>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US!$B$6:$B$141</c:f>
              <c:numCache>
                <c:formatCode>General</c:formatCode>
                <c:ptCount val="136"/>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numCache>
            </c:numRef>
          </c:val>
          <c:smooth val="0"/>
          <c:extLst>
            <c:ext xmlns:c16="http://schemas.microsoft.com/office/drawing/2014/chart" uri="{C3380CC4-5D6E-409C-BE32-E72D297353CC}">
              <c16:uniqueId val="{00000000-7F3D-A54B-82DE-C408A0D7B09C}"/>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0-87F9-AB4B-AC30-E0A61F7C5999}"/>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China!$D$6:$D$210</c:f>
              <c:numCache>
                <c:formatCode>General</c:formatCode>
                <c:ptCount val="205"/>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numCache>
            </c:numRef>
          </c:val>
          <c:smooth val="0"/>
          <c:extLst>
            <c:ext xmlns:c16="http://schemas.microsoft.com/office/drawing/2014/chart" uri="{C3380CC4-5D6E-409C-BE32-E72D297353CC}">
              <c16:uniqueId val="{00000001-87F9-AB4B-AC30-E0A61F7C5999}"/>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China!$F$6:$F$210</c:f>
              <c:numCache>
                <c:formatCode>0.0%</c:formatCode>
                <c:ptCount val="205"/>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numCache>
            </c:numRef>
          </c:val>
          <c:extLst>
            <c:ext xmlns:c16="http://schemas.microsoft.com/office/drawing/2014/chart" uri="{C3380CC4-5D6E-409C-BE32-E72D297353CC}">
              <c16:uniqueId val="{00000000-4E5F-9F4E-9344-8BA9B4D1E1FD}"/>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1-4E5F-9F4E-9344-8BA9B4D1E1FD}"/>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China!$A$6:$A$210</c:f>
              <c:numCache>
                <c:formatCode>m/d/yy</c:formatCode>
                <c:ptCount val="20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numCache>
            </c:numRef>
          </c:cat>
          <c:val>
            <c:numRef>
              <c:f>China!$B$6:$B$210</c:f>
              <c:numCache>
                <c:formatCode>General</c:formatCode>
                <c:ptCount val="20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numCache>
            </c:numRef>
          </c:val>
          <c:smooth val="0"/>
          <c:extLst>
            <c:ext xmlns:c16="http://schemas.microsoft.com/office/drawing/2014/chart" uri="{C3380CC4-5D6E-409C-BE32-E72D297353CC}">
              <c16:uniqueId val="{00000000-DDA7-0C43-986E-F377853FDBA7}"/>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'Euro Area'!$E$18:$E$215</c:f>
              <c:numCache>
                <c:formatCode>General</c:formatCode>
                <c:ptCount val="198"/>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numCache>
            </c:numRef>
          </c:val>
          <c:smooth val="0"/>
          <c:extLst>
            <c:ext xmlns:c16="http://schemas.microsoft.com/office/drawing/2014/chart" uri="{C3380CC4-5D6E-409C-BE32-E72D297353CC}">
              <c16:uniqueId val="{00000000-F7C3-0046-BF68-27E143FA4CF7}"/>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'Euro Area'!$F$18:$F$215</c:f>
              <c:numCache>
                <c:formatCode>0.0%</c:formatCode>
                <c:ptCount val="198"/>
                <c:pt idx="0">
                  <c:v>8.9075276014059235E-2</c:v>
                </c:pt>
                <c:pt idx="1">
                  <c:v>0.187093965074485</c:v>
                </c:pt>
                <c:pt idx="2">
                  <c:v>0.14582062874566326</c:v>
                </c:pt>
                <c:pt idx="3">
                  <c:v>0.22580930327063931</c:v>
                </c:pt>
                <c:pt idx="4">
                  <c:v>0.32653284144592787</c:v>
                </c:pt>
                <c:pt idx="5">
                  <c:v>0.27367252762135386</c:v>
                </c:pt>
                <c:pt idx="6">
                  <c:v>0.25880496439438749</c:v>
                </c:pt>
                <c:pt idx="7">
                  <c:v>0.21832724722587385</c:v>
                </c:pt>
                <c:pt idx="8">
                  <c:v>0.24520865794065921</c:v>
                </c:pt>
                <c:pt idx="9">
                  <c:v>0.24525784728957703</c:v>
                </c:pt>
                <c:pt idx="10">
                  <c:v>0.338146348771864</c:v>
                </c:pt>
                <c:pt idx="11">
                  <c:v>0.37471194406832592</c:v>
                </c:pt>
                <c:pt idx="12">
                  <c:v>0.35351339190711173</c:v>
                </c:pt>
                <c:pt idx="13">
                  <c:v>0.28787813510308219</c:v>
                </c:pt>
                <c:pt idx="14">
                  <c:v>0.26703642173927444</c:v>
                </c:pt>
                <c:pt idx="15">
                  <c:v>0.26414277401183417</c:v>
                </c:pt>
                <c:pt idx="16">
                  <c:v>0.28580243004279765</c:v>
                </c:pt>
                <c:pt idx="17">
                  <c:v>0.38367623716428889</c:v>
                </c:pt>
                <c:pt idx="18">
                  <c:v>0.36414131316354692</c:v>
                </c:pt>
                <c:pt idx="19">
                  <c:v>0.30568328592715371</c:v>
                </c:pt>
                <c:pt idx="20">
                  <c:v>0.25655080824539378</c:v>
                </c:pt>
                <c:pt idx="21">
                  <c:v>0.30670477808356189</c:v>
                </c:pt>
                <c:pt idx="22">
                  <c:v>0.32624728173297313</c:v>
                </c:pt>
                <c:pt idx="23">
                  <c:v>0.23251336847750301</c:v>
                </c:pt>
                <c:pt idx="24">
                  <c:v>0.17532765251348498</c:v>
                </c:pt>
                <c:pt idx="25">
                  <c:v>4.6658817301543781E-2</c:v>
                </c:pt>
                <c:pt idx="26">
                  <c:v>4.7542324719497264E-2</c:v>
                </c:pt>
                <c:pt idx="27">
                  <c:v>3.1124420596478488E-2</c:v>
                </c:pt>
                <c:pt idx="28">
                  <c:v>9.0390014954402735E-3</c:v>
                </c:pt>
                <c:pt idx="29">
                  <c:v>-1.6222319345872507E-2</c:v>
                </c:pt>
                <c:pt idx="30">
                  <c:v>-0.14829415026050918</c:v>
                </c:pt>
                <c:pt idx="31">
                  <c:v>-0.11058895911358048</c:v>
                </c:pt>
                <c:pt idx="32">
                  <c:v>-0.14534567288456327</c:v>
                </c:pt>
                <c:pt idx="33">
                  <c:v>-0.30134018052031175</c:v>
                </c:pt>
                <c:pt idx="34">
                  <c:v>-0.49789176057579659</c:v>
                </c:pt>
                <c:pt idx="35">
                  <c:v>-0.52200524705374307</c:v>
                </c:pt>
                <c:pt idx="36">
                  <c:v>-0.45445202561345804</c:v>
                </c:pt>
                <c:pt idx="37">
                  <c:v>-0.49968923858486292</c:v>
                </c:pt>
                <c:pt idx="38">
                  <c:v>-0.55643362153276887</c:v>
                </c:pt>
                <c:pt idx="39">
                  <c:v>-0.52446453547376493</c:v>
                </c:pt>
                <c:pt idx="40">
                  <c:v>-0.47569801752453778</c:v>
                </c:pt>
                <c:pt idx="41">
                  <c:v>-0.41339835672999542</c:v>
                </c:pt>
                <c:pt idx="42">
                  <c:v>-0.34679434227309369</c:v>
                </c:pt>
                <c:pt idx="43">
                  <c:v>-0.26627809285600296</c:v>
                </c:pt>
                <c:pt idx="44">
                  <c:v>-0.18846125306527353</c:v>
                </c:pt>
                <c:pt idx="45">
                  <c:v>-2.3771654634148517E-4</c:v>
                </c:pt>
                <c:pt idx="46">
                  <c:v>0.2647767793832167</c:v>
                </c:pt>
                <c:pt idx="47">
                  <c:v>0.43317299601375475</c:v>
                </c:pt>
                <c:pt idx="48">
                  <c:v>0.27887609308548789</c:v>
                </c:pt>
                <c:pt idx="49">
                  <c:v>0.40679095876929433</c:v>
                </c:pt>
                <c:pt idx="50">
                  <c:v>0.55213653731500079</c:v>
                </c:pt>
                <c:pt idx="51">
                  <c:v>0.51637052771300529</c:v>
                </c:pt>
                <c:pt idx="52">
                  <c:v>0.25705136245641025</c:v>
                </c:pt>
                <c:pt idx="53">
                  <c:v>-2.9744870567712963E-2</c:v>
                </c:pt>
                <c:pt idx="54">
                  <c:v>-2.6055302287499447E-2</c:v>
                </c:pt>
                <c:pt idx="55">
                  <c:v>6.5950051647726523E-3</c:v>
                </c:pt>
                <c:pt idx="56">
                  <c:v>-0.11872581655062846</c:v>
                </c:pt>
                <c:pt idx="57">
                  <c:v>-6.2529405912515948E-2</c:v>
                </c:pt>
                <c:pt idx="58">
                  <c:v>4.2020440393191062E-2</c:v>
                </c:pt>
                <c:pt idx="59">
                  <c:v>-0.11655678305367874</c:v>
                </c:pt>
                <c:pt idx="60">
                  <c:v>-3.1444288911302992E-2</c:v>
                </c:pt>
                <c:pt idx="61">
                  <c:v>0.11924247211477458</c:v>
                </c:pt>
                <c:pt idx="62">
                  <c:v>0.18752921586053561</c:v>
                </c:pt>
                <c:pt idx="63">
                  <c:v>0.10961662122646099</c:v>
                </c:pt>
                <c:pt idx="64">
                  <c:v>0.26057171933136009</c:v>
                </c:pt>
                <c:pt idx="65">
                  <c:v>0.37401270738741571</c:v>
                </c:pt>
                <c:pt idx="66">
                  <c:v>0.39968941802854419</c:v>
                </c:pt>
                <c:pt idx="67">
                  <c:v>0.12701995756986206</c:v>
                </c:pt>
                <c:pt idx="68">
                  <c:v>6.3690780636894914E-2</c:v>
                </c:pt>
                <c:pt idx="69">
                  <c:v>-0.18666697999655574</c:v>
                </c:pt>
                <c:pt idx="70">
                  <c:v>-0.13633215009494354</c:v>
                </c:pt>
                <c:pt idx="71">
                  <c:v>-6.9740503883196983E-2</c:v>
                </c:pt>
                <c:pt idx="72">
                  <c:v>-0.18447172175914306</c:v>
                </c:pt>
                <c:pt idx="73">
                  <c:v>-0.17616330530821081</c:v>
                </c:pt>
                <c:pt idx="74">
                  <c:v>-0.15569086742117474</c:v>
                </c:pt>
                <c:pt idx="75">
                  <c:v>-0.15745598836540309</c:v>
                </c:pt>
                <c:pt idx="76">
                  <c:v>-0.26347116086703398</c:v>
                </c:pt>
                <c:pt idx="77">
                  <c:v>-0.32639731950255996</c:v>
                </c:pt>
                <c:pt idx="78">
                  <c:v>-0.2686453824756313</c:v>
                </c:pt>
                <c:pt idx="79">
                  <c:v>-0.21153376853685152</c:v>
                </c:pt>
                <c:pt idx="80">
                  <c:v>-4.2496965710172314E-2</c:v>
                </c:pt>
                <c:pt idx="81">
                  <c:v>0.14549129511458456</c:v>
                </c:pt>
                <c:pt idx="82">
                  <c:v>4.3117540700752716E-2</c:v>
                </c:pt>
                <c:pt idx="83">
                  <c:v>0.12623767591561746</c:v>
                </c:pt>
                <c:pt idx="84">
                  <c:v>0.24896378731647362</c:v>
                </c:pt>
                <c:pt idx="85">
                  <c:v>0.20101553466726438</c:v>
                </c:pt>
                <c:pt idx="86">
                  <c:v>8.6040771881506856E-2</c:v>
                </c:pt>
                <c:pt idx="87">
                  <c:v>6.9271433183407519E-2</c:v>
                </c:pt>
                <c:pt idx="88">
                  <c:v>0.19805284233902201</c:v>
                </c:pt>
                <c:pt idx="89">
                  <c:v>0.39332960057399563</c:v>
                </c:pt>
                <c:pt idx="90">
                  <c:v>0.22258091906979577</c:v>
                </c:pt>
                <c:pt idx="91">
                  <c:v>0.33628767041775964</c:v>
                </c:pt>
                <c:pt idx="92">
                  <c:v>0.2305790873392157</c:v>
                </c:pt>
                <c:pt idx="93">
                  <c:v>0.29113353205161713</c:v>
                </c:pt>
                <c:pt idx="94">
                  <c:v>0.3272751082687454</c:v>
                </c:pt>
                <c:pt idx="95">
                  <c:v>0.30226040821198741</c:v>
                </c:pt>
                <c:pt idx="96">
                  <c:v>0.27172567113537155</c:v>
                </c:pt>
                <c:pt idx="97">
                  <c:v>0.16249833847094139</c:v>
                </c:pt>
                <c:pt idx="98">
                  <c:v>0.30368761919367376</c:v>
                </c:pt>
                <c:pt idx="99">
                  <c:v>0.33063917183149916</c:v>
                </c:pt>
                <c:pt idx="100">
                  <c:v>0.2814094668921765</c:v>
                </c:pt>
                <c:pt idx="101">
                  <c:v>0.27550241270023751</c:v>
                </c:pt>
                <c:pt idx="102">
                  <c:v>0.33918617341869084</c:v>
                </c:pt>
                <c:pt idx="103">
                  <c:v>0.15221742490482115</c:v>
                </c:pt>
                <c:pt idx="104">
                  <c:v>0.17554481156149282</c:v>
                </c:pt>
                <c:pt idx="105">
                  <c:v>4.3388629254610026E-2</c:v>
                </c:pt>
                <c:pt idx="106">
                  <c:v>-3.8655549063166546E-2</c:v>
                </c:pt>
                <c:pt idx="107">
                  <c:v>-1.5734860367480202E-2</c:v>
                </c:pt>
                <c:pt idx="108">
                  <c:v>-0.10226734325908909</c:v>
                </c:pt>
                <c:pt idx="109">
                  <c:v>-4.1076406400002839E-2</c:v>
                </c:pt>
                <c:pt idx="110">
                  <c:v>-4.7901860309680099E-2</c:v>
                </c:pt>
                <c:pt idx="111">
                  <c:v>-6.2987354967733958E-2</c:v>
                </c:pt>
                <c:pt idx="112">
                  <c:v>-5.9455915686911595E-2</c:v>
                </c:pt>
                <c:pt idx="113">
                  <c:v>-7.3168391589454429E-2</c:v>
                </c:pt>
                <c:pt idx="114">
                  <c:v>-8.9323653030223882E-2</c:v>
                </c:pt>
                <c:pt idx="115">
                  <c:v>-3.644639934769562E-3</c:v>
                </c:pt>
                <c:pt idx="116">
                  <c:v>-7.4031921352361821E-2</c:v>
                </c:pt>
                <c:pt idx="117">
                  <c:v>-8.5806959073125355E-2</c:v>
                </c:pt>
                <c:pt idx="118">
                  <c:v>9.8671263648723879E-3</c:v>
                </c:pt>
                <c:pt idx="119">
                  <c:v>-3.5474871889418461E-2</c:v>
                </c:pt>
                <c:pt idx="120">
                  <c:v>-1.1453581478783836E-2</c:v>
                </c:pt>
                <c:pt idx="121">
                  <c:v>-7.6955588638395245E-2</c:v>
                </c:pt>
                <c:pt idx="122">
                  <c:v>-0.16761916629080312</c:v>
                </c:pt>
                <c:pt idx="123">
                  <c:v>-9.0958161883883559E-2</c:v>
                </c:pt>
                <c:pt idx="124">
                  <c:v>-8.802603288587138E-2</c:v>
                </c:pt>
                <c:pt idx="125">
                  <c:v>-0.11551621982445466</c:v>
                </c:pt>
                <c:pt idx="126">
                  <c:v>-0.12336537057550165</c:v>
                </c:pt>
                <c:pt idx="127">
                  <c:v>-0.10187549649735274</c:v>
                </c:pt>
                <c:pt idx="128">
                  <c:v>-2.4465256819375458E-2</c:v>
                </c:pt>
                <c:pt idx="129">
                  <c:v>3.1635589278059845E-2</c:v>
                </c:pt>
                <c:pt idx="130">
                  <c:v>-4.8388963395124336E-2</c:v>
                </c:pt>
                <c:pt idx="131">
                  <c:v>-7.9049753460597422E-2</c:v>
                </c:pt>
                <c:pt idx="132">
                  <c:v>1.4250962322373554E-2</c:v>
                </c:pt>
                <c:pt idx="133">
                  <c:v>9.8080499415891129E-2</c:v>
                </c:pt>
                <c:pt idx="134">
                  <c:v>0.14869482390265937</c:v>
                </c:pt>
                <c:pt idx="135">
                  <c:v>0.12787624143196591</c:v>
                </c:pt>
                <c:pt idx="136">
                  <c:v>0.14770278102828008</c:v>
                </c:pt>
                <c:pt idx="137">
                  <c:v>0.24980136233482655</c:v>
                </c:pt>
                <c:pt idx="138">
                  <c:v>0.2892438751957202</c:v>
                </c:pt>
                <c:pt idx="139">
                  <c:v>0.25794000022818442</c:v>
                </c:pt>
                <c:pt idx="140">
                  <c:v>0.24994312539484745</c:v>
                </c:pt>
                <c:pt idx="141">
                  <c:v>0.28395764857563849</c:v>
                </c:pt>
                <c:pt idx="142">
                  <c:v>0.31239160649773362</c:v>
                </c:pt>
                <c:pt idx="143">
                  <c:v>0.36341053401852702</c:v>
                </c:pt>
                <c:pt idx="144">
                  <c:v>0.28164848170719564</c:v>
                </c:pt>
                <c:pt idx="145">
                  <c:v>0.33986986724158524</c:v>
                </c:pt>
                <c:pt idx="146">
                  <c:v>0.25713732620527641</c:v>
                </c:pt>
                <c:pt idx="147">
                  <c:v>0.17604834679110298</c:v>
                </c:pt>
                <c:pt idx="148">
                  <c:v>0.1523719892364655</c:v>
                </c:pt>
                <c:pt idx="149">
                  <c:v>5.8697927221586545E-2</c:v>
                </c:pt>
                <c:pt idx="150">
                  <c:v>3.7254889531678693E-2</c:v>
                </c:pt>
                <c:pt idx="151">
                  <c:v>5.2125764614961594E-2</c:v>
                </c:pt>
                <c:pt idx="152">
                  <c:v>1.3889241615667474E-2</c:v>
                </c:pt>
                <c:pt idx="153">
                  <c:v>-2.5971143043083133E-2</c:v>
                </c:pt>
                <c:pt idx="154">
                  <c:v>-0.12275276543218769</c:v>
                </c:pt>
                <c:pt idx="155">
                  <c:v>-0.12360469278357276</c:v>
                </c:pt>
                <c:pt idx="156">
                  <c:v>-0.16844142329472461</c:v>
                </c:pt>
                <c:pt idx="157">
                  <c:v>-0.17127067374215699</c:v>
                </c:pt>
                <c:pt idx="158">
                  <c:v>-9.08641124031183E-2</c:v>
                </c:pt>
                <c:pt idx="159">
                  <c:v>-8.2881551127779104E-2</c:v>
                </c:pt>
                <c:pt idx="160">
                  <c:v>-5.8314202502598209E-2</c:v>
                </c:pt>
                <c:pt idx="161">
                  <c:v>-8.6179309917122693E-2</c:v>
                </c:pt>
                <c:pt idx="162">
                  <c:v>-6.4407618125860884E-3</c:v>
                </c:pt>
                <c:pt idx="163">
                  <c:v>-6.6604612599105661E-2</c:v>
                </c:pt>
                <c:pt idx="164">
                  <c:v>-5.0560697412518063E-2</c:v>
                </c:pt>
                <c:pt idx="165">
                  <c:v>-2.1029611221400769E-2</c:v>
                </c:pt>
                <c:pt idx="166">
                  <c:v>0.11659219594803394</c:v>
                </c:pt>
                <c:pt idx="167">
                  <c:v>0.13074667096912243</c:v>
                </c:pt>
                <c:pt idx="168">
                  <c:v>0.23432813155293405</c:v>
                </c:pt>
                <c:pt idx="169">
                  <c:v>0.11737547311856215</c:v>
                </c:pt>
                <c:pt idx="170">
                  <c:v>3.4099232202503913E-3</c:v>
                </c:pt>
                <c:pt idx="171">
                  <c:v>-0.18510025653107176</c:v>
                </c:pt>
                <c:pt idx="172">
                  <c:v>-0.1760827944948164</c:v>
                </c:pt>
                <c:pt idx="173">
                  <c:v>-5.4393298158365903E-2</c:v>
                </c:pt>
                <c:pt idx="174">
                  <c:v>-4.9290543027059694E-2</c:v>
                </c:pt>
                <c:pt idx="175">
                  <c:v>-8.5471146874333426E-3</c:v>
                </c:pt>
                <c:pt idx="176">
                  <c:v>5.2583593324697656E-2</c:v>
                </c:pt>
                <c:pt idx="177">
                  <c:v>-1.2232552033816572E-2</c:v>
                </c:pt>
                <c:pt idx="178">
                  <c:v>-0.10074980420901186</c:v>
                </c:pt>
                <c:pt idx="179">
                  <c:v>6.6431075015986982E-2</c:v>
                </c:pt>
                <c:pt idx="180">
                  <c:v>6.5233269988154222E-2</c:v>
                </c:pt>
                <c:pt idx="181">
                  <c:v>9.4983821664472695E-2</c:v>
                </c:pt>
                <c:pt idx="182">
                  <c:v>0.22244290457623447</c:v>
                </c:pt>
                <c:pt idx="183">
                  <c:v>0.55745828725826485</c:v>
                </c:pt>
                <c:pt idx="184">
                  <c:v>0.53530951365734381</c:v>
                </c:pt>
                <c:pt idx="185">
                  <c:v>0.49248385355217228</c:v>
                </c:pt>
                <c:pt idx="186">
                  <c:v>0.38449763132852849</c:v>
                </c:pt>
                <c:pt idx="187">
                  <c:v>0.35520637633571439</c:v>
                </c:pt>
                <c:pt idx="188">
                  <c:v>0.32150869325602638</c:v>
                </c:pt>
                <c:pt idx="189">
                  <c:v>0.29955059140414547</c:v>
                </c:pt>
                <c:pt idx="190">
                  <c:v>0.43623029227292354</c:v>
                </c:pt>
                <c:pt idx="191">
                  <c:v>0.13522193799511162</c:v>
                </c:pt>
                <c:pt idx="192">
                  <c:v>0.13862049275748695</c:v>
                </c:pt>
                <c:pt idx="193">
                  <c:v>0.12091492355632037</c:v>
                </c:pt>
              </c:numCache>
            </c:numRef>
          </c:val>
          <c:smooth val="0"/>
          <c:extLst>
            <c:ext xmlns:c16="http://schemas.microsoft.com/office/drawing/2014/chart" uri="{C3380CC4-5D6E-409C-BE32-E72D297353CC}">
              <c16:uniqueId val="{00000001-F7C3-0046-BF68-27E143FA4CF7}"/>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760D-3949-80EA-2782A561B15E}"/>
              </c:ext>
            </c:extLst>
          </c:dPt>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Area'!$G$6:$G$211</c:f>
              <c:numCache>
                <c:formatCode>0.0%</c:formatCode>
                <c:ptCount val="206"/>
                <c:pt idx="0">
                  <c:v>0</c:v>
                </c:pt>
                <c:pt idx="1">
                  <c:v>2.373109956616418E-3</c:v>
                </c:pt>
                <c:pt idx="2">
                  <c:v>0</c:v>
                </c:pt>
                <c:pt idx="3">
                  <c:v>0</c:v>
                </c:pt>
                <c:pt idx="4">
                  <c:v>5.6812296091285899E-3</c:v>
                </c:pt>
                <c:pt idx="5">
                  <c:v>0</c:v>
                </c:pt>
                <c:pt idx="6">
                  <c:v>0</c:v>
                </c:pt>
                <c:pt idx="7">
                  <c:v>7.4476391020472602E-3</c:v>
                </c:pt>
                <c:pt idx="8">
                  <c:v>0</c:v>
                </c:pt>
                <c:pt idx="9">
                  <c:v>0</c:v>
                </c:pt>
                <c:pt idx="10">
                  <c:v>6.5134387866442054E-3</c:v>
                </c:pt>
                <c:pt idx="11">
                  <c:v>0</c:v>
                </c:pt>
                <c:pt idx="12">
                  <c:v>0</c:v>
                </c:pt>
                <c:pt idx="13">
                  <c:v>8.7610697106711988E-3</c:v>
                </c:pt>
                <c:pt idx="14">
                  <c:v>0</c:v>
                </c:pt>
                <c:pt idx="15">
                  <c:v>0</c:v>
                </c:pt>
                <c:pt idx="16">
                  <c:v>1.0986152377479189E-2</c:v>
                </c:pt>
                <c:pt idx="17">
                  <c:v>0</c:v>
                </c:pt>
                <c:pt idx="18">
                  <c:v>0</c:v>
                </c:pt>
                <c:pt idx="19">
                  <c:v>5.7859026324276128E-3</c:v>
                </c:pt>
                <c:pt idx="20">
                  <c:v>0</c:v>
                </c:pt>
                <c:pt idx="21">
                  <c:v>0</c:v>
                </c:pt>
                <c:pt idx="22">
                  <c:v>1.176764611043488E-2</c:v>
                </c:pt>
                <c:pt idx="23">
                  <c:v>0</c:v>
                </c:pt>
                <c:pt idx="24">
                  <c:v>0</c:v>
                </c:pt>
                <c:pt idx="25">
                  <c:v>6.2617263751477189E-3</c:v>
                </c:pt>
                <c:pt idx="26">
                  <c:v>0</c:v>
                </c:pt>
                <c:pt idx="27">
                  <c:v>0</c:v>
                </c:pt>
                <c:pt idx="28">
                  <c:v>7.1875881471832759E-3</c:v>
                </c:pt>
                <c:pt idx="29">
                  <c:v>0</c:v>
                </c:pt>
                <c:pt idx="30">
                  <c:v>0</c:v>
                </c:pt>
                <c:pt idx="31">
                  <c:v>4.2925911150494614E-3</c:v>
                </c:pt>
                <c:pt idx="32">
                  <c:v>0</c:v>
                </c:pt>
                <c:pt idx="33">
                  <c:v>0</c:v>
                </c:pt>
                <c:pt idx="34">
                  <c:v>5.376043618680066E-3</c:v>
                </c:pt>
                <c:pt idx="35">
                  <c:v>0</c:v>
                </c:pt>
                <c:pt idx="36">
                  <c:v>0</c:v>
                </c:pt>
                <c:pt idx="37">
                  <c:v>4.7412884225104994E-3</c:v>
                </c:pt>
                <c:pt idx="38">
                  <c:v>0</c:v>
                </c:pt>
                <c:pt idx="39">
                  <c:v>0</c:v>
                </c:pt>
                <c:pt idx="40">
                  <c:v>-3.2590689030498319E-3</c:v>
                </c:pt>
                <c:pt idx="41">
                  <c:v>0</c:v>
                </c:pt>
                <c:pt idx="42">
                  <c:v>0</c:v>
                </c:pt>
                <c:pt idx="43">
                  <c:v>-5.3543585856787894E-3</c:v>
                </c:pt>
                <c:pt idx="44">
                  <c:v>0</c:v>
                </c:pt>
                <c:pt idx="45">
                  <c:v>0</c:v>
                </c:pt>
                <c:pt idx="46">
                  <c:v>-1.781536400651185E-2</c:v>
                </c:pt>
                <c:pt idx="47">
                  <c:v>0</c:v>
                </c:pt>
                <c:pt idx="48">
                  <c:v>0</c:v>
                </c:pt>
                <c:pt idx="49">
                  <c:v>-3.110206545240362E-2</c:v>
                </c:pt>
                <c:pt idx="50">
                  <c:v>0</c:v>
                </c:pt>
                <c:pt idx="51">
                  <c:v>0</c:v>
                </c:pt>
                <c:pt idx="52">
                  <c:v>-2.0159114701446339E-4</c:v>
                </c:pt>
                <c:pt idx="53">
                  <c:v>0</c:v>
                </c:pt>
                <c:pt idx="54">
                  <c:v>0</c:v>
                </c:pt>
                <c:pt idx="55">
                  <c:v>3.8960216357063521E-3</c:v>
                </c:pt>
                <c:pt idx="56">
                  <c:v>0</c:v>
                </c:pt>
                <c:pt idx="57">
                  <c:v>0</c:v>
                </c:pt>
                <c:pt idx="58">
                  <c:v>4.5674471503817952E-3</c:v>
                </c:pt>
                <c:pt idx="59">
                  <c:v>0</c:v>
                </c:pt>
                <c:pt idx="60">
                  <c:v>0</c:v>
                </c:pt>
                <c:pt idx="61">
                  <c:v>4.0082302543928963E-3</c:v>
                </c:pt>
                <c:pt idx="62">
                  <c:v>0</c:v>
                </c:pt>
                <c:pt idx="63">
                  <c:v>0</c:v>
                </c:pt>
                <c:pt idx="64">
                  <c:v>9.7059443828972341E-3</c:v>
                </c:pt>
                <c:pt idx="65">
                  <c:v>0</c:v>
                </c:pt>
                <c:pt idx="66">
                  <c:v>0</c:v>
                </c:pt>
                <c:pt idx="67">
                  <c:v>4.4033576559012163E-3</c:v>
                </c:pt>
                <c:pt idx="68">
                  <c:v>0</c:v>
                </c:pt>
                <c:pt idx="69">
                  <c:v>0</c:v>
                </c:pt>
                <c:pt idx="70">
                  <c:v>6.2604563058484804E-3</c:v>
                </c:pt>
                <c:pt idx="71">
                  <c:v>0</c:v>
                </c:pt>
                <c:pt idx="72">
                  <c:v>0</c:v>
                </c:pt>
                <c:pt idx="73">
                  <c:v>8.4554946357616526E-3</c:v>
                </c:pt>
                <c:pt idx="74">
                  <c:v>0</c:v>
                </c:pt>
                <c:pt idx="75">
                  <c:v>0</c:v>
                </c:pt>
                <c:pt idx="76">
                  <c:v>-2.2160407844019398E-5</c:v>
                </c:pt>
                <c:pt idx="77">
                  <c:v>0</c:v>
                </c:pt>
                <c:pt idx="78">
                  <c:v>0</c:v>
                </c:pt>
                <c:pt idx="79">
                  <c:v>1.2449307975378151E-3</c:v>
                </c:pt>
                <c:pt idx="80">
                  <c:v>0</c:v>
                </c:pt>
                <c:pt idx="81">
                  <c:v>0</c:v>
                </c:pt>
                <c:pt idx="82">
                  <c:v>-4.089599075691828E-3</c:v>
                </c:pt>
                <c:pt idx="83">
                  <c:v>0</c:v>
                </c:pt>
                <c:pt idx="84">
                  <c:v>0</c:v>
                </c:pt>
                <c:pt idx="85">
                  <c:v>-2.110929629305632E-3</c:v>
                </c:pt>
                <c:pt idx="86">
                  <c:v>0</c:v>
                </c:pt>
                <c:pt idx="87">
                  <c:v>0</c:v>
                </c:pt>
                <c:pt idx="88">
                  <c:v>-2.649158453816333E-3</c:v>
                </c:pt>
                <c:pt idx="89">
                  <c:v>0</c:v>
                </c:pt>
                <c:pt idx="90">
                  <c:v>0</c:v>
                </c:pt>
                <c:pt idx="91">
                  <c:v>-1.1569393991966491E-3</c:v>
                </c:pt>
                <c:pt idx="92">
                  <c:v>0</c:v>
                </c:pt>
                <c:pt idx="93">
                  <c:v>0</c:v>
                </c:pt>
                <c:pt idx="94">
                  <c:v>-4.1719625763579323E-3</c:v>
                </c:pt>
                <c:pt idx="95">
                  <c:v>0</c:v>
                </c:pt>
                <c:pt idx="96">
                  <c:v>0</c:v>
                </c:pt>
                <c:pt idx="97">
                  <c:v>-3.7847985896594799E-3</c:v>
                </c:pt>
                <c:pt idx="98">
                  <c:v>0</c:v>
                </c:pt>
                <c:pt idx="99">
                  <c:v>0</c:v>
                </c:pt>
                <c:pt idx="100">
                  <c:v>5.3637178024913152E-3</c:v>
                </c:pt>
                <c:pt idx="101">
                  <c:v>0</c:v>
                </c:pt>
                <c:pt idx="102">
                  <c:v>0</c:v>
                </c:pt>
                <c:pt idx="103">
                  <c:v>3.1309192847020751E-3</c:v>
                </c:pt>
                <c:pt idx="104">
                  <c:v>0</c:v>
                </c:pt>
                <c:pt idx="105">
                  <c:v>0</c:v>
                </c:pt>
                <c:pt idx="106">
                  <c:v>2.7480226624383209E-3</c:v>
                </c:pt>
                <c:pt idx="107">
                  <c:v>0</c:v>
                </c:pt>
                <c:pt idx="108">
                  <c:v>0</c:v>
                </c:pt>
                <c:pt idx="109">
                  <c:v>4.0031985751650644E-3</c:v>
                </c:pt>
                <c:pt idx="110">
                  <c:v>0</c:v>
                </c:pt>
                <c:pt idx="111">
                  <c:v>0</c:v>
                </c:pt>
                <c:pt idx="112">
                  <c:v>2.260536398467356E-3</c:v>
                </c:pt>
                <c:pt idx="113">
                  <c:v>0</c:v>
                </c:pt>
                <c:pt idx="114">
                  <c:v>0</c:v>
                </c:pt>
                <c:pt idx="115">
                  <c:v>4.4991229264996838E-3</c:v>
                </c:pt>
                <c:pt idx="116">
                  <c:v>0</c:v>
                </c:pt>
                <c:pt idx="117">
                  <c:v>0</c:v>
                </c:pt>
                <c:pt idx="118">
                  <c:v>4.1628189328946196E-3</c:v>
                </c:pt>
                <c:pt idx="119">
                  <c:v>0</c:v>
                </c:pt>
                <c:pt idx="120">
                  <c:v>0</c:v>
                </c:pt>
                <c:pt idx="121">
                  <c:v>6.5129881593109879E-3</c:v>
                </c:pt>
                <c:pt idx="122">
                  <c:v>0</c:v>
                </c:pt>
                <c:pt idx="123">
                  <c:v>0</c:v>
                </c:pt>
                <c:pt idx="124">
                  <c:v>4.4246764953906181E-3</c:v>
                </c:pt>
                <c:pt idx="125">
                  <c:v>0</c:v>
                </c:pt>
                <c:pt idx="126">
                  <c:v>0</c:v>
                </c:pt>
                <c:pt idx="127">
                  <c:v>4.45933382839703E-3</c:v>
                </c:pt>
                <c:pt idx="128">
                  <c:v>0</c:v>
                </c:pt>
                <c:pt idx="129">
                  <c:v>0</c:v>
                </c:pt>
                <c:pt idx="130">
                  <c:v>4.6112060984272582E-3</c:v>
                </c:pt>
                <c:pt idx="131">
                  <c:v>0</c:v>
                </c:pt>
                <c:pt idx="132">
                  <c:v>0</c:v>
                </c:pt>
                <c:pt idx="133">
                  <c:v>5.5173861483811589E-3</c:v>
                </c:pt>
                <c:pt idx="134">
                  <c:v>0</c:v>
                </c:pt>
                <c:pt idx="135">
                  <c:v>0</c:v>
                </c:pt>
                <c:pt idx="136">
                  <c:v>2.5132904280461212E-3</c:v>
                </c:pt>
                <c:pt idx="137">
                  <c:v>0</c:v>
                </c:pt>
                <c:pt idx="138">
                  <c:v>0</c:v>
                </c:pt>
                <c:pt idx="139">
                  <c:v>4.555557172284219E-3</c:v>
                </c:pt>
                <c:pt idx="140">
                  <c:v>0</c:v>
                </c:pt>
                <c:pt idx="141">
                  <c:v>0</c:v>
                </c:pt>
                <c:pt idx="142">
                  <c:v>7.4787095575190006E-3</c:v>
                </c:pt>
                <c:pt idx="143">
                  <c:v>0</c:v>
                </c:pt>
                <c:pt idx="144">
                  <c:v>0</c:v>
                </c:pt>
                <c:pt idx="145">
                  <c:v>7.0433016748831824E-3</c:v>
                </c:pt>
                <c:pt idx="146">
                  <c:v>0</c:v>
                </c:pt>
                <c:pt idx="147">
                  <c:v>0</c:v>
                </c:pt>
                <c:pt idx="148">
                  <c:v>8.0867386940671766E-3</c:v>
                </c:pt>
                <c:pt idx="149">
                  <c:v>0</c:v>
                </c:pt>
                <c:pt idx="150">
                  <c:v>0</c:v>
                </c:pt>
                <c:pt idx="151">
                  <c:v>7.0365273665044768E-3</c:v>
                </c:pt>
                <c:pt idx="152">
                  <c:v>0</c:v>
                </c:pt>
                <c:pt idx="153">
                  <c:v>0</c:v>
                </c:pt>
                <c:pt idx="154">
                  <c:v>8.521343915844401E-3</c:v>
                </c:pt>
                <c:pt idx="155">
                  <c:v>0</c:v>
                </c:pt>
                <c:pt idx="156">
                  <c:v>0</c:v>
                </c:pt>
                <c:pt idx="157">
                  <c:v>7.0677258514830171E-4</c:v>
                </c:pt>
                <c:pt idx="158">
                  <c:v>0</c:v>
                </c:pt>
                <c:pt idx="159">
                  <c:v>0</c:v>
                </c:pt>
                <c:pt idx="160">
                  <c:v>4.9253728161147443E-3</c:v>
                </c:pt>
                <c:pt idx="161">
                  <c:v>0</c:v>
                </c:pt>
                <c:pt idx="162">
                  <c:v>0</c:v>
                </c:pt>
                <c:pt idx="163">
                  <c:v>5.9631597957856446E-4</c:v>
                </c:pt>
                <c:pt idx="164">
                  <c:v>0</c:v>
                </c:pt>
                <c:pt idx="165">
                  <c:v>0</c:v>
                </c:pt>
                <c:pt idx="166">
                  <c:v>5.7849827167639374E-3</c:v>
                </c:pt>
                <c:pt idx="167">
                  <c:v>0</c:v>
                </c:pt>
                <c:pt idx="168">
                  <c:v>0</c:v>
                </c:pt>
                <c:pt idx="169">
                  <c:v>7.2247969332850624E-3</c:v>
                </c:pt>
                <c:pt idx="170">
                  <c:v>0</c:v>
                </c:pt>
                <c:pt idx="171">
                  <c:v>0</c:v>
                </c:pt>
                <c:pt idx="172">
                  <c:v>1.8576872668102989E-3</c:v>
                </c:pt>
                <c:pt idx="173">
                  <c:v>0</c:v>
                </c:pt>
                <c:pt idx="174">
                  <c:v>0</c:v>
                </c:pt>
                <c:pt idx="175">
                  <c:v>2.4825826201012109E-3</c:v>
                </c:pt>
                <c:pt idx="176">
                  <c:v>0</c:v>
                </c:pt>
                <c:pt idx="177">
                  <c:v>0</c:v>
                </c:pt>
                <c:pt idx="178">
                  <c:v>-7.2863676452459514E-5</c:v>
                </c:pt>
                <c:pt idx="179">
                  <c:v>0</c:v>
                </c:pt>
                <c:pt idx="180">
                  <c:v>0</c:v>
                </c:pt>
                <c:pt idx="181">
                  <c:v>-3.4664684689794341E-2</c:v>
                </c:pt>
                <c:pt idx="182">
                  <c:v>0</c:v>
                </c:pt>
                <c:pt idx="183">
                  <c:v>0</c:v>
                </c:pt>
                <c:pt idx="184">
                  <c:v>-0.1168268012845826</c:v>
                </c:pt>
                <c:pt idx="185">
                  <c:v>0</c:v>
                </c:pt>
                <c:pt idx="186">
                  <c:v>0</c:v>
                </c:pt>
                <c:pt idx="187">
                  <c:v>0.12553372432302221</c:v>
                </c:pt>
                <c:pt idx="188">
                  <c:v>0</c:v>
                </c:pt>
                <c:pt idx="189">
                  <c:v>0</c:v>
                </c:pt>
                <c:pt idx="190">
                  <c:v>-3.4961034564899118E-3</c:v>
                </c:pt>
                <c:pt idx="191">
                  <c:v>0</c:v>
                </c:pt>
                <c:pt idx="192">
                  <c:v>0</c:v>
                </c:pt>
                <c:pt idx="193">
                  <c:v>-2.0572904402936252E-3</c:v>
                </c:pt>
                <c:pt idx="194">
                  <c:v>0</c:v>
                </c:pt>
                <c:pt idx="195">
                  <c:v>0</c:v>
                </c:pt>
                <c:pt idx="196">
                  <c:v>2.2001877452358699E-2</c:v>
                </c:pt>
                <c:pt idx="197">
                  <c:v>0</c:v>
                </c:pt>
                <c:pt idx="198">
                  <c:v>0</c:v>
                </c:pt>
                <c:pt idx="199">
                  <c:v>2.264902081004062E-2</c:v>
                </c:pt>
                <c:pt idx="200">
                  <c:v>0</c:v>
                </c:pt>
                <c:pt idx="201">
                  <c:v>0</c:v>
                </c:pt>
                <c:pt idx="202">
                  <c:v>2.8971438915172602E-3</c:v>
                </c:pt>
                <c:pt idx="203">
                  <c:v>0</c:v>
                </c:pt>
                <c:pt idx="204">
                  <c:v>0</c:v>
                </c:pt>
                <c:pt idx="205">
                  <c:v>0</c:v>
                </c:pt>
              </c:numCache>
            </c:numRef>
          </c:val>
          <c:extLst>
            <c:ext xmlns:c16="http://schemas.microsoft.com/office/drawing/2014/chart" uri="{C3380CC4-5D6E-409C-BE32-E72D297353CC}">
              <c16:uniqueId val="{00000002-760D-3949-80EA-2782A561B15E}"/>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Area'!$B$6:$B$211</c:f>
              <c:numCache>
                <c:formatCode>General</c:formatCode>
                <c:ptCount val="20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numCache>
            </c:numRef>
          </c:val>
          <c:smooth val="0"/>
          <c:extLst>
            <c:ext xmlns:c16="http://schemas.microsoft.com/office/drawing/2014/chart" uri="{C3380CC4-5D6E-409C-BE32-E72D297353CC}">
              <c16:uniqueId val="{00000003-760D-3949-80EA-2782A561B15E}"/>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'Euro Area'!$B$6:$B$211</c:f>
              <c:numCache>
                <c:formatCode>General</c:formatCode>
                <c:ptCount val="206"/>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numCache>
            </c:numRef>
          </c:val>
          <c:smooth val="0"/>
          <c:extLst>
            <c:ext xmlns:c16="http://schemas.microsoft.com/office/drawing/2014/chart" uri="{C3380CC4-5D6E-409C-BE32-E72D297353CC}">
              <c16:uniqueId val="{00000000-73F0-7C42-AF6B-D1501E937AAB}"/>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Japan!$A$6:$A$173</c:f>
              <c:numCache>
                <c:formatCode>m/d/yy</c:formatCode>
                <c:ptCount val="168"/>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numCache>
            </c:numRef>
          </c:cat>
          <c:val>
            <c:numRef>
              <c:f>Japan!$B$6:$B$173</c:f>
              <c:numCache>
                <c:formatCode>General</c:formatCode>
                <c:ptCount val="168"/>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numCache>
            </c:numRef>
          </c:val>
          <c:smooth val="0"/>
          <c:extLst>
            <c:ext xmlns:c16="http://schemas.microsoft.com/office/drawing/2014/chart" uri="{C3380CC4-5D6E-409C-BE32-E72D297353CC}">
              <c16:uniqueId val="{00000000-BA54-A541-A0B5-A09C9AA7C8B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Germany!$A$6:$A$174</c:f>
              <c:numCache>
                <c:formatCode>m/d/yy</c:formatCode>
                <c:ptCount val="169"/>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numCache>
            </c:numRef>
          </c:cat>
          <c:val>
            <c:numRef>
              <c:f>Germany!$B$6:$B$174</c:f>
              <c:numCache>
                <c:formatCode>General</c:formatCode>
                <c:ptCount val="169"/>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numCache>
            </c:numRef>
          </c:val>
          <c:smooth val="0"/>
          <c:extLst>
            <c:ext xmlns:c16="http://schemas.microsoft.com/office/drawing/2014/chart" uri="{C3380CC4-5D6E-409C-BE32-E72D297353CC}">
              <c16:uniqueId val="{00000000-6B8C-3B48-83A0-C5FA3A73580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France!$A$6:$A$167</c:f>
              <c:numCache>
                <c:formatCode>m/d/yy</c:formatCode>
                <c:ptCount val="16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numCache>
            </c:numRef>
          </c:cat>
          <c:val>
            <c:numRef>
              <c:f>France!$B$6:$B$167</c:f>
              <c:numCache>
                <c:formatCode>General</c:formatCode>
                <c:ptCount val="162"/>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numCache>
            </c:numRef>
          </c:val>
          <c:smooth val="0"/>
          <c:extLst>
            <c:ext xmlns:c16="http://schemas.microsoft.com/office/drawing/2014/chart" uri="{C3380CC4-5D6E-409C-BE32-E72D297353CC}">
              <c16:uniqueId val="{00000000-7ED9-034D-8398-DDE73DFEE0F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UK!$A$18:$A$216</c:f>
              <c:numCache>
                <c:formatCode>m/d/yy</c:formatCode>
                <c:ptCount val="19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UK!$B$18:$B$216</c:f>
              <c:numCache>
                <c:formatCode>General</c:formatCode>
                <c:ptCount val="199"/>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numCache>
            </c:numRef>
          </c:val>
          <c:smooth val="0"/>
          <c:extLst>
            <c:ext xmlns:c16="http://schemas.microsoft.com/office/drawing/2014/chart" uri="{C3380CC4-5D6E-409C-BE32-E72D297353CC}">
              <c16:uniqueId val="{00000000-80F0-A043-87EA-85EE8543C763}"/>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UK!$A$18:$A$216</c:f>
              <c:numCache>
                <c:formatCode>m/d/yy</c:formatCode>
                <c:ptCount val="199"/>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numCache>
            </c:numRef>
          </c:cat>
          <c:val>
            <c:numRef>
              <c:f>UK!$D$18:$D$216</c:f>
              <c:numCache>
                <c:formatCode>0.00</c:formatCode>
                <c:ptCount val="199"/>
                <c:pt idx="0">
                  <c:v>19.482236862182621</c:v>
                </c:pt>
                <c:pt idx="1">
                  <c:v>21.306640625</c:v>
                </c:pt>
                <c:pt idx="2">
                  <c:v>21.18773078918457</c:v>
                </c:pt>
                <c:pt idx="3">
                  <c:v>21.793092727661129</c:v>
                </c:pt>
                <c:pt idx="4">
                  <c:v>23.187593460083011</c:v>
                </c:pt>
                <c:pt idx="5">
                  <c:v>22.571416854858398</c:v>
                </c:pt>
                <c:pt idx="6">
                  <c:v>22.75518798828125</c:v>
                </c:pt>
                <c:pt idx="7">
                  <c:v>23.349746704101559</c:v>
                </c:pt>
                <c:pt idx="8">
                  <c:v>23.85781288146973</c:v>
                </c:pt>
                <c:pt idx="9">
                  <c:v>23.66323280334473</c:v>
                </c:pt>
                <c:pt idx="10">
                  <c:v>24.755058288574219</c:v>
                </c:pt>
                <c:pt idx="11">
                  <c:v>25.457708358764648</c:v>
                </c:pt>
                <c:pt idx="12">
                  <c:v>25.306367874145511</c:v>
                </c:pt>
                <c:pt idx="13">
                  <c:v>26.362041473388668</c:v>
                </c:pt>
                <c:pt idx="14">
                  <c:v>25.9705810546875</c:v>
                </c:pt>
                <c:pt idx="15">
                  <c:v>26.921272277832031</c:v>
                </c:pt>
                <c:pt idx="16">
                  <c:v>27.793672561645511</c:v>
                </c:pt>
                <c:pt idx="17">
                  <c:v>28.38644981384277</c:v>
                </c:pt>
                <c:pt idx="18">
                  <c:v>28.576595306396481</c:v>
                </c:pt>
                <c:pt idx="19">
                  <c:v>27.614719390869141</c:v>
                </c:pt>
                <c:pt idx="20">
                  <c:v>27.670637130737301</c:v>
                </c:pt>
                <c:pt idx="21">
                  <c:v>28.777914047241211</c:v>
                </c:pt>
                <c:pt idx="22">
                  <c:v>30.444414138793949</c:v>
                </c:pt>
                <c:pt idx="23">
                  <c:v>28.654876708984379</c:v>
                </c:pt>
                <c:pt idx="24">
                  <c:v>26.932453155517582</c:v>
                </c:pt>
                <c:pt idx="25">
                  <c:v>25.64885330200195</c:v>
                </c:pt>
                <c:pt idx="26">
                  <c:v>25.347917556762699</c:v>
                </c:pt>
                <c:pt idx="27">
                  <c:v>24.954387664794918</c:v>
                </c:pt>
                <c:pt idx="28">
                  <c:v>26.435907363891602</c:v>
                </c:pt>
                <c:pt idx="29">
                  <c:v>26.37803840637207</c:v>
                </c:pt>
                <c:pt idx="30">
                  <c:v>23.982133865356449</c:v>
                </c:pt>
                <c:pt idx="31">
                  <c:v>23.52326774597168</c:v>
                </c:pt>
                <c:pt idx="32">
                  <c:v>22.730087280273441</c:v>
                </c:pt>
                <c:pt idx="33">
                  <c:v>19.711248397827148</c:v>
                </c:pt>
                <c:pt idx="34">
                  <c:v>15.816347122192379</c:v>
                </c:pt>
                <c:pt idx="35">
                  <c:v>14.79823589324951</c:v>
                </c:pt>
                <c:pt idx="36">
                  <c:v>14.502267837524411</c:v>
                </c:pt>
                <c:pt idx="37">
                  <c:v>13.519698143005369</c:v>
                </c:pt>
                <c:pt idx="38">
                  <c:v>12.204267501831049</c:v>
                </c:pt>
                <c:pt idx="39">
                  <c:v>12.764541625976561</c:v>
                </c:pt>
                <c:pt idx="40">
                  <c:v>14.287033081054689</c:v>
                </c:pt>
                <c:pt idx="41">
                  <c:v>16.723012924194339</c:v>
                </c:pt>
                <c:pt idx="42">
                  <c:v>16.089662551879879</c:v>
                </c:pt>
                <c:pt idx="43">
                  <c:v>17.770755767822269</c:v>
                </c:pt>
                <c:pt idx="44">
                  <c:v>18.539621353149411</c:v>
                </c:pt>
                <c:pt idx="45">
                  <c:v>19.23408317565918</c:v>
                </c:pt>
                <c:pt idx="46">
                  <c:v>19.20927810668945</c:v>
                </c:pt>
                <c:pt idx="47">
                  <c:v>20.176565170288089</c:v>
                </c:pt>
                <c:pt idx="48">
                  <c:v>20.08975791931152</c:v>
                </c:pt>
                <c:pt idx="49">
                  <c:v>19.358711242675781</c:v>
                </c:pt>
                <c:pt idx="50">
                  <c:v>19.195611953735352</c:v>
                </c:pt>
                <c:pt idx="51">
                  <c:v>20.4125862121582</c:v>
                </c:pt>
                <c:pt idx="52">
                  <c:v>19.973470687866211</c:v>
                </c:pt>
                <c:pt idx="53">
                  <c:v>17.77789306640625</c:v>
                </c:pt>
                <c:pt idx="54">
                  <c:v>16.862028121948239</c:v>
                </c:pt>
                <c:pt idx="55">
                  <c:v>19.648416519165039</c:v>
                </c:pt>
                <c:pt idx="56">
                  <c:v>19.099428176879879</c:v>
                </c:pt>
                <c:pt idx="57">
                  <c:v>20.886808395385739</c:v>
                </c:pt>
                <c:pt idx="58">
                  <c:v>21.767732620239261</c:v>
                </c:pt>
                <c:pt idx="59">
                  <c:v>20.631467819213871</c:v>
                </c:pt>
                <c:pt idx="60">
                  <c:v>22.176279067993161</c:v>
                </c:pt>
                <c:pt idx="61">
                  <c:v>22.644903182983398</c:v>
                </c:pt>
                <c:pt idx="62">
                  <c:v>23.676559448242191</c:v>
                </c:pt>
                <c:pt idx="63">
                  <c:v>23.096254348754879</c:v>
                </c:pt>
                <c:pt idx="64">
                  <c:v>24.643747329711911</c:v>
                </c:pt>
                <c:pt idx="65">
                  <c:v>24.063436508178711</c:v>
                </c:pt>
                <c:pt idx="66">
                  <c:v>22.967294692993161</c:v>
                </c:pt>
                <c:pt idx="67">
                  <c:v>23.27229118347168</c:v>
                </c:pt>
                <c:pt idx="68">
                  <c:v>21.4881706237793</c:v>
                </c:pt>
                <c:pt idx="69">
                  <c:v>19.37608528137207</c:v>
                </c:pt>
                <c:pt idx="70">
                  <c:v>21.881729125976559</c:v>
                </c:pt>
                <c:pt idx="71">
                  <c:v>21.527523040771481</c:v>
                </c:pt>
                <c:pt idx="72">
                  <c:v>21.19956016540527</c:v>
                </c:pt>
                <c:pt idx="73">
                  <c:v>22.209335327148441</c:v>
                </c:pt>
                <c:pt idx="74">
                  <c:v>23.341106414794918</c:v>
                </c:pt>
                <c:pt idx="75">
                  <c:v>23.034860610961911</c:v>
                </c:pt>
                <c:pt idx="76">
                  <c:v>23.367734909057621</c:v>
                </c:pt>
                <c:pt idx="77">
                  <c:v>20.704744338989261</c:v>
                </c:pt>
                <c:pt idx="78">
                  <c:v>21.690053939819339</c:v>
                </c:pt>
                <c:pt idx="79">
                  <c:v>22.394912719726559</c:v>
                </c:pt>
                <c:pt idx="80">
                  <c:v>23.13095664978027</c:v>
                </c:pt>
                <c:pt idx="81">
                  <c:v>23.717067718505859</c:v>
                </c:pt>
                <c:pt idx="82">
                  <c:v>23.826112747192379</c:v>
                </c:pt>
                <c:pt idx="83">
                  <c:v>24.098724365234379</c:v>
                </c:pt>
                <c:pt idx="84">
                  <c:v>24.453115463256839</c:v>
                </c:pt>
                <c:pt idx="85">
                  <c:v>25.533628463745121</c:v>
                </c:pt>
                <c:pt idx="86">
                  <c:v>24.8424072265625</c:v>
                </c:pt>
                <c:pt idx="87">
                  <c:v>25.257139205932621</c:v>
                </c:pt>
                <c:pt idx="88">
                  <c:v>25.976011276245121</c:v>
                </c:pt>
                <c:pt idx="89">
                  <c:v>25.948358535766602</c:v>
                </c:pt>
                <c:pt idx="90">
                  <c:v>24.413852691650391</c:v>
                </c:pt>
                <c:pt idx="91">
                  <c:v>26.360992431640621</c:v>
                </c:pt>
                <c:pt idx="92">
                  <c:v>26.164581298828121</c:v>
                </c:pt>
                <c:pt idx="93">
                  <c:v>27.52541351318359</c:v>
                </c:pt>
                <c:pt idx="94">
                  <c:v>28.549556732177731</c:v>
                </c:pt>
                <c:pt idx="95">
                  <c:v>28.774021148681641</c:v>
                </c:pt>
                <c:pt idx="96">
                  <c:v>29.293106079101559</c:v>
                </c:pt>
                <c:pt idx="97">
                  <c:v>28.26807975769043</c:v>
                </c:pt>
                <c:pt idx="98">
                  <c:v>30.18480110168457</c:v>
                </c:pt>
                <c:pt idx="99">
                  <c:v>29.23353385925293</c:v>
                </c:pt>
                <c:pt idx="100">
                  <c:v>30.553949356079102</c:v>
                </c:pt>
                <c:pt idx="101">
                  <c:v>30.852106094360352</c:v>
                </c:pt>
                <c:pt idx="102">
                  <c:v>29.645284652709961</c:v>
                </c:pt>
                <c:pt idx="103">
                  <c:v>30.356288909912109</c:v>
                </c:pt>
                <c:pt idx="104">
                  <c:v>30.594610214233398</c:v>
                </c:pt>
                <c:pt idx="105">
                  <c:v>28.866775512695309</c:v>
                </c:pt>
                <c:pt idx="106">
                  <c:v>28.31565093994141</c:v>
                </c:pt>
                <c:pt idx="107">
                  <c:v>28.345443725585941</c:v>
                </c:pt>
                <c:pt idx="108">
                  <c:v>26.855930328369141</c:v>
                </c:pt>
                <c:pt idx="109">
                  <c:v>27.407939910888668</c:v>
                </c:pt>
                <c:pt idx="110">
                  <c:v>29.01838302612305</c:v>
                </c:pt>
                <c:pt idx="111">
                  <c:v>27.362356185913089</c:v>
                </c:pt>
                <c:pt idx="112">
                  <c:v>29.18549919128418</c:v>
                </c:pt>
                <c:pt idx="113">
                  <c:v>29.367815017700199</c:v>
                </c:pt>
                <c:pt idx="114">
                  <c:v>27.72698974609375</c:v>
                </c:pt>
                <c:pt idx="115">
                  <c:v>28.68111419677734</c:v>
                </c:pt>
                <c:pt idx="116">
                  <c:v>26.39157676696777</c:v>
                </c:pt>
                <c:pt idx="117">
                  <c:v>25.355096817016602</c:v>
                </c:pt>
                <c:pt idx="118">
                  <c:v>27.02584266662598</c:v>
                </c:pt>
                <c:pt idx="119">
                  <c:v>26.577217102050781</c:v>
                </c:pt>
                <c:pt idx="120">
                  <c:v>24.968349456787109</c:v>
                </c:pt>
                <c:pt idx="121">
                  <c:v>24.239229202270511</c:v>
                </c:pt>
                <c:pt idx="122">
                  <c:v>23.481758117675781</c:v>
                </c:pt>
                <c:pt idx="123">
                  <c:v>24.744216918945309</c:v>
                </c:pt>
                <c:pt idx="124">
                  <c:v>25.7384033203125</c:v>
                </c:pt>
                <c:pt idx="125">
                  <c:v>25.43857383728027</c:v>
                </c:pt>
                <c:pt idx="126">
                  <c:v>24.255014419555661</c:v>
                </c:pt>
                <c:pt idx="127">
                  <c:v>25.230653762817379</c:v>
                </c:pt>
                <c:pt idx="128">
                  <c:v>25.505599975585941</c:v>
                </c:pt>
                <c:pt idx="129">
                  <c:v>25.618814468383789</c:v>
                </c:pt>
                <c:pt idx="130">
                  <c:v>24.260238647460941</c:v>
                </c:pt>
                <c:pt idx="131">
                  <c:v>24.308759689331051</c:v>
                </c:pt>
                <c:pt idx="132">
                  <c:v>24.8182258605957</c:v>
                </c:pt>
                <c:pt idx="133">
                  <c:v>25.784965515136719</c:v>
                </c:pt>
                <c:pt idx="134">
                  <c:v>26.162105560302731</c:v>
                </c:pt>
                <c:pt idx="135">
                  <c:v>26.686822891235352</c:v>
                </c:pt>
                <c:pt idx="136">
                  <c:v>27.137750625610352</c:v>
                </c:pt>
                <c:pt idx="137">
                  <c:v>28.37575721740723</c:v>
                </c:pt>
                <c:pt idx="138">
                  <c:v>27.326322555541989</c:v>
                </c:pt>
                <c:pt idx="139">
                  <c:v>28.591032028198239</c:v>
                </c:pt>
                <c:pt idx="140">
                  <c:v>28.356405258178711</c:v>
                </c:pt>
                <c:pt idx="141">
                  <c:v>29.202739715576168</c:v>
                </c:pt>
                <c:pt idx="142">
                  <c:v>29.378707885742191</c:v>
                </c:pt>
                <c:pt idx="143">
                  <c:v>29.34519004821777</c:v>
                </c:pt>
                <c:pt idx="144">
                  <c:v>30.015560150146481</c:v>
                </c:pt>
                <c:pt idx="145">
                  <c:v>31.72566986083984</c:v>
                </c:pt>
                <c:pt idx="146">
                  <c:v>29.59980392456055</c:v>
                </c:pt>
                <c:pt idx="147">
                  <c:v>29.668109893798832</c:v>
                </c:pt>
                <c:pt idx="148">
                  <c:v>30.948745727539059</c:v>
                </c:pt>
                <c:pt idx="149">
                  <c:v>30.760917663574219</c:v>
                </c:pt>
                <c:pt idx="150">
                  <c:v>29.693719863891602</c:v>
                </c:pt>
                <c:pt idx="151">
                  <c:v>30.68381309509277</c:v>
                </c:pt>
                <c:pt idx="152">
                  <c:v>29.337955474853519</c:v>
                </c:pt>
                <c:pt idx="153">
                  <c:v>29.818618774414059</c:v>
                </c:pt>
                <c:pt idx="154">
                  <c:v>27.799833297729489</c:v>
                </c:pt>
                <c:pt idx="155">
                  <c:v>27.46773719787598</c:v>
                </c:pt>
                <c:pt idx="156">
                  <c:v>25.649955749511719</c:v>
                </c:pt>
                <c:pt idx="157">
                  <c:v>28.120260238647461</c:v>
                </c:pt>
                <c:pt idx="158">
                  <c:v>29.08469200134277</c:v>
                </c:pt>
                <c:pt idx="159">
                  <c:v>29.477603912353519</c:v>
                </c:pt>
                <c:pt idx="160">
                  <c:v>30.147346496582031</c:v>
                </c:pt>
                <c:pt idx="161">
                  <c:v>28.298860549926761</c:v>
                </c:pt>
                <c:pt idx="162">
                  <c:v>28.861440658569339</c:v>
                </c:pt>
                <c:pt idx="163">
                  <c:v>28.885261535644531</c:v>
                </c:pt>
                <c:pt idx="164">
                  <c:v>27.7862663269043</c:v>
                </c:pt>
                <c:pt idx="165">
                  <c:v>28.78452110290527</c:v>
                </c:pt>
                <c:pt idx="166">
                  <c:v>29.791933059692379</c:v>
                </c:pt>
                <c:pt idx="167">
                  <c:v>30.158267974853519</c:v>
                </c:pt>
                <c:pt idx="168">
                  <c:v>31.22978591918945</c:v>
                </c:pt>
                <c:pt idx="169">
                  <c:v>30.427158355712891</c:v>
                </c:pt>
                <c:pt idx="170">
                  <c:v>27.313592910766602</c:v>
                </c:pt>
                <c:pt idx="171">
                  <c:v>22.261043548583981</c:v>
                </c:pt>
                <c:pt idx="172">
                  <c:v>23.538166046142582</c:v>
                </c:pt>
                <c:pt idx="173">
                  <c:v>23.985622406005859</c:v>
                </c:pt>
                <c:pt idx="174">
                  <c:v>24.013591766357418</c:v>
                </c:pt>
                <c:pt idx="175">
                  <c:v>24.541494369506839</c:v>
                </c:pt>
                <c:pt idx="176">
                  <c:v>25.213474273681641</c:v>
                </c:pt>
                <c:pt idx="177">
                  <c:v>24.125057220458981</c:v>
                </c:pt>
                <c:pt idx="178">
                  <c:v>23.036638259887699</c:v>
                </c:pt>
                <c:pt idx="179">
                  <c:v>26.74672698974609</c:v>
                </c:pt>
                <c:pt idx="180">
                  <c:v>27.721574783325199</c:v>
                </c:pt>
                <c:pt idx="181">
                  <c:v>27.971511840820309</c:v>
                </c:pt>
                <c:pt idx="182">
                  <c:v>29.0723762512207</c:v>
                </c:pt>
                <c:pt idx="183">
                  <c:v>29.972211837768551</c:v>
                </c:pt>
                <c:pt idx="184">
                  <c:v>31.140083312988281</c:v>
                </c:pt>
                <c:pt idx="185">
                  <c:v>32.34625244140625</c:v>
                </c:pt>
                <c:pt idx="186">
                  <c:v>31.302822113037109</c:v>
                </c:pt>
                <c:pt idx="187">
                  <c:v>31.9211540222168</c:v>
                </c:pt>
                <c:pt idx="188">
                  <c:v>32.135322570800781</c:v>
                </c:pt>
                <c:pt idx="189">
                  <c:v>31.395462036132809</c:v>
                </c:pt>
                <c:pt idx="190">
                  <c:v>32.787570953369141</c:v>
                </c:pt>
                <c:pt idx="191">
                  <c:v>31.19102668762207</c:v>
                </c:pt>
                <c:pt idx="192">
                  <c:v>32.261878967285163</c:v>
                </c:pt>
                <c:pt idx="193">
                  <c:v>33.889999389648438</c:v>
                </c:pt>
              </c:numCache>
            </c:numRef>
          </c:val>
          <c:smooth val="0"/>
          <c:extLst>
            <c:ext xmlns:c16="http://schemas.microsoft.com/office/drawing/2014/chart" uri="{C3380CC4-5D6E-409C-BE32-E72D297353CC}">
              <c16:uniqueId val="{00000001-80F0-A043-87EA-85EE8543C763}"/>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UK!$A$6:$A$211</c:f>
              <c:numCache>
                <c:formatCode>m/d/yy</c:formatCode>
                <c:ptCount val="206"/>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numCache>
            </c:numRef>
          </c:cat>
          <c:val>
            <c:numRef>
              <c:f>UK!$B$6:$B$211</c:f>
              <c:numCache>
                <c:formatCode>General</c:formatCode>
                <c:ptCount val="206"/>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numCache>
            </c:numRef>
          </c:val>
          <c:smooth val="0"/>
          <c:extLst>
            <c:ext xmlns:c16="http://schemas.microsoft.com/office/drawing/2014/chart" uri="{C3380CC4-5D6E-409C-BE32-E72D297353CC}">
              <c16:uniqueId val="{00000000-07EB-8448-B255-A79DCFCBE39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Italy!$A$6:$A$187</c:f>
              <c:numCache>
                <c:formatCode>m/d/yy</c:formatCode>
                <c:ptCount val="18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numCache>
            </c:numRef>
          </c:cat>
          <c:val>
            <c:numRef>
              <c:f>Italy!$B$6:$B$187</c:f>
              <c:numCache>
                <c:formatCode>General</c:formatCode>
                <c:ptCount val="182"/>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numCache>
            </c:numRef>
          </c:val>
          <c:smooth val="0"/>
          <c:extLst>
            <c:ext xmlns:c16="http://schemas.microsoft.com/office/drawing/2014/chart" uri="{C3380CC4-5D6E-409C-BE32-E72D297353CC}">
              <c16:uniqueId val="{00000000-C8EE-B746-8BB5-98E0A26C4B0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Spain!$A$6:$A$187</c:f>
              <c:numCache>
                <c:formatCode>m/d/yy</c:formatCode>
                <c:ptCount val="182"/>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numCache>
            </c:numRef>
          </c:cat>
          <c:val>
            <c:numRef>
              <c:f>Spain!$B$6:$B$187</c:f>
              <c:numCache>
                <c:formatCode>General</c:formatCode>
                <c:ptCount val="182"/>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numCache>
            </c:numRef>
          </c:val>
          <c:smooth val="0"/>
          <c:extLst>
            <c:ext xmlns:c16="http://schemas.microsoft.com/office/drawing/2014/chart" uri="{C3380CC4-5D6E-409C-BE32-E72D297353CC}">
              <c16:uniqueId val="{00000000-C5C1-9F44-B7A1-FE74A28699B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Brazil!$B$6:$B$141</c:f>
              <c:numCache>
                <c:formatCode>General</c:formatCode>
                <c:ptCount val="136"/>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numCache>
            </c:numRef>
          </c:val>
          <c:smooth val="0"/>
          <c:extLst>
            <c:ext xmlns:c16="http://schemas.microsoft.com/office/drawing/2014/chart" uri="{C3380CC4-5D6E-409C-BE32-E72D297353CC}">
              <c16:uniqueId val="{00000000-DC48-8D47-94DD-786E715ACBE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spPr>
            <a:ln>
              <a:prstDash val="solid"/>
            </a:ln>
          </c:spPr>
          <c:marker>
            <c:symbol val="none"/>
          </c:marker>
          <c:cat>
            <c:numRef>
              <c:f>Mexico!$A$6:$A$135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Mexico!$B$6:$B$135</c:f>
              <c:numCache>
                <c:formatCode>General</c:formatCode>
                <c:ptCount val="130"/>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numCache>
            </c:numRef>
          </c:val>
          <c:smooth val="0"/>
          <c:extLst>
            <c:ext xmlns:c16="http://schemas.microsoft.com/office/drawing/2014/chart" uri="{C3380CC4-5D6E-409C-BE32-E72D297353CC}">
              <c16:uniqueId val="{00000000-B060-BB47-B5F0-A915CE09E66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Russia!$B$6:$B$141</c:f>
              <c:numCache>
                <c:formatCode>General</c:formatCode>
                <c:ptCount val="136"/>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numCache>
            </c:numRef>
          </c:val>
          <c:smooth val="0"/>
          <c:extLst>
            <c:ext xmlns:c16="http://schemas.microsoft.com/office/drawing/2014/chart" uri="{C3380CC4-5D6E-409C-BE32-E72D297353CC}">
              <c16:uniqueId val="{00000000-1A1A-DA40-A856-25C6AB9BFF3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India!$B$6:$B$141</c:f>
              <c:numCache>
                <c:formatCode>General</c:formatCode>
                <c:ptCount val="136"/>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numCache>
            </c:numRef>
          </c:val>
          <c:smooth val="0"/>
          <c:extLst>
            <c:ext xmlns:c16="http://schemas.microsoft.com/office/drawing/2014/chart" uri="{C3380CC4-5D6E-409C-BE32-E72D297353CC}">
              <c16:uniqueId val="{00000000-2087-5E49-AC63-11C0A90B20A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spPr>
            <a:ln>
              <a:prstDash val="solid"/>
            </a:ln>
          </c:spPr>
          <c:marker>
            <c:symbol val="none"/>
          </c:marker>
          <c:cat>
            <c:numRef>
              <c:f>Canada!$A$6:$A$135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Canada!$B$6:$B$135</c:f>
              <c:numCache>
                <c:formatCode>General</c:formatCode>
                <c:ptCount val="130"/>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numCache>
            </c:numRef>
          </c:val>
          <c:smooth val="0"/>
          <c:extLst>
            <c:ext xmlns:c16="http://schemas.microsoft.com/office/drawing/2014/chart" uri="{C3380CC4-5D6E-409C-BE32-E72D297353CC}">
              <c16:uniqueId val="{00000000-491E-294A-A026-234F8B7C636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Australia!$A$6:$A$170</c:f>
              <c:numCache>
                <c:formatCode>m/d/yy</c:formatCode>
                <c:ptCount val="165"/>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numCache>
            </c:numRef>
          </c:cat>
          <c:val>
            <c:numRef>
              <c:f>Australia!$B$6:$B$170</c:f>
              <c:numCache>
                <c:formatCode>General</c:formatCode>
                <c:ptCount val="165"/>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numCache>
            </c:numRef>
          </c:val>
          <c:smooth val="0"/>
          <c:extLst>
            <c:ext xmlns:c16="http://schemas.microsoft.com/office/drawing/2014/chart" uri="{C3380CC4-5D6E-409C-BE32-E72D297353CC}">
              <c16:uniqueId val="{00000000-16AB-9D4C-A3A4-4B3AAA6A5D0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spPr>
            <a:ln>
              <a:prstDash val="solid"/>
            </a:ln>
          </c:spPr>
          <c:marker>
            <c:symbol val="none"/>
          </c:marker>
          <c:cat>
            <c:numRef>
              <c:f>Indonesia!$A$6:$A$135</c:f>
              <c:numCache>
                <c:formatCode>m/d/yy</c:formatCode>
                <c:ptCount val="130"/>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numCache>
            </c:numRef>
          </c:cat>
          <c:val>
            <c:numRef>
              <c:f>Indonesia!$B$6:$B$135</c:f>
              <c:numCache>
                <c:formatCode>General</c:formatCode>
                <c:ptCount val="130"/>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numCache>
            </c:numRef>
          </c:val>
          <c:smooth val="0"/>
          <c:extLst>
            <c:ext xmlns:c16="http://schemas.microsoft.com/office/drawing/2014/chart" uri="{C3380CC4-5D6E-409C-BE32-E72D297353CC}">
              <c16:uniqueId val="{00000000-6934-5549-9196-41D5BDB68E2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spPr>
            <a:ln>
              <a:prstDash val="solid"/>
            </a:ln>
          </c:spPr>
          <c:marker>
            <c:symbol val="none"/>
          </c:marker>
          <c:cat>
            <c:numRef>
              <c:f>SouthKorea!$A$6:$A$139</c:f>
              <c:numCache>
                <c:formatCode>m/d/yy</c:formatCode>
                <c:ptCount val="134"/>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numCache>
            </c:numRef>
          </c:cat>
          <c:val>
            <c:numRef>
              <c:f>SouthKorea!$B$6:$B$139</c:f>
              <c:numCache>
                <c:formatCode>General</c:formatCode>
                <c:ptCount val="134"/>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numCache>
            </c:numRef>
          </c:val>
          <c:smooth val="0"/>
          <c:extLst>
            <c:ext xmlns:c16="http://schemas.microsoft.com/office/drawing/2014/chart" uri="{C3380CC4-5D6E-409C-BE32-E72D297353CC}">
              <c16:uniqueId val="{00000000-C929-824F-A32A-EE88042B554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spPr>
            <a:ln>
              <a:prstDash val="solid"/>
            </a:ln>
          </c:spPr>
          <c:marker>
            <c:symbol val="none"/>
          </c:marker>
          <c:cat>
            <c:numRef>
              <c:f>Taiwan!$A$6:$A$141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Taiwan!$B$6:$B$141</c:f>
              <c:numCache>
                <c:formatCode>General</c:formatCode>
                <c:ptCount val="136"/>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numCache>
            </c:numRef>
          </c:val>
          <c:smooth val="0"/>
          <c:extLst>
            <c:ext xmlns:c16="http://schemas.microsoft.com/office/drawing/2014/chart" uri="{C3380CC4-5D6E-409C-BE32-E72D297353CC}">
              <c16:uniqueId val="{00000000-641B-0445-9A79-2B1A682C16C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spPr>
            <a:ln>
              <a:prstDash val="solid"/>
            </a:ln>
          </c:spPr>
          <c:marker>
            <c:symbol val="none"/>
          </c:marker>
          <c:cat>
            <c:numRef>
              <c:f>Greece!$A$6:$A$141</c:f>
              <c:numCache>
                <c:formatCode>m/d/yy</c:formatCode>
                <c:ptCount val="136"/>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Greece!$B$6:$B$141</c:f>
              <c:numCache>
                <c:formatCode>General</c:formatCode>
                <c:ptCount val="136"/>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numCache>
            </c:numRef>
          </c:val>
          <c:smooth val="0"/>
          <c:extLst>
            <c:ext xmlns:c16="http://schemas.microsoft.com/office/drawing/2014/chart" uri="{C3380CC4-5D6E-409C-BE32-E72D297353CC}">
              <c16:uniqueId val="{00000000-27AA-A34F-9A07-A877450AAB0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Ireland!$B$6:$B$141</c:f>
              <c:numCache>
                <c:formatCode>General</c:formatCode>
                <c:ptCount val="136"/>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numCache>
            </c:numRef>
          </c:val>
          <c:smooth val="0"/>
          <c:extLst>
            <c:ext xmlns:c16="http://schemas.microsoft.com/office/drawing/2014/chart" uri="{C3380CC4-5D6E-409C-BE32-E72D297353CC}">
              <c16:uniqueId val="{00000000-98AC-4D48-8B25-3DEA5B47D7A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spPr>
            <a:ln>
              <a:prstDash val="solid"/>
            </a:ln>
          </c:spPr>
          <c:marker>
            <c:symbol val="none"/>
          </c:marker>
          <c:cat>
            <c:numRef>
              <c:f>Turkey!$A$6:$A$141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Turkey!$B$6:$B$141</c:f>
              <c:numCache>
                <c:formatCode>General</c:formatCode>
                <c:ptCount val="136"/>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numCache>
            </c:numRef>
          </c:val>
          <c:smooth val="0"/>
          <c:extLst>
            <c:ext xmlns:c16="http://schemas.microsoft.com/office/drawing/2014/chart" uri="{C3380CC4-5D6E-409C-BE32-E72D297353CC}">
              <c16:uniqueId val="{00000000-B94D-0147-B8D4-5BCBE378506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spPr>
            <a:ln>
              <a:prstDash val="solid"/>
            </a:ln>
          </c:spPr>
          <c:marker>
            <c:symbol val="none"/>
          </c:marker>
          <c:cat>
            <c:numRef>
              <c:f>CzechRepublic!$A$6:$A$141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CzechRepublic!$B$6:$B$141</c:f>
              <c:numCache>
                <c:formatCode>General</c:formatCode>
                <c:ptCount val="136"/>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numCache>
            </c:numRef>
          </c:val>
          <c:smooth val="0"/>
          <c:extLst>
            <c:ext xmlns:c16="http://schemas.microsoft.com/office/drawing/2014/chart" uri="{C3380CC4-5D6E-409C-BE32-E72D297353CC}">
              <c16:uniqueId val="{00000000-FEA7-A342-9C0F-0CA61C080A4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spPr>
            <a:ln>
              <a:prstDash val="solid"/>
            </a:ln>
          </c:spPr>
          <c:marker>
            <c:symbol val="none"/>
          </c:marker>
          <c:cat>
            <c:numRef>
              <c:f>Poland!$A$6:$A$141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numCache>
            </c:numRef>
          </c:cat>
          <c:val>
            <c:numRef>
              <c:f>Poland!$B$6:$B$141</c:f>
              <c:numCache>
                <c:formatCode>General</c:formatCode>
                <c:ptCount val="136"/>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numCache>
            </c:numRef>
          </c:val>
          <c:smooth val="0"/>
          <c:extLst>
            <c:ext xmlns:c16="http://schemas.microsoft.com/office/drawing/2014/chart" uri="{C3380CC4-5D6E-409C-BE32-E72D297353CC}">
              <c16:uniqueId val="{00000000-6FC0-5A4C-9B8A-2D81D9C4C1F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spPr>
            <a:ln>
              <a:prstDash val="solid"/>
            </a:ln>
          </c:spPr>
          <c:marker>
            <c:symbol val="none"/>
          </c:marker>
          <c:cat>
            <c:numRef>
              <c:f>Denmark!$A$6:$A$342</c:f>
              <c:numCache>
                <c:formatCode>m/d/yy</c:formatCode>
                <c:ptCount val="337"/>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numCache>
            </c:numRef>
          </c:cat>
          <c:val>
            <c:numRef>
              <c:f>Denmark!$B$6:$B$342</c:f>
              <c:numCache>
                <c:formatCode>General</c:formatCode>
                <c:ptCount val="337"/>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numCache>
            </c:numRef>
          </c:val>
          <c:smooth val="0"/>
          <c:extLst>
            <c:ext xmlns:c16="http://schemas.microsoft.com/office/drawing/2014/chart" uri="{C3380CC4-5D6E-409C-BE32-E72D297353CC}">
              <c16:uniqueId val="{00000000-FA16-D84A-979F-9EDC347D547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spPr>
            <a:ln>
              <a:prstDash val="solid"/>
            </a:ln>
          </c:spPr>
          <c:marker>
            <c:symbol val="none"/>
          </c:marker>
          <c:cat>
            <c:numRef>
              <c:f>Vietnam!$A$6:$A$120</c:f>
              <c:numCache>
                <c:formatCode>m/d/yy</c:formatCode>
                <c:ptCount val="115"/>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numCache>
            </c:numRef>
          </c:cat>
          <c:val>
            <c:numRef>
              <c:f>Vietnam!$B$6:$B$120</c:f>
              <c:numCache>
                <c:formatCode>General</c:formatCode>
                <c:ptCount val="115"/>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numCache>
            </c:numRef>
          </c:val>
          <c:smooth val="0"/>
          <c:extLst>
            <c:ext xmlns:c16="http://schemas.microsoft.com/office/drawing/2014/chart" uri="{C3380CC4-5D6E-409C-BE32-E72D297353CC}">
              <c16:uniqueId val="{00000000-0DD0-4D44-BE6F-114189F9699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spPr>
            <a:ln>
              <a:prstDash val="solid"/>
            </a:ln>
          </c:spPr>
          <c:marker>
            <c:symbol val="none"/>
          </c:marker>
          <c:cat>
            <c:numRef>
              <c:f>Thailand!$A$6:$A$72</c:f>
              <c:numCache>
                <c:formatCode>m/d/yy</c:formatCode>
                <c:ptCount val="67"/>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numCache>
            </c:numRef>
          </c:cat>
          <c:val>
            <c:numRef>
              <c:f>Thailand!$B$6:$B$72</c:f>
              <c:numCache>
                <c:formatCode>General</c:formatCode>
                <c:ptCount val="67"/>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numCache>
            </c:numRef>
          </c:val>
          <c:smooth val="0"/>
          <c:extLst>
            <c:ext xmlns:c16="http://schemas.microsoft.com/office/drawing/2014/chart" uri="{C3380CC4-5D6E-409C-BE32-E72D297353CC}">
              <c16:uniqueId val="{00000000-6C25-CD48-9576-BE6EAB46A23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spPr>
            <a:ln>
              <a:prstDash val="solid"/>
            </a:ln>
          </c:spPr>
          <c:marker>
            <c:symbol val="none"/>
          </c:marker>
          <c:cat>
            <c:numRef>
              <c:f>'South Africa'!$A$6:$A$268</c:f>
              <c:numCache>
                <c:formatCode>m/d/yy</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Africa'!$B$6:$B$268</c:f>
              <c:numCache>
                <c:formatCode>General</c:formatCode>
                <c:ptCount val="263"/>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smooth val="0"/>
          <c:extLst>
            <c:ext xmlns:c16="http://schemas.microsoft.com/office/drawing/2014/chart" uri="{C3380CC4-5D6E-409C-BE32-E72D297353CC}">
              <c16:uniqueId val="{00000000-06F0-2041-A9C6-F275FE46BE1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spPr>
            <a:ln>
              <a:prstDash val="solid"/>
            </a:ln>
          </c:spPr>
          <c:marker>
            <c:symbol val="none"/>
          </c:marker>
          <c:cat>
            <c:numRef>
              <c:f>'Hong Kong'!$A$6:$A$120</c:f>
              <c:numCache>
                <c:formatCode>m/d/yy</c:formatCode>
                <c:ptCount val="115"/>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numCache>
            </c:numRef>
          </c:cat>
          <c:val>
            <c:numRef>
              <c:f>'Hong Kong'!$B$6:$B$120</c:f>
              <c:numCache>
                <c:formatCode>General</c:formatCode>
                <c:ptCount val="115"/>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numCache>
            </c:numRef>
          </c:val>
          <c:smooth val="0"/>
          <c:extLst>
            <c:ext xmlns:c16="http://schemas.microsoft.com/office/drawing/2014/chart" uri="{C3380CC4-5D6E-409C-BE32-E72D297353CC}">
              <c16:uniqueId val="{00000000-CE77-624C-AA8B-713888C15C1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spPr>
            <a:ln>
              <a:prstDash val="solid"/>
            </a:ln>
          </c:spPr>
          <c:marker>
            <c:symbol val="none"/>
          </c:marker>
          <c:cat>
            <c:numRef>
              <c:f>'Saudi Arabia'!$A$6:$A$87</c:f>
              <c:numCache>
                <c:formatCode>m/d/yy</c:formatCode>
                <c:ptCount val="82"/>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numCache>
            </c:numRef>
          </c:cat>
          <c:val>
            <c:numRef>
              <c:f>'Saudi Arabia'!$B$6:$B$87</c:f>
              <c:numCache>
                <c:formatCode>General</c:formatCode>
                <c:ptCount val="82"/>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numCache>
            </c:numRef>
          </c:val>
          <c:smooth val="0"/>
          <c:extLst>
            <c:ext xmlns:c16="http://schemas.microsoft.com/office/drawing/2014/chart" uri="{C3380CC4-5D6E-409C-BE32-E72D297353CC}">
              <c16:uniqueId val="{00000000-C9EB-D842-94FB-B5A555187CE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spPr>
            <a:ln>
              <a:prstDash val="solid"/>
            </a:ln>
          </c:spPr>
          <c:marker>
            <c:symbol val="none"/>
          </c:marker>
          <c:cat>
            <c:numRef>
              <c:f>NewZealand!$A$6:$A$237</c:f>
              <c:numCache>
                <c:formatCode>m/d/yy</c:formatCode>
                <c:ptCount val="232"/>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NewZealand!$B$6:$B$237</c:f>
              <c:numCache>
                <c:formatCode>0.00</c:formatCode>
                <c:ptCount val="232"/>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smooth val="0"/>
          <c:extLst>
            <c:ext xmlns:c16="http://schemas.microsoft.com/office/drawing/2014/chart" uri="{C3380CC4-5D6E-409C-BE32-E72D297353CC}">
              <c16:uniqueId val="{00000000-5E54-204E-8AAA-32688943D05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440266</xdr:colOff>
      <xdr:row>101</xdr:row>
      <xdr:rowOff>127003</xdr:rowOff>
    </xdr:from>
    <xdr:to>
      <xdr:col>16</xdr:col>
      <xdr:colOff>50799</xdr:colOff>
      <xdr:row>121</xdr:row>
      <xdr:rowOff>177799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345281</xdr:colOff>
      <xdr:row>121</xdr:row>
      <xdr:rowOff>127000</xdr:rowOff>
    </xdr:from>
    <xdr:to>
      <xdr:col>14</xdr:col>
      <xdr:colOff>23812</xdr:colOff>
      <xdr:row>141</xdr:row>
      <xdr:rowOff>111125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336550</xdr:colOff>
      <xdr:row>191</xdr:row>
      <xdr:rowOff>63506</xdr:rowOff>
    </xdr:from>
    <xdr:to>
      <xdr:col>16</xdr:col>
      <xdr:colOff>673100</xdr:colOff>
      <xdr:row>212</xdr:row>
      <xdr:rowOff>25400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266699</xdr:colOff>
      <xdr:row>143</xdr:row>
      <xdr:rowOff>55563</xdr:rowOff>
    </xdr:from>
    <xdr:to>
      <xdr:col>13</xdr:col>
      <xdr:colOff>365124</xdr:colOff>
      <xdr:row>168</xdr:row>
      <xdr:rowOff>38100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177800</xdr:colOff>
      <xdr:row>119</xdr:row>
      <xdr:rowOff>158750</xdr:rowOff>
    </xdr:from>
    <xdr:to>
      <xdr:col>11</xdr:col>
      <xdr:colOff>635000</xdr:colOff>
      <xdr:row>140</xdr:row>
      <xdr:rowOff>50800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195263</xdr:colOff>
      <xdr:row>318</xdr:row>
      <xdr:rowOff>31750</xdr:rowOff>
    </xdr:from>
    <xdr:to>
      <xdr:col>13</xdr:col>
      <xdr:colOff>246063</xdr:colOff>
      <xdr:row>341</xdr:row>
      <xdr:rowOff>23813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254000</xdr:colOff>
      <xdr:row>46</xdr:row>
      <xdr:rowOff>139706</xdr:rowOff>
    </xdr:from>
    <xdr:to>
      <xdr:col>12</xdr:col>
      <xdr:colOff>622300</xdr:colOff>
      <xdr:row>71</xdr:row>
      <xdr:rowOff>38100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254000</xdr:colOff>
      <xdr:row>248</xdr:row>
      <xdr:rowOff>95250</xdr:rowOff>
    </xdr:from>
    <xdr:to>
      <xdr:col>12</xdr:col>
      <xdr:colOff>0</xdr:colOff>
      <xdr:row>268</xdr:row>
      <xdr:rowOff>50800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406400</xdr:colOff>
      <xdr:row>97</xdr:row>
      <xdr:rowOff>114300</xdr:rowOff>
    </xdr:from>
    <xdr:to>
      <xdr:col>13</xdr:col>
      <xdr:colOff>368300</xdr:colOff>
      <xdr:row>119</xdr:row>
      <xdr:rowOff>63500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330200</xdr:colOff>
      <xdr:row>66</xdr:row>
      <xdr:rowOff>19050</xdr:rowOff>
    </xdr:from>
    <xdr:to>
      <xdr:col>12</xdr:col>
      <xdr:colOff>342900</xdr:colOff>
      <xdr:row>86</xdr:row>
      <xdr:rowOff>50800</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368300</xdr:colOff>
      <xdr:row>216</xdr:row>
      <xdr:rowOff>88900</xdr:rowOff>
    </xdr:from>
    <xdr:to>
      <xdr:col>13</xdr:col>
      <xdr:colOff>101600</xdr:colOff>
      <xdr:row>237</xdr:row>
      <xdr:rowOff>101600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1" totalsRowShown="0" headerRowDxfId="261" dataDxfId="259" headerRowBorderDxfId="260" tableBorderDxfId="258" totalsRowBorderDxfId="257">
  <autoFilter ref="A5:F141" xr:uid="{00000000-0009-0000-0100-000001000000}"/>
  <tableColumns count="6">
    <tableColumn id="1" xr3:uid="{00000000-0010-0000-0000-000001000000}" name="Date" dataDxfId="256"/>
    <tableColumn id="2" xr3:uid="{00000000-0010-0000-0000-000002000000}" name="PMI" dataDxfId="255">
      <calculatedColumnFormula>IF(VLOOKUP(Table1[[#This Row],[Date]],'DB Global PMI'!$A:$F,2)=0,"",VLOOKUP(Table1[[#This Row],[Date]],'DB Global PMI'!$A:$F,2))</calculatedColumnFormula>
    </tableColumn>
    <tableColumn id="3" xr3:uid="{00000000-0010-0000-0000-000003000000}" name="mom" dataDxfId="254">
      <calculatedColumnFormula>Table1[[#This Row],[PMI]]-B5</calculatedColumnFormula>
    </tableColumn>
    <tableColumn id="4" xr3:uid="{00000000-0010-0000-0000-000004000000}" name="ACWI" dataDxfId="253">
      <calculatedColumnFormula>IF(VLOOKUP(Table1[[#This Row],[Date]],'DB Global PMI'!$A:$F,3)=0,"",VLOOKUP(Table1[[#This Row],[Date]],'DB Global PMI'!$A:$F,3))</calculatedColumnFormula>
    </tableColumn>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1" totalsRowShown="0" headerRowDxfId="250" dataDxfId="248" headerRowBorderDxfId="249" tableBorderDxfId="247" totalsRowBorderDxfId="246">
  <autoFilter ref="A5:D141" xr:uid="{00000000-0009-0000-0100-000002000000}"/>
  <tableColumns count="4">
    <tableColumn id="1" xr3:uid="{00000000-0010-0000-0100-000001000000}" name="Date" dataDxfId="245"/>
    <tableColumn id="2" xr3:uid="{00000000-0010-0000-0100-000002000000}" name="PMI" dataDxfId="244">
      <calculatedColumnFormula>IF(VLOOKUP(A6,'DB Country PMI'!$A:$AZ,MATCH($A$1,'DB Country PMI'!$A$1:$AZ$1,),)=0,#N/A,VLOOKUP(A6,'DB Country PMI'!$A:$AZ,MATCH($A$1,'DB Country PMI'!$A$1:$AZ$1,),))</calculatedColumnFormula>
    </tableColumn>
    <tableColumn id="3" xr3:uid="{00000000-0010-0000-0100-000003000000}" name="mom" dataDxfId="243">
      <calculatedColumnFormula>Table1346811[[#This Row],[PMI]]-B5</calculatedColumnFormula>
    </tableColumn>
    <tableColumn id="4" xr3:uid="{00000000-0010-0000-0100-000004000000}"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10" totalsRowShown="0" headerRowDxfId="241" dataDxfId="239" headerRowBorderDxfId="240" tableBorderDxfId="238" totalsRowBorderDxfId="237">
  <autoFilter ref="A5:F210" xr:uid="{00000000-0009-0000-0100-000003000000}"/>
  <tableColumns count="6">
    <tableColumn id="1" xr3:uid="{00000000-0010-0000-0200-000001000000}" name="Date" dataDxfId="236"/>
    <tableColumn id="2" xr3:uid="{00000000-0010-0000-0200-000002000000}" name="Caixin PMI" dataDxfId="235">
      <calculatedColumnFormula>IF(VLOOKUP(A6,'DB Country PMI'!$A:$AZ,MATCH($A$2,'DB Country PMI'!$A$1:$AZ$1,),)=0,#N/A,VLOOKUP(A6,'DB Country PMI'!$A:$AZ,MATCH($A$2,'DB Country PMI'!$A$1:$AZ$1,),))</calculatedColumnFormula>
    </tableColumn>
    <tableColumn id="3" xr3:uid="{00000000-0010-0000-0200-000003000000}" name="mom" dataDxfId="234">
      <calculatedColumnFormula>Table1346811121415161718192021[[#This Row],[Caixin PMI]]-B5</calculatedColumnFormula>
    </tableColumn>
    <tableColumn id="4" xr3:uid="{00000000-0010-0000-0200-000004000000}" name="Official PMI" dataDxfId="233">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32">
      <calculatedColumnFormula>Table1346811121415161718192021[[#This Row],[Official PMI]]-D5</calculatedColumnFormula>
    </tableColumn>
    <tableColumn id="6" xr3:uid="{00000000-0010-0000-0200-000006000000}"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1" totalsRowShown="0" headerRowDxfId="230" dataDxfId="228" headerRowBorderDxfId="229" tableBorderDxfId="227" totalsRowBorderDxfId="226">
  <autoFilter ref="A5:G211" xr:uid="{00000000-0009-0000-0100-000004000000}"/>
  <tableColumns count="7">
    <tableColumn id="1" xr3:uid="{00000000-0010-0000-0300-000001000000}" name="Date" dataDxfId="225"/>
    <tableColumn id="2" xr3:uid="{00000000-0010-0000-0300-000002000000}" name="Euro Area PMI" dataDxfId="224">
      <calculatedColumnFormula>IF(VLOOKUP(A6,'DB Country PMI'!$A:$AZ,MATCH($A$1,'DB Country PMI'!$A$1:$AZ$1,),)=0,#N/A,VLOOKUP(A6,'DB Country PMI'!$A:$AZ,MATCH($A$1,'DB Country PMI'!$A$1:$AZ$1,),))</calculatedColumnFormula>
    </tableColumn>
    <tableColumn id="3" xr3:uid="{00000000-0010-0000-0300-000003000000}" name="mom" dataDxfId="223">
      <calculatedColumnFormula>Table13468111214[[#This Row],[Euro Area PMI]]-B5</calculatedColumnFormula>
    </tableColumn>
    <tableColumn id="4" xr3:uid="{00000000-0010-0000-0300-000004000000}" name="EZU" dataDxfId="222">
      <calculatedColumnFormula>IF(VLOOKUP(Table13468111214[[#This Row],[Date]],'DB Global PMI'!$A:$F,4)=0,#N/A,VLOOKUP(Table13468111214[[#This Row],[Date]],'DB Global PMI'!$A:$F,4))</calculatedColumnFormula>
    </tableColumn>
    <tableColumn id="5" xr3:uid="{00000000-0010-0000-0300-000005000000}" name="PMI yoy" dataDxfId="221"/>
    <tableColumn id="6" xr3:uid="{00000000-0010-0000-0300-000006000000}" name="EZU yoy" dataDxfId="220"/>
    <tableColumn id="7" xr3:uid="{00000000-0010-0000-0300-000007000000}"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3" totalsRowShown="0" headerRowDxfId="218" dataDxfId="216" headerRowBorderDxfId="217" tableBorderDxfId="215" totalsRowBorderDxfId="214">
  <autoFilter ref="A5:C173" xr:uid="{00000000-0009-0000-0100-000005000000}"/>
  <tableColumns count="3">
    <tableColumn id="1" xr3:uid="{00000000-0010-0000-0400-000001000000}" name="Date" dataDxfId="213"/>
    <tableColumn id="2" xr3:uid="{00000000-0010-0000-0400-000002000000}" name="PMI" dataDxfId="212">
      <calculatedColumnFormula>IF(VLOOKUP(A6,'DB Country PMI'!$A:$AZ,MATCH($A$1,'DB Country PMI'!$A$1:$AZ$1,),)=0,#N/A,VLOOKUP(A6,'DB Country PMI'!$A:$AZ,MATCH($A$1,'DB Country PMI'!$A$1:$AZ$1,),))</calculatedColumnFormula>
    </tableColumn>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4" totalsRowShown="0" headerRowDxfId="210" dataDxfId="208" headerRowBorderDxfId="209" tableBorderDxfId="207" totalsRowBorderDxfId="206">
  <autoFilter ref="A5:C174" xr:uid="{00000000-0009-0000-0100-000006000000}"/>
  <tableColumns count="3">
    <tableColumn id="1" xr3:uid="{00000000-0010-0000-0500-000001000000}" name="Date" dataDxfId="205"/>
    <tableColumn id="2" xr3:uid="{00000000-0010-0000-0500-000002000000}" name="PMI" dataDxfId="204">
      <calculatedColumnFormula>IF(VLOOKUP(A6,'DB Country PMI'!$A:$AZ,MATCH($A$1,'DB Country PMI'!$A$1:$AZ$1,),)=0,#N/A,VLOOKUP(A6,'DB Country PMI'!$A:$AZ,MATCH($A$1,'DB Country PMI'!$A$1:$AZ$1,),))</calculatedColumnFormula>
    </tableColumn>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7" totalsRowShown="0" headerRowDxfId="202" dataDxfId="200" headerRowBorderDxfId="201" tableBorderDxfId="199" totalsRowBorderDxfId="198">
  <autoFilter ref="A5:C167" xr:uid="{00000000-0009-0000-0100-000007000000}"/>
  <tableColumns count="3">
    <tableColumn id="1" xr3:uid="{00000000-0010-0000-0600-000001000000}" name="Date" dataDxfId="197"/>
    <tableColumn id="2" xr3:uid="{00000000-0010-0000-0600-000002000000}" name="PMI" dataDxfId="196">
      <calculatedColumnFormula>IF(VLOOKUP(A6,'DB Country PMI'!$A:$AZ,MATCH($A$1,'DB Country PMI'!$A$1:$AZ$1,),)=0,#N/A,VLOOKUP(A6,'DB Country PMI'!$A:$AZ,MATCH($A$1,'DB Country PMI'!$A$1:$AZ$1,),))</calculatedColumnFormula>
    </tableColumn>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1" totalsRowShown="0" headerRowDxfId="194" dataDxfId="192" headerRowBorderDxfId="193" tableBorderDxfId="191" totalsRowBorderDxfId="190">
  <autoFilter ref="A5:F211" xr:uid="{00000000-0009-0000-0100-000008000000}"/>
  <tableColumns count="6">
    <tableColumn id="1" xr3:uid="{00000000-0010-0000-0700-000001000000}" name="Date" dataDxfId="189"/>
    <tableColumn id="2" xr3:uid="{00000000-0010-0000-0700-000002000000}" name="PMI" dataDxfId="188">
      <calculatedColumnFormula>IF(VLOOKUP(A6,'DB Country PMI'!$A:$AZ,MATCH($A$1,'DB Country PMI'!$A$1:$AZ$1,),)=0,#N/A,VLOOKUP(A6,'DB Country PMI'!$A:$AZ,MATCH($A$1,'DB Country PMI'!$A$1:$AZ$1,),))</calculatedColumnFormula>
    </tableColumn>
    <tableColumn id="3" xr3:uid="{00000000-0010-0000-0700-000003000000}" name="mom" dataDxfId="187">
      <calculatedColumnFormula>Table134681112[[#This Row],[PMI]]-B5</calculatedColumnFormula>
    </tableColumn>
    <tableColumn id="4" xr3:uid="{00000000-0010-0000-0700-000004000000}" name="EWU" dataDxfId="186">
      <calculatedColumnFormula>IF(VLOOKUP(Table134681112[[#This Row],[Date]],'DB Global PMI'!$A:$F,5)=0,#N/A,VLOOKUP(Table134681112[[#This Row],[Date]],'DB Global PMI'!$A:$F,5))</calculatedColumnFormula>
    </tableColumn>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7" totalsRowShown="0" headerRowDxfId="183" dataDxfId="181" headerRowBorderDxfId="182" tableBorderDxfId="180" totalsRowBorderDxfId="179">
  <autoFilter ref="A5:C187" xr:uid="{00000000-0009-0000-0100-000009000000}"/>
  <tableColumns count="3">
    <tableColumn id="1" xr3:uid="{00000000-0010-0000-0800-000001000000}" name="Date" dataDxfId="178"/>
    <tableColumn id="2" xr3:uid="{00000000-0010-0000-0800-000002000000}" name="PMI" dataDxfId="177">
      <calculatedColumnFormula>IF(VLOOKUP(A6,'DB Country PMI'!$A:$AZ,MATCH($A$1,'DB Country PMI'!$A$1:$AZ$1,),)=0,#N/A,VLOOKUP(A6,'DB Country PMI'!$A:$AZ,MATCH($A$1,'DB Country PMI'!$A$1:$AZ$1,),))</calculatedColumnFormula>
    </tableColumn>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7" totalsRowShown="0" headerRowDxfId="175" dataDxfId="173" headerRowBorderDxfId="174" tableBorderDxfId="172" totalsRowBorderDxfId="171">
  <autoFilter ref="A5:C187" xr:uid="{00000000-0009-0000-0100-00000A000000}"/>
  <tableColumns count="3">
    <tableColumn id="1" xr3:uid="{00000000-0010-0000-0900-000001000000}" name="Date" dataDxfId="170"/>
    <tableColumn id="2" xr3:uid="{00000000-0010-0000-0900-000002000000}" name="PMI" dataDxfId="169">
      <calculatedColumnFormula>IF(VLOOKUP(A6,'DB Country PMI'!$A:$AZ,MATCH($A$1,'DB Country PMI'!$A$1:$AZ$1,),)=0,#N/A,VLOOKUP(A6,'DB Country PMI'!$A:$AZ,MATCH($A$1,'DB Country PMI'!$A$1:$AZ$1,),))</calculatedColumnFormula>
    </tableColumn>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1" totalsRowShown="0" headerRowDxfId="167" dataDxfId="165" headerRowBorderDxfId="166" tableBorderDxfId="164" totalsRowBorderDxfId="163">
  <autoFilter ref="A5:C141" xr:uid="{00000000-0009-0000-0100-00000B000000}"/>
  <tableColumns count="3">
    <tableColumn id="1" xr3:uid="{00000000-0010-0000-0A00-000001000000}" name="Date" dataDxfId="162"/>
    <tableColumn id="2" xr3:uid="{00000000-0010-0000-0A00-000002000000}" name="PMI" dataDxfId="161">
      <calculatedColumnFormula>IF(VLOOKUP(A6,'DB Country PMI'!$A:$AZ,MATCH($A$1,'DB Country PMI'!$A$1:$AZ$1,),)=0,#N/A,VLOOKUP(A6,'DB Country PMI'!$A:$AZ,MATCH($A$1,'DB Country PMI'!$A$1:$AZ$1,),))</calculatedColumnFormula>
    </tableColumn>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5" totalsRowShown="0" headerRowDxfId="159" dataDxfId="157" headerRowBorderDxfId="158" tableBorderDxfId="156" totalsRowBorderDxfId="155">
  <autoFilter ref="A5:C135" xr:uid="{00000000-0009-0000-0100-00000C000000}"/>
  <tableColumns count="3">
    <tableColumn id="1" xr3:uid="{00000000-0010-0000-0B00-000001000000}" name="Date" dataDxfId="154"/>
    <tableColumn id="2" xr3:uid="{00000000-0010-0000-0B00-000002000000}" name="PMI" dataDxfId="153">
      <calculatedColumnFormula>IF(VLOOKUP(A6,'DB Country PMI'!$A:$AZ,MATCH($A$1,'DB Country PMI'!$A$1:$AZ$1,),)=0,#N/A,VLOOKUP(A6,'DB Country PMI'!$A:$AZ,MATCH($A$1,'DB Country PMI'!$A$1:$AZ$1,),))</calculatedColumnFormula>
    </tableColumn>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1" totalsRowShown="0" headerRowDxfId="151" dataDxfId="149" headerRowBorderDxfId="150" tableBorderDxfId="148" totalsRowBorderDxfId="147">
  <autoFilter ref="A5:C141" xr:uid="{00000000-0009-0000-0100-00000D000000}"/>
  <tableColumns count="3">
    <tableColumn id="1" xr3:uid="{00000000-0010-0000-0C00-000001000000}" name="Date" dataDxfId="146"/>
    <tableColumn id="2" xr3:uid="{00000000-0010-0000-0C00-000002000000}" name="PMI" dataDxfId="145">
      <calculatedColumnFormula>IF(VLOOKUP(A6,'DB Country PMI'!$A:$AZ,MATCH($A$1,'DB Country PMI'!$A$1:$AZ$1,),)=0,#N/A,VLOOKUP(A6,'DB Country PMI'!$A:$AZ,MATCH($A$1,'DB Country PMI'!$A$1:$AZ$1,),))</calculatedColumnFormula>
    </tableColumn>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1" totalsRowShown="0" headerRowDxfId="143" dataDxfId="141" headerRowBorderDxfId="142" tableBorderDxfId="140" totalsRowBorderDxfId="139">
  <autoFilter ref="A5:C141" xr:uid="{00000000-0009-0000-0100-00000E000000}"/>
  <tableColumns count="3">
    <tableColumn id="1" xr3:uid="{00000000-0010-0000-0D00-000001000000}" name="Date" dataDxfId="138"/>
    <tableColumn id="2" xr3:uid="{00000000-0010-0000-0D00-000002000000}" name="PMI" dataDxfId="137">
      <calculatedColumnFormula>IF(VLOOKUP(A6,'DB Country PMI'!$A:$AZ,MATCH($A$1,'DB Country PMI'!$A$1:$AZ$1,),)=0,#N/A,VLOOKUP(A6,'DB Country PMI'!$A:$AZ,MATCH($A$1,'DB Country PMI'!$A$1:$AZ$1,),))</calculatedColumnFormula>
    </tableColumn>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5" totalsRowShown="0" headerRowDxfId="135" dataDxfId="133" headerRowBorderDxfId="134" tableBorderDxfId="132" totalsRowBorderDxfId="131">
  <autoFilter ref="A5:C135" xr:uid="{00000000-0009-0000-0100-00000F000000}"/>
  <tableColumns count="3">
    <tableColumn id="1" xr3:uid="{00000000-0010-0000-0E00-000001000000}" name="Date" dataDxfId="130"/>
    <tableColumn id="2" xr3:uid="{00000000-0010-0000-0E00-000002000000}" name="PMI" dataDxfId="129">
      <calculatedColumnFormula>IF(VLOOKUP(A6,'DB Country PMI'!$A:$AZ,MATCH($A$1,'DB Country PMI'!$A$1:$AZ$1,),)=0,#N/A,VLOOKUP(A6,'DB Country PMI'!$A:$AZ,MATCH($A$1,'DB Country PMI'!$A$1:$AZ$1,),))</calculatedColumnFormula>
    </tableColumn>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70" totalsRowShown="0" headerRowDxfId="127" dataDxfId="125" headerRowBorderDxfId="126" tableBorderDxfId="124" totalsRowBorderDxfId="123">
  <autoFilter ref="A5:C170" xr:uid="{00000000-0009-0000-0100-000010000000}"/>
  <tableColumns count="3">
    <tableColumn id="1" xr3:uid="{00000000-0010-0000-0F00-000001000000}" name="Date" dataDxfId="122"/>
    <tableColumn id="2" xr3:uid="{00000000-0010-0000-0F00-000002000000}" name="PMI" dataDxfId="121">
      <calculatedColumnFormula>IF(VLOOKUP(A6,'DB Country PMI'!$A:$AZ,MATCH($A$1,'DB Country PMI'!$A$1:$AZ$1,),)=0,#N/A,VLOOKUP(A6,'DB Country PMI'!$A:$AZ,MATCH($A$1,'DB Country PMI'!$A$1:$AZ$1,),))</calculatedColumnFormula>
    </tableColumn>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5" totalsRowShown="0" headerRowDxfId="119" dataDxfId="117" headerRowBorderDxfId="118" tableBorderDxfId="116" totalsRowBorderDxfId="115">
  <autoFilter ref="A5:C135" xr:uid="{00000000-0009-0000-0100-000011000000}"/>
  <tableColumns count="3">
    <tableColumn id="1" xr3:uid="{00000000-0010-0000-1000-000001000000}" name="Date" dataDxfId="114"/>
    <tableColumn id="2" xr3:uid="{00000000-0010-0000-1000-000002000000}" name="PMI" dataDxfId="113">
      <calculatedColumnFormula>IF(VLOOKUP(A6,'DB Country PMI'!$A:$AZ,MATCH($A$1,'DB Country PMI'!$A$1:$AZ$1,),)=0,#N/A,VLOOKUP(A6,'DB Country PMI'!$A:$AZ,MATCH($A$1,'DB Country PMI'!$A$1:$AZ$1,),))</calculatedColumnFormula>
    </tableColumn>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9" totalsRowShown="0" headerRowDxfId="111" dataDxfId="109" headerRowBorderDxfId="110" tableBorderDxfId="108" totalsRowBorderDxfId="107">
  <autoFilter ref="A5:C139" xr:uid="{00000000-0009-0000-0100-000012000000}"/>
  <tableColumns count="3">
    <tableColumn id="1" xr3:uid="{00000000-0010-0000-1100-000001000000}" name="Date" dataDxfId="106"/>
    <tableColumn id="2" xr3:uid="{00000000-0010-0000-1100-000002000000}" name="PMI" dataDxfId="105">
      <calculatedColumnFormula>IF(VLOOKUP(A6,'DB Country PMI'!$A:$AZ,MATCH($A$1,'DB Country PMI'!$A$1:$AZ$1,),)=0,#N/A,VLOOKUP(A6,'DB Country PMI'!$A:$AZ,MATCH($A$1,'DB Country PMI'!$A$1:$AZ$1,),))</calculatedColumnFormula>
    </tableColumn>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1" totalsRowShown="0" headerRowDxfId="103" dataDxfId="101" headerRowBorderDxfId="102" tableBorderDxfId="100" totalsRowBorderDxfId="99">
  <autoFilter ref="A5:C141" xr:uid="{00000000-0009-0000-0100-000013000000}"/>
  <tableColumns count="3">
    <tableColumn id="1" xr3:uid="{00000000-0010-0000-1200-000001000000}" name="Date" dataDxfId="98"/>
    <tableColumn id="2" xr3:uid="{00000000-0010-0000-1200-000002000000}" name="PMI" dataDxfId="97">
      <calculatedColumnFormula>IF(VLOOKUP(A6,'DB Country PMI'!$A:$AZ,MATCH($A$1,'DB Country PMI'!$A$1:$AZ$1,),)=0,#N/A,VLOOKUP(A6,'DB Country PMI'!$A:$AZ,MATCH($A$1,'DB Country PMI'!$A$1:$AZ$1,),))</calculatedColumnFormula>
    </tableColumn>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1" totalsRowShown="0" headerRowDxfId="95" dataDxfId="93" headerRowBorderDxfId="94" tableBorderDxfId="92" totalsRowBorderDxfId="91">
  <autoFilter ref="A5:C141" xr:uid="{00000000-0009-0000-0100-000014000000}"/>
  <tableColumns count="3">
    <tableColumn id="1" xr3:uid="{00000000-0010-0000-1300-000001000000}" name="Date" dataDxfId="90"/>
    <tableColumn id="2" xr3:uid="{00000000-0010-0000-1300-000002000000}" name="PMI" dataDxfId="89">
      <calculatedColumnFormula>IF(VLOOKUP(A6,'DB Country PMI'!$A:$AZ,MATCH($A$1,'DB Country PMI'!$A$1:$AZ$1,),)=0,#N/A,VLOOKUP(A6,'DB Country PMI'!$A:$AZ,MATCH($A$1,'DB Country PMI'!$A$1:$AZ$1,),))</calculatedColumnFormula>
    </tableColumn>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1" totalsRowShown="0" headerRowDxfId="87" dataDxfId="85" headerRowBorderDxfId="86" tableBorderDxfId="84" totalsRowBorderDxfId="83">
  <autoFilter ref="A5:C141" xr:uid="{00000000-0009-0000-0100-000015000000}"/>
  <tableColumns count="3">
    <tableColumn id="1" xr3:uid="{00000000-0010-0000-1400-000001000000}" name="Date" dataDxfId="82"/>
    <tableColumn id="2" xr3:uid="{00000000-0010-0000-1400-000002000000}" name="PMI" dataDxfId="81">
      <calculatedColumnFormula>IF(VLOOKUP(A6,'DB Country PMI'!$A:$AZ,MATCH($A$1,'DB Country PMI'!$A$1:$AZ$1,),)=0,#N/A,VLOOKUP(A6,'DB Country PMI'!$A:$AZ,MATCH($A$1,'DB Country PMI'!$A$1:$AZ$1,),))</calculatedColumnFormula>
    </tableColumn>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1" totalsRowShown="0" headerRowDxfId="79" dataDxfId="77" headerRowBorderDxfId="78" tableBorderDxfId="76" totalsRowBorderDxfId="75">
  <autoFilter ref="A5:C141" xr:uid="{00000000-0009-0000-0100-000016000000}"/>
  <tableColumns count="3">
    <tableColumn id="1" xr3:uid="{00000000-0010-0000-1500-000001000000}" name="Date" dataDxfId="74"/>
    <tableColumn id="2" xr3:uid="{00000000-0010-0000-1500-000002000000}" name="PMI" dataDxfId="73">
      <calculatedColumnFormula>IF(VLOOKUP(A6,'DB Country PMI'!$A:$AZ,MATCH($A$1,'DB Country PMI'!$A$1:$AZ$1,),)=0,#N/A,VLOOKUP(A6,'DB Country PMI'!$A:$AZ,MATCH($A$1,'DB Country PMI'!$A$1:$AZ$1,),))</calculatedColumnFormula>
    </tableColumn>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1" totalsRowShown="0" headerRowDxfId="71" dataDxfId="69" headerRowBorderDxfId="70" tableBorderDxfId="68" totalsRowBorderDxfId="67">
  <autoFilter ref="A5:C141" xr:uid="{00000000-0009-0000-0100-000017000000}"/>
  <tableColumns count="3">
    <tableColumn id="1" xr3:uid="{00000000-0010-0000-1600-000001000000}" name="Date" dataDxfId="66"/>
    <tableColumn id="2" xr3:uid="{00000000-0010-0000-1600-000002000000}" name="PMI" dataDxfId="65">
      <calculatedColumnFormula>IF(VLOOKUP(A6,'DB Country PMI'!$A:$AZ,MATCH($A$1,'DB Country PMI'!$A$1:$AZ$1,),)=0,#N/A,VLOOKUP(A6,'DB Country PMI'!$A:$AZ,MATCH($A$1,'DB Country PMI'!$A$1:$AZ$1,),))</calculatedColumnFormula>
    </tableColumn>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1" totalsRowShown="0" headerRowDxfId="63" dataDxfId="61" headerRowBorderDxfId="62" tableBorderDxfId="60" totalsRowBorderDxfId="59">
  <autoFilter ref="A5:C141" xr:uid="{00000000-0009-0000-0100-000018000000}"/>
  <tableColumns count="3">
    <tableColumn id="1" xr3:uid="{00000000-0010-0000-1700-000001000000}" name="Date" dataDxfId="58"/>
    <tableColumn id="2" xr3:uid="{00000000-0010-0000-1700-000002000000}" name="PMI" dataDxfId="57">
      <calculatedColumnFormula>IF(VLOOKUP(A6,'DB Country PMI'!$A:$AZ,MATCH($A$1,'DB Country PMI'!$A$1:$AZ$1,),)=0,#N/A,VLOOKUP(A6,'DB Country PMI'!$A:$AZ,MATCH($A$1,'DB Country PMI'!$A$1:$AZ$1,),))</calculatedColumnFormula>
    </tableColumn>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2" totalsRowShown="0" headerRowDxfId="55" dataDxfId="53" headerRowBorderDxfId="54" tableBorderDxfId="52" totalsRowBorderDxfId="51">
  <autoFilter ref="A5:C342" xr:uid="{00000000-0009-0000-0100-000019000000}"/>
  <tableColumns count="3">
    <tableColumn id="1" xr3:uid="{00000000-0010-0000-1800-000001000000}" name="Date" dataDxfId="50"/>
    <tableColumn id="2" xr3:uid="{00000000-0010-0000-1800-000002000000}" name="PMI" dataDxfId="49">
      <calculatedColumnFormula>IF(VLOOKUP(A6,'DB Country PMI'!$A:$AZ,MATCH($A$1,'DB Country PMI'!$A$1:$AZ$1,),)=0,#N/A,VLOOKUP(A6,'DB Country PMI'!$A:$AZ,MATCH($A$1,'DB Country PMI'!$A$1:$AZ$1,),))</calculatedColumnFormula>
    </tableColumn>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20" totalsRowShown="0" headerRowDxfId="47" dataDxfId="45" headerRowBorderDxfId="46" tableBorderDxfId="44" totalsRowBorderDxfId="43">
  <autoFilter ref="A5:C120" xr:uid="{00000000-0009-0000-0100-00001A000000}"/>
  <tableColumns count="3">
    <tableColumn id="1" xr3:uid="{00000000-0010-0000-1900-000001000000}" name="Date" dataDxfId="42"/>
    <tableColumn id="2" xr3:uid="{00000000-0010-0000-1900-000002000000}" name="PMI" dataDxfId="41">
      <calculatedColumnFormula>IF(VLOOKUP(A6,'DB Country PMI'!$A:$AZ,MATCH($A$1,'DB Country PMI'!$A$1:$AZ$1,),)=0,#N/A,VLOOKUP(A6,'DB Country PMI'!$A:$AZ,MATCH($A$1,'DB Country PMI'!$A$1:$AZ$1,),))</calculatedColumnFormula>
    </tableColumn>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2" totalsRowShown="0" headerRowDxfId="39" dataDxfId="37" headerRowBorderDxfId="38" tableBorderDxfId="36" totalsRowBorderDxfId="35">
  <autoFilter ref="A5:C72" xr:uid="{00000000-0009-0000-0100-00001B000000}"/>
  <tableColumns count="3">
    <tableColumn id="1" xr3:uid="{00000000-0010-0000-1A00-000001000000}" name="Date" dataDxfId="34"/>
    <tableColumn id="2" xr3:uid="{00000000-0010-0000-1A00-000002000000}" name="PMI" dataDxfId="33">
      <calculatedColumnFormula>IF(VLOOKUP(A6,'DB Country PMI'!$A:$AZ,MATCH($A$1,'DB Country PMI'!$A$1:$AZ$1,),)=0,#N/A,VLOOKUP(A6,'DB Country PMI'!$A:$AZ,MATCH($A$1,'DB Country PMI'!$A$1:$AZ$1,),))</calculatedColumnFormula>
    </tableColumn>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31" dataDxfId="29" headerRowBorderDxfId="30" tableBorderDxfId="28" totalsRowBorderDxfId="27">
  <autoFilter ref="A5:C268" xr:uid="{00000000-0009-0000-0100-00001C000000}"/>
  <tableColumns count="3">
    <tableColumn id="1" xr3:uid="{00000000-0010-0000-1B00-000001000000}" name="Date" dataDxfId="26"/>
    <tableColumn id="2" xr3:uid="{00000000-0010-0000-1B00-000002000000}" name="PMI" dataDxfId="25">
      <calculatedColumnFormula>IF(VLOOKUP(A6,'DB Country PMI'!$A:$AZ,MATCH($A$1,'DB Country PMI'!$A$1:$AZ$1,),)=0,#N/A,VLOOKUP(A6,'DB Country PMI'!$A:$AZ,MATCH($A$1,'DB Country PMI'!$A$1:$AZ$1,),))</calculatedColumnFormula>
    </tableColumn>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20" totalsRowShown="0" headerRowDxfId="23" dataDxfId="21" headerRowBorderDxfId="22" tableBorderDxfId="20" totalsRowBorderDxfId="19">
  <autoFilter ref="A5:C120" xr:uid="{00000000-0009-0000-0100-00001D000000}"/>
  <tableColumns count="3">
    <tableColumn id="1" xr3:uid="{00000000-0010-0000-1C00-000001000000}" name="Date" dataDxfId="18"/>
    <tableColumn id="2" xr3:uid="{00000000-0010-0000-1C00-000002000000}" name="PMI" dataDxfId="17">
      <calculatedColumnFormula>IF(VLOOKUP(A6,'DB Country PMI'!$A:$AZ,MATCH($A$1,'DB Country PMI'!$A$1:$AZ$1,),)=0,#N/A,VLOOKUP(A6,'DB Country PMI'!$A:$AZ,MATCH($A$1,'DB Country PMI'!$A$1:$AZ$1,),))</calculatedColumnFormula>
    </tableColumn>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7" totalsRowShown="0" headerRowDxfId="15" dataDxfId="13" headerRowBorderDxfId="14" tableBorderDxfId="12" totalsRowBorderDxfId="11">
  <autoFilter ref="A5:C87" xr:uid="{00000000-0009-0000-0100-00001E000000}"/>
  <tableColumns count="3">
    <tableColumn id="1" xr3:uid="{00000000-0010-0000-1D00-000001000000}" name="Date" dataDxfId="10"/>
    <tableColumn id="2" xr3:uid="{00000000-0010-0000-1D00-000002000000}" name="PMI" dataDxfId="9">
      <calculatedColumnFormula>IF(VLOOKUP(A6,'DB Country PMI'!$A:$AZ,MATCH($A$1,'DB Country PMI'!$A$1:$AZ$1,),)=0,#N/A,VLOOKUP(A6,'DB Country PMI'!$A:$AZ,MATCH($A$1,'DB Country PMI'!$A$1:$AZ$1,),))</calculatedColumnFormula>
    </tableColumn>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7" dataDxfId="5" headerRowBorderDxfId="6" tableBorderDxfId="4" totalsRowBorderDxfId="3">
  <autoFilter ref="A5:C237" xr:uid="{00000000-0009-0000-0100-00001F000000}"/>
  <tableColumns count="3">
    <tableColumn id="1" xr3:uid="{00000000-0010-0000-1E00-000001000000}" name="Date" dataDxfId="2"/>
    <tableColumn id="2" xr3:uid="{00000000-0010-0000-1E00-000002000000}" name="PMI" dataDxfId="1">
      <calculatedColumnFormula>IF(VLOOKUP(A6,'DB Country PMI'!$A:$AZ,MATCH($A$1,'DB Country PMI'!$A$1:$AZ$1,),)=0,#N/A,VLOOKUP(A6,'DB Country PMI'!$A:$AZ,MATCH($A$1,'DB Country PMI'!$A$1:$AZ$1,),))</calculatedColumnFormula>
    </tableColumn>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opLeftCell="A7" zoomScale="140" zoomScaleNormal="140" workbookViewId="0">
      <selection activeCell="B16" sqref="B16:F16"/>
    </sheetView>
  </sheetViews>
  <sheetFormatPr baseColWidth="10" defaultColWidth="9.1640625" defaultRowHeight="15" x14ac:dyDescent="0.2"/>
  <cols>
    <col min="1" max="1" width="4" style="63" customWidth="1"/>
    <col min="2" max="5" width="12.83203125" style="63" customWidth="1"/>
    <col min="6" max="6" width="13.6640625" style="63" customWidth="1"/>
    <col min="7" max="10" width="12.83203125" style="63" customWidth="1"/>
    <col min="11" max="13" width="2" style="63" customWidth="1"/>
    <col min="14" max="14" width="9.1640625" style="63" customWidth="1"/>
    <col min="15" max="15" width="15.5" style="63" customWidth="1"/>
    <col min="16" max="18" width="12.6640625" style="63" customWidth="1"/>
    <col min="19" max="19" width="11.6640625" style="63" customWidth="1"/>
    <col min="20" max="56" width="9.1640625" style="63" customWidth="1"/>
    <col min="57" max="16384" width="9.1640625" style="63"/>
  </cols>
  <sheetData>
    <row r="1" spans="2:19" x14ac:dyDescent="0.2">
      <c r="B1" s="74"/>
      <c r="C1" s="70"/>
      <c r="D1" s="70"/>
      <c r="E1" s="70"/>
      <c r="F1" s="70"/>
      <c r="G1" s="70"/>
      <c r="H1" s="70"/>
      <c r="I1" s="70"/>
      <c r="J1" s="70"/>
    </row>
    <row r="2" spans="2:19" ht="16" customHeight="1" thickBot="1" x14ac:dyDescent="0.25">
      <c r="B2" s="75"/>
      <c r="C2" s="75"/>
      <c r="D2" s="75"/>
      <c r="E2" s="75"/>
      <c r="F2" s="75"/>
      <c r="G2" s="75"/>
      <c r="H2" s="75"/>
      <c r="I2" s="75"/>
      <c r="J2" s="75"/>
    </row>
    <row r="3" spans="2:19" ht="16" customHeight="1" thickBot="1" x14ac:dyDescent="0.25">
      <c r="B3" s="76" t="s">
        <v>0</v>
      </c>
      <c r="C3" s="77"/>
      <c r="D3" s="77"/>
      <c r="E3" s="77"/>
      <c r="F3" s="77"/>
      <c r="G3" s="77"/>
      <c r="H3" s="77"/>
      <c r="I3" s="77"/>
      <c r="J3" s="78"/>
    </row>
    <row r="5" spans="2:19" x14ac:dyDescent="0.2">
      <c r="B5" s="67" t="s">
        <v>1</v>
      </c>
      <c r="C5" s="72"/>
      <c r="D5" s="72"/>
      <c r="E5" s="72"/>
      <c r="F5" s="72"/>
      <c r="G5" s="72"/>
      <c r="H5" s="72"/>
      <c r="I5" s="72"/>
      <c r="J5" s="68"/>
    </row>
    <row r="7" spans="2:19" ht="225.75" customHeight="1" x14ac:dyDescent="0.2">
      <c r="B7" s="79" t="s">
        <v>2</v>
      </c>
      <c r="C7" s="70"/>
      <c r="D7" s="70"/>
      <c r="E7" s="70"/>
      <c r="F7" s="70"/>
      <c r="G7" s="70"/>
      <c r="H7" s="70"/>
      <c r="I7" s="70"/>
      <c r="J7" s="70"/>
    </row>
    <row r="8" spans="2:19" ht="24" customHeight="1" x14ac:dyDescent="0.2">
      <c r="B8" s="1"/>
      <c r="C8" s="62"/>
      <c r="D8" s="62"/>
      <c r="E8" s="62"/>
      <c r="F8" s="62"/>
      <c r="G8" s="62"/>
      <c r="H8" s="62"/>
      <c r="I8" s="62"/>
      <c r="J8" s="62"/>
    </row>
    <row r="9" spans="2:19" ht="16" customHeight="1" thickBot="1" x14ac:dyDescent="0.25">
      <c r="B9" s="2"/>
      <c r="C9" s="3"/>
      <c r="D9" s="3"/>
      <c r="E9" s="3"/>
    </row>
    <row r="10" spans="2:19" ht="16" customHeight="1" thickBot="1" x14ac:dyDescent="0.25">
      <c r="B10" s="67" t="s">
        <v>3</v>
      </c>
      <c r="C10" s="72"/>
      <c r="D10" s="72"/>
      <c r="E10" s="72"/>
      <c r="F10" s="72"/>
      <c r="G10" s="72"/>
      <c r="H10" s="72"/>
      <c r="I10" s="72"/>
      <c r="J10" s="68"/>
      <c r="N10" s="80" t="s">
        <v>4</v>
      </c>
      <c r="O10" s="77"/>
      <c r="P10" s="77"/>
      <c r="Q10" s="77"/>
      <c r="R10" s="77"/>
      <c r="S10" s="78"/>
    </row>
    <row r="11" spans="2:19" x14ac:dyDescent="0.2">
      <c r="N11" s="4" t="s">
        <v>5</v>
      </c>
    </row>
    <row r="12" spans="2:19" ht="16" customHeight="1" thickBot="1" x14ac:dyDescent="0.25">
      <c r="B12" s="67" t="s">
        <v>6</v>
      </c>
      <c r="C12" s="72"/>
      <c r="D12" s="72"/>
      <c r="E12" s="72"/>
      <c r="F12" s="68"/>
      <c r="G12" s="67" t="s">
        <v>7</v>
      </c>
      <c r="H12" s="72"/>
      <c r="I12" s="72"/>
      <c r="J12" s="68"/>
    </row>
    <row r="13" spans="2:19" x14ac:dyDescent="0.2">
      <c r="P13" s="5">
        <v>44562</v>
      </c>
      <c r="Q13" s="6">
        <f>DATE(YEAR(P13),MONTH(P13)-1,DAY(P13))</f>
        <v>44531</v>
      </c>
      <c r="R13" s="7"/>
      <c r="S13" s="59" t="s">
        <v>8</v>
      </c>
    </row>
    <row r="14" spans="2:19" ht="16" customHeight="1" thickBot="1" x14ac:dyDescent="0.25">
      <c r="B14" s="70" t="s">
        <v>9</v>
      </c>
      <c r="C14" s="70"/>
      <c r="D14" s="70"/>
      <c r="E14" s="70"/>
      <c r="F14" s="70"/>
      <c r="G14" s="63" t="s">
        <v>10</v>
      </c>
      <c r="O14" s="63" t="s">
        <v>11</v>
      </c>
      <c r="P14" s="8" t="s">
        <v>12</v>
      </c>
      <c r="Q14" s="8" t="s">
        <v>12</v>
      </c>
      <c r="R14" s="9" t="s">
        <v>13</v>
      </c>
      <c r="S14" s="60" t="s">
        <v>14</v>
      </c>
    </row>
    <row r="15" spans="2:19" ht="30.75" customHeight="1" x14ac:dyDescent="0.2">
      <c r="G15" s="73" t="s">
        <v>15</v>
      </c>
      <c r="H15" s="70"/>
      <c r="I15" s="70"/>
      <c r="J15" s="70"/>
      <c r="N15" s="67" t="s">
        <v>16</v>
      </c>
      <c r="O15" s="68"/>
      <c r="P15" s="24">
        <f>VLOOKUP($P$13,Summary!$B:$AB,MATCH(Note!N15,Summary!$B$2:$AB$2,),)</f>
        <v>51.4</v>
      </c>
      <c r="Q15" s="24">
        <f>VLOOKUP($Q$13,Summary!$B:$AB,MATCH(Note!N15,Summary!$B$2:$AB$2,),)</f>
        <v>54.3</v>
      </c>
      <c r="R15" s="56">
        <f t="shared" ref="R15:R39" si="0">P15-Q15</f>
        <v>-2.8999999999999986</v>
      </c>
      <c r="S15" s="58"/>
    </row>
    <row r="16" spans="2:19" x14ac:dyDescent="0.2">
      <c r="B16" s="73" t="s">
        <v>17</v>
      </c>
      <c r="C16" s="70"/>
      <c r="D16" s="70"/>
      <c r="E16" s="70"/>
      <c r="F16" s="70"/>
      <c r="G16" s="70" t="s">
        <v>18</v>
      </c>
      <c r="H16" s="70"/>
      <c r="I16" s="70"/>
      <c r="J16" s="70"/>
      <c r="N16" s="67" t="s">
        <v>19</v>
      </c>
      <c r="O16" s="68"/>
      <c r="P16" s="24">
        <f>VLOOKUP($P$13,Summary!$B:$AB,MATCH(Note!N16,Summary!$B$2:$AB$2,),)</f>
        <v>55</v>
      </c>
      <c r="Q16" s="24">
        <f>VLOOKUP($Q$13,Summary!$B:$AB,MATCH(Note!N16,Summary!$B$2:$AB$2,),)</f>
        <v>57.7</v>
      </c>
      <c r="R16" s="56">
        <f t="shared" si="0"/>
        <v>-2.7000000000000028</v>
      </c>
      <c r="S16" s="57">
        <v>0.24099999999999999</v>
      </c>
    </row>
    <row r="17" spans="2:19" x14ac:dyDescent="0.2">
      <c r="B17" s="70"/>
      <c r="C17" s="70"/>
      <c r="D17" s="70"/>
      <c r="E17" s="70"/>
      <c r="F17" s="70"/>
      <c r="G17" s="63" t="s">
        <v>20</v>
      </c>
      <c r="N17" s="67" t="s">
        <v>21</v>
      </c>
      <c r="O17" s="68"/>
      <c r="P17" s="24">
        <f>VLOOKUP($P$13,Summary!$B:$AB,MATCH(Note!N17,Summary!$B$2:$AB$2,),)</f>
        <v>49.1</v>
      </c>
      <c r="Q17" s="24">
        <f>VLOOKUP($Q$13,Summary!$B:$AB,MATCH(Note!N17,Summary!$B$2:$AB$2,),)</f>
        <v>50.9</v>
      </c>
      <c r="R17" s="56">
        <f t="shared" si="0"/>
        <v>-1.7999999999999972</v>
      </c>
      <c r="S17" s="57">
        <v>0.152</v>
      </c>
    </row>
    <row r="18" spans="2:19" x14ac:dyDescent="0.2">
      <c r="B18" s="70"/>
      <c r="C18" s="70"/>
      <c r="D18" s="70"/>
      <c r="E18" s="70"/>
      <c r="F18" s="70"/>
      <c r="N18" s="67" t="s">
        <v>22</v>
      </c>
      <c r="O18" s="68"/>
      <c r="P18" s="24">
        <f>VLOOKUP($P$13,Summary!$B:$AB,MATCH(Note!N18,Summary!$B$2:$AB$2,),)</f>
        <v>59</v>
      </c>
      <c r="Q18" s="24">
        <f>VLOOKUP($Q$13,Summary!$B:$AB,MATCH(Note!N18,Summary!$B$2:$AB$2,),)</f>
        <v>58</v>
      </c>
      <c r="R18" s="56">
        <f t="shared" si="0"/>
        <v>1</v>
      </c>
      <c r="S18" s="57">
        <v>0.156</v>
      </c>
    </row>
    <row r="19" spans="2:19" x14ac:dyDescent="0.2">
      <c r="N19" s="67" t="s">
        <v>23</v>
      </c>
      <c r="O19" s="68"/>
      <c r="P19" s="24">
        <f>VLOOKUP($P$13,Summary!$B:$AB,MATCH(Note!N19,Summary!$B$2:$AB$2,),)</f>
        <v>55.4</v>
      </c>
      <c r="Q19" s="24">
        <f>VLOOKUP($Q$13,Summary!$B:$AB,MATCH(Note!N19,Summary!$B$2:$AB$2,),)</f>
        <v>54.3</v>
      </c>
      <c r="R19" s="56">
        <f t="shared" si="0"/>
        <v>1.1000000000000014</v>
      </c>
      <c r="S19" s="57">
        <v>0.06</v>
      </c>
    </row>
    <row r="20" spans="2:19" x14ac:dyDescent="0.2">
      <c r="B20" s="70"/>
      <c r="C20" s="70"/>
      <c r="D20" s="70"/>
      <c r="E20" s="70"/>
      <c r="F20" s="70"/>
      <c r="G20" s="70"/>
      <c r="H20" s="70"/>
      <c r="I20" s="70"/>
      <c r="J20" s="70"/>
      <c r="N20" s="67" t="s">
        <v>24</v>
      </c>
      <c r="O20" s="68"/>
      <c r="P20" s="24">
        <f>VLOOKUP($P$13,Summary!$B:$AB,MATCH(Note!N20,Summary!$B$2:$AB$2,),)</f>
        <v>60.5</v>
      </c>
      <c r="Q20" s="24">
        <f>VLOOKUP($Q$13,Summary!$B:$AB,MATCH(Note!N20,Summary!$B$2:$AB$2,),)</f>
        <v>57.4</v>
      </c>
      <c r="R20" s="56">
        <f t="shared" si="0"/>
        <v>3.1000000000000014</v>
      </c>
      <c r="S20" s="57">
        <v>4.5642432442496987E-2</v>
      </c>
    </row>
    <row r="21" spans="2:19" x14ac:dyDescent="0.2">
      <c r="B21" s="70"/>
      <c r="C21" s="70"/>
      <c r="D21" s="70"/>
      <c r="E21" s="70"/>
      <c r="F21" s="70"/>
      <c r="G21" s="70"/>
      <c r="H21" s="70"/>
      <c r="I21" s="70"/>
      <c r="J21" s="70"/>
      <c r="N21" s="67" t="s">
        <v>25</v>
      </c>
      <c r="O21" s="68"/>
      <c r="P21" s="24">
        <f>VLOOKUP($P$13,Summary!$B:$AB,MATCH(Note!N21,Summary!$B$2:$AB$2,),)</f>
        <v>55.5</v>
      </c>
      <c r="Q21" s="24">
        <f>VLOOKUP($Q$13,Summary!$B:$AB,MATCH(Note!N21,Summary!$B$2:$AB$2,),)</f>
        <v>55.6</v>
      </c>
      <c r="R21" s="56">
        <f t="shared" si="0"/>
        <v>-0.10000000000000142</v>
      </c>
      <c r="S21" s="57">
        <v>3.2062660592594432E-2</v>
      </c>
    </row>
    <row r="22" spans="2:19" x14ac:dyDescent="0.2">
      <c r="B22" s="70"/>
      <c r="C22" s="70"/>
      <c r="D22" s="70"/>
      <c r="E22" s="70"/>
      <c r="F22" s="70"/>
      <c r="G22" s="70"/>
      <c r="H22" s="70"/>
      <c r="I22" s="70"/>
      <c r="J22" s="70"/>
      <c r="N22" s="67" t="s">
        <v>26</v>
      </c>
      <c r="O22" s="68"/>
      <c r="P22" s="24">
        <f>VLOOKUP($P$13,Summary!$B:$AB,MATCH(Note!N22,Summary!$B$2:$AB$2,),)</f>
        <v>56.9</v>
      </c>
      <c r="Q22" s="24">
        <f>VLOOKUP($Q$13,Summary!$B:$AB,MATCH(Note!N22,Summary!$B$2:$AB$2,),)</f>
        <v>57.9</v>
      </c>
      <c r="R22" s="56">
        <f t="shared" si="0"/>
        <v>-1</v>
      </c>
      <c r="S22" s="57">
        <v>3.3000000000000002E-2</v>
      </c>
    </row>
    <row r="23" spans="2:19" x14ac:dyDescent="0.2">
      <c r="B23" s="70"/>
      <c r="C23" s="70"/>
      <c r="D23" s="70"/>
      <c r="E23" s="70"/>
      <c r="F23" s="70"/>
      <c r="N23" s="67" t="s">
        <v>27</v>
      </c>
      <c r="O23" s="68"/>
      <c r="P23" s="24">
        <f>VLOOKUP($P$13,Summary!$B:$AB,MATCH(Note!N23,Summary!$B$2:$AB$2,),)</f>
        <v>58.3</v>
      </c>
      <c r="Q23" s="24">
        <f>VLOOKUP($Q$13,Summary!$B:$AB,MATCH(Note!N23,Summary!$B$2:$AB$2,),)</f>
        <v>62</v>
      </c>
      <c r="R23" s="56">
        <f t="shared" si="0"/>
        <v>-3.7000000000000028</v>
      </c>
      <c r="S23" s="57">
        <v>2.4E-2</v>
      </c>
    </row>
    <row r="24" spans="2:19" x14ac:dyDescent="0.2">
      <c r="B24" s="70"/>
      <c r="C24" s="70"/>
      <c r="D24" s="70"/>
      <c r="E24" s="70"/>
      <c r="F24" s="70"/>
      <c r="N24" s="67" t="s">
        <v>28</v>
      </c>
      <c r="O24" s="68"/>
      <c r="P24" s="24">
        <f>VLOOKUP($P$13,Summary!$B:$AB,MATCH(Note!N24,Summary!$B$2:$AB$2,),)</f>
        <v>56.2</v>
      </c>
      <c r="Q24" s="24">
        <f>VLOOKUP($Q$13,Summary!$B:$AB,MATCH(Note!N24,Summary!$B$2:$AB$2,),)</f>
        <v>56.2</v>
      </c>
      <c r="R24" s="56">
        <f t="shared" si="0"/>
        <v>0</v>
      </c>
      <c r="S24" s="57">
        <v>1.6273382902396941E-2</v>
      </c>
    </row>
    <row r="25" spans="2:19" x14ac:dyDescent="0.2">
      <c r="N25" s="67" t="s">
        <v>29</v>
      </c>
      <c r="O25" s="68"/>
      <c r="P25" s="24">
        <f>VLOOKUP($P$13,Summary!$B:$AB,MATCH(Note!N25,Summary!$B$2:$AB$2,),)</f>
        <v>47.8</v>
      </c>
      <c r="Q25" s="24">
        <f>VLOOKUP($Q$13,Summary!$B:$AB,MATCH(Note!N25,Summary!$B$2:$AB$2,),)</f>
        <v>49.8</v>
      </c>
      <c r="R25" s="56">
        <f t="shared" si="0"/>
        <v>-2</v>
      </c>
      <c r="S25" s="57">
        <v>2.5521033750822361E-2</v>
      </c>
    </row>
    <row r="26" spans="2:19" x14ac:dyDescent="0.2">
      <c r="N26" s="67" t="s">
        <v>30</v>
      </c>
      <c r="O26" s="68"/>
      <c r="P26" s="24">
        <f>VLOOKUP($P$13,Summary!$B:$AB,MATCH(Note!N26,Summary!$B$2:$AB$2,),)</f>
        <v>46.1</v>
      </c>
      <c r="Q26" s="24">
        <f>VLOOKUP($Q$13,Summary!$B:$AB,MATCH(Note!N26,Summary!$B$2:$AB$2,),)</f>
        <v>49.4</v>
      </c>
      <c r="R26" s="56">
        <f t="shared" si="0"/>
        <v>-3.2999999999999972</v>
      </c>
      <c r="S26" s="57">
        <v>1.4287310236963301E-2</v>
      </c>
    </row>
    <row r="27" spans="2:19" x14ac:dyDescent="0.2">
      <c r="N27" s="67" t="s">
        <v>31</v>
      </c>
      <c r="O27" s="68"/>
      <c r="P27" s="24">
        <f>VLOOKUP($P$13,Summary!$B:$AB,MATCH(Note!N27,Summary!$B$2:$AB$2,),)</f>
        <v>51.8</v>
      </c>
      <c r="Q27" s="24">
        <f>VLOOKUP($Q$13,Summary!$B:$AB,MATCH(Note!N27,Summary!$B$2:$AB$2,),)</f>
        <v>51.6</v>
      </c>
      <c r="R27" s="56">
        <f t="shared" si="0"/>
        <v>0.19999999999999574</v>
      </c>
      <c r="S27" s="57">
        <v>1.9587641662839338E-2</v>
      </c>
    </row>
    <row r="28" spans="2:19" x14ac:dyDescent="0.2">
      <c r="N28" s="67" t="s">
        <v>32</v>
      </c>
      <c r="O28" s="68"/>
      <c r="P28" s="24">
        <f>VLOOKUP($P$13,Summary!$B:$AB,MATCH(Note!N28,Summary!$B$2:$AB$2,),)</f>
        <v>54</v>
      </c>
      <c r="Q28" s="24">
        <f>VLOOKUP($Q$13,Summary!$B:$AB,MATCH(Note!N28,Summary!$B$2:$AB$2,),)</f>
        <v>55.5</v>
      </c>
      <c r="R28" s="56">
        <f t="shared" si="0"/>
        <v>-1.5</v>
      </c>
      <c r="S28" s="57">
        <v>3.2286093767455719E-2</v>
      </c>
    </row>
    <row r="29" spans="2:19" x14ac:dyDescent="0.2">
      <c r="N29" s="67" t="s">
        <v>33</v>
      </c>
      <c r="O29" s="68"/>
      <c r="P29" s="24">
        <f>VLOOKUP($P$13,Summary!$B:$AB,MATCH(Note!N29,Summary!$B$2:$AB$2,),)</f>
        <v>56.2</v>
      </c>
      <c r="Q29" s="24">
        <f>VLOOKUP($Q$13,Summary!$B:$AB,MATCH(Note!N29,Summary!$B$2:$AB$2,),)</f>
        <v>55.5</v>
      </c>
      <c r="R29" s="56">
        <f t="shared" si="0"/>
        <v>0.70000000000000284</v>
      </c>
      <c r="S29" s="57">
        <v>2.051861322476136E-2</v>
      </c>
    </row>
    <row r="30" spans="2:19" x14ac:dyDescent="0.2">
      <c r="N30" s="67" t="s">
        <v>34</v>
      </c>
      <c r="O30" s="68"/>
      <c r="P30" s="24">
        <f>VLOOKUP($P$13,Summary!$B:$AB,MATCH(Note!N30,Summary!$B$2:$AB$2,),)</f>
        <v>48.4</v>
      </c>
      <c r="Q30" s="24">
        <f>VLOOKUP($Q$13,Summary!$B:$AB,MATCH(Note!N30,Summary!$B$2:$AB$2,),)</f>
        <v>48.4</v>
      </c>
      <c r="R30" s="56">
        <f t="shared" si="0"/>
        <v>0</v>
      </c>
      <c r="S30" s="57">
        <v>1.6422338352304462E-2</v>
      </c>
    </row>
    <row r="31" spans="2:19" x14ac:dyDescent="0.2">
      <c r="N31" s="67" t="s">
        <v>35</v>
      </c>
      <c r="O31" s="68"/>
      <c r="P31" s="24">
        <f>VLOOKUP($P$13,Summary!$B:$AB,MATCH(Note!N31,Summary!$B$2:$AB$2,),)</f>
        <v>53.7</v>
      </c>
      <c r="Q31" s="24">
        <f>VLOOKUP($Q$13,Summary!$B:$AB,MATCH(Note!N31,Summary!$B$2:$AB$2,),)</f>
        <v>53.5</v>
      </c>
      <c r="R31" s="56">
        <f t="shared" si="0"/>
        <v>0.20000000000000284</v>
      </c>
      <c r="S31" s="57">
        <v>1.261156142550366E-2</v>
      </c>
    </row>
    <row r="32" spans="2:19" x14ac:dyDescent="0.2">
      <c r="N32" s="67" t="s">
        <v>36</v>
      </c>
      <c r="O32" s="68"/>
      <c r="P32" s="24">
        <f>VLOOKUP($P$13,Summary!$B:$AB,MATCH(Note!N32,Summary!$B$2:$AB$2,),)</f>
        <v>52.8</v>
      </c>
      <c r="Q32" s="24">
        <f>VLOOKUP($Q$13,Summary!$B:$AB,MATCH(Note!N32,Summary!$B$2:$AB$2,),)</f>
        <v>51.9</v>
      </c>
      <c r="R32" s="56">
        <f t="shared" si="0"/>
        <v>0.89999999999999858</v>
      </c>
      <c r="S32" s="57">
        <v>1.9E-2</v>
      </c>
    </row>
    <row r="33" spans="2:19" x14ac:dyDescent="0.2">
      <c r="N33" s="67" t="s">
        <v>37</v>
      </c>
      <c r="O33" s="68"/>
      <c r="P33" s="24">
        <f>VLOOKUP($P$13,Summary!$B:$AB,MATCH(Note!N33,Summary!$B$2:$AB$2,),)</f>
        <v>55.1</v>
      </c>
      <c r="Q33" s="24">
        <f>VLOOKUP($Q$13,Summary!$B:$AB,MATCH(Note!N33,Summary!$B$2:$AB$2,),)</f>
        <v>55.5</v>
      </c>
      <c r="R33" s="56">
        <f t="shared" si="0"/>
        <v>-0.39999999999999858</v>
      </c>
      <c r="S33" s="57">
        <v>7.1126227330842468E-3</v>
      </c>
    </row>
    <row r="34" spans="2:19" x14ac:dyDescent="0.2">
      <c r="N34" s="67" t="s">
        <v>38</v>
      </c>
      <c r="O34" s="68"/>
      <c r="P34" s="24">
        <f>VLOOKUP($P$13,Summary!$B:$AB,MATCH(Note!N34,Summary!$B$2:$AB$2,),)</f>
        <v>57.9</v>
      </c>
      <c r="Q34" s="24">
        <f>VLOOKUP($Q$13,Summary!$B:$AB,MATCH(Note!N34,Summary!$B$2:$AB$2,),)</f>
        <v>59</v>
      </c>
      <c r="R34" s="56">
        <f t="shared" si="0"/>
        <v>-1.1000000000000014</v>
      </c>
      <c r="S34" s="57">
        <v>2.4825908317920582E-3</v>
      </c>
    </row>
    <row r="35" spans="2:19" x14ac:dyDescent="0.2">
      <c r="N35" s="67" t="s">
        <v>39</v>
      </c>
      <c r="O35" s="68"/>
      <c r="P35" s="24">
        <f>VLOOKUP($P$13,Summary!$B:$AB,MATCH(Note!N35,Summary!$B$2:$AB$2,),)</f>
        <v>59.4</v>
      </c>
      <c r="Q35" s="24">
        <f>VLOOKUP($Q$13,Summary!$B:$AB,MATCH(Note!N35,Summary!$B$2:$AB$2,),)</f>
        <v>58.3</v>
      </c>
      <c r="R35" s="56">
        <f t="shared" si="0"/>
        <v>1.1000000000000014</v>
      </c>
      <c r="S35" s="57">
        <v>4.1459266890927372E-3</v>
      </c>
    </row>
    <row r="36" spans="2:19" x14ac:dyDescent="0.2">
      <c r="N36" s="67" t="s">
        <v>40</v>
      </c>
      <c r="O36" s="68"/>
      <c r="P36" s="24">
        <f>VLOOKUP($P$13,Summary!$B:$AB,MATCH(Note!N36,Summary!$B$2:$AB$2,),)</f>
        <v>50.5</v>
      </c>
      <c r="Q36" s="24">
        <f>VLOOKUP($Q$13,Summary!$B:$AB,MATCH(Note!N36,Summary!$B$2:$AB$2,),)</f>
        <v>52.1</v>
      </c>
      <c r="R36" s="56">
        <f t="shared" si="0"/>
        <v>-1.6000000000000014</v>
      </c>
      <c r="S36" s="57">
        <v>1.0563423989275209E-2</v>
      </c>
    </row>
    <row r="37" spans="2:19" x14ac:dyDescent="0.2">
      <c r="N37" s="67" t="s">
        <v>41</v>
      </c>
      <c r="O37" s="68"/>
      <c r="P37" s="24">
        <f>VLOOKUP($P$13,Summary!$B:$AB,MATCH(Note!N37,Summary!$B$2:$AB$2,),)</f>
        <v>59</v>
      </c>
      <c r="Q37" s="24">
        <f>VLOOKUP($Q$13,Summary!$B:$AB,MATCH(Note!N37,Summary!$B$2:$AB$2,),)</f>
        <v>59.1</v>
      </c>
      <c r="R37" s="56">
        <f t="shared" si="0"/>
        <v>-0.10000000000000142</v>
      </c>
      <c r="S37" s="57">
        <v>3.0000000000000001E-3</v>
      </c>
    </row>
    <row r="38" spans="2:19" x14ac:dyDescent="0.2">
      <c r="N38" s="67" t="s">
        <v>42</v>
      </c>
      <c r="O38" s="68"/>
      <c r="P38" s="24">
        <f>VLOOKUP($P$13,Summary!$B:$AB,MATCH(Note!N38,Summary!$B$2:$AB$2,),)</f>
        <v>54.5</v>
      </c>
      <c r="Q38" s="24">
        <f>VLOOKUP($Q$13,Summary!$B:$AB,MATCH(Note!N38,Summary!$B$2:$AB$2,),)</f>
        <v>56.1</v>
      </c>
      <c r="R38" s="56">
        <f t="shared" si="0"/>
        <v>-1.6000000000000014</v>
      </c>
      <c r="S38" s="57">
        <v>6.5168009334541531E-3</v>
      </c>
    </row>
    <row r="39" spans="2:19" x14ac:dyDescent="0.2">
      <c r="N39" s="67" t="s">
        <v>43</v>
      </c>
      <c r="O39" s="68"/>
      <c r="P39" s="24">
        <f>VLOOKUP($P$13,Summary!$B:$AB,MATCH(Note!N39,Summary!$B$2:$AB$2,),)</f>
        <v>60.9</v>
      </c>
      <c r="Q39" s="24">
        <f>VLOOKUP($Q$13,Summary!$B:$AB,MATCH(Note!N39,Summary!$B$2:$AB$2,),)</f>
        <v>64.400000000000006</v>
      </c>
      <c r="R39" s="56">
        <f t="shared" si="0"/>
        <v>-3.5000000000000071</v>
      </c>
      <c r="S39" s="57">
        <v>4.0342101016620944E-3</v>
      </c>
    </row>
    <row r="41" spans="2:19" ht="30" customHeight="1" x14ac:dyDescent="0.2"/>
    <row r="44" spans="2:19" x14ac:dyDescent="0.2">
      <c r="B44" s="69"/>
      <c r="C44" s="70"/>
      <c r="D44" s="70"/>
      <c r="E44" s="70"/>
      <c r="F44" s="70"/>
      <c r="G44" s="70"/>
      <c r="H44" s="70"/>
      <c r="I44" s="70"/>
      <c r="J44" s="70"/>
      <c r="K44" s="70"/>
      <c r="L44" s="70"/>
      <c r="M44" s="70"/>
      <c r="N44" s="70"/>
      <c r="O44" s="70"/>
      <c r="P44" s="70"/>
      <c r="Q44" s="70"/>
      <c r="R44" s="70"/>
      <c r="S44" s="70"/>
    </row>
    <row r="45" spans="2:19" x14ac:dyDescent="0.2">
      <c r="B45" s="73"/>
      <c r="C45" s="70"/>
      <c r="D45" s="70"/>
      <c r="E45" s="70"/>
      <c r="F45" s="70"/>
      <c r="G45" s="70"/>
      <c r="H45" s="70"/>
      <c r="I45" s="70"/>
      <c r="J45" s="70"/>
      <c r="K45" s="70"/>
      <c r="L45" s="70"/>
      <c r="M45" s="70"/>
      <c r="N45" s="70"/>
      <c r="O45" s="70"/>
      <c r="P45" s="70"/>
      <c r="Q45" s="70"/>
      <c r="R45" s="70"/>
      <c r="S45" s="70"/>
    </row>
    <row r="46" spans="2:19" x14ac:dyDescent="0.2">
      <c r="B46" s="71"/>
      <c r="C46" s="70"/>
      <c r="D46" s="70"/>
      <c r="E46" s="70"/>
      <c r="F46" s="70"/>
      <c r="G46" s="70"/>
      <c r="H46" s="70"/>
      <c r="I46" s="70"/>
      <c r="J46" s="70"/>
      <c r="K46" s="70"/>
      <c r="L46" s="70"/>
      <c r="M46" s="70"/>
      <c r="N46" s="70"/>
      <c r="O46" s="70"/>
      <c r="P46" s="70"/>
      <c r="Q46" s="70"/>
      <c r="R46" s="70"/>
      <c r="S46" s="70"/>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AZ340"/>
  <sheetViews>
    <sheetView zoomScale="160" zoomScaleNormal="160" workbookViewId="0">
      <pane ySplit="1" topLeftCell="A314" activePane="bottomLeft" state="frozen"/>
      <selection pane="bottomLeft" activeCell="X324" sqref="X324"/>
    </sheetView>
  </sheetViews>
  <sheetFormatPr baseColWidth="10" defaultRowHeight="15" x14ac:dyDescent="0.2"/>
  <cols>
    <col min="1" max="28" width="10.83203125" style="61" customWidth="1"/>
    <col min="29" max="16384" width="10.83203125" style="61"/>
  </cols>
  <sheetData>
    <row r="1" spans="1:52" x14ac:dyDescent="0.2">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row>
    <row r="2" spans="1:52" x14ac:dyDescent="0.2">
      <c r="A2" s="64">
        <v>34335</v>
      </c>
      <c r="I2">
        <v>62.8</v>
      </c>
    </row>
    <row r="3" spans="1:52" x14ac:dyDescent="0.2">
      <c r="A3" s="64">
        <v>34366</v>
      </c>
      <c r="I3">
        <v>67.53</v>
      </c>
    </row>
    <row r="4" spans="1:52" x14ac:dyDescent="0.2">
      <c r="A4" s="64">
        <v>34394</v>
      </c>
      <c r="I4">
        <v>61.89</v>
      </c>
    </row>
    <row r="5" spans="1:52" x14ac:dyDescent="0.2">
      <c r="A5" s="64">
        <v>34425</v>
      </c>
      <c r="I5">
        <v>60.57</v>
      </c>
    </row>
    <row r="6" spans="1:52" x14ac:dyDescent="0.2">
      <c r="A6" s="64">
        <v>34455</v>
      </c>
      <c r="I6">
        <v>63.1</v>
      </c>
    </row>
    <row r="7" spans="1:52" x14ac:dyDescent="0.2">
      <c r="A7" s="64">
        <v>34486</v>
      </c>
      <c r="I7">
        <v>62.94</v>
      </c>
    </row>
    <row r="8" spans="1:52" x14ac:dyDescent="0.2">
      <c r="A8" s="64">
        <v>34516</v>
      </c>
      <c r="I8">
        <v>63.1</v>
      </c>
    </row>
    <row r="9" spans="1:52" x14ac:dyDescent="0.2">
      <c r="A9" s="64">
        <v>34547</v>
      </c>
      <c r="I9">
        <v>59.49</v>
      </c>
    </row>
    <row r="10" spans="1:52" x14ac:dyDescent="0.2">
      <c r="A10" s="64">
        <v>34578</v>
      </c>
      <c r="I10">
        <v>59.36</v>
      </c>
    </row>
    <row r="11" spans="1:52" x14ac:dyDescent="0.2">
      <c r="A11" s="64">
        <v>34608</v>
      </c>
      <c r="I11">
        <v>61.33</v>
      </c>
    </row>
    <row r="12" spans="1:52" x14ac:dyDescent="0.2">
      <c r="A12" s="64">
        <v>34639</v>
      </c>
      <c r="I12">
        <v>60.53</v>
      </c>
    </row>
    <row r="13" spans="1:52" x14ac:dyDescent="0.2">
      <c r="A13" s="64">
        <v>34669</v>
      </c>
      <c r="I13">
        <v>62.29</v>
      </c>
    </row>
    <row r="14" spans="1:52" x14ac:dyDescent="0.2">
      <c r="A14" s="64">
        <v>34700</v>
      </c>
      <c r="I14">
        <v>62.95</v>
      </c>
    </row>
    <row r="15" spans="1:52" x14ac:dyDescent="0.2">
      <c r="A15" s="64">
        <v>34731</v>
      </c>
      <c r="I15">
        <v>63.78</v>
      </c>
    </row>
    <row r="16" spans="1:52" x14ac:dyDescent="0.2">
      <c r="A16" s="64">
        <v>34759</v>
      </c>
      <c r="I16">
        <v>61.91</v>
      </c>
    </row>
    <row r="17" spans="1:9" x14ac:dyDescent="0.2">
      <c r="A17" s="64">
        <v>34790</v>
      </c>
      <c r="I17">
        <v>59.68</v>
      </c>
    </row>
    <row r="18" spans="1:9" x14ac:dyDescent="0.2">
      <c r="A18" s="64">
        <v>34820</v>
      </c>
      <c r="I18">
        <v>58.91</v>
      </c>
    </row>
    <row r="19" spans="1:9" x14ac:dyDescent="0.2">
      <c r="A19" s="64">
        <v>34851</v>
      </c>
      <c r="I19">
        <v>58.16</v>
      </c>
    </row>
    <row r="20" spans="1:9" x14ac:dyDescent="0.2">
      <c r="A20" s="64">
        <v>34881</v>
      </c>
      <c r="I20">
        <v>65.400000000000006</v>
      </c>
    </row>
    <row r="21" spans="1:9" x14ac:dyDescent="0.2">
      <c r="A21" s="64">
        <v>34912</v>
      </c>
      <c r="I21">
        <v>56.52</v>
      </c>
    </row>
    <row r="22" spans="1:9" x14ac:dyDescent="0.2">
      <c r="A22" s="64">
        <v>34943</v>
      </c>
      <c r="I22">
        <v>55.66</v>
      </c>
    </row>
    <row r="23" spans="1:9" x14ac:dyDescent="0.2">
      <c r="A23" s="64">
        <v>34973</v>
      </c>
      <c r="I23">
        <v>53.13</v>
      </c>
    </row>
    <row r="24" spans="1:9" x14ac:dyDescent="0.2">
      <c r="A24" s="64">
        <v>35004</v>
      </c>
      <c r="I24">
        <v>55.08</v>
      </c>
    </row>
    <row r="25" spans="1:9" x14ac:dyDescent="0.2">
      <c r="A25" s="64">
        <v>35034</v>
      </c>
      <c r="I25">
        <v>54.03</v>
      </c>
    </row>
    <row r="26" spans="1:9" x14ac:dyDescent="0.2">
      <c r="A26" s="64">
        <v>35065</v>
      </c>
      <c r="I26">
        <v>50.16</v>
      </c>
    </row>
    <row r="27" spans="1:9" x14ac:dyDescent="0.2">
      <c r="A27" s="64">
        <v>35096</v>
      </c>
      <c r="I27">
        <v>46.38</v>
      </c>
    </row>
    <row r="28" spans="1:9" x14ac:dyDescent="0.2">
      <c r="A28" s="64">
        <v>35125</v>
      </c>
      <c r="I28">
        <v>52.65</v>
      </c>
    </row>
    <row r="29" spans="1:9" x14ac:dyDescent="0.2">
      <c r="A29" s="64">
        <v>35156</v>
      </c>
      <c r="I29">
        <v>54.64</v>
      </c>
    </row>
    <row r="30" spans="1:9" x14ac:dyDescent="0.2">
      <c r="A30" s="64">
        <v>35186</v>
      </c>
      <c r="I30">
        <v>48.99</v>
      </c>
    </row>
    <row r="31" spans="1:9" x14ac:dyDescent="0.2">
      <c r="A31" s="64">
        <v>35217</v>
      </c>
      <c r="I31">
        <v>50.64</v>
      </c>
    </row>
    <row r="32" spans="1:9" x14ac:dyDescent="0.2">
      <c r="A32" s="64">
        <v>35247</v>
      </c>
      <c r="I32">
        <v>54.72</v>
      </c>
    </row>
    <row r="33" spans="1:9" x14ac:dyDescent="0.2">
      <c r="A33" s="64">
        <v>35278</v>
      </c>
      <c r="I33">
        <v>56.46</v>
      </c>
    </row>
    <row r="34" spans="1:9" x14ac:dyDescent="0.2">
      <c r="A34" s="64">
        <v>35309</v>
      </c>
      <c r="I34">
        <v>59.28</v>
      </c>
    </row>
    <row r="35" spans="1:9" x14ac:dyDescent="0.2">
      <c r="A35" s="64">
        <v>35339</v>
      </c>
      <c r="I35">
        <v>57.49</v>
      </c>
    </row>
    <row r="36" spans="1:9" x14ac:dyDescent="0.2">
      <c r="A36" s="64">
        <v>35370</v>
      </c>
      <c r="I36">
        <v>61.57</v>
      </c>
    </row>
    <row r="37" spans="1:9" x14ac:dyDescent="0.2">
      <c r="A37" s="64">
        <v>35400</v>
      </c>
      <c r="I37">
        <v>60.71</v>
      </c>
    </row>
    <row r="38" spans="1:9" x14ac:dyDescent="0.2">
      <c r="A38" s="64">
        <v>35431</v>
      </c>
      <c r="I38">
        <v>62.72</v>
      </c>
    </row>
    <row r="39" spans="1:9" x14ac:dyDescent="0.2">
      <c r="A39" s="64">
        <v>35462</v>
      </c>
      <c r="I39">
        <v>57.65</v>
      </c>
    </row>
    <row r="40" spans="1:9" x14ac:dyDescent="0.2">
      <c r="A40" s="64">
        <v>35490</v>
      </c>
      <c r="I40">
        <v>60.39</v>
      </c>
    </row>
    <row r="41" spans="1:9" x14ac:dyDescent="0.2">
      <c r="A41" s="64">
        <v>35521</v>
      </c>
      <c r="I41">
        <v>60.87</v>
      </c>
    </row>
    <row r="42" spans="1:9" x14ac:dyDescent="0.2">
      <c r="A42" s="64">
        <v>35551</v>
      </c>
      <c r="I42">
        <v>64.19</v>
      </c>
    </row>
    <row r="43" spans="1:9" x14ac:dyDescent="0.2">
      <c r="A43" s="64">
        <v>35582</v>
      </c>
      <c r="I43">
        <v>63.39</v>
      </c>
    </row>
    <row r="44" spans="1:9" x14ac:dyDescent="0.2">
      <c r="A44" s="64">
        <v>35612</v>
      </c>
      <c r="I44">
        <v>54.92</v>
      </c>
    </row>
    <row r="45" spans="1:9" x14ac:dyDescent="0.2">
      <c r="A45" s="64">
        <v>35643</v>
      </c>
      <c r="I45">
        <v>61.25</v>
      </c>
    </row>
    <row r="46" spans="1:9" x14ac:dyDescent="0.2">
      <c r="A46" s="64">
        <v>35674</v>
      </c>
      <c r="I46">
        <v>61.84</v>
      </c>
    </row>
    <row r="47" spans="1:9" x14ac:dyDescent="0.2">
      <c r="A47" s="64">
        <v>35704</v>
      </c>
      <c r="I47">
        <v>58.84</v>
      </c>
    </row>
    <row r="48" spans="1:9" x14ac:dyDescent="0.2">
      <c r="A48" s="64">
        <v>35735</v>
      </c>
      <c r="I48">
        <v>56.3</v>
      </c>
    </row>
    <row r="49" spans="1:9" x14ac:dyDescent="0.2">
      <c r="A49" s="64">
        <v>35765</v>
      </c>
      <c r="I49">
        <v>56.74</v>
      </c>
    </row>
    <row r="50" spans="1:9" x14ac:dyDescent="0.2">
      <c r="A50" s="64">
        <v>35796</v>
      </c>
      <c r="I50">
        <v>55.77</v>
      </c>
    </row>
    <row r="51" spans="1:9" x14ac:dyDescent="0.2">
      <c r="A51" s="64">
        <v>35827</v>
      </c>
      <c r="I51">
        <v>55.65</v>
      </c>
    </row>
    <row r="52" spans="1:9" x14ac:dyDescent="0.2">
      <c r="A52" s="64">
        <v>35855</v>
      </c>
      <c r="I52">
        <v>58.86</v>
      </c>
    </row>
    <row r="53" spans="1:9" x14ac:dyDescent="0.2">
      <c r="A53" s="64">
        <v>35886</v>
      </c>
      <c r="I53">
        <v>58.81</v>
      </c>
    </row>
    <row r="54" spans="1:9" x14ac:dyDescent="0.2">
      <c r="A54" s="64">
        <v>35916</v>
      </c>
      <c r="I54">
        <v>60.33</v>
      </c>
    </row>
    <row r="55" spans="1:9" x14ac:dyDescent="0.2">
      <c r="A55" s="64">
        <v>35947</v>
      </c>
      <c r="I55">
        <v>57.46</v>
      </c>
    </row>
    <row r="56" spans="1:9" x14ac:dyDescent="0.2">
      <c r="A56" s="64">
        <v>35977</v>
      </c>
      <c r="I56">
        <v>50.71</v>
      </c>
    </row>
    <row r="57" spans="1:9" x14ac:dyDescent="0.2">
      <c r="A57" s="64">
        <v>36008</v>
      </c>
      <c r="I57">
        <v>62.84</v>
      </c>
    </row>
    <row r="58" spans="1:9" x14ac:dyDescent="0.2">
      <c r="A58" s="64">
        <v>36039</v>
      </c>
      <c r="I58">
        <v>51.54</v>
      </c>
    </row>
    <row r="59" spans="1:9" x14ac:dyDescent="0.2">
      <c r="A59" s="64">
        <v>36069</v>
      </c>
      <c r="I59">
        <v>54.96</v>
      </c>
    </row>
    <row r="60" spans="1:9" x14ac:dyDescent="0.2">
      <c r="A60" s="64">
        <v>36100</v>
      </c>
      <c r="I60">
        <v>48.18</v>
      </c>
    </row>
    <row r="61" spans="1:9" x14ac:dyDescent="0.2">
      <c r="A61" s="64">
        <v>36130</v>
      </c>
      <c r="I61">
        <v>49.94</v>
      </c>
    </row>
    <row r="62" spans="1:9" x14ac:dyDescent="0.2">
      <c r="A62" s="64">
        <v>36161</v>
      </c>
      <c r="I62">
        <v>53.69</v>
      </c>
    </row>
    <row r="63" spans="1:9" x14ac:dyDescent="0.2">
      <c r="A63" s="64">
        <v>36192</v>
      </c>
      <c r="I63">
        <v>55.51</v>
      </c>
    </row>
    <row r="64" spans="1:9" x14ac:dyDescent="0.2">
      <c r="A64" s="64">
        <v>36220</v>
      </c>
      <c r="I64">
        <v>45.32</v>
      </c>
    </row>
    <row r="65" spans="1:40" x14ac:dyDescent="0.2">
      <c r="A65" s="64">
        <v>36251</v>
      </c>
      <c r="I65">
        <v>50.98</v>
      </c>
    </row>
    <row r="66" spans="1:40" x14ac:dyDescent="0.2">
      <c r="A66" s="64">
        <v>36281</v>
      </c>
      <c r="I66">
        <v>48.33</v>
      </c>
    </row>
    <row r="67" spans="1:40" x14ac:dyDescent="0.2">
      <c r="A67" s="64">
        <v>36312</v>
      </c>
      <c r="I67">
        <v>51.51</v>
      </c>
    </row>
    <row r="68" spans="1:40" x14ac:dyDescent="0.2">
      <c r="A68" s="64">
        <v>36342</v>
      </c>
      <c r="I68">
        <v>53.07</v>
      </c>
    </row>
    <row r="69" spans="1:40" x14ac:dyDescent="0.2">
      <c r="A69" s="64">
        <v>36373</v>
      </c>
      <c r="I69">
        <v>49.58</v>
      </c>
    </row>
    <row r="70" spans="1:40" x14ac:dyDescent="0.2">
      <c r="A70" s="64">
        <v>36404</v>
      </c>
      <c r="I70">
        <v>52.05</v>
      </c>
    </row>
    <row r="71" spans="1:40" x14ac:dyDescent="0.2">
      <c r="A71" s="64">
        <v>36434</v>
      </c>
      <c r="I71">
        <v>69.790000000000006</v>
      </c>
    </row>
    <row r="72" spans="1:40" x14ac:dyDescent="0.2">
      <c r="A72" s="64">
        <v>36465</v>
      </c>
      <c r="I72">
        <v>64.63</v>
      </c>
    </row>
    <row r="73" spans="1:40" x14ac:dyDescent="0.2">
      <c r="A73" s="64">
        <v>36495</v>
      </c>
      <c r="I73">
        <v>46.56</v>
      </c>
    </row>
    <row r="74" spans="1:40" x14ac:dyDescent="0.2">
      <c r="A74" s="64">
        <v>36526</v>
      </c>
      <c r="I74">
        <v>56.5</v>
      </c>
      <c r="AN74">
        <v>56.66</v>
      </c>
    </row>
    <row r="75" spans="1:40" x14ac:dyDescent="0.2">
      <c r="A75" s="64">
        <v>36557</v>
      </c>
      <c r="I75">
        <v>60.09</v>
      </c>
      <c r="AN75">
        <v>57.26</v>
      </c>
    </row>
    <row r="76" spans="1:40" x14ac:dyDescent="0.2">
      <c r="A76" s="64">
        <v>36586</v>
      </c>
      <c r="I76">
        <v>58.03</v>
      </c>
      <c r="AN76">
        <v>49.83</v>
      </c>
    </row>
    <row r="77" spans="1:40" x14ac:dyDescent="0.2">
      <c r="A77" s="64">
        <v>36617</v>
      </c>
      <c r="I77">
        <v>54.9</v>
      </c>
      <c r="AN77">
        <v>52.72</v>
      </c>
    </row>
    <row r="78" spans="1:40" x14ac:dyDescent="0.2">
      <c r="A78" s="64">
        <v>36647</v>
      </c>
      <c r="I78">
        <v>55.18</v>
      </c>
      <c r="AN78">
        <v>50.05</v>
      </c>
    </row>
    <row r="79" spans="1:40" x14ac:dyDescent="0.2">
      <c r="A79" s="64">
        <v>36678</v>
      </c>
      <c r="I79">
        <v>53.67</v>
      </c>
      <c r="AN79">
        <v>49.65</v>
      </c>
    </row>
    <row r="80" spans="1:40" x14ac:dyDescent="0.2">
      <c r="A80" s="64">
        <v>36708</v>
      </c>
      <c r="I80">
        <v>64.069999999999993</v>
      </c>
      <c r="AN80">
        <v>49.18</v>
      </c>
    </row>
    <row r="81" spans="1:40" x14ac:dyDescent="0.2">
      <c r="A81" s="64">
        <v>36739</v>
      </c>
      <c r="I81">
        <v>56.81</v>
      </c>
      <c r="AN81">
        <v>51.48</v>
      </c>
    </row>
    <row r="82" spans="1:40" x14ac:dyDescent="0.2">
      <c r="A82" s="64">
        <v>36770</v>
      </c>
      <c r="I82">
        <v>56.21</v>
      </c>
      <c r="AN82">
        <v>53.75</v>
      </c>
    </row>
    <row r="83" spans="1:40" x14ac:dyDescent="0.2">
      <c r="A83" s="64">
        <v>36800</v>
      </c>
      <c r="I83">
        <v>59.71</v>
      </c>
      <c r="AN83">
        <v>56.34</v>
      </c>
    </row>
    <row r="84" spans="1:40" x14ac:dyDescent="0.2">
      <c r="A84" s="64">
        <v>36831</v>
      </c>
      <c r="I84">
        <v>54.29</v>
      </c>
      <c r="AN84">
        <v>51.73</v>
      </c>
    </row>
    <row r="85" spans="1:40" x14ac:dyDescent="0.2">
      <c r="A85" s="64">
        <v>36861</v>
      </c>
      <c r="I85">
        <v>55.54</v>
      </c>
      <c r="AN85">
        <v>50.48</v>
      </c>
    </row>
    <row r="86" spans="1:40" x14ac:dyDescent="0.2">
      <c r="A86" s="64">
        <v>36892</v>
      </c>
      <c r="I86">
        <v>52.88</v>
      </c>
      <c r="AN86">
        <v>49.29</v>
      </c>
    </row>
    <row r="87" spans="1:40" x14ac:dyDescent="0.2">
      <c r="A87" s="64">
        <v>36923</v>
      </c>
      <c r="I87">
        <v>51.59</v>
      </c>
      <c r="AN87">
        <v>53.48</v>
      </c>
    </row>
    <row r="88" spans="1:40" x14ac:dyDescent="0.2">
      <c r="A88" s="64">
        <v>36951</v>
      </c>
      <c r="I88">
        <v>52.49</v>
      </c>
      <c r="AN88">
        <v>53.61</v>
      </c>
    </row>
    <row r="89" spans="1:40" x14ac:dyDescent="0.2">
      <c r="A89" s="64">
        <v>36982</v>
      </c>
      <c r="I89">
        <v>49.61</v>
      </c>
      <c r="AN89">
        <v>52.38</v>
      </c>
    </row>
    <row r="90" spans="1:40" x14ac:dyDescent="0.2">
      <c r="A90" s="64">
        <v>37012</v>
      </c>
      <c r="I90">
        <v>52.89</v>
      </c>
      <c r="AN90">
        <v>55.01</v>
      </c>
    </row>
    <row r="91" spans="1:40" x14ac:dyDescent="0.2">
      <c r="A91" s="64">
        <v>37043</v>
      </c>
      <c r="I91">
        <v>53.97</v>
      </c>
      <c r="AN91">
        <v>56.17</v>
      </c>
    </row>
    <row r="92" spans="1:40" x14ac:dyDescent="0.2">
      <c r="A92" s="64">
        <v>37073</v>
      </c>
      <c r="I92">
        <v>50.42</v>
      </c>
      <c r="AN92">
        <v>51.34</v>
      </c>
    </row>
    <row r="93" spans="1:40" x14ac:dyDescent="0.2">
      <c r="A93" s="64">
        <v>37104</v>
      </c>
      <c r="I93">
        <v>53.21</v>
      </c>
      <c r="AN93">
        <v>51.22</v>
      </c>
    </row>
    <row r="94" spans="1:40" x14ac:dyDescent="0.2">
      <c r="A94" s="64">
        <v>37135</v>
      </c>
      <c r="I94">
        <v>47.75</v>
      </c>
      <c r="AN94">
        <v>48.76</v>
      </c>
    </row>
    <row r="95" spans="1:40" x14ac:dyDescent="0.2">
      <c r="A95" s="64">
        <v>37165</v>
      </c>
      <c r="I95">
        <v>46.09</v>
      </c>
      <c r="AN95">
        <v>50.25</v>
      </c>
    </row>
    <row r="96" spans="1:40" x14ac:dyDescent="0.2">
      <c r="A96" s="64">
        <v>37196</v>
      </c>
      <c r="I96">
        <v>50.81</v>
      </c>
      <c r="AN96">
        <v>54.35</v>
      </c>
    </row>
    <row r="97" spans="1:40" x14ac:dyDescent="0.2">
      <c r="A97" s="64">
        <v>37226</v>
      </c>
      <c r="I97">
        <v>46.1</v>
      </c>
      <c r="AN97">
        <v>55.35</v>
      </c>
    </row>
    <row r="98" spans="1:40" x14ac:dyDescent="0.2">
      <c r="A98" s="64">
        <v>37257</v>
      </c>
      <c r="I98">
        <v>52.42</v>
      </c>
      <c r="AN98">
        <v>55.53</v>
      </c>
    </row>
    <row r="99" spans="1:40" x14ac:dyDescent="0.2">
      <c r="A99" s="64">
        <v>37288</v>
      </c>
      <c r="I99">
        <v>53.28</v>
      </c>
      <c r="AN99">
        <v>53.87</v>
      </c>
    </row>
    <row r="100" spans="1:40" x14ac:dyDescent="0.2">
      <c r="A100" s="64">
        <v>37316</v>
      </c>
      <c r="I100">
        <v>53.02</v>
      </c>
      <c r="AN100">
        <v>53.63</v>
      </c>
    </row>
    <row r="101" spans="1:40" x14ac:dyDescent="0.2">
      <c r="A101" s="64">
        <v>37347</v>
      </c>
      <c r="I101">
        <v>55.71</v>
      </c>
      <c r="AN101">
        <v>60.87</v>
      </c>
    </row>
    <row r="102" spans="1:40" x14ac:dyDescent="0.2">
      <c r="A102" s="64">
        <v>37377</v>
      </c>
      <c r="I102">
        <v>52.26</v>
      </c>
      <c r="AN102">
        <v>58.74</v>
      </c>
    </row>
    <row r="103" spans="1:40" x14ac:dyDescent="0.2">
      <c r="A103" s="64">
        <v>37408</v>
      </c>
      <c r="I103">
        <v>53.98</v>
      </c>
      <c r="AN103">
        <v>56.43</v>
      </c>
    </row>
    <row r="104" spans="1:40" x14ac:dyDescent="0.2">
      <c r="A104" s="64">
        <v>37438</v>
      </c>
      <c r="I104">
        <v>54.33</v>
      </c>
      <c r="AN104">
        <v>54.63</v>
      </c>
    </row>
    <row r="105" spans="1:40" x14ac:dyDescent="0.2">
      <c r="A105" s="64">
        <v>37469</v>
      </c>
      <c r="I105">
        <v>53.11</v>
      </c>
      <c r="AD105">
        <v>56.907262129678003</v>
      </c>
      <c r="AN105">
        <v>55.58</v>
      </c>
    </row>
    <row r="106" spans="1:40" x14ac:dyDescent="0.2">
      <c r="A106" s="64">
        <v>37500</v>
      </c>
      <c r="I106">
        <v>52.08</v>
      </c>
      <c r="AD106">
        <v>58.558944963243398</v>
      </c>
      <c r="AN106">
        <v>57.74</v>
      </c>
    </row>
    <row r="107" spans="1:40" x14ac:dyDescent="0.2">
      <c r="A107" s="64">
        <v>37530</v>
      </c>
      <c r="I107">
        <v>47.57</v>
      </c>
      <c r="AD107">
        <v>57.946692398866297</v>
      </c>
      <c r="AN107">
        <v>56.38</v>
      </c>
    </row>
    <row r="108" spans="1:40" x14ac:dyDescent="0.2">
      <c r="A108" s="64">
        <v>37561</v>
      </c>
      <c r="I108">
        <v>47.96</v>
      </c>
      <c r="AD108">
        <v>57.045752075729702</v>
      </c>
      <c r="AN108">
        <v>54.54</v>
      </c>
    </row>
    <row r="109" spans="1:40" x14ac:dyDescent="0.2">
      <c r="A109" s="64">
        <v>37591</v>
      </c>
      <c r="I109">
        <v>48.71</v>
      </c>
      <c r="AD109">
        <v>57.162855142389098</v>
      </c>
      <c r="AN109">
        <v>55.28</v>
      </c>
    </row>
    <row r="110" spans="1:40" x14ac:dyDescent="0.2">
      <c r="A110" s="64">
        <v>37622</v>
      </c>
      <c r="I110">
        <v>46.3</v>
      </c>
      <c r="AD110">
        <v>56.037312647284203</v>
      </c>
      <c r="AN110">
        <v>56.84</v>
      </c>
    </row>
    <row r="111" spans="1:40" x14ac:dyDescent="0.2">
      <c r="A111" s="64">
        <v>37653</v>
      </c>
      <c r="I111">
        <v>46.27</v>
      </c>
      <c r="AD111">
        <v>54.453721410704397</v>
      </c>
      <c r="AN111">
        <v>52.39</v>
      </c>
    </row>
    <row r="112" spans="1:40" x14ac:dyDescent="0.2">
      <c r="A112" s="64">
        <v>37681</v>
      </c>
      <c r="I112">
        <v>49.92</v>
      </c>
      <c r="AD112">
        <v>52.803630209600101</v>
      </c>
      <c r="AN112">
        <v>49.15</v>
      </c>
    </row>
    <row r="113" spans="1:40" x14ac:dyDescent="0.2">
      <c r="A113" s="64">
        <v>37712</v>
      </c>
      <c r="I113">
        <v>52.91</v>
      </c>
      <c r="AD113">
        <v>53.3207423548318</v>
      </c>
      <c r="AN113">
        <v>48.99</v>
      </c>
    </row>
    <row r="114" spans="1:40" x14ac:dyDescent="0.2">
      <c r="A114" s="64">
        <v>37742</v>
      </c>
      <c r="I114">
        <v>50.11</v>
      </c>
      <c r="AD114">
        <v>51.856412409729302</v>
      </c>
      <c r="AN114">
        <v>46.13</v>
      </c>
    </row>
    <row r="115" spans="1:40" x14ac:dyDescent="0.2">
      <c r="A115" s="64">
        <v>37773</v>
      </c>
      <c r="I115">
        <v>47.14</v>
      </c>
      <c r="AD115">
        <v>53.437648762611197</v>
      </c>
      <c r="AN115">
        <v>45.22</v>
      </c>
    </row>
    <row r="116" spans="1:40" x14ac:dyDescent="0.2">
      <c r="A116" s="64">
        <v>37803</v>
      </c>
      <c r="I116">
        <v>49.65</v>
      </c>
      <c r="AD116">
        <v>53.0699070792162</v>
      </c>
      <c r="AN116">
        <v>47.89</v>
      </c>
    </row>
    <row r="117" spans="1:40" x14ac:dyDescent="0.2">
      <c r="A117" s="64">
        <v>37834</v>
      </c>
      <c r="I117">
        <v>49.78</v>
      </c>
      <c r="AD117">
        <v>50.568235899885103</v>
      </c>
      <c r="AN117">
        <v>48.44</v>
      </c>
    </row>
    <row r="118" spans="1:40" x14ac:dyDescent="0.2">
      <c r="A118" s="64">
        <v>37865</v>
      </c>
      <c r="I118">
        <v>59.65</v>
      </c>
      <c r="AD118">
        <v>57.843029176009402</v>
      </c>
      <c r="AN118">
        <v>45.46</v>
      </c>
    </row>
    <row r="119" spans="1:40" x14ac:dyDescent="0.2">
      <c r="A119" s="64">
        <v>37895</v>
      </c>
      <c r="I119">
        <v>54.14</v>
      </c>
      <c r="AD119">
        <v>60.866406299467698</v>
      </c>
      <c r="AN119">
        <v>47.73</v>
      </c>
    </row>
    <row r="120" spans="1:40" x14ac:dyDescent="0.2">
      <c r="A120" s="64">
        <v>37926</v>
      </c>
      <c r="I120">
        <v>57.7</v>
      </c>
      <c r="AD120">
        <v>56.386882357350899</v>
      </c>
      <c r="AN120">
        <v>53.1</v>
      </c>
    </row>
    <row r="121" spans="1:40" x14ac:dyDescent="0.2">
      <c r="A121" s="64">
        <v>37956</v>
      </c>
      <c r="I121">
        <v>60.4</v>
      </c>
      <c r="AD121">
        <v>54.845751644085702</v>
      </c>
      <c r="AN121">
        <v>51.55</v>
      </c>
    </row>
    <row r="122" spans="1:40" x14ac:dyDescent="0.2">
      <c r="A122" s="64">
        <v>37987</v>
      </c>
      <c r="I122">
        <v>46.37</v>
      </c>
      <c r="AD122">
        <v>55.793919717969402</v>
      </c>
      <c r="AN122">
        <v>54.61</v>
      </c>
    </row>
    <row r="123" spans="1:40" x14ac:dyDescent="0.2">
      <c r="A123" s="64">
        <v>38018</v>
      </c>
      <c r="I123">
        <v>56.97</v>
      </c>
      <c r="AD123">
        <v>56.800472168487701</v>
      </c>
      <c r="AN123">
        <v>54.29</v>
      </c>
    </row>
    <row r="124" spans="1:40" x14ac:dyDescent="0.2">
      <c r="A124" s="64">
        <v>38047</v>
      </c>
      <c r="I124">
        <v>58.99</v>
      </c>
      <c r="AD124">
        <v>59.0129037737941</v>
      </c>
      <c r="AN124">
        <v>55.84</v>
      </c>
    </row>
    <row r="125" spans="1:40" x14ac:dyDescent="0.2">
      <c r="A125" s="64">
        <v>38078</v>
      </c>
      <c r="I125">
        <v>59.16</v>
      </c>
      <c r="AD125">
        <v>58.741686967726302</v>
      </c>
      <c r="AN125">
        <v>56.95</v>
      </c>
    </row>
    <row r="126" spans="1:40" x14ac:dyDescent="0.2">
      <c r="A126" s="64">
        <v>38108</v>
      </c>
      <c r="I126">
        <v>61.27</v>
      </c>
      <c r="AD126">
        <v>56.1940744843941</v>
      </c>
      <c r="AN126">
        <v>56.6</v>
      </c>
    </row>
    <row r="127" spans="1:40" x14ac:dyDescent="0.2">
      <c r="A127" s="64">
        <v>38139</v>
      </c>
      <c r="I127">
        <v>51.93</v>
      </c>
      <c r="AD127">
        <v>62.772774028058897</v>
      </c>
      <c r="AN127">
        <v>56.83</v>
      </c>
    </row>
    <row r="128" spans="1:40" x14ac:dyDescent="0.2">
      <c r="A128" s="64">
        <v>38169</v>
      </c>
      <c r="I128">
        <v>56.18</v>
      </c>
      <c r="AD128">
        <v>58.771020874084499</v>
      </c>
      <c r="AN128">
        <v>55.54</v>
      </c>
    </row>
    <row r="129" spans="1:50" x14ac:dyDescent="0.2">
      <c r="A129" s="64">
        <v>38200</v>
      </c>
      <c r="I129">
        <v>62.38</v>
      </c>
      <c r="AD129">
        <v>57.427085291237098</v>
      </c>
      <c r="AN129">
        <v>57.5</v>
      </c>
    </row>
    <row r="130" spans="1:50" x14ac:dyDescent="0.2">
      <c r="A130" s="64">
        <v>38231</v>
      </c>
      <c r="I130">
        <v>57.36</v>
      </c>
      <c r="AD130">
        <v>55.049322078869203</v>
      </c>
      <c r="AN130">
        <v>57.5</v>
      </c>
    </row>
    <row r="131" spans="1:50" x14ac:dyDescent="0.2">
      <c r="A131" s="64">
        <v>38261</v>
      </c>
      <c r="I131">
        <v>56.87</v>
      </c>
      <c r="AD131">
        <v>52.917155117700901</v>
      </c>
      <c r="AN131">
        <v>55.37</v>
      </c>
    </row>
    <row r="132" spans="1:50" x14ac:dyDescent="0.2">
      <c r="A132" s="64">
        <v>38292</v>
      </c>
      <c r="I132">
        <v>54.39</v>
      </c>
      <c r="AD132">
        <v>57.866935416672398</v>
      </c>
      <c r="AN132">
        <v>54.08</v>
      </c>
    </row>
    <row r="133" spans="1:50" x14ac:dyDescent="0.2">
      <c r="A133" s="64">
        <v>38322</v>
      </c>
      <c r="I133">
        <v>57.58</v>
      </c>
      <c r="K133">
        <v>51.4</v>
      </c>
      <c r="AD133">
        <v>58.981422607151899</v>
      </c>
      <c r="AN133">
        <v>54.34</v>
      </c>
      <c r="AX133">
        <v>53.7</v>
      </c>
    </row>
    <row r="134" spans="1:50" x14ac:dyDescent="0.2">
      <c r="A134" s="64">
        <v>38353</v>
      </c>
      <c r="F134">
        <v>52.1</v>
      </c>
      <c r="I134">
        <v>59.37</v>
      </c>
      <c r="K134">
        <v>51.9</v>
      </c>
      <c r="AD134">
        <v>57.034440617633997</v>
      </c>
      <c r="AN134">
        <v>51.54</v>
      </c>
      <c r="AX134">
        <v>51.8</v>
      </c>
    </row>
    <row r="135" spans="1:50" x14ac:dyDescent="0.2">
      <c r="A135" s="64">
        <v>38384</v>
      </c>
      <c r="F135">
        <v>52.9</v>
      </c>
      <c r="I135">
        <v>55.3</v>
      </c>
      <c r="K135">
        <v>51.9</v>
      </c>
      <c r="AD135">
        <v>56.255983584510801</v>
      </c>
      <c r="AN135">
        <v>55.55</v>
      </c>
      <c r="AX135">
        <v>51.8</v>
      </c>
    </row>
    <row r="136" spans="1:50" x14ac:dyDescent="0.2">
      <c r="A136" s="64">
        <v>38412</v>
      </c>
      <c r="F136">
        <v>55.2</v>
      </c>
      <c r="I136">
        <v>56.66</v>
      </c>
      <c r="K136">
        <v>50.4</v>
      </c>
      <c r="AD136">
        <v>51.639603525794001</v>
      </c>
      <c r="AN136">
        <v>57.65</v>
      </c>
      <c r="AX136">
        <v>52</v>
      </c>
    </row>
    <row r="137" spans="1:50" x14ac:dyDescent="0.2">
      <c r="A137" s="64">
        <v>38443</v>
      </c>
      <c r="F137">
        <v>54.4</v>
      </c>
      <c r="I137">
        <v>52.88</v>
      </c>
      <c r="K137">
        <v>49.2</v>
      </c>
      <c r="AD137">
        <v>51.5818588801095</v>
      </c>
      <c r="AN137">
        <v>54.64</v>
      </c>
      <c r="AX137">
        <v>49.5</v>
      </c>
    </row>
    <row r="138" spans="1:50" x14ac:dyDescent="0.2">
      <c r="A138" s="64">
        <v>38473</v>
      </c>
      <c r="F138">
        <v>53.3</v>
      </c>
      <c r="I138">
        <v>53.51</v>
      </c>
      <c r="K138">
        <v>48.7</v>
      </c>
      <c r="AD138">
        <v>51.297542414814103</v>
      </c>
      <c r="AN138">
        <v>53.75</v>
      </c>
      <c r="AX138">
        <v>47.3</v>
      </c>
    </row>
    <row r="139" spans="1:50" x14ac:dyDescent="0.2">
      <c r="A139" s="64">
        <v>38504</v>
      </c>
      <c r="F139">
        <v>51</v>
      </c>
      <c r="I139">
        <v>58.58</v>
      </c>
      <c r="K139">
        <v>49.9</v>
      </c>
      <c r="AD139">
        <v>52.9270116328412</v>
      </c>
      <c r="AN139">
        <v>57.12</v>
      </c>
      <c r="AX139">
        <v>49.6</v>
      </c>
    </row>
    <row r="140" spans="1:50" x14ac:dyDescent="0.2">
      <c r="A140" s="64">
        <v>38534</v>
      </c>
      <c r="F140">
        <v>51.5</v>
      </c>
      <c r="I140">
        <v>56.43</v>
      </c>
      <c r="K140">
        <v>50.8</v>
      </c>
      <c r="AD140">
        <v>49.237862406275802</v>
      </c>
      <c r="AN140">
        <v>57.43</v>
      </c>
      <c r="AX140">
        <v>49.2</v>
      </c>
    </row>
    <row r="141" spans="1:50" x14ac:dyDescent="0.2">
      <c r="A141" s="64">
        <v>38565</v>
      </c>
      <c r="F141">
        <v>50.6</v>
      </c>
      <c r="I141">
        <v>56.34</v>
      </c>
      <c r="K141">
        <v>50.4</v>
      </c>
      <c r="AD141">
        <v>51.811669856587201</v>
      </c>
      <c r="AN141">
        <v>55.2</v>
      </c>
      <c r="AX141">
        <v>50.1</v>
      </c>
    </row>
    <row r="142" spans="1:50" x14ac:dyDescent="0.2">
      <c r="A142" s="64">
        <v>38596</v>
      </c>
      <c r="F142">
        <v>50.9</v>
      </c>
      <c r="I142">
        <v>61.16</v>
      </c>
      <c r="K142">
        <v>51.7</v>
      </c>
      <c r="AD142">
        <v>50.571930732839697</v>
      </c>
      <c r="AN142">
        <v>54.96</v>
      </c>
      <c r="AX142">
        <v>51.5</v>
      </c>
    </row>
    <row r="143" spans="1:50" x14ac:dyDescent="0.2">
      <c r="A143" s="64">
        <v>38626</v>
      </c>
      <c r="F143">
        <v>50.1</v>
      </c>
      <c r="I143">
        <v>68.930000000000007</v>
      </c>
      <c r="K143">
        <v>52.7</v>
      </c>
      <c r="AD143">
        <v>45.895480732884501</v>
      </c>
      <c r="AN143">
        <v>52.77</v>
      </c>
      <c r="AX143">
        <v>51.7</v>
      </c>
    </row>
    <row r="144" spans="1:50" x14ac:dyDescent="0.2">
      <c r="A144" s="64">
        <v>38657</v>
      </c>
      <c r="F144">
        <v>49.8</v>
      </c>
      <c r="I144">
        <v>57.53</v>
      </c>
      <c r="K144">
        <v>52.8</v>
      </c>
      <c r="AD144">
        <v>44.270599524960801</v>
      </c>
      <c r="AN144">
        <v>52.02</v>
      </c>
      <c r="AX144">
        <v>51</v>
      </c>
    </row>
    <row r="145" spans="1:50" x14ac:dyDescent="0.2">
      <c r="A145" s="64">
        <v>38687</v>
      </c>
      <c r="F145">
        <v>50.1</v>
      </c>
      <c r="I145">
        <v>59.8</v>
      </c>
      <c r="K145">
        <v>53.6</v>
      </c>
      <c r="AD145">
        <v>48.479025467498097</v>
      </c>
      <c r="AN145">
        <v>53.31</v>
      </c>
      <c r="AX145">
        <v>51.1</v>
      </c>
    </row>
    <row r="146" spans="1:50" x14ac:dyDescent="0.2">
      <c r="A146" s="64">
        <v>38718</v>
      </c>
      <c r="F146">
        <v>50.2</v>
      </c>
      <c r="I146">
        <v>58.97</v>
      </c>
      <c r="K146">
        <v>53.5</v>
      </c>
      <c r="AD146">
        <v>48.585345068779702</v>
      </c>
      <c r="AN146">
        <v>49.78</v>
      </c>
      <c r="AX146">
        <v>51.7</v>
      </c>
    </row>
    <row r="147" spans="1:50" x14ac:dyDescent="0.2">
      <c r="A147" s="64">
        <v>38749</v>
      </c>
      <c r="F147">
        <v>50.7</v>
      </c>
      <c r="I147">
        <v>60.32</v>
      </c>
      <c r="K147">
        <v>54.5</v>
      </c>
      <c r="AD147">
        <v>52.190552419279399</v>
      </c>
      <c r="AN147">
        <v>50.11</v>
      </c>
      <c r="AX147">
        <v>51.7</v>
      </c>
    </row>
    <row r="148" spans="1:50" x14ac:dyDescent="0.2">
      <c r="A148" s="64">
        <v>38777</v>
      </c>
      <c r="F148">
        <v>51</v>
      </c>
      <c r="I148">
        <v>52.93</v>
      </c>
      <c r="K148">
        <v>56.1</v>
      </c>
      <c r="AD148">
        <v>53.543058814971403</v>
      </c>
      <c r="AN148">
        <v>52.17</v>
      </c>
      <c r="AX148">
        <v>50.8</v>
      </c>
    </row>
    <row r="149" spans="1:50" x14ac:dyDescent="0.2">
      <c r="A149" s="64">
        <v>38808</v>
      </c>
      <c r="F149">
        <v>52.7</v>
      </c>
      <c r="I149">
        <v>55.97</v>
      </c>
      <c r="K149">
        <v>56.7</v>
      </c>
      <c r="AD149">
        <v>52.014251258866402</v>
      </c>
      <c r="AN149">
        <v>54.63</v>
      </c>
      <c r="AX149">
        <v>54.1</v>
      </c>
    </row>
    <row r="150" spans="1:50" x14ac:dyDescent="0.2">
      <c r="A150" s="64">
        <v>38838</v>
      </c>
      <c r="F150">
        <v>52.8</v>
      </c>
      <c r="I150">
        <v>56.87</v>
      </c>
      <c r="K150">
        <v>57</v>
      </c>
      <c r="AD150">
        <v>57.202432453847202</v>
      </c>
      <c r="AN150">
        <v>57</v>
      </c>
      <c r="AX150">
        <v>53.2</v>
      </c>
    </row>
    <row r="151" spans="1:50" x14ac:dyDescent="0.2">
      <c r="A151" s="64">
        <v>38869</v>
      </c>
      <c r="F151">
        <v>52.9</v>
      </c>
      <c r="I151">
        <v>56.69</v>
      </c>
      <c r="K151">
        <v>57.7</v>
      </c>
      <c r="AD151">
        <v>53.844737402000803</v>
      </c>
      <c r="AN151">
        <v>58.8</v>
      </c>
      <c r="AX151">
        <v>55.1</v>
      </c>
    </row>
    <row r="152" spans="1:50" x14ac:dyDescent="0.2">
      <c r="A152" s="64">
        <v>38899</v>
      </c>
      <c r="F152">
        <v>53</v>
      </c>
      <c r="I152">
        <v>58.32</v>
      </c>
      <c r="K152">
        <v>57.4</v>
      </c>
      <c r="AD152">
        <v>53.378118046287</v>
      </c>
      <c r="AN152">
        <v>60.27</v>
      </c>
      <c r="AX152">
        <v>53.8</v>
      </c>
    </row>
    <row r="153" spans="1:50" x14ac:dyDescent="0.2">
      <c r="A153" s="64">
        <v>38930</v>
      </c>
      <c r="F153">
        <v>52.6</v>
      </c>
      <c r="I153">
        <v>63.49</v>
      </c>
      <c r="K153">
        <v>56.5</v>
      </c>
      <c r="AD153">
        <v>52.497099283063399</v>
      </c>
      <c r="AN153">
        <v>58.68</v>
      </c>
      <c r="AX153">
        <v>53.1</v>
      </c>
    </row>
    <row r="154" spans="1:50" x14ac:dyDescent="0.2">
      <c r="A154" s="64">
        <v>38961</v>
      </c>
      <c r="F154">
        <v>52.4</v>
      </c>
      <c r="I154">
        <v>62.87</v>
      </c>
      <c r="K154">
        <v>56.6</v>
      </c>
      <c r="AD154">
        <v>51.262659151328798</v>
      </c>
      <c r="AN154">
        <v>56.6</v>
      </c>
      <c r="AX154">
        <v>54.4</v>
      </c>
    </row>
    <row r="155" spans="1:50" x14ac:dyDescent="0.2">
      <c r="A155" s="64">
        <v>38991</v>
      </c>
      <c r="F155">
        <v>52.1</v>
      </c>
      <c r="I155">
        <v>62.65</v>
      </c>
      <c r="K155">
        <v>57</v>
      </c>
      <c r="AD155">
        <v>56.532079990323197</v>
      </c>
      <c r="AN155">
        <v>56.73</v>
      </c>
      <c r="AX155">
        <v>53.7</v>
      </c>
    </row>
    <row r="156" spans="1:50" x14ac:dyDescent="0.2">
      <c r="A156" s="64">
        <v>39022</v>
      </c>
      <c r="F156">
        <v>53</v>
      </c>
      <c r="I156">
        <v>66.77</v>
      </c>
      <c r="K156">
        <v>56.6</v>
      </c>
      <c r="AD156">
        <v>54.819585258175898</v>
      </c>
      <c r="AN156">
        <v>56.34</v>
      </c>
      <c r="AX156">
        <v>53.6</v>
      </c>
    </row>
    <row r="157" spans="1:50" x14ac:dyDescent="0.2">
      <c r="A157" s="64">
        <v>39052</v>
      </c>
      <c r="F157">
        <v>52.4</v>
      </c>
      <c r="I157">
        <v>62.5</v>
      </c>
      <c r="K157">
        <v>56.5</v>
      </c>
      <c r="U157">
        <v>55</v>
      </c>
      <c r="AD157">
        <v>54.238666923849898</v>
      </c>
      <c r="AN157">
        <v>55.49</v>
      </c>
      <c r="AP157">
        <v>57.2</v>
      </c>
      <c r="AX157">
        <v>51.9</v>
      </c>
    </row>
    <row r="158" spans="1:50" x14ac:dyDescent="0.2">
      <c r="A158" s="64">
        <v>39083</v>
      </c>
      <c r="F158">
        <v>52</v>
      </c>
      <c r="I158">
        <v>55.72</v>
      </c>
      <c r="K158">
        <v>55.5</v>
      </c>
      <c r="U158">
        <v>53.5</v>
      </c>
      <c r="AD158">
        <v>56.036031351097698</v>
      </c>
      <c r="AN158">
        <v>57.79</v>
      </c>
      <c r="AP158">
        <v>56.2</v>
      </c>
      <c r="AX158">
        <v>52.8</v>
      </c>
    </row>
    <row r="159" spans="1:50" x14ac:dyDescent="0.2">
      <c r="A159" s="64">
        <v>39114</v>
      </c>
      <c r="F159">
        <v>53</v>
      </c>
      <c r="I159">
        <v>60.51</v>
      </c>
      <c r="K159">
        <v>55.6</v>
      </c>
      <c r="U159">
        <v>54.2</v>
      </c>
      <c r="AD159">
        <v>54.742775705584201</v>
      </c>
      <c r="AN159">
        <v>60.18</v>
      </c>
      <c r="AP159">
        <v>56.2</v>
      </c>
      <c r="AX159">
        <v>55.4</v>
      </c>
    </row>
    <row r="160" spans="1:50" x14ac:dyDescent="0.2">
      <c r="A160" s="64">
        <v>39142</v>
      </c>
      <c r="F160">
        <v>52.3</v>
      </c>
      <c r="I160">
        <v>65.52</v>
      </c>
      <c r="K160">
        <v>55.4</v>
      </c>
      <c r="U160">
        <v>53.8</v>
      </c>
      <c r="AD160">
        <v>57.570250699095702</v>
      </c>
      <c r="AN160">
        <v>60.35</v>
      </c>
      <c r="AP160">
        <v>55.4</v>
      </c>
      <c r="AX160">
        <v>54.4</v>
      </c>
    </row>
    <row r="161" spans="1:50" x14ac:dyDescent="0.2">
      <c r="A161" s="64">
        <v>39173</v>
      </c>
      <c r="F161">
        <v>53.3</v>
      </c>
      <c r="I161">
        <v>63.43</v>
      </c>
      <c r="K161">
        <v>55.4</v>
      </c>
      <c r="U161">
        <v>53.9</v>
      </c>
      <c r="AD161">
        <v>53.260616311208402</v>
      </c>
      <c r="AN161">
        <v>57.89</v>
      </c>
      <c r="AP161">
        <v>56</v>
      </c>
      <c r="AX161">
        <v>53.9</v>
      </c>
    </row>
    <row r="162" spans="1:50" x14ac:dyDescent="0.2">
      <c r="A162" s="64">
        <v>39203</v>
      </c>
      <c r="F162">
        <v>54.1</v>
      </c>
      <c r="I162">
        <v>62.81</v>
      </c>
      <c r="K162">
        <v>55</v>
      </c>
      <c r="U162">
        <v>55</v>
      </c>
      <c r="AD162">
        <v>55.407160874264001</v>
      </c>
      <c r="AN162">
        <v>56.91</v>
      </c>
      <c r="AP162">
        <v>53.3</v>
      </c>
      <c r="AX162">
        <v>54.9</v>
      </c>
    </row>
    <row r="163" spans="1:50" x14ac:dyDescent="0.2">
      <c r="A163" s="64">
        <v>39234</v>
      </c>
      <c r="F163">
        <v>55</v>
      </c>
      <c r="I163">
        <v>59.06</v>
      </c>
      <c r="K163">
        <v>55.6</v>
      </c>
      <c r="U163">
        <v>54</v>
      </c>
      <c r="AD163">
        <v>51.416409801705001</v>
      </c>
      <c r="AN163">
        <v>56.33</v>
      </c>
      <c r="AP163">
        <v>55.1</v>
      </c>
      <c r="AX163">
        <v>54.3</v>
      </c>
    </row>
    <row r="164" spans="1:50" x14ac:dyDescent="0.2">
      <c r="A164" s="64">
        <v>39264</v>
      </c>
      <c r="F164">
        <v>53.2</v>
      </c>
      <c r="I164">
        <v>63.94</v>
      </c>
      <c r="K164">
        <v>54.9</v>
      </c>
      <c r="U164">
        <v>53.3</v>
      </c>
      <c r="AD164">
        <v>54.021529677242</v>
      </c>
      <c r="AN164">
        <v>57.52</v>
      </c>
      <c r="AP164">
        <v>53.2</v>
      </c>
      <c r="AX164">
        <v>55.7</v>
      </c>
    </row>
    <row r="165" spans="1:50" x14ac:dyDescent="0.2">
      <c r="A165" s="64">
        <v>39295</v>
      </c>
      <c r="F165">
        <v>53.4</v>
      </c>
      <c r="I165">
        <v>55.08</v>
      </c>
      <c r="K165">
        <v>54.3</v>
      </c>
      <c r="U165">
        <v>53.6</v>
      </c>
      <c r="AD165">
        <v>56.598811050608198</v>
      </c>
      <c r="AN165">
        <v>54.42</v>
      </c>
      <c r="AP165">
        <v>52.2</v>
      </c>
      <c r="AX165">
        <v>56.3</v>
      </c>
    </row>
    <row r="166" spans="1:50" x14ac:dyDescent="0.2">
      <c r="A166" s="64">
        <v>39326</v>
      </c>
      <c r="F166">
        <v>55</v>
      </c>
      <c r="I166">
        <v>57.16</v>
      </c>
      <c r="K166">
        <v>53.2</v>
      </c>
      <c r="U166">
        <v>52.4</v>
      </c>
      <c r="AD166">
        <v>54.2282350566784</v>
      </c>
      <c r="AN166">
        <v>51.63</v>
      </c>
      <c r="AP166">
        <v>50.8</v>
      </c>
      <c r="AX166">
        <v>55.1</v>
      </c>
    </row>
    <row r="167" spans="1:50" x14ac:dyDescent="0.2">
      <c r="A167" s="64">
        <v>39356</v>
      </c>
      <c r="F167">
        <v>55.2</v>
      </c>
      <c r="I167">
        <v>59.94</v>
      </c>
      <c r="K167">
        <v>51.5</v>
      </c>
      <c r="U167">
        <v>51.3</v>
      </c>
      <c r="AD167">
        <v>57.433784173576299</v>
      </c>
      <c r="AN167">
        <v>54.4</v>
      </c>
      <c r="AP167">
        <v>49.6</v>
      </c>
      <c r="AX167">
        <v>52.9</v>
      </c>
    </row>
    <row r="168" spans="1:50" x14ac:dyDescent="0.2">
      <c r="A168" s="64">
        <v>39387</v>
      </c>
      <c r="F168">
        <v>52.8</v>
      </c>
      <c r="I168">
        <v>57.03</v>
      </c>
      <c r="K168">
        <v>52.8</v>
      </c>
      <c r="U168">
        <v>51.3</v>
      </c>
      <c r="AD168">
        <v>57.155724465306697</v>
      </c>
      <c r="AN168">
        <v>53.96</v>
      </c>
      <c r="AP168">
        <v>50.7</v>
      </c>
      <c r="AX168">
        <v>54.4</v>
      </c>
    </row>
    <row r="169" spans="1:50" x14ac:dyDescent="0.2">
      <c r="A169" s="64">
        <v>39417</v>
      </c>
      <c r="F169">
        <v>53.3</v>
      </c>
      <c r="I169">
        <v>55.62</v>
      </c>
      <c r="K169">
        <v>52.6</v>
      </c>
      <c r="U169">
        <v>50.7</v>
      </c>
      <c r="AD169">
        <v>53.153499590717303</v>
      </c>
      <c r="AN169">
        <v>53.23</v>
      </c>
      <c r="AP169">
        <v>49.5</v>
      </c>
      <c r="AX169">
        <v>52.9</v>
      </c>
    </row>
    <row r="170" spans="1:50" x14ac:dyDescent="0.2">
      <c r="A170" s="64">
        <v>39448</v>
      </c>
      <c r="F170">
        <v>53.2</v>
      </c>
      <c r="I170">
        <v>56.34</v>
      </c>
      <c r="K170">
        <v>52.8</v>
      </c>
      <c r="U170">
        <v>50.8</v>
      </c>
      <c r="AD170">
        <v>53.080817306480398</v>
      </c>
      <c r="AN170">
        <v>51.3</v>
      </c>
      <c r="AP170">
        <v>49.8</v>
      </c>
      <c r="AX170">
        <v>50.6</v>
      </c>
    </row>
    <row r="171" spans="1:50" x14ac:dyDescent="0.2">
      <c r="A171" s="64">
        <v>39478</v>
      </c>
      <c r="M171">
        <v>54.4</v>
      </c>
    </row>
    <row r="172" spans="1:50" x14ac:dyDescent="0.2">
      <c r="A172" s="64">
        <v>39479</v>
      </c>
      <c r="F172">
        <v>52.8</v>
      </c>
      <c r="I172">
        <v>64.819999999999993</v>
      </c>
      <c r="K172">
        <v>52.3</v>
      </c>
      <c r="M172">
        <v>54.3</v>
      </c>
      <c r="U172">
        <v>50.6</v>
      </c>
      <c r="V172">
        <v>50.8</v>
      </c>
      <c r="AD172">
        <v>52.568361901912901</v>
      </c>
      <c r="AN172">
        <v>45.75</v>
      </c>
      <c r="AP172">
        <v>46.7</v>
      </c>
      <c r="AX172">
        <v>51.3</v>
      </c>
    </row>
    <row r="173" spans="1:50" x14ac:dyDescent="0.2">
      <c r="A173" s="64">
        <v>39508</v>
      </c>
      <c r="F173">
        <v>54.4</v>
      </c>
      <c r="I173">
        <v>57.03</v>
      </c>
      <c r="K173">
        <v>52</v>
      </c>
      <c r="M173">
        <v>54.9</v>
      </c>
      <c r="U173">
        <v>49.4</v>
      </c>
      <c r="V173">
        <v>49.5</v>
      </c>
      <c r="AD173">
        <v>48.114001410038803</v>
      </c>
      <c r="AN173">
        <v>44.21</v>
      </c>
      <c r="AP173">
        <v>46.4</v>
      </c>
      <c r="AX173">
        <v>51.3</v>
      </c>
    </row>
    <row r="174" spans="1:50" x14ac:dyDescent="0.2">
      <c r="A174" s="64">
        <v>39539</v>
      </c>
      <c r="F174">
        <v>55.4</v>
      </c>
      <c r="I174">
        <v>44.91</v>
      </c>
      <c r="K174">
        <v>50.7</v>
      </c>
      <c r="M174">
        <v>53.6</v>
      </c>
      <c r="U174">
        <v>48.2</v>
      </c>
      <c r="V174">
        <v>48.6</v>
      </c>
      <c r="AD174">
        <v>50.379620041373897</v>
      </c>
      <c r="AN174">
        <v>53.72</v>
      </c>
      <c r="AP174">
        <v>45.2</v>
      </c>
      <c r="AX174">
        <v>51</v>
      </c>
    </row>
    <row r="175" spans="1:50" x14ac:dyDescent="0.2">
      <c r="A175" s="64">
        <v>39569</v>
      </c>
      <c r="B175">
        <v>51.4</v>
      </c>
      <c r="F175">
        <v>54.7</v>
      </c>
      <c r="I175">
        <v>66.78</v>
      </c>
      <c r="K175">
        <v>50.6</v>
      </c>
      <c r="M175">
        <v>53.5</v>
      </c>
      <c r="U175">
        <v>48</v>
      </c>
      <c r="V175">
        <v>47.7</v>
      </c>
      <c r="AD175">
        <v>48.254867105237302</v>
      </c>
      <c r="AN175">
        <v>48.8</v>
      </c>
      <c r="AP175">
        <v>43.8</v>
      </c>
      <c r="AX175">
        <v>50</v>
      </c>
    </row>
    <row r="176" spans="1:50" x14ac:dyDescent="0.2">
      <c r="A176" s="64">
        <v>39600</v>
      </c>
      <c r="B176">
        <v>51.2</v>
      </c>
      <c r="F176">
        <v>53.3</v>
      </c>
      <c r="I176">
        <v>62.6</v>
      </c>
      <c r="K176">
        <v>49.2</v>
      </c>
      <c r="M176">
        <v>52.3</v>
      </c>
      <c r="U176">
        <v>46.9</v>
      </c>
      <c r="V176">
        <v>46.5</v>
      </c>
      <c r="AD176">
        <v>44.324455950641003</v>
      </c>
      <c r="AN176">
        <v>45.37</v>
      </c>
      <c r="AP176">
        <v>40.6</v>
      </c>
      <c r="AX176">
        <v>45.8</v>
      </c>
    </row>
    <row r="177" spans="1:50" x14ac:dyDescent="0.2">
      <c r="A177" s="64">
        <v>39630</v>
      </c>
      <c r="B177">
        <v>52.7</v>
      </c>
      <c r="F177">
        <v>53.3</v>
      </c>
      <c r="I177">
        <v>38.909999999999997</v>
      </c>
      <c r="K177">
        <v>47.4</v>
      </c>
      <c r="M177">
        <v>50.9</v>
      </c>
      <c r="U177">
        <v>45.3</v>
      </c>
      <c r="V177">
        <v>47</v>
      </c>
      <c r="AD177">
        <v>48.173562781692198</v>
      </c>
      <c r="AN177">
        <v>44.8</v>
      </c>
      <c r="AP177">
        <v>39.200000000000003</v>
      </c>
      <c r="AX177">
        <v>44.3</v>
      </c>
    </row>
    <row r="178" spans="1:50" x14ac:dyDescent="0.2">
      <c r="A178" s="64">
        <v>39661</v>
      </c>
      <c r="B178">
        <v>51.2</v>
      </c>
      <c r="F178">
        <v>49.2</v>
      </c>
      <c r="I178">
        <v>48.73</v>
      </c>
      <c r="K178">
        <v>47.6</v>
      </c>
      <c r="L178">
        <v>45.1</v>
      </c>
      <c r="M178">
        <v>49.9</v>
      </c>
      <c r="U178">
        <v>47.1</v>
      </c>
      <c r="V178">
        <v>46.9</v>
      </c>
      <c r="AD178">
        <v>46.094212934239899</v>
      </c>
      <c r="AN178">
        <v>48.3</v>
      </c>
      <c r="AP178">
        <v>42.4</v>
      </c>
      <c r="AX178">
        <v>45.9</v>
      </c>
    </row>
    <row r="179" spans="1:50" x14ac:dyDescent="0.2">
      <c r="A179" s="64">
        <v>39692</v>
      </c>
      <c r="B179">
        <v>47</v>
      </c>
      <c r="F179">
        <v>47.7</v>
      </c>
      <c r="I179">
        <v>52.91</v>
      </c>
      <c r="K179">
        <v>45</v>
      </c>
      <c r="L179">
        <v>43.6</v>
      </c>
      <c r="M179">
        <v>48.1</v>
      </c>
      <c r="U179">
        <v>44.4</v>
      </c>
      <c r="V179">
        <v>44.3</v>
      </c>
      <c r="AD179">
        <v>46.816302534574902</v>
      </c>
      <c r="AN179">
        <v>47.07</v>
      </c>
      <c r="AP179">
        <v>38.299999999999997</v>
      </c>
      <c r="AX179">
        <v>41</v>
      </c>
    </row>
    <row r="180" spans="1:50" x14ac:dyDescent="0.2">
      <c r="A180" s="64">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2">
      <c r="A181" s="64">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2">
      <c r="A182" s="64">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2">
      <c r="A183" s="64">
        <v>39814</v>
      </c>
      <c r="B183">
        <v>36.6</v>
      </c>
      <c r="F183">
        <v>42.2</v>
      </c>
      <c r="I183">
        <v>25.32</v>
      </c>
      <c r="K183">
        <v>34.4</v>
      </c>
      <c r="L183">
        <v>38.1</v>
      </c>
      <c r="M183">
        <v>32</v>
      </c>
      <c r="U183">
        <v>36.1</v>
      </c>
      <c r="V183">
        <v>29.6</v>
      </c>
      <c r="AD183">
        <v>42.236706316594997</v>
      </c>
      <c r="AN183">
        <v>39.9</v>
      </c>
      <c r="AP183">
        <v>31.5</v>
      </c>
      <c r="AX183">
        <v>35.799999999999997</v>
      </c>
    </row>
    <row r="184" spans="1:50" x14ac:dyDescent="0.2">
      <c r="A184" s="64">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2">
      <c r="A185" s="64">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2">
      <c r="A186" s="64">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2">
      <c r="A187" s="64">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2">
      <c r="A188" s="64">
        <v>39965</v>
      </c>
      <c r="B188">
        <v>38.4</v>
      </c>
      <c r="F188">
        <v>51.8</v>
      </c>
      <c r="I188">
        <v>42</v>
      </c>
      <c r="K188">
        <v>42.6</v>
      </c>
      <c r="L188">
        <v>45.9</v>
      </c>
      <c r="M188">
        <v>40.9</v>
      </c>
      <c r="U188">
        <v>42.7</v>
      </c>
      <c r="V188">
        <v>48.2</v>
      </c>
      <c r="AD188">
        <v>45.561029356135201</v>
      </c>
      <c r="AN188">
        <v>39.700000000000003</v>
      </c>
      <c r="AP188">
        <v>42.8</v>
      </c>
      <c r="AX188">
        <v>47</v>
      </c>
    </row>
    <row r="189" spans="1:50" x14ac:dyDescent="0.2">
      <c r="A189" s="64">
        <v>39995</v>
      </c>
      <c r="B189">
        <v>44.5</v>
      </c>
      <c r="F189">
        <v>52.8</v>
      </c>
      <c r="I189">
        <v>47.7</v>
      </c>
      <c r="K189">
        <v>46.3</v>
      </c>
      <c r="L189">
        <v>50.2</v>
      </c>
      <c r="M189">
        <v>45.2</v>
      </c>
      <c r="U189">
        <v>45.4</v>
      </c>
      <c r="V189">
        <v>50.4</v>
      </c>
      <c r="AD189">
        <v>49.734183405407201</v>
      </c>
      <c r="AN189">
        <v>39.43</v>
      </c>
      <c r="AP189">
        <v>47.3</v>
      </c>
      <c r="AX189">
        <v>50.8</v>
      </c>
    </row>
    <row r="190" spans="1:50" x14ac:dyDescent="0.2">
      <c r="A190" s="64">
        <v>40026</v>
      </c>
      <c r="B190">
        <v>51.7</v>
      </c>
      <c r="F190">
        <v>55.1</v>
      </c>
      <c r="I190">
        <v>42.59</v>
      </c>
      <c r="K190">
        <v>48.2</v>
      </c>
      <c r="L190">
        <v>52.5</v>
      </c>
      <c r="M190">
        <v>49</v>
      </c>
      <c r="U190">
        <v>44.2</v>
      </c>
      <c r="V190">
        <v>53.6</v>
      </c>
      <c r="AD190">
        <v>49.642350273864402</v>
      </c>
      <c r="AN190">
        <v>40.659999999999997</v>
      </c>
      <c r="AP190">
        <v>47.2</v>
      </c>
      <c r="AX190">
        <v>49.7</v>
      </c>
    </row>
    <row r="191" spans="1:50" x14ac:dyDescent="0.2">
      <c r="A191" s="64">
        <v>40057</v>
      </c>
      <c r="B191">
        <v>52</v>
      </c>
      <c r="F191">
        <v>55</v>
      </c>
      <c r="I191">
        <v>42.73</v>
      </c>
      <c r="K191">
        <v>49.3</v>
      </c>
      <c r="L191">
        <v>53</v>
      </c>
      <c r="M191">
        <v>49.6</v>
      </c>
      <c r="U191">
        <v>47.6</v>
      </c>
      <c r="V191">
        <v>54.5</v>
      </c>
      <c r="AD191">
        <v>52.680029270514602</v>
      </c>
      <c r="AN191">
        <v>47.46</v>
      </c>
      <c r="AP191">
        <v>45.8</v>
      </c>
      <c r="AX191">
        <v>49.5</v>
      </c>
    </row>
    <row r="192" spans="1:50" x14ac:dyDescent="0.2">
      <c r="A192" s="64">
        <v>40087</v>
      </c>
      <c r="B192">
        <v>51.7</v>
      </c>
      <c r="F192">
        <v>55.4</v>
      </c>
      <c r="I192">
        <v>49.89</v>
      </c>
      <c r="K192">
        <v>50.7</v>
      </c>
      <c r="L192">
        <v>54.2</v>
      </c>
      <c r="M192">
        <v>51.1</v>
      </c>
      <c r="U192">
        <v>49.2</v>
      </c>
      <c r="V192">
        <v>54.3</v>
      </c>
      <c r="AD192">
        <v>51.7262292777555</v>
      </c>
      <c r="AN192">
        <v>47.74</v>
      </c>
      <c r="AP192">
        <v>46.3</v>
      </c>
      <c r="AX192">
        <v>53.7</v>
      </c>
    </row>
    <row r="193" spans="1:51" x14ac:dyDescent="0.2">
      <c r="A193" s="64">
        <v>40118</v>
      </c>
      <c r="B193">
        <v>51.2</v>
      </c>
      <c r="F193">
        <v>55.7</v>
      </c>
      <c r="I193">
        <v>50.67</v>
      </c>
      <c r="K193">
        <v>51.2</v>
      </c>
      <c r="L193">
        <v>54.4</v>
      </c>
      <c r="M193">
        <v>52.4</v>
      </c>
      <c r="U193">
        <v>50.1</v>
      </c>
      <c r="V193">
        <v>52.3</v>
      </c>
      <c r="AD193">
        <v>53.326198285872401</v>
      </c>
      <c r="AN193">
        <v>49.48</v>
      </c>
      <c r="AP193">
        <v>45.3</v>
      </c>
      <c r="AX193">
        <v>51.8</v>
      </c>
    </row>
    <row r="194" spans="1:51" x14ac:dyDescent="0.2">
      <c r="A194" s="64">
        <v>40148</v>
      </c>
      <c r="B194">
        <v>48.5</v>
      </c>
      <c r="F194">
        <v>56.1</v>
      </c>
      <c r="I194">
        <v>49.48</v>
      </c>
      <c r="K194">
        <v>51.6</v>
      </c>
      <c r="L194">
        <v>54.7</v>
      </c>
      <c r="M194">
        <v>53.1</v>
      </c>
      <c r="U194">
        <v>50.8</v>
      </c>
      <c r="V194">
        <v>53.8</v>
      </c>
      <c r="AD194">
        <v>53.1454156225943</v>
      </c>
      <c r="AN194">
        <v>52.58</v>
      </c>
      <c r="AP194">
        <v>45.2</v>
      </c>
      <c r="AX194">
        <v>54.1</v>
      </c>
    </row>
    <row r="195" spans="1:51" x14ac:dyDescent="0.2">
      <c r="A195" s="64">
        <v>40179</v>
      </c>
      <c r="B195">
        <v>51</v>
      </c>
      <c r="F195">
        <v>57.4</v>
      </c>
      <c r="I195">
        <v>50.96</v>
      </c>
      <c r="K195">
        <v>52.4</v>
      </c>
      <c r="L195">
        <v>54.6</v>
      </c>
      <c r="M195">
        <v>53.4</v>
      </c>
      <c r="U195">
        <v>51.7</v>
      </c>
      <c r="V195">
        <v>52.5</v>
      </c>
      <c r="AD195">
        <v>51.823641067846701</v>
      </c>
      <c r="AN195">
        <v>52.14</v>
      </c>
      <c r="AP195">
        <v>45.3</v>
      </c>
      <c r="AX195">
        <v>56.7</v>
      </c>
    </row>
    <row r="196" spans="1:51" x14ac:dyDescent="0.2">
      <c r="A196" s="64">
        <v>40210</v>
      </c>
      <c r="B196">
        <v>53.8</v>
      </c>
      <c r="F196">
        <v>55.8</v>
      </c>
      <c r="I196">
        <v>48.93</v>
      </c>
      <c r="K196">
        <v>54.2</v>
      </c>
      <c r="L196">
        <v>56.3</v>
      </c>
      <c r="M196">
        <v>57.2</v>
      </c>
      <c r="U196">
        <v>51.6</v>
      </c>
      <c r="V196">
        <v>52.5</v>
      </c>
      <c r="AD196">
        <v>52.533413447435898</v>
      </c>
      <c r="AN196">
        <v>55.72</v>
      </c>
      <c r="AP196">
        <v>49.1</v>
      </c>
      <c r="AX196">
        <v>56.6</v>
      </c>
    </row>
    <row r="197" spans="1:51" x14ac:dyDescent="0.2">
      <c r="A197" s="64">
        <v>40238</v>
      </c>
      <c r="B197">
        <v>50.2</v>
      </c>
      <c r="F197">
        <v>57</v>
      </c>
      <c r="I197">
        <v>51.66</v>
      </c>
      <c r="K197">
        <v>56.6</v>
      </c>
      <c r="L197">
        <v>56.7</v>
      </c>
      <c r="M197">
        <v>59.6</v>
      </c>
      <c r="U197">
        <v>53.7</v>
      </c>
      <c r="V197">
        <v>52.4</v>
      </c>
      <c r="AD197">
        <v>55.832523203119003</v>
      </c>
      <c r="AN197">
        <v>53.65</v>
      </c>
      <c r="AP197">
        <v>51.8</v>
      </c>
      <c r="AX197">
        <v>57.2</v>
      </c>
    </row>
    <row r="198" spans="1:51" x14ac:dyDescent="0.2">
      <c r="A198" s="64">
        <v>40269</v>
      </c>
      <c r="B198">
        <v>59.8</v>
      </c>
      <c r="F198">
        <v>55.4</v>
      </c>
      <c r="I198">
        <v>49.02</v>
      </c>
      <c r="K198">
        <v>57.6</v>
      </c>
      <c r="L198">
        <v>56.6</v>
      </c>
      <c r="M198">
        <v>61.5</v>
      </c>
      <c r="U198">
        <v>54.3</v>
      </c>
      <c r="V198">
        <v>53.5</v>
      </c>
      <c r="AD198">
        <v>58.4019949666218</v>
      </c>
      <c r="AN198">
        <v>53.24</v>
      </c>
      <c r="AP198">
        <v>53.3</v>
      </c>
      <c r="AX198">
        <v>58</v>
      </c>
    </row>
    <row r="199" spans="1:51" x14ac:dyDescent="0.2">
      <c r="A199" s="64">
        <v>40299</v>
      </c>
      <c r="B199">
        <v>56.3</v>
      </c>
      <c r="F199">
        <v>52.7</v>
      </c>
      <c r="I199">
        <v>51.33</v>
      </c>
      <c r="K199">
        <v>55.8</v>
      </c>
      <c r="L199">
        <v>55.8</v>
      </c>
      <c r="M199">
        <v>58.4</v>
      </c>
      <c r="U199">
        <v>54</v>
      </c>
      <c r="V199">
        <v>54.7</v>
      </c>
      <c r="AD199">
        <v>51.8006228698843</v>
      </c>
      <c r="AN199">
        <v>51.19</v>
      </c>
      <c r="AP199">
        <v>51.5</v>
      </c>
      <c r="AX199">
        <v>58</v>
      </c>
    </row>
    <row r="200" spans="1:51" x14ac:dyDescent="0.2">
      <c r="A200" s="64">
        <v>40330</v>
      </c>
      <c r="B200">
        <v>52.9</v>
      </c>
      <c r="F200">
        <v>50.4</v>
      </c>
      <c r="I200">
        <v>50.2</v>
      </c>
      <c r="K200">
        <v>55.6</v>
      </c>
      <c r="L200">
        <v>53.7</v>
      </c>
      <c r="M200">
        <v>58.1</v>
      </c>
      <c r="U200">
        <v>54.3</v>
      </c>
      <c r="V200">
        <v>53.9</v>
      </c>
      <c r="AD200">
        <v>54.885916458142702</v>
      </c>
      <c r="AN200">
        <v>50.84</v>
      </c>
      <c r="AP200">
        <v>51.2</v>
      </c>
      <c r="AX200">
        <v>57.5</v>
      </c>
    </row>
    <row r="201" spans="1:51" x14ac:dyDescent="0.2">
      <c r="A201" s="64">
        <v>40360</v>
      </c>
      <c r="B201">
        <v>54.4</v>
      </c>
      <c r="F201">
        <v>49.4</v>
      </c>
      <c r="I201">
        <v>54.3</v>
      </c>
      <c r="K201">
        <v>56.7</v>
      </c>
      <c r="L201">
        <v>54.7</v>
      </c>
      <c r="M201">
        <v>61.2</v>
      </c>
      <c r="U201">
        <v>54.4</v>
      </c>
      <c r="V201">
        <v>52.8</v>
      </c>
      <c r="AD201">
        <v>50.256943813857902</v>
      </c>
      <c r="AN201">
        <v>52.65</v>
      </c>
      <c r="AP201">
        <v>51.6</v>
      </c>
      <c r="AX201">
        <v>57.3</v>
      </c>
    </row>
    <row r="202" spans="1:51" x14ac:dyDescent="0.2">
      <c r="A202" s="64">
        <v>40391</v>
      </c>
      <c r="B202">
        <v>51.7</v>
      </c>
      <c r="F202">
        <v>51.9</v>
      </c>
      <c r="I202">
        <v>54.73</v>
      </c>
      <c r="K202">
        <v>55.1</v>
      </c>
      <c r="L202">
        <v>55.4</v>
      </c>
      <c r="M202">
        <v>58.2</v>
      </c>
      <c r="U202">
        <v>52.8</v>
      </c>
      <c r="V202">
        <v>50.1</v>
      </c>
      <c r="AD202">
        <v>50.288913340954501</v>
      </c>
      <c r="AN202">
        <v>51.95</v>
      </c>
      <c r="AP202">
        <v>51.2</v>
      </c>
      <c r="AX202">
        <v>54.3</v>
      </c>
    </row>
    <row r="203" spans="1:51" x14ac:dyDescent="0.2">
      <c r="A203" s="64">
        <v>40422</v>
      </c>
      <c r="B203">
        <v>47.3</v>
      </c>
      <c r="F203">
        <v>52.9</v>
      </c>
      <c r="I203">
        <v>56.27</v>
      </c>
      <c r="K203">
        <v>53.7</v>
      </c>
      <c r="L203">
        <v>55.2</v>
      </c>
      <c r="M203">
        <v>55.3</v>
      </c>
      <c r="U203">
        <v>52.6</v>
      </c>
      <c r="V203">
        <v>49.5</v>
      </c>
      <c r="AD203">
        <v>50.989279973423798</v>
      </c>
      <c r="AN203">
        <v>50.14</v>
      </c>
      <c r="AP203">
        <v>49.6</v>
      </c>
      <c r="AX203">
        <v>53.4</v>
      </c>
    </row>
    <row r="204" spans="1:51" x14ac:dyDescent="0.2">
      <c r="A204" s="64">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2">
      <c r="A205" s="64">
        <v>40482</v>
      </c>
      <c r="N205">
        <v>43.6</v>
      </c>
    </row>
    <row r="206" spans="1:51" x14ac:dyDescent="0.2">
      <c r="A206" s="64">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2">
      <c r="A207" s="64">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2">
      <c r="A208" s="64">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2">
      <c r="A209" s="64">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2">
      <c r="A210" s="64">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2">
      <c r="A211" s="64">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2">
      <c r="A212" s="64">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2">
      <c r="A213" s="64">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2">
      <c r="A214" s="64">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2">
      <c r="A215" s="64">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2">
      <c r="A216" s="64">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2">
      <c r="A217" s="64">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2">
      <c r="A218" s="64">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2">
      <c r="A219" s="64">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2">
      <c r="A220" s="64">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2">
      <c r="A221" s="64">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2">
      <c r="A222" s="64">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2">
      <c r="A223" s="64">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2">
      <c r="A224" s="64">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2">
      <c r="A225" s="64">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2">
      <c r="A226" s="64">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2">
      <c r="A227" s="64">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2">
      <c r="A228" s="64">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2">
      <c r="A229" s="64">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2">
      <c r="A230" s="64">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2">
      <c r="A231" s="64">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2">
      <c r="A232" s="64">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2">
      <c r="A233" s="64">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2">
      <c r="A234" s="64">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2">
      <c r="A235" s="64">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2">
      <c r="A236" s="64">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2">
      <c r="A237" s="64">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2">
      <c r="A238" s="64">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2">
      <c r="A239" s="64">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2">
      <c r="A240" s="64">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2">
      <c r="A241" s="64">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2">
      <c r="A242" s="64">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2">
      <c r="A243" s="64">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2">
      <c r="A244" s="64">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2">
      <c r="A245" s="64">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2">
      <c r="A246" s="64">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2">
      <c r="A247" s="64">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2">
      <c r="A248" s="64">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2">
      <c r="A249" s="64">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2">
      <c r="A250" s="64">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2">
      <c r="A251" s="64">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2">
      <c r="A252" s="64">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2">
      <c r="A253" s="64">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2">
      <c r="A254" s="64">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2">
      <c r="A255" s="64">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2">
      <c r="A256" s="64">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2">
      <c r="A257" s="64">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2">
      <c r="A258" s="64">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2">
      <c r="A259" s="64">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2">
      <c r="A260" s="64">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2">
      <c r="A261" s="64">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2">
      <c r="A262" s="64">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2">
      <c r="A263" s="64">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2">
      <c r="A264" s="64">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2">
      <c r="A265" s="64">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2">
      <c r="A266" s="64">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2">
      <c r="A267" s="64">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2">
      <c r="A268" s="64">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2">
      <c r="A269" s="64">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2">
      <c r="A270" s="64">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2">
      <c r="A271" s="64">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2">
      <c r="A272" s="64">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2">
      <c r="A273" s="64">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2">
      <c r="A274" s="64">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2">
      <c r="A275" s="64">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2">
      <c r="A276" s="64">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2">
      <c r="A277" s="64">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2">
      <c r="A278" s="64">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2">
      <c r="A279" s="64">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2">
      <c r="A280" s="64">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2">
      <c r="A281" s="64">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2">
      <c r="A282" s="64">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2">
      <c r="A283" s="64">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2">
      <c r="A284" s="64">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2">
      <c r="A285" s="64">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2">
      <c r="A286" s="64">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2">
      <c r="A287" s="64">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2">
      <c r="A288" s="64">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2">
      <c r="A289" s="64">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2">
      <c r="A290" s="64">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2">
      <c r="A291" s="64">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2">
      <c r="A292" s="64">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2">
      <c r="A293" s="64">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2">
      <c r="A294" s="64">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2">
      <c r="A295" s="64">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2">
      <c r="A296" s="64">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2">
      <c r="A297" s="64">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2">
      <c r="A298" s="64">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2">
      <c r="A299" s="64">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2">
      <c r="A300" s="64">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2">
      <c r="A301" s="64">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2">
      <c r="A302" s="64">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2">
      <c r="A303" s="64">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2">
      <c r="A304" s="64">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2">
      <c r="A305" s="64">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2">
      <c r="A306" s="64">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2">
      <c r="A307" s="64">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2">
      <c r="A308" s="64">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2">
      <c r="A309" s="64">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2">
      <c r="A310" s="64">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2">
      <c r="A311" s="64">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2">
      <c r="A312" s="64">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2">
      <c r="A313" s="64">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2">
      <c r="A314" s="64">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2">
      <c r="A315" s="64">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2">
      <c r="A316" s="64">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2">
      <c r="A317" s="64">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2">
      <c r="A318" s="64">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2">
      <c r="A319" s="64">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2">
      <c r="A320" s="64">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2">
      <c r="A321" s="64">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2">
      <c r="A322" s="64">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2">
      <c r="A323" s="64">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2">
      <c r="A324" s="64">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2">
      <c r="A325" s="64">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2">
      <c r="A326" s="64">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2">
      <c r="A327" s="64">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2">
      <c r="A328" s="64">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2">
      <c r="A329" s="64">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2">
      <c r="A330" s="64">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2">
      <c r="A331" s="64">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2">
      <c r="A332" s="64">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2">
      <c r="A333" s="64">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2">
      <c r="A334" s="64">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2">
      <c r="A335" s="64">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2">
      <c r="A336" s="64">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2" x14ac:dyDescent="0.2">
      <c r="A337" s="64">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2" x14ac:dyDescent="0.2">
      <c r="A338" s="64">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2" x14ac:dyDescent="0.2">
      <c r="A339" s="64">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2" x14ac:dyDescent="0.2">
      <c r="A340" s="64">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U340">
        <v>58.3</v>
      </c>
      <c r="V340">
        <v>55.4</v>
      </c>
      <c r="W340">
        <v>43.8</v>
      </c>
      <c r="X340">
        <v>47.6</v>
      </c>
      <c r="Y340">
        <v>47.1</v>
      </c>
      <c r="Z340">
        <v>50.5</v>
      </c>
      <c r="AA340">
        <v>46.1</v>
      </c>
      <c r="AB340">
        <v>48.5</v>
      </c>
      <c r="AC340">
        <v>60.1</v>
      </c>
      <c r="AD340">
        <v>52.1</v>
      </c>
      <c r="AF340">
        <v>56.5</v>
      </c>
      <c r="AG340">
        <v>50</v>
      </c>
      <c r="AH340">
        <v>54.5</v>
      </c>
      <c r="AJ340">
        <v>57.6</v>
      </c>
      <c r="AK340">
        <v>51.8</v>
      </c>
      <c r="AL340">
        <v>53.2</v>
      </c>
      <c r="AM340">
        <v>50.6</v>
      </c>
      <c r="AN340">
        <v>57.1</v>
      </c>
      <c r="AO340">
        <v>52.8</v>
      </c>
      <c r="AP340">
        <v>56.2</v>
      </c>
      <c r="AQ340">
        <v>58.7</v>
      </c>
      <c r="AR340">
        <v>62.4</v>
      </c>
      <c r="AS340">
        <v>63.8</v>
      </c>
      <c r="AT340">
        <v>55.1</v>
      </c>
      <c r="AU340">
        <v>51.7</v>
      </c>
      <c r="AV340">
        <v>50.5</v>
      </c>
      <c r="AW340">
        <v>54.1</v>
      </c>
      <c r="AX340">
        <v>56.9</v>
      </c>
      <c r="AY340">
        <v>55</v>
      </c>
      <c r="AZ340">
        <v>53.7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27"/>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x14ac:dyDescent="0.2"/>
  <cols>
    <col min="1" max="5" width="10.83203125" style="61" customWidth="1"/>
    <col min="6" max="6" width="17.33203125" style="61" customWidth="1"/>
    <col min="7" max="29" width="10.83203125" style="61" customWidth="1"/>
    <col min="30" max="16384" width="10.83203125" style="61"/>
  </cols>
  <sheetData>
    <row r="1" spans="1:6" x14ac:dyDescent="0.2">
      <c r="A1" t="s">
        <v>80</v>
      </c>
      <c r="B1" t="s">
        <v>16</v>
      </c>
      <c r="C1" t="s">
        <v>81</v>
      </c>
      <c r="D1" t="s">
        <v>82</v>
      </c>
      <c r="E1" t="s">
        <v>83</v>
      </c>
      <c r="F1" t="s">
        <v>84</v>
      </c>
    </row>
    <row r="2" spans="1:6" x14ac:dyDescent="0.2">
      <c r="A2" s="64">
        <v>34700</v>
      </c>
      <c r="B2"/>
      <c r="C2"/>
      <c r="D2"/>
      <c r="E2"/>
      <c r="F2"/>
    </row>
    <row r="3" spans="1:6" x14ac:dyDescent="0.2">
      <c r="A3" s="64">
        <v>34731</v>
      </c>
      <c r="B3"/>
      <c r="C3"/>
      <c r="D3"/>
      <c r="E3"/>
      <c r="F3"/>
    </row>
    <row r="4" spans="1:6" x14ac:dyDescent="0.2">
      <c r="A4" s="64">
        <v>34759</v>
      </c>
      <c r="B4"/>
      <c r="C4"/>
      <c r="D4"/>
      <c r="E4"/>
      <c r="F4"/>
    </row>
    <row r="5" spans="1:6" x14ac:dyDescent="0.2">
      <c r="A5" s="64">
        <v>34790</v>
      </c>
      <c r="B5"/>
      <c r="C5"/>
      <c r="D5"/>
      <c r="E5"/>
      <c r="F5">
        <v>5.5723789646558459E-3</v>
      </c>
    </row>
    <row r="6" spans="1:6" x14ac:dyDescent="0.2">
      <c r="A6" s="64">
        <v>34820</v>
      </c>
      <c r="B6"/>
      <c r="C6"/>
      <c r="D6"/>
      <c r="E6"/>
      <c r="F6"/>
    </row>
    <row r="7" spans="1:6" x14ac:dyDescent="0.2">
      <c r="A7" s="64">
        <v>34851</v>
      </c>
      <c r="B7"/>
      <c r="C7"/>
      <c r="D7"/>
      <c r="E7"/>
      <c r="F7"/>
    </row>
    <row r="8" spans="1:6" x14ac:dyDescent="0.2">
      <c r="A8" s="64">
        <v>34881</v>
      </c>
      <c r="B8"/>
      <c r="C8"/>
      <c r="D8"/>
      <c r="E8"/>
      <c r="F8">
        <v>2.1967801737410378E-3</v>
      </c>
    </row>
    <row r="9" spans="1:6" x14ac:dyDescent="0.2">
      <c r="A9" s="64">
        <v>34912</v>
      </c>
      <c r="B9"/>
      <c r="C9"/>
      <c r="D9"/>
      <c r="E9"/>
      <c r="F9"/>
    </row>
    <row r="10" spans="1:6" x14ac:dyDescent="0.2">
      <c r="A10" s="64">
        <v>34943</v>
      </c>
      <c r="B10"/>
      <c r="C10"/>
      <c r="D10"/>
      <c r="E10"/>
      <c r="F10"/>
    </row>
    <row r="11" spans="1:6" x14ac:dyDescent="0.2">
      <c r="A11" s="64">
        <v>34973</v>
      </c>
      <c r="B11"/>
      <c r="C11"/>
      <c r="D11"/>
      <c r="E11"/>
      <c r="F11">
        <v>3.5427108323644279E-3</v>
      </c>
    </row>
    <row r="12" spans="1:6" x14ac:dyDescent="0.2">
      <c r="A12" s="64">
        <v>35004</v>
      </c>
      <c r="B12"/>
      <c r="C12"/>
      <c r="D12"/>
      <c r="E12"/>
      <c r="F12"/>
    </row>
    <row r="13" spans="1:6" x14ac:dyDescent="0.2">
      <c r="A13" s="64">
        <v>35034</v>
      </c>
      <c r="B13"/>
      <c r="C13"/>
      <c r="D13"/>
      <c r="E13"/>
      <c r="F13"/>
    </row>
    <row r="14" spans="1:6" x14ac:dyDescent="0.2">
      <c r="A14" s="64">
        <v>35065</v>
      </c>
      <c r="B14"/>
      <c r="C14"/>
      <c r="D14"/>
      <c r="E14"/>
      <c r="F14">
        <v>1.942712867942231E-3</v>
      </c>
    </row>
    <row r="15" spans="1:6" x14ac:dyDescent="0.2">
      <c r="A15" s="64">
        <v>35096</v>
      </c>
      <c r="B15"/>
      <c r="C15"/>
      <c r="D15"/>
      <c r="E15"/>
      <c r="F15"/>
    </row>
    <row r="16" spans="1:6" x14ac:dyDescent="0.2">
      <c r="A16" s="64">
        <v>35125</v>
      </c>
      <c r="B16"/>
      <c r="C16"/>
      <c r="D16"/>
      <c r="E16"/>
      <c r="F16"/>
    </row>
    <row r="17" spans="1:6" x14ac:dyDescent="0.2">
      <c r="A17" s="64">
        <v>35156</v>
      </c>
      <c r="B17"/>
      <c r="C17"/>
      <c r="D17"/>
      <c r="E17"/>
      <c r="F17">
        <v>7.0770107629470804E-3</v>
      </c>
    </row>
    <row r="18" spans="1:6" x14ac:dyDescent="0.2">
      <c r="A18" s="64">
        <v>35186</v>
      </c>
      <c r="B18"/>
      <c r="C18"/>
      <c r="D18"/>
      <c r="E18"/>
      <c r="F18"/>
    </row>
    <row r="19" spans="1:6" x14ac:dyDescent="0.2">
      <c r="A19" s="64">
        <v>35217</v>
      </c>
      <c r="B19"/>
      <c r="C19"/>
      <c r="D19"/>
      <c r="E19"/>
      <c r="F19"/>
    </row>
    <row r="20" spans="1:6" x14ac:dyDescent="0.2">
      <c r="A20" s="64">
        <v>35247</v>
      </c>
      <c r="B20"/>
      <c r="C20"/>
      <c r="D20"/>
      <c r="E20"/>
      <c r="F20">
        <v>5.4087742266345877E-3</v>
      </c>
    </row>
    <row r="21" spans="1:6" x14ac:dyDescent="0.2">
      <c r="A21" s="64">
        <v>35278</v>
      </c>
      <c r="B21"/>
      <c r="C21"/>
      <c r="D21"/>
      <c r="E21"/>
      <c r="F21"/>
    </row>
    <row r="22" spans="1:6" x14ac:dyDescent="0.2">
      <c r="A22" s="64">
        <v>35309</v>
      </c>
      <c r="B22"/>
      <c r="C22"/>
      <c r="D22"/>
      <c r="E22"/>
      <c r="F22"/>
    </row>
    <row r="23" spans="1:6" x14ac:dyDescent="0.2">
      <c r="A23" s="64">
        <v>35339</v>
      </c>
      <c r="B23"/>
      <c r="C23"/>
      <c r="D23"/>
      <c r="E23"/>
      <c r="F23">
        <v>4.3899707098353476E-3</v>
      </c>
    </row>
    <row r="24" spans="1:6" x14ac:dyDescent="0.2">
      <c r="A24" s="64">
        <v>35370</v>
      </c>
      <c r="B24"/>
      <c r="C24"/>
      <c r="D24"/>
      <c r="E24"/>
      <c r="F24"/>
    </row>
    <row r="25" spans="1:6" x14ac:dyDescent="0.2">
      <c r="A25" s="64">
        <v>35400</v>
      </c>
      <c r="B25"/>
      <c r="C25"/>
      <c r="D25"/>
      <c r="E25"/>
      <c r="F25"/>
    </row>
    <row r="26" spans="1:6" x14ac:dyDescent="0.2">
      <c r="A26" s="64">
        <v>35431</v>
      </c>
      <c r="B26"/>
      <c r="C26"/>
      <c r="D26"/>
      <c r="E26"/>
      <c r="F26">
        <v>2.5764171429761211E-3</v>
      </c>
    </row>
    <row r="27" spans="1:6" x14ac:dyDescent="0.2">
      <c r="A27" s="64">
        <v>35462</v>
      </c>
      <c r="B27"/>
      <c r="C27"/>
      <c r="D27"/>
      <c r="E27"/>
      <c r="F27"/>
    </row>
    <row r="28" spans="1:6" x14ac:dyDescent="0.2">
      <c r="A28" s="64">
        <v>35490</v>
      </c>
      <c r="B28"/>
      <c r="C28"/>
      <c r="D28"/>
      <c r="E28"/>
      <c r="F28"/>
    </row>
    <row r="29" spans="1:6" x14ac:dyDescent="0.2">
      <c r="A29" s="64">
        <v>35521</v>
      </c>
      <c r="B29"/>
      <c r="C29"/>
      <c r="D29"/>
      <c r="E29"/>
      <c r="F29">
        <v>1.2397381193014621E-2</v>
      </c>
    </row>
    <row r="30" spans="1:6" x14ac:dyDescent="0.2">
      <c r="A30" s="64">
        <v>35551</v>
      </c>
      <c r="B30"/>
      <c r="C30"/>
      <c r="D30"/>
      <c r="E30"/>
      <c r="F30"/>
    </row>
    <row r="31" spans="1:6" x14ac:dyDescent="0.2">
      <c r="A31" s="64">
        <v>35582</v>
      </c>
      <c r="B31"/>
      <c r="C31"/>
      <c r="D31"/>
      <c r="E31"/>
      <c r="F31"/>
    </row>
    <row r="32" spans="1:6" x14ac:dyDescent="0.2">
      <c r="A32" s="64">
        <v>35612</v>
      </c>
      <c r="B32"/>
      <c r="C32"/>
      <c r="D32"/>
      <c r="E32"/>
      <c r="F32">
        <v>7.7538042785161082E-3</v>
      </c>
    </row>
    <row r="33" spans="1:6" x14ac:dyDescent="0.2">
      <c r="A33" s="64">
        <v>35643</v>
      </c>
      <c r="B33"/>
      <c r="C33"/>
      <c r="D33"/>
      <c r="E33"/>
      <c r="F33"/>
    </row>
    <row r="34" spans="1:6" x14ac:dyDescent="0.2">
      <c r="A34" s="64">
        <v>35674</v>
      </c>
      <c r="B34"/>
      <c r="C34"/>
      <c r="D34"/>
      <c r="E34"/>
      <c r="F34"/>
    </row>
    <row r="35" spans="1:6" x14ac:dyDescent="0.2">
      <c r="A35" s="64">
        <v>35704</v>
      </c>
      <c r="B35"/>
      <c r="C35"/>
      <c r="D35"/>
      <c r="E35"/>
      <c r="F35">
        <v>1.1279032658709279E-2</v>
      </c>
    </row>
    <row r="36" spans="1:6" x14ac:dyDescent="0.2">
      <c r="A36" s="64">
        <v>35735</v>
      </c>
      <c r="B36"/>
      <c r="C36"/>
      <c r="D36"/>
      <c r="E36"/>
      <c r="F36"/>
    </row>
    <row r="37" spans="1:6" x14ac:dyDescent="0.2">
      <c r="A37" s="64">
        <v>35765</v>
      </c>
      <c r="B37"/>
      <c r="C37"/>
      <c r="D37"/>
      <c r="E37"/>
      <c r="F37"/>
    </row>
    <row r="38" spans="1:6" x14ac:dyDescent="0.2">
      <c r="A38" s="64">
        <v>35796</v>
      </c>
      <c r="B38"/>
      <c r="C38"/>
      <c r="D38"/>
      <c r="E38"/>
      <c r="F38">
        <v>6.4481905197094182E-3</v>
      </c>
    </row>
    <row r="39" spans="1:6" x14ac:dyDescent="0.2">
      <c r="A39" s="64">
        <v>35827</v>
      </c>
      <c r="B39"/>
      <c r="C39"/>
      <c r="D39"/>
      <c r="E39"/>
      <c r="F39"/>
    </row>
    <row r="40" spans="1:6" x14ac:dyDescent="0.2">
      <c r="A40" s="64">
        <v>35855</v>
      </c>
      <c r="B40"/>
      <c r="C40"/>
      <c r="D40"/>
      <c r="E40"/>
      <c r="F40"/>
    </row>
    <row r="41" spans="1:6" x14ac:dyDescent="0.2">
      <c r="A41" s="64">
        <v>35886</v>
      </c>
      <c r="B41"/>
      <c r="C41"/>
      <c r="D41"/>
      <c r="E41"/>
      <c r="F41">
        <v>4.6161560032145499E-3</v>
      </c>
    </row>
    <row r="42" spans="1:6" x14ac:dyDescent="0.2">
      <c r="A42" s="64">
        <v>35916</v>
      </c>
      <c r="B42"/>
      <c r="C42"/>
      <c r="D42"/>
      <c r="E42"/>
      <c r="F42"/>
    </row>
    <row r="43" spans="1:6" x14ac:dyDescent="0.2">
      <c r="A43" s="64">
        <v>35947</v>
      </c>
      <c r="B43"/>
      <c r="C43"/>
      <c r="D43"/>
      <c r="E43"/>
      <c r="F43"/>
    </row>
    <row r="44" spans="1:6" x14ac:dyDescent="0.2">
      <c r="A44" s="64">
        <v>35977</v>
      </c>
      <c r="B44"/>
      <c r="C44"/>
      <c r="D44"/>
      <c r="E44"/>
      <c r="F44">
        <v>5.9409548277270787E-3</v>
      </c>
    </row>
    <row r="45" spans="1:6" x14ac:dyDescent="0.2">
      <c r="A45" s="64">
        <v>36008</v>
      </c>
      <c r="B45"/>
      <c r="C45"/>
      <c r="D45"/>
      <c r="E45"/>
      <c r="F45"/>
    </row>
    <row r="46" spans="1:6" x14ac:dyDescent="0.2">
      <c r="A46" s="64">
        <v>36039</v>
      </c>
      <c r="B46"/>
      <c r="C46"/>
      <c r="D46"/>
      <c r="E46"/>
      <c r="F46"/>
    </row>
    <row r="47" spans="1:6" x14ac:dyDescent="0.2">
      <c r="A47" s="64">
        <v>36069</v>
      </c>
      <c r="B47"/>
      <c r="C47"/>
      <c r="D47"/>
      <c r="E47"/>
      <c r="F47">
        <v>1.398196871179425E-3</v>
      </c>
    </row>
    <row r="48" spans="1:6" x14ac:dyDescent="0.2">
      <c r="A48" s="64">
        <v>36100</v>
      </c>
      <c r="B48"/>
      <c r="C48"/>
      <c r="D48"/>
      <c r="E48"/>
      <c r="F48"/>
    </row>
    <row r="49" spans="1:6" x14ac:dyDescent="0.2">
      <c r="A49" s="64">
        <v>36130</v>
      </c>
      <c r="B49"/>
      <c r="C49"/>
      <c r="D49"/>
      <c r="E49"/>
      <c r="F49"/>
    </row>
    <row r="50" spans="1:6" x14ac:dyDescent="0.2">
      <c r="A50" s="64">
        <v>36161</v>
      </c>
      <c r="B50"/>
      <c r="C50"/>
      <c r="D50"/>
      <c r="E50"/>
      <c r="F50">
        <v>9.9034418678698912E-3</v>
      </c>
    </row>
    <row r="51" spans="1:6" x14ac:dyDescent="0.2">
      <c r="A51" s="64">
        <v>36192</v>
      </c>
      <c r="B51"/>
      <c r="C51"/>
      <c r="D51"/>
      <c r="E51"/>
      <c r="F51"/>
    </row>
    <row r="52" spans="1:6" x14ac:dyDescent="0.2">
      <c r="A52" s="64">
        <v>36220</v>
      </c>
      <c r="B52"/>
      <c r="C52"/>
      <c r="D52"/>
      <c r="E52"/>
      <c r="F52"/>
    </row>
    <row r="53" spans="1:6" x14ac:dyDescent="0.2">
      <c r="A53" s="64">
        <v>36251</v>
      </c>
      <c r="B53"/>
      <c r="C53"/>
      <c r="D53"/>
      <c r="E53"/>
      <c r="F53">
        <v>5.7680150765441734E-3</v>
      </c>
    </row>
    <row r="54" spans="1:6" x14ac:dyDescent="0.2">
      <c r="A54" s="64">
        <v>36281</v>
      </c>
      <c r="B54"/>
      <c r="C54"/>
      <c r="D54"/>
      <c r="E54"/>
      <c r="F54"/>
    </row>
    <row r="55" spans="1:6" x14ac:dyDescent="0.2">
      <c r="A55" s="64">
        <v>36312</v>
      </c>
      <c r="B55"/>
      <c r="C55"/>
      <c r="D55"/>
      <c r="E55"/>
      <c r="F55"/>
    </row>
    <row r="56" spans="1:6" x14ac:dyDescent="0.2">
      <c r="A56" s="64">
        <v>36342</v>
      </c>
      <c r="B56"/>
      <c r="C56"/>
      <c r="D56"/>
      <c r="E56"/>
      <c r="F56">
        <v>1.1539308667981521E-2</v>
      </c>
    </row>
    <row r="57" spans="1:6" x14ac:dyDescent="0.2">
      <c r="A57" s="64">
        <v>36373</v>
      </c>
      <c r="B57"/>
      <c r="C57"/>
      <c r="D57"/>
      <c r="E57"/>
      <c r="F57"/>
    </row>
    <row r="58" spans="1:6" x14ac:dyDescent="0.2">
      <c r="A58" s="64">
        <v>36404</v>
      </c>
      <c r="B58"/>
      <c r="C58"/>
      <c r="D58"/>
      <c r="E58"/>
      <c r="F58"/>
    </row>
    <row r="59" spans="1:6" x14ac:dyDescent="0.2">
      <c r="A59" s="64">
        <v>36434</v>
      </c>
      <c r="B59"/>
      <c r="C59"/>
      <c r="D59"/>
      <c r="E59"/>
      <c r="F59">
        <v>1.1499442352521001E-2</v>
      </c>
    </row>
    <row r="60" spans="1:6" x14ac:dyDescent="0.2">
      <c r="A60" s="64">
        <v>36465</v>
      </c>
      <c r="B60"/>
      <c r="C60"/>
      <c r="D60"/>
      <c r="E60"/>
      <c r="F60"/>
    </row>
    <row r="61" spans="1:6" x14ac:dyDescent="0.2">
      <c r="A61" s="64">
        <v>36495</v>
      </c>
      <c r="B61"/>
      <c r="C61"/>
      <c r="D61"/>
      <c r="E61"/>
      <c r="F61"/>
    </row>
    <row r="62" spans="1:6" x14ac:dyDescent="0.2">
      <c r="A62" s="64">
        <v>36526</v>
      </c>
      <c r="B62"/>
      <c r="C62"/>
      <c r="D62"/>
      <c r="E62"/>
      <c r="F62">
        <v>1.2123513000492589E-2</v>
      </c>
    </row>
    <row r="63" spans="1:6" x14ac:dyDescent="0.2">
      <c r="A63" s="64">
        <v>36557</v>
      </c>
      <c r="B63"/>
      <c r="C63"/>
      <c r="D63"/>
      <c r="E63"/>
      <c r="F63"/>
    </row>
    <row r="64" spans="1:6" x14ac:dyDescent="0.2">
      <c r="A64" s="64">
        <v>36586</v>
      </c>
      <c r="B64"/>
      <c r="C64"/>
      <c r="D64"/>
      <c r="E64"/>
      <c r="F64"/>
    </row>
    <row r="65" spans="1:6" x14ac:dyDescent="0.2">
      <c r="A65" s="64">
        <v>36617</v>
      </c>
      <c r="B65"/>
      <c r="C65"/>
      <c r="D65"/>
      <c r="E65"/>
      <c r="F65">
        <v>9.1715671363432304E-3</v>
      </c>
    </row>
    <row r="66" spans="1:6" x14ac:dyDescent="0.2">
      <c r="A66" s="64">
        <v>36647</v>
      </c>
      <c r="B66"/>
      <c r="C66"/>
      <c r="D66"/>
      <c r="E66"/>
      <c r="F66"/>
    </row>
    <row r="67" spans="1:6" x14ac:dyDescent="0.2">
      <c r="A67" s="64">
        <v>36678</v>
      </c>
      <c r="B67"/>
      <c r="C67"/>
      <c r="D67"/>
      <c r="E67"/>
      <c r="F67"/>
    </row>
    <row r="68" spans="1:6" x14ac:dyDescent="0.2">
      <c r="A68" s="64">
        <v>36708</v>
      </c>
      <c r="B68"/>
      <c r="C68"/>
      <c r="D68"/>
      <c r="E68"/>
      <c r="F68">
        <v>5.3998974704207456E-3</v>
      </c>
    </row>
    <row r="69" spans="1:6" x14ac:dyDescent="0.2">
      <c r="A69" s="64">
        <v>36739</v>
      </c>
      <c r="B69"/>
      <c r="C69"/>
      <c r="D69"/>
      <c r="E69"/>
      <c r="F69"/>
    </row>
    <row r="70" spans="1:6" x14ac:dyDescent="0.2">
      <c r="A70" s="64">
        <v>36770</v>
      </c>
      <c r="B70"/>
      <c r="C70"/>
      <c r="D70"/>
      <c r="E70"/>
      <c r="F70"/>
    </row>
    <row r="71" spans="1:6" x14ac:dyDescent="0.2">
      <c r="A71" s="64">
        <v>36800</v>
      </c>
      <c r="B71"/>
      <c r="C71"/>
      <c r="D71"/>
      <c r="E71"/>
      <c r="F71">
        <v>6.6748931151935512E-3</v>
      </c>
    </row>
    <row r="72" spans="1:6" x14ac:dyDescent="0.2">
      <c r="A72" s="64">
        <v>36831</v>
      </c>
      <c r="B72"/>
      <c r="C72"/>
      <c r="D72"/>
      <c r="E72"/>
      <c r="F72"/>
    </row>
    <row r="73" spans="1:6" x14ac:dyDescent="0.2">
      <c r="A73" s="64">
        <v>36861</v>
      </c>
      <c r="B73"/>
      <c r="C73"/>
      <c r="D73"/>
      <c r="E73"/>
      <c r="F73"/>
    </row>
    <row r="74" spans="1:6" x14ac:dyDescent="0.2">
      <c r="A74" s="64">
        <v>36892</v>
      </c>
      <c r="B74"/>
      <c r="C74"/>
      <c r="D74"/>
      <c r="E74"/>
      <c r="F74">
        <v>1.022951233929343E-2</v>
      </c>
    </row>
    <row r="75" spans="1:6" x14ac:dyDescent="0.2">
      <c r="A75" s="64">
        <v>36923</v>
      </c>
      <c r="B75"/>
      <c r="C75"/>
      <c r="D75"/>
      <c r="E75"/>
      <c r="F75"/>
    </row>
    <row r="76" spans="1:6" x14ac:dyDescent="0.2">
      <c r="A76" s="64">
        <v>36951</v>
      </c>
      <c r="B76"/>
      <c r="C76"/>
      <c r="D76"/>
      <c r="E76"/>
      <c r="F76"/>
    </row>
    <row r="77" spans="1:6" x14ac:dyDescent="0.2">
      <c r="A77" s="64">
        <v>36982</v>
      </c>
      <c r="B77"/>
      <c r="C77"/>
      <c r="D77"/>
      <c r="E77"/>
      <c r="F77">
        <v>9.5261240535421811E-4</v>
      </c>
    </row>
    <row r="78" spans="1:6" x14ac:dyDescent="0.2">
      <c r="A78" s="64">
        <v>37012</v>
      </c>
      <c r="B78"/>
      <c r="C78"/>
      <c r="D78"/>
      <c r="E78"/>
      <c r="F78"/>
    </row>
    <row r="79" spans="1:6" x14ac:dyDescent="0.2">
      <c r="A79" s="64">
        <v>37043</v>
      </c>
      <c r="B79"/>
      <c r="C79"/>
      <c r="D79"/>
      <c r="E79"/>
      <c r="F79"/>
    </row>
    <row r="80" spans="1:6" x14ac:dyDescent="0.2">
      <c r="A80" s="64">
        <v>37073</v>
      </c>
      <c r="B80"/>
      <c r="C80"/>
      <c r="D80"/>
      <c r="E80"/>
      <c r="F80">
        <v>9.9609351208521449E-4</v>
      </c>
    </row>
    <row r="81" spans="1:6" x14ac:dyDescent="0.2">
      <c r="A81" s="64">
        <v>37104</v>
      </c>
      <c r="B81"/>
      <c r="C81"/>
      <c r="D81"/>
      <c r="E81"/>
      <c r="F81"/>
    </row>
    <row r="82" spans="1:6" x14ac:dyDescent="0.2">
      <c r="A82" s="64">
        <v>37135</v>
      </c>
      <c r="B82"/>
      <c r="C82"/>
      <c r="D82"/>
      <c r="E82"/>
      <c r="F82"/>
    </row>
    <row r="83" spans="1:6" x14ac:dyDescent="0.2">
      <c r="A83" s="64">
        <v>37165</v>
      </c>
      <c r="B83"/>
      <c r="C83"/>
      <c r="D83"/>
      <c r="E83"/>
      <c r="F83">
        <v>1.183124451582714E-3</v>
      </c>
    </row>
    <row r="84" spans="1:6" x14ac:dyDescent="0.2">
      <c r="A84" s="64">
        <v>37196</v>
      </c>
      <c r="B84"/>
      <c r="C84"/>
      <c r="D84"/>
      <c r="E84"/>
      <c r="F84"/>
    </row>
    <row r="85" spans="1:6" x14ac:dyDescent="0.2">
      <c r="A85" s="64">
        <v>37226</v>
      </c>
      <c r="B85"/>
      <c r="C85"/>
      <c r="D85"/>
      <c r="E85"/>
      <c r="F85"/>
    </row>
    <row r="86" spans="1:6" x14ac:dyDescent="0.2">
      <c r="A86" s="64">
        <v>37257</v>
      </c>
      <c r="B86"/>
      <c r="C86"/>
      <c r="D86"/>
      <c r="E86"/>
      <c r="F86">
        <v>9.4406429416242304E-4</v>
      </c>
    </row>
    <row r="87" spans="1:6" x14ac:dyDescent="0.2">
      <c r="A87" s="64">
        <v>37288</v>
      </c>
      <c r="B87"/>
      <c r="C87"/>
      <c r="D87"/>
      <c r="E87"/>
      <c r="F87"/>
    </row>
    <row r="88" spans="1:6" x14ac:dyDescent="0.2">
      <c r="A88" s="64">
        <v>37316</v>
      </c>
      <c r="B88"/>
      <c r="C88"/>
      <c r="D88"/>
      <c r="E88"/>
      <c r="F88"/>
    </row>
    <row r="89" spans="1:6" x14ac:dyDescent="0.2">
      <c r="A89" s="64">
        <v>37347</v>
      </c>
      <c r="B89"/>
      <c r="C89"/>
      <c r="D89"/>
      <c r="E89"/>
      <c r="F89">
        <v>5.4262051190907216E-3</v>
      </c>
    </row>
    <row r="90" spans="1:6" x14ac:dyDescent="0.2">
      <c r="A90" s="64">
        <v>37377</v>
      </c>
      <c r="B90"/>
      <c r="C90"/>
      <c r="D90"/>
      <c r="E90"/>
      <c r="F90"/>
    </row>
    <row r="91" spans="1:6" x14ac:dyDescent="0.2">
      <c r="A91" s="64">
        <v>37408</v>
      </c>
      <c r="B91"/>
      <c r="C91"/>
      <c r="D91"/>
      <c r="E91"/>
      <c r="F91"/>
    </row>
    <row r="92" spans="1:6" x14ac:dyDescent="0.2">
      <c r="A92" s="64">
        <v>37438</v>
      </c>
      <c r="B92"/>
      <c r="C92"/>
      <c r="D92"/>
      <c r="E92"/>
      <c r="F92">
        <v>4.151128774705715E-3</v>
      </c>
    </row>
    <row r="93" spans="1:6" x14ac:dyDescent="0.2">
      <c r="A93" s="64">
        <v>37469</v>
      </c>
      <c r="B93"/>
      <c r="C93"/>
      <c r="D93"/>
      <c r="E93"/>
      <c r="F93"/>
    </row>
    <row r="94" spans="1:6" x14ac:dyDescent="0.2">
      <c r="A94" s="64">
        <v>37500</v>
      </c>
      <c r="B94"/>
      <c r="C94"/>
      <c r="D94"/>
      <c r="E94"/>
      <c r="F94"/>
    </row>
    <row r="95" spans="1:6" x14ac:dyDescent="0.2">
      <c r="A95" s="64">
        <v>37530</v>
      </c>
      <c r="B95"/>
      <c r="C95"/>
      <c r="D95"/>
      <c r="E95"/>
      <c r="F95">
        <v>1.576007868011613E-3</v>
      </c>
    </row>
    <row r="96" spans="1:6" x14ac:dyDescent="0.2">
      <c r="A96" s="64">
        <v>37561</v>
      </c>
      <c r="B96"/>
      <c r="C96"/>
      <c r="D96"/>
      <c r="E96"/>
      <c r="F96"/>
    </row>
    <row r="97" spans="1:6" x14ac:dyDescent="0.2">
      <c r="A97" s="64">
        <v>37591</v>
      </c>
      <c r="B97"/>
      <c r="C97"/>
      <c r="D97"/>
      <c r="E97"/>
      <c r="F97"/>
    </row>
    <row r="98" spans="1:6" x14ac:dyDescent="0.2">
      <c r="A98" s="64">
        <v>37622</v>
      </c>
      <c r="B98"/>
      <c r="C98"/>
      <c r="D98"/>
      <c r="E98"/>
      <c r="F98">
        <v>-3.06654182883776E-3</v>
      </c>
    </row>
    <row r="99" spans="1:6" x14ac:dyDescent="0.2">
      <c r="A99" s="64">
        <v>37653</v>
      </c>
      <c r="B99"/>
      <c r="C99"/>
      <c r="D99"/>
      <c r="E99"/>
      <c r="F99"/>
    </row>
    <row r="100" spans="1:6" x14ac:dyDescent="0.2">
      <c r="A100" s="64">
        <v>37681</v>
      </c>
      <c r="B100"/>
      <c r="C100"/>
      <c r="D100"/>
      <c r="E100"/>
      <c r="F100"/>
    </row>
    <row r="101" spans="1:6" x14ac:dyDescent="0.2">
      <c r="A101" s="64">
        <v>37712</v>
      </c>
      <c r="B101"/>
      <c r="C101"/>
      <c r="D101"/>
      <c r="E101"/>
      <c r="F101">
        <v>8.6483548528495545E-4</v>
      </c>
    </row>
    <row r="102" spans="1:6" x14ac:dyDescent="0.2">
      <c r="A102" s="64">
        <v>37742</v>
      </c>
      <c r="B102"/>
      <c r="C102"/>
      <c r="D102"/>
      <c r="E102"/>
      <c r="F102"/>
    </row>
    <row r="103" spans="1:6" x14ac:dyDescent="0.2">
      <c r="A103" s="64">
        <v>37773</v>
      </c>
      <c r="B103"/>
      <c r="C103"/>
      <c r="D103"/>
      <c r="E103"/>
      <c r="F103"/>
    </row>
    <row r="104" spans="1:6" x14ac:dyDescent="0.2">
      <c r="A104" s="64">
        <v>37803</v>
      </c>
      <c r="B104"/>
      <c r="C104"/>
      <c r="D104"/>
      <c r="E104"/>
      <c r="F104">
        <v>5.404038730152291E-3</v>
      </c>
    </row>
    <row r="105" spans="1:6" x14ac:dyDescent="0.2">
      <c r="A105" s="64">
        <v>37834</v>
      </c>
      <c r="B105"/>
      <c r="C105"/>
      <c r="D105"/>
      <c r="E105"/>
      <c r="F105"/>
    </row>
    <row r="106" spans="1:6" x14ac:dyDescent="0.2">
      <c r="A106" s="64">
        <v>37865</v>
      </c>
      <c r="B106"/>
      <c r="C106"/>
      <c r="D106"/>
      <c r="E106"/>
      <c r="F106"/>
    </row>
    <row r="107" spans="1:6" x14ac:dyDescent="0.2">
      <c r="A107" s="64">
        <v>37895</v>
      </c>
      <c r="B107"/>
      <c r="C107"/>
      <c r="D107"/>
      <c r="E107"/>
      <c r="F107">
        <v>7.3518849359294931E-3</v>
      </c>
    </row>
    <row r="108" spans="1:6" x14ac:dyDescent="0.2">
      <c r="A108" s="64">
        <v>37926</v>
      </c>
      <c r="B108"/>
      <c r="C108"/>
      <c r="D108"/>
      <c r="E108"/>
      <c r="F108"/>
    </row>
    <row r="109" spans="1:6" x14ac:dyDescent="0.2">
      <c r="A109" s="64">
        <v>37956</v>
      </c>
      <c r="B109"/>
      <c r="C109"/>
      <c r="D109"/>
      <c r="E109"/>
      <c r="F109"/>
    </row>
    <row r="110" spans="1:6" x14ac:dyDescent="0.2">
      <c r="A110" s="64">
        <v>37987</v>
      </c>
      <c r="B110"/>
      <c r="C110"/>
      <c r="D110"/>
      <c r="E110"/>
      <c r="F110">
        <v>4.9293892037952872E-3</v>
      </c>
    </row>
    <row r="111" spans="1:6" x14ac:dyDescent="0.2">
      <c r="A111" s="64">
        <v>38018</v>
      </c>
      <c r="B111"/>
      <c r="C111"/>
      <c r="D111"/>
      <c r="E111"/>
      <c r="F111"/>
    </row>
    <row r="112" spans="1:6" x14ac:dyDescent="0.2">
      <c r="A112" s="64">
        <v>38047</v>
      </c>
      <c r="B112"/>
      <c r="C112"/>
      <c r="D112"/>
      <c r="E112"/>
      <c r="F112"/>
    </row>
    <row r="113" spans="1:6" x14ac:dyDescent="0.2">
      <c r="A113" s="64">
        <v>38078</v>
      </c>
      <c r="B113"/>
      <c r="C113"/>
      <c r="D113"/>
      <c r="E113"/>
      <c r="F113">
        <v>6.341194138634979E-3</v>
      </c>
    </row>
    <row r="114" spans="1:6" x14ac:dyDescent="0.2">
      <c r="A114" s="64">
        <v>38108</v>
      </c>
      <c r="B114"/>
      <c r="C114"/>
      <c r="D114"/>
      <c r="E114"/>
      <c r="F114"/>
    </row>
    <row r="115" spans="1:6" x14ac:dyDescent="0.2">
      <c r="A115" s="64">
        <v>38139</v>
      </c>
      <c r="B115"/>
      <c r="C115"/>
      <c r="D115"/>
      <c r="E115"/>
      <c r="F115"/>
    </row>
    <row r="116" spans="1:6" x14ac:dyDescent="0.2">
      <c r="A116" s="64">
        <v>38169</v>
      </c>
      <c r="B116"/>
      <c r="C116"/>
      <c r="D116"/>
      <c r="E116"/>
      <c r="F116">
        <v>2.4168316418317608E-3</v>
      </c>
    </row>
    <row r="117" spans="1:6" x14ac:dyDescent="0.2">
      <c r="A117" s="64">
        <v>38200</v>
      </c>
      <c r="B117"/>
      <c r="C117"/>
      <c r="D117"/>
      <c r="E117"/>
      <c r="F117"/>
    </row>
    <row r="118" spans="1:6" x14ac:dyDescent="0.2">
      <c r="A118" s="64">
        <v>38231</v>
      </c>
      <c r="B118"/>
      <c r="C118"/>
      <c r="D118"/>
      <c r="E118"/>
      <c r="F118"/>
    </row>
    <row r="119" spans="1:6" x14ac:dyDescent="0.2">
      <c r="A119" s="64">
        <v>38261</v>
      </c>
      <c r="B119"/>
      <c r="C119"/>
      <c r="D119"/>
      <c r="E119"/>
      <c r="F119">
        <v>3.638064328120734E-3</v>
      </c>
    </row>
    <row r="120" spans="1:6" x14ac:dyDescent="0.2">
      <c r="A120" s="64">
        <v>38292</v>
      </c>
      <c r="B120"/>
      <c r="C120"/>
      <c r="D120"/>
      <c r="E120"/>
      <c r="F120"/>
    </row>
    <row r="121" spans="1:6" x14ac:dyDescent="0.2">
      <c r="A121" s="64">
        <v>38322</v>
      </c>
      <c r="B121"/>
      <c r="C121"/>
      <c r="D121">
        <v>22.17093467712402</v>
      </c>
      <c r="E121">
        <v>18.609273910522461</v>
      </c>
      <c r="F121"/>
    </row>
    <row r="122" spans="1:6" x14ac:dyDescent="0.2">
      <c r="A122" s="64">
        <v>38353</v>
      </c>
      <c r="B122"/>
      <c r="C122"/>
      <c r="D122">
        <v>22.077951431274411</v>
      </c>
      <c r="E122">
        <v>18.507076263427731</v>
      </c>
      <c r="F122">
        <v>2.373109956616418E-3</v>
      </c>
    </row>
    <row r="123" spans="1:6" x14ac:dyDescent="0.2">
      <c r="A123" s="64">
        <v>38384</v>
      </c>
      <c r="B123"/>
      <c r="C123"/>
      <c r="D123">
        <v>23.0388069152832</v>
      </c>
      <c r="E123">
        <v>19.482236862182621</v>
      </c>
      <c r="F123"/>
    </row>
    <row r="124" spans="1:6" x14ac:dyDescent="0.2">
      <c r="A124" s="64">
        <v>38412</v>
      </c>
      <c r="B124"/>
      <c r="C124"/>
      <c r="D124">
        <v>22.482194900512699</v>
      </c>
      <c r="E124">
        <v>19.010391235351559</v>
      </c>
      <c r="F124"/>
    </row>
    <row r="125" spans="1:6" x14ac:dyDescent="0.2">
      <c r="A125" s="64">
        <v>38443</v>
      </c>
      <c r="B125"/>
      <c r="C125"/>
      <c r="D125">
        <v>21.704805374145511</v>
      </c>
      <c r="E125">
        <v>18.77970123291016</v>
      </c>
      <c r="F125">
        <v>5.6812296091285899E-3</v>
      </c>
    </row>
    <row r="126" spans="1:6" x14ac:dyDescent="0.2">
      <c r="A126" s="64">
        <v>38473</v>
      </c>
      <c r="B126"/>
      <c r="C126"/>
      <c r="D126">
        <v>21.80119705200195</v>
      </c>
      <c r="E126">
        <v>18.632902145385739</v>
      </c>
      <c r="F126"/>
    </row>
    <row r="127" spans="1:6" x14ac:dyDescent="0.2">
      <c r="A127" s="64">
        <v>38504</v>
      </c>
      <c r="B127"/>
      <c r="C127"/>
      <c r="D127">
        <v>22.121488571166989</v>
      </c>
      <c r="E127">
        <v>18.842617034912109</v>
      </c>
      <c r="F127"/>
    </row>
    <row r="128" spans="1:6" x14ac:dyDescent="0.2">
      <c r="A128" s="64">
        <v>38534</v>
      </c>
      <c r="B128"/>
      <c r="C128"/>
      <c r="D128">
        <v>23.128988265991211</v>
      </c>
      <c r="E128">
        <v>18.97892951965332</v>
      </c>
      <c r="F128">
        <v>7.4476391020472602E-3</v>
      </c>
    </row>
    <row r="129" spans="1:6" x14ac:dyDescent="0.2">
      <c r="A129" s="64">
        <v>38565</v>
      </c>
      <c r="B129"/>
      <c r="C129"/>
      <c r="D129">
        <v>23.508354187011719</v>
      </c>
      <c r="E129">
        <v>19.733892440795898</v>
      </c>
      <c r="F129"/>
    </row>
    <row r="130" spans="1:6" x14ac:dyDescent="0.2">
      <c r="A130" s="64">
        <v>38596</v>
      </c>
      <c r="B130"/>
      <c r="C130"/>
      <c r="D130">
        <v>23.918817520141602</v>
      </c>
      <c r="E130">
        <v>19.880691528320309</v>
      </c>
      <c r="F130"/>
    </row>
    <row r="131" spans="1:6" x14ac:dyDescent="0.2">
      <c r="A131" s="64">
        <v>38626</v>
      </c>
      <c r="B131"/>
      <c r="C131"/>
      <c r="D131">
        <v>23.017036437988281</v>
      </c>
      <c r="E131">
        <v>19.39835166931152</v>
      </c>
      <c r="F131">
        <v>6.5134387866442054E-3</v>
      </c>
    </row>
    <row r="132" spans="1:6" x14ac:dyDescent="0.2">
      <c r="A132" s="64">
        <v>38657</v>
      </c>
      <c r="B132"/>
      <c r="C132"/>
      <c r="D132">
        <v>23.43994140625</v>
      </c>
      <c r="E132">
        <v>19.429815292358398</v>
      </c>
      <c r="F132"/>
    </row>
    <row r="133" spans="1:6" x14ac:dyDescent="0.2">
      <c r="A133" s="64">
        <v>38687</v>
      </c>
      <c r="B133"/>
      <c r="C133"/>
      <c r="D133">
        <v>24.145816802978519</v>
      </c>
      <c r="E133">
        <v>19.482236862182621</v>
      </c>
      <c r="F133"/>
    </row>
    <row r="134" spans="1:6" x14ac:dyDescent="0.2">
      <c r="A134" s="64">
        <v>38718</v>
      </c>
      <c r="B134"/>
      <c r="C134"/>
      <c r="D134">
        <v>26.208602905273441</v>
      </c>
      <c r="E134">
        <v>21.306640625</v>
      </c>
      <c r="F134">
        <v>8.7610697106711988E-3</v>
      </c>
    </row>
    <row r="135" spans="1:6" x14ac:dyDescent="0.2">
      <c r="A135" s="64">
        <v>38749</v>
      </c>
      <c r="B135"/>
      <c r="C135"/>
      <c r="D135">
        <v>26.39834022521973</v>
      </c>
      <c r="E135">
        <v>21.18773078918457</v>
      </c>
      <c r="F135"/>
    </row>
    <row r="136" spans="1:6" x14ac:dyDescent="0.2">
      <c r="A136" s="64">
        <v>38777</v>
      </c>
      <c r="B136"/>
      <c r="C136"/>
      <c r="D136">
        <v>27.558883666992191</v>
      </c>
      <c r="E136">
        <v>21.793092727661129</v>
      </c>
      <c r="F136"/>
    </row>
    <row r="137" spans="1:6" x14ac:dyDescent="0.2">
      <c r="A137" s="64">
        <v>38808</v>
      </c>
      <c r="B137"/>
      <c r="C137"/>
      <c r="D137">
        <v>28.79213714599609</v>
      </c>
      <c r="E137">
        <v>23.187593460083011</v>
      </c>
      <c r="F137">
        <v>1.0986152377479189E-2</v>
      </c>
    </row>
    <row r="138" spans="1:6" x14ac:dyDescent="0.2">
      <c r="A138" s="64">
        <v>38838</v>
      </c>
      <c r="B138"/>
      <c r="C138"/>
      <c r="D138">
        <v>27.767585754394531</v>
      </c>
      <c r="E138">
        <v>22.571416854858398</v>
      </c>
      <c r="F138"/>
    </row>
    <row r="139" spans="1:6" x14ac:dyDescent="0.2">
      <c r="A139" s="64">
        <v>38869</v>
      </c>
      <c r="B139"/>
      <c r="C139"/>
      <c r="D139">
        <v>27.846639633178711</v>
      </c>
      <c r="E139">
        <v>22.75518798828125</v>
      </c>
      <c r="F139"/>
    </row>
    <row r="140" spans="1:6" x14ac:dyDescent="0.2">
      <c r="A140" s="64">
        <v>38899</v>
      </c>
      <c r="B140"/>
      <c r="C140"/>
      <c r="D140">
        <v>28.178676605224609</v>
      </c>
      <c r="E140">
        <v>23.349746704101559</v>
      </c>
      <c r="F140">
        <v>5.7859026324276128E-3</v>
      </c>
    </row>
    <row r="141" spans="1:6" x14ac:dyDescent="0.2">
      <c r="A141" s="64">
        <v>38930</v>
      </c>
      <c r="B141"/>
      <c r="C141"/>
      <c r="D141">
        <v>29.272806167602539</v>
      </c>
      <c r="E141">
        <v>23.85781288146973</v>
      </c>
      <c r="F141"/>
    </row>
    <row r="142" spans="1:6" x14ac:dyDescent="0.2">
      <c r="A142" s="64">
        <v>38961</v>
      </c>
      <c r="B142"/>
      <c r="C142"/>
      <c r="D142">
        <v>29.78509521484375</v>
      </c>
      <c r="E142">
        <v>23.66323280334473</v>
      </c>
      <c r="F142"/>
    </row>
    <row r="143" spans="1:6" x14ac:dyDescent="0.2">
      <c r="A143" s="64">
        <v>38991</v>
      </c>
      <c r="B143"/>
      <c r="C143"/>
      <c r="D143">
        <v>30.800163269042969</v>
      </c>
      <c r="E143">
        <v>24.755058288574219</v>
      </c>
      <c r="F143">
        <v>1.176764611043488E-2</v>
      </c>
    </row>
    <row r="144" spans="1:6" x14ac:dyDescent="0.2">
      <c r="A144" s="64">
        <v>39022</v>
      </c>
      <c r="B144"/>
      <c r="C144"/>
      <c r="D144">
        <v>32.223167419433587</v>
      </c>
      <c r="E144">
        <v>25.457708358764648</v>
      </c>
      <c r="F144"/>
    </row>
    <row r="145" spans="1:6" x14ac:dyDescent="0.2">
      <c r="A145" s="64">
        <v>39052</v>
      </c>
      <c r="B145"/>
      <c r="C145"/>
      <c r="D145">
        <v>32.681686401367188</v>
      </c>
      <c r="E145">
        <v>25.306367874145511</v>
      </c>
      <c r="F145"/>
    </row>
    <row r="146" spans="1:6" x14ac:dyDescent="0.2">
      <c r="A146" s="64">
        <v>39083</v>
      </c>
      <c r="B146"/>
      <c r="C146"/>
      <c r="D146">
        <v>33.753486633300781</v>
      </c>
      <c r="E146">
        <v>26.362041473388668</v>
      </c>
      <c r="F146">
        <v>6.2617263751477189E-3</v>
      </c>
    </row>
    <row r="147" spans="1:6" x14ac:dyDescent="0.2">
      <c r="A147" s="64">
        <v>39114</v>
      </c>
      <c r="B147"/>
      <c r="C147"/>
      <c r="D147">
        <v>33.447658538818359</v>
      </c>
      <c r="E147">
        <v>25.9705810546875</v>
      </c>
      <c r="F147"/>
    </row>
    <row r="148" spans="1:6" x14ac:dyDescent="0.2">
      <c r="A148" s="64">
        <v>39142</v>
      </c>
      <c r="B148"/>
      <c r="C148"/>
      <c r="D148">
        <v>34.838363647460938</v>
      </c>
      <c r="E148">
        <v>26.921272277832031</v>
      </c>
      <c r="F148"/>
    </row>
    <row r="149" spans="1:6" x14ac:dyDescent="0.2">
      <c r="A149" s="64">
        <v>39173</v>
      </c>
      <c r="B149"/>
      <c r="C149"/>
      <c r="D149">
        <v>37.020999908447273</v>
      </c>
      <c r="E149">
        <v>27.793672561645511</v>
      </c>
      <c r="F149">
        <v>7.1875881471832759E-3</v>
      </c>
    </row>
    <row r="150" spans="1:6" x14ac:dyDescent="0.2">
      <c r="A150" s="64">
        <v>39203</v>
      </c>
      <c r="B150"/>
      <c r="C150"/>
      <c r="D150">
        <v>38.421348571777337</v>
      </c>
      <c r="E150">
        <v>28.38644981384277</v>
      </c>
      <c r="F150"/>
    </row>
    <row r="151" spans="1:6" x14ac:dyDescent="0.2">
      <c r="A151" s="64">
        <v>39234</v>
      </c>
      <c r="B151"/>
      <c r="C151"/>
      <c r="D151">
        <v>37.986751556396477</v>
      </c>
      <c r="E151">
        <v>28.576595306396481</v>
      </c>
      <c r="F151"/>
    </row>
    <row r="152" spans="1:6" x14ac:dyDescent="0.2">
      <c r="A152" s="64">
        <v>39264</v>
      </c>
      <c r="B152"/>
      <c r="C152"/>
      <c r="D152">
        <v>36.792427062988281</v>
      </c>
      <c r="E152">
        <v>27.614719390869141</v>
      </c>
      <c r="F152">
        <v>4.2925911150494614E-3</v>
      </c>
    </row>
    <row r="153" spans="1:6" x14ac:dyDescent="0.2">
      <c r="A153" s="64">
        <v>39295</v>
      </c>
      <c r="B153"/>
      <c r="C153"/>
      <c r="D153">
        <v>36.782768249511719</v>
      </c>
      <c r="E153">
        <v>27.670637130737301</v>
      </c>
      <c r="F153"/>
    </row>
    <row r="154" spans="1:6" x14ac:dyDescent="0.2">
      <c r="A154" s="64">
        <v>39326</v>
      </c>
      <c r="B154"/>
      <c r="C154"/>
      <c r="D154">
        <v>38.920326232910163</v>
      </c>
      <c r="E154">
        <v>28.777914047241211</v>
      </c>
      <c r="F154"/>
    </row>
    <row r="155" spans="1:6" x14ac:dyDescent="0.2">
      <c r="A155" s="64">
        <v>39356</v>
      </c>
      <c r="B155"/>
      <c r="C155"/>
      <c r="D155">
        <v>40.8486328125</v>
      </c>
      <c r="E155">
        <v>30.444414138793949</v>
      </c>
      <c r="F155">
        <v>5.376043618680066E-3</v>
      </c>
    </row>
    <row r="156" spans="1:6" x14ac:dyDescent="0.2">
      <c r="A156" s="64">
        <v>39387</v>
      </c>
      <c r="B156"/>
      <c r="C156"/>
      <c r="D156">
        <v>39.715484619140618</v>
      </c>
      <c r="E156">
        <v>28.654876708984379</v>
      </c>
      <c r="F156"/>
    </row>
    <row r="157" spans="1:6" x14ac:dyDescent="0.2">
      <c r="A157" s="64">
        <v>39417</v>
      </c>
      <c r="B157"/>
      <c r="C157"/>
      <c r="D157">
        <v>38.411689758300781</v>
      </c>
      <c r="E157">
        <v>26.932453155517582</v>
      </c>
      <c r="F157"/>
    </row>
    <row r="158" spans="1:6" x14ac:dyDescent="0.2">
      <c r="A158" s="64">
        <v>39448</v>
      </c>
      <c r="B158"/>
      <c r="C158"/>
      <c r="D158">
        <v>35.328384399414062</v>
      </c>
      <c r="E158">
        <v>25.64885330200195</v>
      </c>
      <c r="F158">
        <v>4.7412884225104994E-3</v>
      </c>
    </row>
    <row r="159" spans="1:6" x14ac:dyDescent="0.2">
      <c r="A159" s="64">
        <v>39479</v>
      </c>
      <c r="B159"/>
      <c r="C159"/>
      <c r="D159">
        <v>35.037837982177727</v>
      </c>
      <c r="E159">
        <v>25.347917556762699</v>
      </c>
      <c r="F159"/>
    </row>
    <row r="160" spans="1:6" x14ac:dyDescent="0.2">
      <c r="A160" s="64">
        <v>39508</v>
      </c>
      <c r="B160"/>
      <c r="C160"/>
      <c r="D160">
        <v>35.922687530517578</v>
      </c>
      <c r="E160">
        <v>24.954387664794918</v>
      </c>
      <c r="F160"/>
    </row>
    <row r="161" spans="1:6" x14ac:dyDescent="0.2">
      <c r="A161" s="64">
        <v>39539</v>
      </c>
      <c r="B161"/>
      <c r="C161"/>
      <c r="D161">
        <v>37.355632781982422</v>
      </c>
      <c r="E161">
        <v>26.435907363891602</v>
      </c>
      <c r="F161">
        <v>-3.2590689030498319E-3</v>
      </c>
    </row>
    <row r="162" spans="1:6" x14ac:dyDescent="0.2">
      <c r="A162" s="64">
        <v>39569</v>
      </c>
      <c r="B162"/>
      <c r="C162"/>
      <c r="D162">
        <v>37.798065185546882</v>
      </c>
      <c r="E162">
        <v>26.37803840637207</v>
      </c>
      <c r="F162"/>
    </row>
    <row r="163" spans="1:6" x14ac:dyDescent="0.2">
      <c r="A163" s="64">
        <v>39600</v>
      </c>
      <c r="B163"/>
      <c r="C163"/>
      <c r="D163">
        <v>32.353538513183587</v>
      </c>
      <c r="E163">
        <v>23.982133865356449</v>
      </c>
      <c r="F163"/>
    </row>
    <row r="164" spans="1:6" x14ac:dyDescent="0.2">
      <c r="A164" s="64">
        <v>39630</v>
      </c>
      <c r="B164"/>
      <c r="C164"/>
      <c r="D164">
        <v>32.723590850830078</v>
      </c>
      <c r="E164">
        <v>23.52326774597168</v>
      </c>
      <c r="F164">
        <v>-5.3543585856787894E-3</v>
      </c>
    </row>
    <row r="165" spans="1:6" x14ac:dyDescent="0.2">
      <c r="A165" s="64">
        <v>39661</v>
      </c>
      <c r="B165"/>
      <c r="C165"/>
      <c r="D165">
        <v>31.436552047729489</v>
      </c>
      <c r="E165">
        <v>22.730087280273441</v>
      </c>
      <c r="F165"/>
    </row>
    <row r="166" spans="1:6" x14ac:dyDescent="0.2">
      <c r="A166" s="64">
        <v>39692</v>
      </c>
      <c r="B166"/>
      <c r="C166"/>
      <c r="D166">
        <v>27.192068099975589</v>
      </c>
      <c r="E166">
        <v>19.711248397827148</v>
      </c>
      <c r="F166"/>
    </row>
    <row r="167" spans="1:6" x14ac:dyDescent="0.2">
      <c r="A167" s="64">
        <v>39722</v>
      </c>
      <c r="B167"/>
      <c r="C167"/>
      <c r="D167">
        <v>20.510435104370121</v>
      </c>
      <c r="E167">
        <v>15.816347122192379</v>
      </c>
      <c r="F167">
        <v>-1.781536400651185E-2</v>
      </c>
    </row>
    <row r="168" spans="1:6" x14ac:dyDescent="0.2">
      <c r="A168" s="64">
        <v>39753</v>
      </c>
      <c r="B168"/>
      <c r="C168"/>
      <c r="D168">
        <v>18.983793258666989</v>
      </c>
      <c r="E168">
        <v>14.79823589324951</v>
      </c>
      <c r="F168"/>
    </row>
    <row r="169" spans="1:6" x14ac:dyDescent="0.2">
      <c r="A169" s="64">
        <v>39783</v>
      </c>
      <c r="B169"/>
      <c r="C169"/>
      <c r="D169">
        <v>20.95541954040527</v>
      </c>
      <c r="E169">
        <v>14.502267837524411</v>
      </c>
      <c r="F169"/>
    </row>
    <row r="170" spans="1:6" x14ac:dyDescent="0.2">
      <c r="A170" s="64">
        <v>39814</v>
      </c>
      <c r="B170"/>
      <c r="C170"/>
      <c r="D170">
        <v>17.6751708984375</v>
      </c>
      <c r="E170">
        <v>13.519698143005369</v>
      </c>
      <c r="F170">
        <v>-3.110206545240362E-2</v>
      </c>
    </row>
    <row r="171" spans="1:6" x14ac:dyDescent="0.2">
      <c r="A171" s="64">
        <v>39845</v>
      </c>
      <c r="B171"/>
      <c r="C171"/>
      <c r="D171">
        <v>15.54160690307617</v>
      </c>
      <c r="E171">
        <v>12.204267501831049</v>
      </c>
      <c r="F171"/>
    </row>
    <row r="172" spans="1:6" x14ac:dyDescent="0.2">
      <c r="A172" s="64">
        <v>39873</v>
      </c>
      <c r="B172"/>
      <c r="C172"/>
      <c r="D172">
        <v>17.082511901855469</v>
      </c>
      <c r="E172">
        <v>12.764541625976561</v>
      </c>
      <c r="F172"/>
    </row>
    <row r="173" spans="1:6" x14ac:dyDescent="0.2">
      <c r="A173" s="64">
        <v>39904</v>
      </c>
      <c r="B173"/>
      <c r="C173"/>
      <c r="D173">
        <v>19.58563232421875</v>
      </c>
      <c r="E173">
        <v>14.287033081054689</v>
      </c>
      <c r="F173">
        <v>-2.0159114701446339E-4</v>
      </c>
    </row>
    <row r="174" spans="1:6" x14ac:dyDescent="0.2">
      <c r="A174" s="64">
        <v>39934</v>
      </c>
      <c r="B174"/>
      <c r="C174"/>
      <c r="D174">
        <v>22.172407150268551</v>
      </c>
      <c r="E174">
        <v>16.723012924194339</v>
      </c>
      <c r="F174"/>
    </row>
    <row r="175" spans="1:6" x14ac:dyDescent="0.2">
      <c r="A175" s="64">
        <v>39965</v>
      </c>
      <c r="B175"/>
      <c r="C175"/>
      <c r="D175">
        <v>21.133514404296879</v>
      </c>
      <c r="E175">
        <v>16.089662551879879</v>
      </c>
      <c r="F175"/>
    </row>
    <row r="176" spans="1:6" x14ac:dyDescent="0.2">
      <c r="A176" s="64">
        <v>39995</v>
      </c>
      <c r="B176"/>
      <c r="C176"/>
      <c r="D176">
        <v>24.010015487670898</v>
      </c>
      <c r="E176">
        <v>17.770755767822269</v>
      </c>
      <c r="F176">
        <v>3.8960216357063521E-3</v>
      </c>
    </row>
    <row r="177" spans="1:6" x14ac:dyDescent="0.2">
      <c r="A177" s="64">
        <v>40026</v>
      </c>
      <c r="B177"/>
      <c r="C177"/>
      <c r="D177">
        <v>25.511980056762699</v>
      </c>
      <c r="E177">
        <v>18.539621353149411</v>
      </c>
      <c r="F177"/>
    </row>
    <row r="178" spans="1:6" x14ac:dyDescent="0.2">
      <c r="A178" s="64">
        <v>40057</v>
      </c>
      <c r="B178"/>
      <c r="C178"/>
      <c r="D178">
        <v>27.185604095458981</v>
      </c>
      <c r="E178">
        <v>19.23408317565918</v>
      </c>
      <c r="F178"/>
    </row>
    <row r="179" spans="1:6" x14ac:dyDescent="0.2">
      <c r="A179" s="64">
        <v>40087</v>
      </c>
      <c r="B179"/>
      <c r="C179"/>
      <c r="D179">
        <v>25.941122055053711</v>
      </c>
      <c r="E179">
        <v>19.20927810668945</v>
      </c>
      <c r="F179">
        <v>4.5674471503817952E-3</v>
      </c>
    </row>
    <row r="180" spans="1:6" x14ac:dyDescent="0.2">
      <c r="A180" s="64">
        <v>40118</v>
      </c>
      <c r="B180"/>
      <c r="C180"/>
      <c r="D180">
        <v>27.207059860229489</v>
      </c>
      <c r="E180">
        <v>20.176565170288089</v>
      </c>
      <c r="F180"/>
    </row>
    <row r="181" spans="1:6" x14ac:dyDescent="0.2">
      <c r="A181" s="64">
        <v>40148</v>
      </c>
      <c r="B181"/>
      <c r="C181"/>
      <c r="D181">
        <v>26.799385070800781</v>
      </c>
      <c r="E181">
        <v>20.08975791931152</v>
      </c>
      <c r="F181"/>
    </row>
    <row r="182" spans="1:6" x14ac:dyDescent="0.2">
      <c r="A182" s="64">
        <v>40179</v>
      </c>
      <c r="B182"/>
      <c r="C182"/>
      <c r="D182">
        <v>24.86527061462402</v>
      </c>
      <c r="E182">
        <v>19.358711242675781</v>
      </c>
      <c r="F182">
        <v>4.0082302543928963E-3</v>
      </c>
    </row>
    <row r="183" spans="1:6" x14ac:dyDescent="0.2">
      <c r="A183" s="64">
        <v>40210</v>
      </c>
      <c r="B183"/>
      <c r="C183"/>
      <c r="D183">
        <v>24.122695922851559</v>
      </c>
      <c r="E183">
        <v>19.195611953735352</v>
      </c>
      <c r="F183"/>
    </row>
    <row r="184" spans="1:6" x14ac:dyDescent="0.2">
      <c r="A184" s="64">
        <v>40238</v>
      </c>
      <c r="B184"/>
      <c r="C184"/>
      <c r="D184">
        <v>25.90341758728027</v>
      </c>
      <c r="E184">
        <v>20.4125862121582</v>
      </c>
      <c r="F184"/>
    </row>
    <row r="185" spans="1:6" x14ac:dyDescent="0.2">
      <c r="A185" s="64">
        <v>40269</v>
      </c>
      <c r="B185"/>
      <c r="C185"/>
      <c r="D185">
        <v>24.620145797729489</v>
      </c>
      <c r="E185">
        <v>19.973470687866211</v>
      </c>
      <c r="F185">
        <v>9.7059443828972341E-3</v>
      </c>
    </row>
    <row r="186" spans="1:6" x14ac:dyDescent="0.2">
      <c r="A186" s="64">
        <v>40299</v>
      </c>
      <c r="B186"/>
      <c r="C186"/>
      <c r="D186">
        <v>21.51289176940918</v>
      </c>
      <c r="E186">
        <v>17.77789306640625</v>
      </c>
      <c r="F186"/>
    </row>
    <row r="187" spans="1:6" x14ac:dyDescent="0.2">
      <c r="A187" s="64">
        <v>40330</v>
      </c>
      <c r="B187"/>
      <c r="C187"/>
      <c r="D187">
        <v>20.5828742980957</v>
      </c>
      <c r="E187">
        <v>16.862028121948239</v>
      </c>
      <c r="F187"/>
    </row>
    <row r="188" spans="1:6" x14ac:dyDescent="0.2">
      <c r="A188" s="64">
        <v>40360</v>
      </c>
      <c r="B188"/>
      <c r="C188"/>
      <c r="D188">
        <v>24.168361663818359</v>
      </c>
      <c r="E188">
        <v>19.648416519165039</v>
      </c>
      <c r="F188">
        <v>4.4033576559012163E-3</v>
      </c>
    </row>
    <row r="189" spans="1:6" x14ac:dyDescent="0.2">
      <c r="A189" s="64">
        <v>40391</v>
      </c>
      <c r="B189"/>
      <c r="C189"/>
      <c r="D189">
        <v>22.483049392700199</v>
      </c>
      <c r="E189">
        <v>19.099428176879879</v>
      </c>
      <c r="F189"/>
    </row>
    <row r="190" spans="1:6" x14ac:dyDescent="0.2">
      <c r="A190" s="64">
        <v>40422</v>
      </c>
      <c r="B190"/>
      <c r="C190"/>
      <c r="D190">
        <v>25.48570442199707</v>
      </c>
      <c r="E190">
        <v>20.886808395385739</v>
      </c>
      <c r="F190"/>
    </row>
    <row r="191" spans="1:6" x14ac:dyDescent="0.2">
      <c r="A191" s="64">
        <v>40452</v>
      </c>
      <c r="B191">
        <v>53.7</v>
      </c>
      <c r="C191">
        <v>35.05340576171875</v>
      </c>
      <c r="D191">
        <v>27.031179428100589</v>
      </c>
      <c r="E191">
        <v>21.767732620239261</v>
      </c>
      <c r="F191">
        <v>6.2604563058484804E-3</v>
      </c>
    </row>
    <row r="192" spans="1:6" x14ac:dyDescent="0.2">
      <c r="A192" s="64">
        <v>40483</v>
      </c>
      <c r="B192">
        <v>54</v>
      </c>
      <c r="C192">
        <v>34.287124633789062</v>
      </c>
      <c r="D192">
        <v>24.035892486572269</v>
      </c>
      <c r="E192">
        <v>20.631467819213871</v>
      </c>
      <c r="F192"/>
    </row>
    <row r="193" spans="1:6" x14ac:dyDescent="0.2">
      <c r="A193" s="64">
        <v>40513</v>
      </c>
      <c r="B193">
        <v>54.9</v>
      </c>
      <c r="C193">
        <v>36.601608276367188</v>
      </c>
      <c r="D193">
        <v>25.956697463989261</v>
      </c>
      <c r="E193">
        <v>22.176279067993161</v>
      </c>
      <c r="F193"/>
    </row>
    <row r="194" spans="1:6" x14ac:dyDescent="0.2">
      <c r="A194" s="64">
        <v>40544</v>
      </c>
      <c r="B194">
        <v>57.2</v>
      </c>
      <c r="C194">
        <v>37.353610992431641</v>
      </c>
      <c r="D194">
        <v>27.830266952514648</v>
      </c>
      <c r="E194">
        <v>22.644903182983398</v>
      </c>
      <c r="F194">
        <v>8.4554946357616526E-3</v>
      </c>
    </row>
    <row r="195" spans="1:6" x14ac:dyDescent="0.2">
      <c r="A195" s="64">
        <v>40575</v>
      </c>
      <c r="B195">
        <v>58.2</v>
      </c>
      <c r="C195">
        <v>38.514251708984382</v>
      </c>
      <c r="D195">
        <v>28.646406173706051</v>
      </c>
      <c r="E195">
        <v>23.676559448242191</v>
      </c>
      <c r="F195"/>
    </row>
    <row r="196" spans="1:6" x14ac:dyDescent="0.2">
      <c r="A196" s="64">
        <v>40603</v>
      </c>
      <c r="B196">
        <v>56</v>
      </c>
      <c r="C196">
        <v>38.182632446289062</v>
      </c>
      <c r="D196">
        <v>28.742862701416019</v>
      </c>
      <c r="E196">
        <v>23.096254348754879</v>
      </c>
      <c r="F196"/>
    </row>
    <row r="197" spans="1:6" x14ac:dyDescent="0.2">
      <c r="A197" s="64">
        <v>40634</v>
      </c>
      <c r="B197">
        <v>55.5</v>
      </c>
      <c r="C197">
        <v>40.022285461425781</v>
      </c>
      <c r="D197">
        <v>31.035459518432621</v>
      </c>
      <c r="E197">
        <v>24.643747329711911</v>
      </c>
      <c r="F197">
        <v>-2.2160407844019398E-5</v>
      </c>
    </row>
    <row r="198" spans="1:6" x14ac:dyDescent="0.2">
      <c r="A198" s="64">
        <v>40664</v>
      </c>
      <c r="B198">
        <v>53.1</v>
      </c>
      <c r="C198">
        <v>39.240627288818359</v>
      </c>
      <c r="D198">
        <v>29.558986663818359</v>
      </c>
      <c r="E198">
        <v>24.063436508178711</v>
      </c>
      <c r="F198"/>
    </row>
    <row r="199" spans="1:6" x14ac:dyDescent="0.2">
      <c r="A199" s="64">
        <v>40695</v>
      </c>
      <c r="B199">
        <v>52.8</v>
      </c>
      <c r="C199">
        <v>38.095783233642578</v>
      </c>
      <c r="D199">
        <v>28.80963134765625</v>
      </c>
      <c r="E199">
        <v>22.967294692993161</v>
      </c>
      <c r="F199"/>
    </row>
    <row r="200" spans="1:6" x14ac:dyDescent="0.2">
      <c r="A200" s="64">
        <v>40725</v>
      </c>
      <c r="B200">
        <v>50.9</v>
      </c>
      <c r="C200">
        <v>37.670745849609382</v>
      </c>
      <c r="D200">
        <v>27.238225936889648</v>
      </c>
      <c r="E200">
        <v>23.27229118347168</v>
      </c>
      <c r="F200">
        <v>1.2449307975378151E-3</v>
      </c>
    </row>
    <row r="201" spans="1:6" x14ac:dyDescent="0.2">
      <c r="A201" s="64">
        <v>40756</v>
      </c>
      <c r="B201">
        <v>50.4</v>
      </c>
      <c r="C201">
        <v>34.898372650146477</v>
      </c>
      <c r="D201">
        <v>23.915012359619141</v>
      </c>
      <c r="E201">
        <v>21.4881706237793</v>
      </c>
      <c r="F201"/>
    </row>
    <row r="202" spans="1:6" x14ac:dyDescent="0.2">
      <c r="A202" s="64">
        <v>40787</v>
      </c>
      <c r="B202">
        <v>50.1</v>
      </c>
      <c r="C202">
        <v>31.255132675170898</v>
      </c>
      <c r="D202">
        <v>20.728364944458011</v>
      </c>
      <c r="E202">
        <v>19.37608528137207</v>
      </c>
      <c r="F202"/>
    </row>
    <row r="203" spans="1:6" x14ac:dyDescent="0.2">
      <c r="A203" s="64">
        <v>40817</v>
      </c>
      <c r="B203">
        <v>49.5</v>
      </c>
      <c r="C203">
        <v>34.794509887695312</v>
      </c>
      <c r="D203">
        <v>23.34596061706543</v>
      </c>
      <c r="E203">
        <v>21.881729125976559</v>
      </c>
      <c r="F203">
        <v>-4.089599075691828E-3</v>
      </c>
    </row>
    <row r="204" spans="1:6" x14ac:dyDescent="0.2">
      <c r="A204" s="64">
        <v>40848</v>
      </c>
      <c r="B204">
        <v>49.6</v>
      </c>
      <c r="C204">
        <v>34.395027160644531</v>
      </c>
      <c r="D204">
        <v>22.359617233276371</v>
      </c>
      <c r="E204">
        <v>21.527523040771481</v>
      </c>
      <c r="F204"/>
    </row>
    <row r="205" spans="1:6" x14ac:dyDescent="0.2">
      <c r="A205" s="64">
        <v>40878</v>
      </c>
      <c r="B205">
        <v>50.4</v>
      </c>
      <c r="C205">
        <v>33.691947937011719</v>
      </c>
      <c r="D205">
        <v>21.16842079162598</v>
      </c>
      <c r="E205">
        <v>21.19956016540527</v>
      </c>
      <c r="F205"/>
    </row>
    <row r="206" spans="1:6" x14ac:dyDescent="0.2">
      <c r="A206" s="64">
        <v>40909</v>
      </c>
      <c r="B206">
        <v>51</v>
      </c>
      <c r="C206">
        <v>35.934349060058587</v>
      </c>
      <c r="D206">
        <v>22.927595138549801</v>
      </c>
      <c r="E206">
        <v>22.209335327148441</v>
      </c>
      <c r="F206">
        <v>-2.110929629305632E-3</v>
      </c>
    </row>
    <row r="207" spans="1:6" x14ac:dyDescent="0.2">
      <c r="A207" s="64">
        <v>40940</v>
      </c>
      <c r="B207">
        <v>51.2</v>
      </c>
      <c r="C207">
        <v>37.711681365966797</v>
      </c>
      <c r="D207">
        <v>24.186422348022461</v>
      </c>
      <c r="E207">
        <v>23.341106414794918</v>
      </c>
      <c r="F207"/>
    </row>
    <row r="208" spans="1:6" x14ac:dyDescent="0.2">
      <c r="A208" s="64">
        <v>40969</v>
      </c>
      <c r="B208">
        <v>51.6</v>
      </c>
      <c r="C208">
        <v>38.131778717041023</v>
      </c>
      <c r="D208">
        <v>24.21712684631348</v>
      </c>
      <c r="E208">
        <v>23.034860610961911</v>
      </c>
      <c r="F208"/>
    </row>
    <row r="209" spans="1:6" x14ac:dyDescent="0.2">
      <c r="A209" s="64">
        <v>41000</v>
      </c>
      <c r="B209">
        <v>51.3</v>
      </c>
      <c r="C209">
        <v>37.695522308349609</v>
      </c>
      <c r="D209">
        <v>22.858510971069339</v>
      </c>
      <c r="E209">
        <v>23.367734909057621</v>
      </c>
      <c r="F209">
        <v>-2.649158453816333E-3</v>
      </c>
    </row>
    <row r="210" spans="1:6" x14ac:dyDescent="0.2">
      <c r="A210" s="64">
        <v>41030</v>
      </c>
      <c r="B210">
        <v>50.3</v>
      </c>
      <c r="C210">
        <v>34.197429656982422</v>
      </c>
      <c r="D210">
        <v>19.911012649536129</v>
      </c>
      <c r="E210">
        <v>20.704744338989261</v>
      </c>
      <c r="F210"/>
    </row>
    <row r="211" spans="1:6" x14ac:dyDescent="0.2">
      <c r="A211" s="64">
        <v>41061</v>
      </c>
      <c r="B211">
        <v>49.7</v>
      </c>
      <c r="C211">
        <v>35.441551208496087</v>
      </c>
      <c r="D211">
        <v>21.0700569152832</v>
      </c>
      <c r="E211">
        <v>21.690053939819339</v>
      </c>
      <c r="F211"/>
    </row>
    <row r="212" spans="1:6" x14ac:dyDescent="0.2">
      <c r="A212" s="64">
        <v>41091</v>
      </c>
      <c r="B212">
        <v>48.8</v>
      </c>
      <c r="C212">
        <v>36.226879119873047</v>
      </c>
      <c r="D212">
        <v>21.476421356201168</v>
      </c>
      <c r="E212">
        <v>22.394912719726559</v>
      </c>
      <c r="F212">
        <v>-1.1569393991966491E-3</v>
      </c>
    </row>
    <row r="213" spans="1:6" x14ac:dyDescent="0.2">
      <c r="A213" s="64">
        <v>41122</v>
      </c>
      <c r="B213">
        <v>48.7</v>
      </c>
      <c r="C213">
        <v>37.234306335449219</v>
      </c>
      <c r="D213">
        <v>22.898696899414059</v>
      </c>
      <c r="E213">
        <v>23.13095664978027</v>
      </c>
      <c r="F213"/>
    </row>
    <row r="214" spans="1:6" x14ac:dyDescent="0.2">
      <c r="A214" s="64">
        <v>41153</v>
      </c>
      <c r="B214">
        <v>48.7</v>
      </c>
      <c r="C214">
        <v>38.241756439208977</v>
      </c>
      <c r="D214">
        <v>23.744161605834961</v>
      </c>
      <c r="E214">
        <v>23.717067718505859</v>
      </c>
      <c r="F214"/>
    </row>
    <row r="215" spans="1:6" x14ac:dyDescent="0.2">
      <c r="A215" s="64">
        <v>41183</v>
      </c>
      <c r="B215">
        <v>48.9</v>
      </c>
      <c r="C215">
        <v>38.045181274414062</v>
      </c>
      <c r="D215">
        <v>24.352581024169918</v>
      </c>
      <c r="E215">
        <v>23.826112747192379</v>
      </c>
      <c r="F215">
        <v>-4.1719625763579323E-3</v>
      </c>
    </row>
    <row r="216" spans="1:6" x14ac:dyDescent="0.2">
      <c r="A216" s="64">
        <v>41214</v>
      </c>
      <c r="B216">
        <v>49.6</v>
      </c>
      <c r="C216">
        <v>38.651275634765618</v>
      </c>
      <c r="D216">
        <v>25.182243347167969</v>
      </c>
      <c r="E216">
        <v>24.098724365234379</v>
      </c>
      <c r="F216"/>
    </row>
    <row r="217" spans="1:6" x14ac:dyDescent="0.2">
      <c r="A217" s="64">
        <v>41244</v>
      </c>
      <c r="B217">
        <v>50</v>
      </c>
      <c r="C217">
        <v>39.380245208740227</v>
      </c>
      <c r="D217">
        <v>26.438591003417969</v>
      </c>
      <c r="E217">
        <v>24.453115463256839</v>
      </c>
      <c r="F217"/>
    </row>
    <row r="218" spans="1:6" x14ac:dyDescent="0.2">
      <c r="A218" s="64">
        <v>41275</v>
      </c>
      <c r="B218">
        <v>51.5</v>
      </c>
      <c r="C218">
        <v>41.271072387695312</v>
      </c>
      <c r="D218">
        <v>27.536397933959961</v>
      </c>
      <c r="E218">
        <v>25.533628463745121</v>
      </c>
      <c r="F218">
        <v>-3.7847985896594799E-3</v>
      </c>
    </row>
    <row r="219" spans="1:6" x14ac:dyDescent="0.2">
      <c r="A219" s="64">
        <v>41306</v>
      </c>
      <c r="B219">
        <v>50.9</v>
      </c>
      <c r="C219">
        <v>41.229713439941413</v>
      </c>
      <c r="D219">
        <v>26.267440795898441</v>
      </c>
      <c r="E219">
        <v>24.8424072265625</v>
      </c>
      <c r="F219"/>
    </row>
    <row r="220" spans="1:6" x14ac:dyDescent="0.2">
      <c r="A220" s="64">
        <v>41334</v>
      </c>
      <c r="B220">
        <v>51.2</v>
      </c>
      <c r="C220">
        <v>41.982501983642578</v>
      </c>
      <c r="D220">
        <v>25.894681930541989</v>
      </c>
      <c r="E220">
        <v>25.257139205932621</v>
      </c>
      <c r="F220"/>
    </row>
    <row r="221" spans="1:6" x14ac:dyDescent="0.2">
      <c r="A221" s="64">
        <v>41365</v>
      </c>
      <c r="B221">
        <v>50.4</v>
      </c>
      <c r="C221">
        <v>43.173732757568359</v>
      </c>
      <c r="D221">
        <v>27.38570404052734</v>
      </c>
      <c r="E221">
        <v>25.976011276245121</v>
      </c>
      <c r="F221">
        <v>5.3637178024913152E-3</v>
      </c>
    </row>
    <row r="222" spans="1:6" x14ac:dyDescent="0.2">
      <c r="A222" s="64">
        <v>41395</v>
      </c>
      <c r="B222">
        <v>50.6</v>
      </c>
      <c r="C222">
        <v>43.008277893066413</v>
      </c>
      <c r="D222">
        <v>27.74260330200195</v>
      </c>
      <c r="E222">
        <v>25.948358535766602</v>
      </c>
      <c r="F222"/>
    </row>
    <row r="223" spans="1:6" x14ac:dyDescent="0.2">
      <c r="A223" s="64">
        <v>41426</v>
      </c>
      <c r="B223">
        <v>50.6</v>
      </c>
      <c r="C223">
        <v>41.362068176269531</v>
      </c>
      <c r="D223">
        <v>25.75984954833984</v>
      </c>
      <c r="E223">
        <v>24.413852691650391</v>
      </c>
      <c r="F223"/>
    </row>
    <row r="224" spans="1:6" x14ac:dyDescent="0.2">
      <c r="A224" s="64">
        <v>41456</v>
      </c>
      <c r="B224">
        <v>50.8</v>
      </c>
      <c r="C224">
        <v>43.807865142822273</v>
      </c>
      <c r="D224">
        <v>28.698677062988281</v>
      </c>
      <c r="E224">
        <v>26.360992431640621</v>
      </c>
      <c r="F224">
        <v>3.1309192847020751E-3</v>
      </c>
    </row>
    <row r="225" spans="1:6" x14ac:dyDescent="0.2">
      <c r="A225" s="64">
        <v>41487</v>
      </c>
      <c r="B225">
        <v>51.6</v>
      </c>
      <c r="C225">
        <v>42.802520751953118</v>
      </c>
      <c r="D225">
        <v>28.178657531738281</v>
      </c>
      <c r="E225">
        <v>26.164581298828121</v>
      </c>
      <c r="F225"/>
    </row>
    <row r="226" spans="1:6" x14ac:dyDescent="0.2">
      <c r="A226" s="64">
        <v>41518</v>
      </c>
      <c r="B226">
        <v>51.8</v>
      </c>
      <c r="C226">
        <v>45.173454284667969</v>
      </c>
      <c r="D226">
        <v>30.65688323974609</v>
      </c>
      <c r="E226">
        <v>27.52541351318359</v>
      </c>
      <c r="F226"/>
    </row>
    <row r="227" spans="1:6" x14ac:dyDescent="0.2">
      <c r="A227" s="64">
        <v>41548</v>
      </c>
      <c r="B227">
        <v>52.1</v>
      </c>
      <c r="C227">
        <v>46.957942962646477</v>
      </c>
      <c r="D227">
        <v>32.322574615478523</v>
      </c>
      <c r="E227">
        <v>28.549556732177731</v>
      </c>
      <c r="F227">
        <v>2.7480226624383209E-3</v>
      </c>
    </row>
    <row r="228" spans="1:6" x14ac:dyDescent="0.2">
      <c r="A228" s="64">
        <v>41579</v>
      </c>
      <c r="B228">
        <v>53.1</v>
      </c>
      <c r="C228">
        <v>47.686813354492188</v>
      </c>
      <c r="D228">
        <v>32.793838500976562</v>
      </c>
      <c r="E228">
        <v>28.774021148681641</v>
      </c>
      <c r="F228"/>
    </row>
    <row r="229" spans="1:6" x14ac:dyDescent="0.2">
      <c r="A229" s="64">
        <v>41609</v>
      </c>
      <c r="B229">
        <v>53.3</v>
      </c>
      <c r="C229">
        <v>48.273262023925781</v>
      </c>
      <c r="D229">
        <v>33.622634887695312</v>
      </c>
      <c r="E229">
        <v>29.293106079101559</v>
      </c>
      <c r="F229"/>
    </row>
    <row r="230" spans="1:6" x14ac:dyDescent="0.2">
      <c r="A230" s="64">
        <v>41640</v>
      </c>
      <c r="B230">
        <v>52.9</v>
      </c>
      <c r="C230">
        <v>46.418121337890618</v>
      </c>
      <c r="D230">
        <v>32.011016845703118</v>
      </c>
      <c r="E230">
        <v>28.26807975769043</v>
      </c>
      <c r="F230">
        <v>4.0031985751650644E-3</v>
      </c>
    </row>
    <row r="231" spans="1:6" x14ac:dyDescent="0.2">
      <c r="A231" s="64">
        <v>41671</v>
      </c>
      <c r="B231">
        <v>53.3</v>
      </c>
      <c r="C231">
        <v>48.834068298339837</v>
      </c>
      <c r="D231">
        <v>34.244537353515618</v>
      </c>
      <c r="E231">
        <v>30.18480110168457</v>
      </c>
      <c r="F231"/>
    </row>
    <row r="232" spans="1:6" x14ac:dyDescent="0.2">
      <c r="A232" s="64">
        <v>41699</v>
      </c>
      <c r="B232">
        <v>52.4</v>
      </c>
      <c r="C232">
        <v>49.112827301025391</v>
      </c>
      <c r="D232">
        <v>34.456478118896477</v>
      </c>
      <c r="E232">
        <v>29.23353385925293</v>
      </c>
      <c r="F232"/>
    </row>
    <row r="233" spans="1:6" x14ac:dyDescent="0.2">
      <c r="A233" s="64">
        <v>41730</v>
      </c>
      <c r="B233">
        <v>51.9</v>
      </c>
      <c r="C233">
        <v>49.695693969726562</v>
      </c>
      <c r="D233">
        <v>35.092300415039062</v>
      </c>
      <c r="E233">
        <v>30.553949356079102</v>
      </c>
      <c r="F233">
        <v>2.260536398467356E-3</v>
      </c>
    </row>
    <row r="234" spans="1:6" x14ac:dyDescent="0.2">
      <c r="A234" s="64">
        <v>41760</v>
      </c>
      <c r="B234">
        <v>52.2</v>
      </c>
      <c r="C234">
        <v>50.692478179931641</v>
      </c>
      <c r="D234">
        <v>35.385757446289062</v>
      </c>
      <c r="E234">
        <v>30.852106094360352</v>
      </c>
      <c r="F234"/>
    </row>
    <row r="235" spans="1:6" x14ac:dyDescent="0.2">
      <c r="A235" s="64">
        <v>41791</v>
      </c>
      <c r="B235">
        <v>52.6</v>
      </c>
      <c r="C235">
        <v>50.903652191162109</v>
      </c>
      <c r="D235">
        <v>34.497234344482422</v>
      </c>
      <c r="E235">
        <v>29.645284652709961</v>
      </c>
      <c r="F235"/>
    </row>
    <row r="236" spans="1:6" x14ac:dyDescent="0.2">
      <c r="A236" s="64">
        <v>41821</v>
      </c>
      <c r="B236">
        <v>52.5</v>
      </c>
      <c r="C236">
        <v>50.868995666503913</v>
      </c>
      <c r="D236">
        <v>33.067115783691413</v>
      </c>
      <c r="E236">
        <v>30.356288909912109</v>
      </c>
      <c r="F236">
        <v>4.4991229264996838E-3</v>
      </c>
    </row>
    <row r="237" spans="1:6" x14ac:dyDescent="0.2">
      <c r="A237" s="64">
        <v>41852</v>
      </c>
      <c r="B237">
        <v>52.6</v>
      </c>
      <c r="C237">
        <v>52.179477691650391</v>
      </c>
      <c r="D237">
        <v>33.125274658203118</v>
      </c>
      <c r="E237">
        <v>30.594610214233398</v>
      </c>
      <c r="F237"/>
    </row>
    <row r="238" spans="1:6" x14ac:dyDescent="0.2">
      <c r="A238" s="64">
        <v>41883</v>
      </c>
      <c r="B238">
        <v>52.2</v>
      </c>
      <c r="C238">
        <v>50.449295043945312</v>
      </c>
      <c r="D238">
        <v>31.987043380737301</v>
      </c>
      <c r="E238">
        <v>28.866775512695309</v>
      </c>
      <c r="F238"/>
    </row>
    <row r="239" spans="1:6" x14ac:dyDescent="0.2">
      <c r="A239" s="64">
        <v>41913</v>
      </c>
      <c r="B239">
        <v>52.2</v>
      </c>
      <c r="C239">
        <v>51.057430267333977</v>
      </c>
      <c r="D239">
        <v>31.073127746582031</v>
      </c>
      <c r="E239">
        <v>28.31565093994141</v>
      </c>
      <c r="F239">
        <v>4.1628189328946196E-3</v>
      </c>
    </row>
    <row r="240" spans="1:6" x14ac:dyDescent="0.2">
      <c r="A240" s="64">
        <v>41944</v>
      </c>
      <c r="B240">
        <v>51.8</v>
      </c>
      <c r="C240">
        <v>51.759777069091797</v>
      </c>
      <c r="D240">
        <v>32.27783203125</v>
      </c>
      <c r="E240">
        <v>28.345443725585941</v>
      </c>
      <c r="F240"/>
    </row>
    <row r="241" spans="1:6" x14ac:dyDescent="0.2">
      <c r="A241" s="64">
        <v>41974</v>
      </c>
      <c r="B241">
        <v>51.6</v>
      </c>
      <c r="C241">
        <v>50.106689453125</v>
      </c>
      <c r="D241">
        <v>30.184137344360352</v>
      </c>
      <c r="E241">
        <v>26.855930328369141</v>
      </c>
      <c r="F241"/>
    </row>
    <row r="242" spans="1:6" x14ac:dyDescent="0.2">
      <c r="A242" s="64">
        <v>42005</v>
      </c>
      <c r="B242">
        <v>51.7</v>
      </c>
      <c r="C242">
        <v>49.874233245849609</v>
      </c>
      <c r="D242">
        <v>30.69611930847168</v>
      </c>
      <c r="E242">
        <v>27.407939910888668</v>
      </c>
      <c r="F242">
        <v>6.5129881593109879E-3</v>
      </c>
    </row>
    <row r="243" spans="1:6" x14ac:dyDescent="0.2">
      <c r="A243" s="64">
        <v>42036</v>
      </c>
      <c r="B243">
        <v>52</v>
      </c>
      <c r="C243">
        <v>52.621505737304688</v>
      </c>
      <c r="D243">
        <v>32.604160308837891</v>
      </c>
      <c r="E243">
        <v>29.01838302612305</v>
      </c>
      <c r="F243"/>
    </row>
    <row r="244" spans="1:6" x14ac:dyDescent="0.2">
      <c r="A244" s="64">
        <v>42064</v>
      </c>
      <c r="B244">
        <v>51.8</v>
      </c>
      <c r="C244">
        <v>51.852615356445312</v>
      </c>
      <c r="D244">
        <v>32.286155700683587</v>
      </c>
      <c r="E244">
        <v>27.362356185913089</v>
      </c>
      <c r="F244"/>
    </row>
    <row r="245" spans="1:6" x14ac:dyDescent="0.2">
      <c r="A245" s="64">
        <v>42095</v>
      </c>
      <c r="B245">
        <v>51</v>
      </c>
      <c r="C245">
        <v>53.338558197021477</v>
      </c>
      <c r="D245">
        <v>33.005855560302727</v>
      </c>
      <c r="E245">
        <v>29.18549919128418</v>
      </c>
      <c r="F245">
        <v>4.4246764953906181E-3</v>
      </c>
    </row>
    <row r="246" spans="1:6" x14ac:dyDescent="0.2">
      <c r="A246" s="64">
        <v>42125</v>
      </c>
      <c r="B246">
        <v>51.2</v>
      </c>
      <c r="C246">
        <v>53.338558197021477</v>
      </c>
      <c r="D246">
        <v>32.796638488769531</v>
      </c>
      <c r="E246">
        <v>29.367815017700199</v>
      </c>
      <c r="F246"/>
    </row>
    <row r="247" spans="1:6" x14ac:dyDescent="0.2">
      <c r="A247" s="64">
        <v>42156</v>
      </c>
      <c r="B247">
        <v>51</v>
      </c>
      <c r="C247">
        <v>51.360187530517578</v>
      </c>
      <c r="D247">
        <v>31.415815353393551</v>
      </c>
      <c r="E247">
        <v>27.72698974609375</v>
      </c>
      <c r="F247"/>
    </row>
    <row r="248" spans="1:6" x14ac:dyDescent="0.2">
      <c r="A248" s="64">
        <v>42186</v>
      </c>
      <c r="B248">
        <v>51</v>
      </c>
      <c r="C248">
        <v>52.3916015625</v>
      </c>
      <c r="D248">
        <v>32.946598052978523</v>
      </c>
      <c r="E248">
        <v>28.68111419677734</v>
      </c>
      <c r="F248">
        <v>4.45933382839703E-3</v>
      </c>
    </row>
    <row r="249" spans="1:6" x14ac:dyDescent="0.2">
      <c r="A249" s="64">
        <v>42217</v>
      </c>
      <c r="B249">
        <v>50.7</v>
      </c>
      <c r="C249">
        <v>48.825416564941413</v>
      </c>
      <c r="D249">
        <v>30.672946929931641</v>
      </c>
      <c r="E249">
        <v>26.39157676696777</v>
      </c>
      <c r="F249"/>
    </row>
    <row r="250" spans="1:6" x14ac:dyDescent="0.2">
      <c r="A250" s="64">
        <v>42248</v>
      </c>
      <c r="B250">
        <v>50.6</v>
      </c>
      <c r="C250">
        <v>47.147201538085938</v>
      </c>
      <c r="D250">
        <v>29.24233245849609</v>
      </c>
      <c r="E250">
        <v>25.355096817016602</v>
      </c>
      <c r="F250"/>
    </row>
    <row r="251" spans="1:6" x14ac:dyDescent="0.2">
      <c r="A251" s="64">
        <v>42278</v>
      </c>
      <c r="B251">
        <v>51.4</v>
      </c>
      <c r="C251">
        <v>50.757095336914062</v>
      </c>
      <c r="D251">
        <v>31.379730224609379</v>
      </c>
      <c r="E251">
        <v>27.02584266662598</v>
      </c>
      <c r="F251">
        <v>4.6112060984272582E-3</v>
      </c>
    </row>
    <row r="252" spans="1:6" x14ac:dyDescent="0.2">
      <c r="A252" s="64">
        <v>42309</v>
      </c>
      <c r="B252">
        <v>51.2</v>
      </c>
      <c r="C252">
        <v>50.486141204833977</v>
      </c>
      <c r="D252">
        <v>31.132780075073239</v>
      </c>
      <c r="E252">
        <v>26.577217102050781</v>
      </c>
      <c r="F252"/>
    </row>
    <row r="253" spans="1:6" x14ac:dyDescent="0.2">
      <c r="A253" s="64">
        <v>42339</v>
      </c>
      <c r="B253">
        <v>50.9</v>
      </c>
      <c r="C253">
        <v>48.790451049804688</v>
      </c>
      <c r="D253">
        <v>29.838420867919918</v>
      </c>
      <c r="E253">
        <v>24.968349456787109</v>
      </c>
      <c r="F253"/>
    </row>
    <row r="254" spans="1:6" x14ac:dyDescent="0.2">
      <c r="A254" s="64">
        <v>42370</v>
      </c>
      <c r="B254">
        <v>50.9</v>
      </c>
      <c r="C254">
        <v>46.802230834960938</v>
      </c>
      <c r="D254">
        <v>28.333881378173832</v>
      </c>
      <c r="E254">
        <v>24.239229202270511</v>
      </c>
      <c r="F254">
        <v>5.5173861483811589E-3</v>
      </c>
    </row>
    <row r="255" spans="1:6" x14ac:dyDescent="0.2">
      <c r="A255" s="64">
        <v>42401</v>
      </c>
      <c r="B255">
        <v>50</v>
      </c>
      <c r="C255">
        <v>46.217876434326172</v>
      </c>
      <c r="D255">
        <v>27.139078140258789</v>
      </c>
      <c r="E255">
        <v>23.481758117675781</v>
      </c>
      <c r="F255"/>
    </row>
    <row r="256" spans="1:6" x14ac:dyDescent="0.2">
      <c r="A256" s="64">
        <v>42430</v>
      </c>
      <c r="B256">
        <v>50.5</v>
      </c>
      <c r="C256">
        <v>49.635517120361328</v>
      </c>
      <c r="D256">
        <v>29.349466323852539</v>
      </c>
      <c r="E256">
        <v>24.744216918945309</v>
      </c>
      <c r="F256"/>
    </row>
    <row r="257" spans="1:6" x14ac:dyDescent="0.2">
      <c r="A257" s="64">
        <v>42461</v>
      </c>
      <c r="B257">
        <v>50.1</v>
      </c>
      <c r="C257">
        <v>50.299568176269531</v>
      </c>
      <c r="D257">
        <v>30.100481033325199</v>
      </c>
      <c r="E257">
        <v>25.7384033203125</v>
      </c>
      <c r="F257">
        <v>2.5132904280461212E-3</v>
      </c>
    </row>
    <row r="258" spans="1:6" x14ac:dyDescent="0.2">
      <c r="A258" s="64">
        <v>42491</v>
      </c>
      <c r="B258">
        <v>50</v>
      </c>
      <c r="C258">
        <v>50.467784881591797</v>
      </c>
      <c r="D258">
        <v>29.00809478759766</v>
      </c>
      <c r="E258">
        <v>25.43857383728027</v>
      </c>
      <c r="F258"/>
    </row>
    <row r="259" spans="1:6" x14ac:dyDescent="0.2">
      <c r="A259" s="64">
        <v>42522</v>
      </c>
      <c r="B259">
        <v>50.9</v>
      </c>
      <c r="C259">
        <v>49.786022186279297</v>
      </c>
      <c r="D259">
        <v>27.540191650390621</v>
      </c>
      <c r="E259">
        <v>24.255014419555661</v>
      </c>
      <c r="F259"/>
    </row>
    <row r="260" spans="1:6" x14ac:dyDescent="0.2">
      <c r="A260" s="64">
        <v>42552</v>
      </c>
      <c r="B260">
        <v>51</v>
      </c>
      <c r="C260">
        <v>52.344524383544922</v>
      </c>
      <c r="D260">
        <v>29.590147018432621</v>
      </c>
      <c r="E260">
        <v>25.230653762817379</v>
      </c>
      <c r="F260">
        <v>4.555557172284219E-3</v>
      </c>
    </row>
    <row r="261" spans="1:6" x14ac:dyDescent="0.2">
      <c r="A261" s="64">
        <v>42583</v>
      </c>
      <c r="B261">
        <v>50.9</v>
      </c>
      <c r="C261">
        <v>52.523929595947273</v>
      </c>
      <c r="D261">
        <v>29.922525405883789</v>
      </c>
      <c r="E261">
        <v>25.505599975585941</v>
      </c>
      <c r="F261"/>
    </row>
    <row r="262" spans="1:6" x14ac:dyDescent="0.2">
      <c r="A262" s="64">
        <v>42614</v>
      </c>
      <c r="B262">
        <v>51</v>
      </c>
      <c r="C262">
        <v>53.017326354980469</v>
      </c>
      <c r="D262">
        <v>30.16743087768555</v>
      </c>
      <c r="E262">
        <v>25.618814468383789</v>
      </c>
      <c r="F262"/>
    </row>
    <row r="263" spans="1:6" x14ac:dyDescent="0.2">
      <c r="A263" s="64">
        <v>42644</v>
      </c>
      <c r="B263">
        <v>52</v>
      </c>
      <c r="C263">
        <v>52.003635406494141</v>
      </c>
      <c r="D263">
        <v>29.861297607421879</v>
      </c>
      <c r="E263">
        <v>24.260238647460941</v>
      </c>
      <c r="F263">
        <v>7.4787095575190006E-3</v>
      </c>
    </row>
    <row r="264" spans="1:6" x14ac:dyDescent="0.2">
      <c r="A264" s="64">
        <v>42675</v>
      </c>
      <c r="B264">
        <v>52.1</v>
      </c>
      <c r="C264">
        <v>52.541877746582031</v>
      </c>
      <c r="D264">
        <v>28.6717414855957</v>
      </c>
      <c r="E264">
        <v>24.308759689331051</v>
      </c>
      <c r="F264"/>
    </row>
    <row r="265" spans="1:6" x14ac:dyDescent="0.2">
      <c r="A265" s="64">
        <v>42705</v>
      </c>
      <c r="B265">
        <v>52.7</v>
      </c>
      <c r="C265">
        <v>53.080120086669922</v>
      </c>
      <c r="D265">
        <v>30.26364707946777</v>
      </c>
      <c r="E265">
        <v>24.8182258605957</v>
      </c>
      <c r="F265"/>
    </row>
    <row r="266" spans="1:6" x14ac:dyDescent="0.2">
      <c r="A266" s="64">
        <v>42736</v>
      </c>
      <c r="B266">
        <v>52.7</v>
      </c>
      <c r="C266">
        <v>55.130203247070312</v>
      </c>
      <c r="D266">
        <v>31.112882614135739</v>
      </c>
      <c r="E266">
        <v>25.784965515136719</v>
      </c>
      <c r="F266">
        <v>7.0433016748831824E-3</v>
      </c>
    </row>
    <row r="267" spans="1:6" x14ac:dyDescent="0.2">
      <c r="A267" s="64">
        <v>42767</v>
      </c>
      <c r="B267">
        <v>53</v>
      </c>
      <c r="C267">
        <v>56.515472412109382</v>
      </c>
      <c r="D267">
        <v>31.174518585205082</v>
      </c>
      <c r="E267">
        <v>26.162105560302731</v>
      </c>
      <c r="F267"/>
    </row>
    <row r="268" spans="1:6" x14ac:dyDescent="0.2">
      <c r="A268" s="64">
        <v>42795</v>
      </c>
      <c r="B268">
        <v>53</v>
      </c>
      <c r="C268">
        <v>57.276012420654297</v>
      </c>
      <c r="D268">
        <v>33.102565765380859</v>
      </c>
      <c r="E268">
        <v>26.686822891235352</v>
      </c>
      <c r="F268"/>
    </row>
    <row r="269" spans="1:6" x14ac:dyDescent="0.2">
      <c r="A269" s="64">
        <v>42826</v>
      </c>
      <c r="B269">
        <v>52.7</v>
      </c>
      <c r="C269">
        <v>58.199527740478523</v>
      </c>
      <c r="D269">
        <v>34.546405792236328</v>
      </c>
      <c r="E269">
        <v>27.137750625610352</v>
      </c>
      <c r="F269">
        <v>8.0867386940671766E-3</v>
      </c>
    </row>
    <row r="270" spans="1:6" x14ac:dyDescent="0.2">
      <c r="A270" s="64">
        <v>42856</v>
      </c>
      <c r="B270">
        <v>52.6</v>
      </c>
      <c r="C270">
        <v>59.485206604003913</v>
      </c>
      <c r="D270">
        <v>36.254356384277337</v>
      </c>
      <c r="E270">
        <v>28.37575721740723</v>
      </c>
      <c r="F270"/>
    </row>
    <row r="271" spans="1:6" x14ac:dyDescent="0.2">
      <c r="A271" s="64">
        <v>42887</v>
      </c>
      <c r="B271">
        <v>52.6</v>
      </c>
      <c r="C271">
        <v>59.295070648193359</v>
      </c>
      <c r="D271">
        <v>35.506023406982422</v>
      </c>
      <c r="E271">
        <v>27.326322555541989</v>
      </c>
      <c r="F271"/>
    </row>
    <row r="272" spans="1:6" x14ac:dyDescent="0.2">
      <c r="A272" s="64">
        <v>42917</v>
      </c>
      <c r="B272">
        <v>52.8</v>
      </c>
      <c r="C272">
        <v>61.592098236083977</v>
      </c>
      <c r="D272">
        <v>37.222629547119141</v>
      </c>
      <c r="E272">
        <v>28.591032028198239</v>
      </c>
      <c r="F272">
        <v>7.0365273665044768E-3</v>
      </c>
    </row>
    <row r="273" spans="1:6" x14ac:dyDescent="0.2">
      <c r="A273" s="64">
        <v>42948</v>
      </c>
      <c r="B273">
        <v>53.2</v>
      </c>
      <c r="C273">
        <v>61.839275360107422</v>
      </c>
      <c r="D273">
        <v>37.401454925537109</v>
      </c>
      <c r="E273">
        <v>28.356405258178711</v>
      </c>
      <c r="F273"/>
    </row>
    <row r="274" spans="1:6" x14ac:dyDescent="0.2">
      <c r="A274" s="64">
        <v>42979</v>
      </c>
      <c r="B274">
        <v>53.3</v>
      </c>
      <c r="C274">
        <v>63.001903533935547</v>
      </c>
      <c r="D274">
        <v>38.73370361328125</v>
      </c>
      <c r="E274">
        <v>29.202739715576168</v>
      </c>
      <c r="F274"/>
    </row>
    <row r="275" spans="1:6" x14ac:dyDescent="0.2">
      <c r="A275" s="64">
        <v>43009</v>
      </c>
      <c r="B275">
        <v>53.5</v>
      </c>
      <c r="C275">
        <v>64.356796264648438</v>
      </c>
      <c r="D275">
        <v>39.189716339111328</v>
      </c>
      <c r="E275">
        <v>29.378707885742191</v>
      </c>
      <c r="F275">
        <v>8.521343915844401E-3</v>
      </c>
    </row>
    <row r="276" spans="1:6" x14ac:dyDescent="0.2">
      <c r="A276" s="64">
        <v>43040</v>
      </c>
      <c r="B276">
        <v>54.1</v>
      </c>
      <c r="C276">
        <v>65.656745910644531</v>
      </c>
      <c r="D276">
        <v>39.091354370117188</v>
      </c>
      <c r="E276">
        <v>29.34519004821777</v>
      </c>
      <c r="F276"/>
    </row>
    <row r="277" spans="1:6" x14ac:dyDescent="0.2">
      <c r="A277" s="64">
        <v>43070</v>
      </c>
      <c r="B277">
        <v>54.5</v>
      </c>
      <c r="C277">
        <v>65.995445251464844</v>
      </c>
      <c r="D277">
        <v>38.787357330322273</v>
      </c>
      <c r="E277">
        <v>30.015560150146481</v>
      </c>
      <c r="F277"/>
    </row>
    <row r="278" spans="1:6" x14ac:dyDescent="0.2">
      <c r="A278" s="64">
        <v>43101</v>
      </c>
      <c r="B278">
        <v>54.4</v>
      </c>
      <c r="C278">
        <v>70.406509399414062</v>
      </c>
      <c r="D278">
        <v>41.687213897705078</v>
      </c>
      <c r="E278">
        <v>31.72566986083984</v>
      </c>
      <c r="F278">
        <v>7.0677258514830171E-4</v>
      </c>
    </row>
    <row r="279" spans="1:6" x14ac:dyDescent="0.2">
      <c r="A279" s="64">
        <v>43132</v>
      </c>
      <c r="B279">
        <v>54.1</v>
      </c>
      <c r="C279">
        <v>67.255775451660156</v>
      </c>
      <c r="D279">
        <v>39.190650939941413</v>
      </c>
      <c r="E279">
        <v>29.59980392456055</v>
      </c>
      <c r="F279"/>
    </row>
    <row r="280" spans="1:6" x14ac:dyDescent="0.2">
      <c r="A280" s="64">
        <v>43160</v>
      </c>
      <c r="B280">
        <v>53.3</v>
      </c>
      <c r="C280">
        <v>66.248641967773438</v>
      </c>
      <c r="D280">
        <v>38.930217742919922</v>
      </c>
      <c r="E280">
        <v>29.668109893798832</v>
      </c>
      <c r="F280"/>
    </row>
    <row r="281" spans="1:6" x14ac:dyDescent="0.2">
      <c r="A281" s="64">
        <v>43191</v>
      </c>
      <c r="B281">
        <v>53.5</v>
      </c>
      <c r="C281">
        <v>66.5166015625</v>
      </c>
      <c r="D281">
        <v>39.810310363769531</v>
      </c>
      <c r="E281">
        <v>30.948745727539059</v>
      </c>
      <c r="F281">
        <v>4.9253728161147443E-3</v>
      </c>
    </row>
    <row r="282" spans="1:6" x14ac:dyDescent="0.2">
      <c r="A282" s="64">
        <v>43221</v>
      </c>
      <c r="B282">
        <v>53.1</v>
      </c>
      <c r="C282">
        <v>66.83074951171875</v>
      </c>
      <c r="D282">
        <v>38.382411956787109</v>
      </c>
      <c r="E282">
        <v>30.760917663574219</v>
      </c>
      <c r="F282"/>
    </row>
    <row r="283" spans="1:6" x14ac:dyDescent="0.2">
      <c r="A283" s="64">
        <v>43252</v>
      </c>
      <c r="B283">
        <v>53</v>
      </c>
      <c r="C283">
        <v>65.712745666503906</v>
      </c>
      <c r="D283">
        <v>36.82879638671875</v>
      </c>
      <c r="E283">
        <v>29.693719863891602</v>
      </c>
      <c r="F283"/>
    </row>
    <row r="284" spans="1:6" x14ac:dyDescent="0.2">
      <c r="A284" s="64">
        <v>43282</v>
      </c>
      <c r="B284">
        <v>52.8</v>
      </c>
      <c r="C284">
        <v>68.476127624511719</v>
      </c>
      <c r="D284">
        <v>39.162887573242188</v>
      </c>
      <c r="E284">
        <v>30.68381309509277</v>
      </c>
      <c r="F284">
        <v>5.9631597957856446E-4</v>
      </c>
    </row>
    <row r="285" spans="1:6" x14ac:dyDescent="0.2">
      <c r="A285" s="64">
        <v>43313</v>
      </c>
      <c r="B285">
        <v>52.6</v>
      </c>
      <c r="C285">
        <v>68.952545166015625</v>
      </c>
      <c r="D285">
        <v>37.920932769775391</v>
      </c>
      <c r="E285">
        <v>29.337955474853519</v>
      </c>
      <c r="F285"/>
    </row>
    <row r="286" spans="1:6" x14ac:dyDescent="0.2">
      <c r="A286" s="64">
        <v>43344</v>
      </c>
      <c r="B286">
        <v>52.2</v>
      </c>
      <c r="C286">
        <v>69.372932434082031</v>
      </c>
      <c r="D286">
        <v>37.727745056152337</v>
      </c>
      <c r="E286">
        <v>29.818618774414059</v>
      </c>
      <c r="F286"/>
    </row>
    <row r="287" spans="1:6" x14ac:dyDescent="0.2">
      <c r="A287" s="64">
        <v>43374</v>
      </c>
      <c r="B287">
        <v>52</v>
      </c>
      <c r="C287">
        <v>64.216201782226562</v>
      </c>
      <c r="D287">
        <v>34.379070281982422</v>
      </c>
      <c r="E287">
        <v>27.799833297729489</v>
      </c>
      <c r="F287">
        <v>5.7849827167639374E-3</v>
      </c>
    </row>
    <row r="288" spans="1:6" x14ac:dyDescent="0.2">
      <c r="A288" s="64">
        <v>43405</v>
      </c>
      <c r="B288">
        <v>52</v>
      </c>
      <c r="C288">
        <v>65.234481811523438</v>
      </c>
      <c r="D288">
        <v>34.259479522705078</v>
      </c>
      <c r="E288">
        <v>27.46773719787598</v>
      </c>
      <c r="F288"/>
    </row>
    <row r="289" spans="1:6" x14ac:dyDescent="0.2">
      <c r="A289" s="64">
        <v>43435</v>
      </c>
      <c r="B289">
        <v>51.5</v>
      </c>
      <c r="C289">
        <v>59.9376220703125</v>
      </c>
      <c r="D289">
        <v>32.253959655761719</v>
      </c>
      <c r="E289">
        <v>25.649955749511719</v>
      </c>
      <c r="F289"/>
    </row>
    <row r="290" spans="1:6" x14ac:dyDescent="0.2">
      <c r="A290" s="64">
        <v>43466</v>
      </c>
      <c r="B290">
        <v>50.7</v>
      </c>
      <c r="C290">
        <v>65.399131774902344</v>
      </c>
      <c r="D290">
        <v>34.547416687011719</v>
      </c>
      <c r="E290">
        <v>28.120260238647461</v>
      </c>
      <c r="F290">
        <v>7.2247969332850624E-3</v>
      </c>
    </row>
    <row r="291" spans="1:6" x14ac:dyDescent="0.2">
      <c r="A291" s="64">
        <v>43497</v>
      </c>
      <c r="B291">
        <v>50.6</v>
      </c>
      <c r="C291">
        <v>67.012397766113281</v>
      </c>
      <c r="D291">
        <v>35.629627227783203</v>
      </c>
      <c r="E291">
        <v>29.08469200134277</v>
      </c>
      <c r="F291"/>
    </row>
    <row r="292" spans="1:6" x14ac:dyDescent="0.2">
      <c r="A292" s="64">
        <v>43525</v>
      </c>
      <c r="B292">
        <v>50.5</v>
      </c>
      <c r="C292">
        <v>68.069046020507812</v>
      </c>
      <c r="D292">
        <v>35.703620910644531</v>
      </c>
      <c r="E292">
        <v>29.477603912353519</v>
      </c>
      <c r="F292"/>
    </row>
    <row r="293" spans="1:6" x14ac:dyDescent="0.2">
      <c r="A293" s="64">
        <v>43556</v>
      </c>
      <c r="B293">
        <v>50.4</v>
      </c>
      <c r="C293">
        <v>70.399345397949219</v>
      </c>
      <c r="D293">
        <v>37.488803863525391</v>
      </c>
      <c r="E293">
        <v>30.147346496582031</v>
      </c>
      <c r="F293">
        <v>1.8576872668102989E-3</v>
      </c>
    </row>
    <row r="294" spans="1:6" x14ac:dyDescent="0.2">
      <c r="A294" s="64">
        <v>43586</v>
      </c>
      <c r="B294">
        <v>49.8</v>
      </c>
      <c r="C294">
        <v>66.125564575195312</v>
      </c>
      <c r="D294">
        <v>35.074642181396477</v>
      </c>
      <c r="E294">
        <v>28.298860549926761</v>
      </c>
      <c r="F294"/>
    </row>
    <row r="295" spans="1:6" x14ac:dyDescent="0.2">
      <c r="A295" s="64">
        <v>43617</v>
      </c>
      <c r="B295">
        <v>49.4</v>
      </c>
      <c r="C295">
        <v>69.540817260742188</v>
      </c>
      <c r="D295">
        <v>36.591590881347663</v>
      </c>
      <c r="E295">
        <v>28.861440658569339</v>
      </c>
      <c r="F295"/>
    </row>
    <row r="296" spans="1:6" x14ac:dyDescent="0.2">
      <c r="A296" s="64">
        <v>43647</v>
      </c>
      <c r="B296">
        <v>49.3</v>
      </c>
      <c r="C296">
        <v>70.465171813964844</v>
      </c>
      <c r="D296">
        <v>36.554458618164062</v>
      </c>
      <c r="E296">
        <v>28.885261535644531</v>
      </c>
      <c r="F296">
        <v>2.4825826201012109E-3</v>
      </c>
    </row>
    <row r="297" spans="1:6" x14ac:dyDescent="0.2">
      <c r="A297" s="64">
        <v>43678</v>
      </c>
      <c r="B297">
        <v>49.5</v>
      </c>
      <c r="C297">
        <v>68.907981872558594</v>
      </c>
      <c r="D297">
        <v>36.003623962402337</v>
      </c>
      <c r="E297">
        <v>27.7862663269043</v>
      </c>
      <c r="F297"/>
    </row>
    <row r="298" spans="1:6" x14ac:dyDescent="0.2">
      <c r="A298" s="64">
        <v>43709</v>
      </c>
      <c r="B298">
        <v>49.7</v>
      </c>
      <c r="C298">
        <v>70.455612182617188</v>
      </c>
      <c r="D298">
        <v>36.934345245361328</v>
      </c>
      <c r="E298">
        <v>28.78452110290527</v>
      </c>
      <c r="F298"/>
    </row>
    <row r="299" spans="1:6" x14ac:dyDescent="0.2">
      <c r="A299" s="64">
        <v>43739</v>
      </c>
      <c r="B299">
        <v>49.8</v>
      </c>
      <c r="C299">
        <v>72.385391235351562</v>
      </c>
      <c r="D299">
        <v>38.387401580810547</v>
      </c>
      <c r="E299">
        <v>29.791933059692379</v>
      </c>
      <c r="F299">
        <v>-7.2863676452459514E-5</v>
      </c>
    </row>
    <row r="300" spans="1:6" x14ac:dyDescent="0.2">
      <c r="A300" s="64">
        <v>43770</v>
      </c>
      <c r="B300">
        <v>50.3</v>
      </c>
      <c r="C300">
        <v>74.076316833496094</v>
      </c>
      <c r="D300">
        <v>38.738792419433587</v>
      </c>
      <c r="E300">
        <v>30.158267974853519</v>
      </c>
      <c r="F300"/>
    </row>
    <row r="301" spans="1:6" x14ac:dyDescent="0.2">
      <c r="A301" s="64">
        <v>43800</v>
      </c>
      <c r="B301">
        <v>50.1</v>
      </c>
      <c r="C301">
        <v>75.709938049316406</v>
      </c>
      <c r="D301">
        <v>39.811969757080078</v>
      </c>
      <c r="E301">
        <v>31.22978591918945</v>
      </c>
      <c r="F301"/>
    </row>
    <row r="302" spans="1:6" x14ac:dyDescent="0.2">
      <c r="A302" s="64">
        <v>43831</v>
      </c>
      <c r="B302">
        <v>50.4</v>
      </c>
      <c r="C302">
        <v>75.523735046386719</v>
      </c>
      <c r="D302">
        <v>38.602436065673828</v>
      </c>
      <c r="E302">
        <v>30.427158355712891</v>
      </c>
      <c r="F302">
        <v>-3.4664684689794341E-2</v>
      </c>
    </row>
    <row r="303" spans="1:6" x14ac:dyDescent="0.2">
      <c r="A303" s="64">
        <v>43862</v>
      </c>
      <c r="B303">
        <v>47.1</v>
      </c>
      <c r="C303">
        <v>69.867439270019531</v>
      </c>
      <c r="D303">
        <v>35.751121520996087</v>
      </c>
      <c r="E303">
        <v>27.313592910766602</v>
      </c>
      <c r="F303"/>
    </row>
    <row r="304" spans="1:6" x14ac:dyDescent="0.2">
      <c r="A304" s="64">
        <v>43891</v>
      </c>
      <c r="B304">
        <v>47.3</v>
      </c>
      <c r="C304">
        <v>60.498271942138672</v>
      </c>
      <c r="D304">
        <v>29.09487152099609</v>
      </c>
      <c r="E304">
        <v>22.261043548583981</v>
      </c>
      <c r="F304"/>
    </row>
    <row r="305" spans="1:6" x14ac:dyDescent="0.2">
      <c r="A305" s="64">
        <v>43922</v>
      </c>
      <c r="B305">
        <v>39.6</v>
      </c>
      <c r="C305">
        <v>66.444648742675781</v>
      </c>
      <c r="D305">
        <v>30.88767051696777</v>
      </c>
      <c r="E305">
        <v>23.538166046142582</v>
      </c>
      <c r="F305">
        <v>-0.1168268012845826</v>
      </c>
    </row>
    <row r="306" spans="1:6" x14ac:dyDescent="0.2">
      <c r="A306" s="64">
        <v>43952</v>
      </c>
      <c r="B306">
        <v>42.4</v>
      </c>
      <c r="C306">
        <v>69.828758239746094</v>
      </c>
      <c r="D306">
        <v>33.166816711425781</v>
      </c>
      <c r="E306">
        <v>23.985622406005859</v>
      </c>
      <c r="F306"/>
    </row>
    <row r="307" spans="1:6" x14ac:dyDescent="0.2">
      <c r="A307" s="64">
        <v>43983</v>
      </c>
      <c r="B307">
        <v>47.8</v>
      </c>
      <c r="C307">
        <v>71.279090881347656</v>
      </c>
      <c r="D307">
        <v>34.787971496582031</v>
      </c>
      <c r="E307">
        <v>24.013591766357418</v>
      </c>
      <c r="F307"/>
    </row>
    <row r="308" spans="1:6" x14ac:dyDescent="0.2">
      <c r="A308" s="64">
        <v>44013</v>
      </c>
      <c r="B308">
        <v>50.6</v>
      </c>
      <c r="C308">
        <v>75.733634948730469</v>
      </c>
      <c r="D308">
        <v>36.242023468017578</v>
      </c>
      <c r="E308">
        <v>24.541494369506839</v>
      </c>
      <c r="F308">
        <v>0.12553372432302221</v>
      </c>
    </row>
    <row r="309" spans="1:6" x14ac:dyDescent="0.2">
      <c r="A309" s="64">
        <v>44044</v>
      </c>
      <c r="B309">
        <v>51.8</v>
      </c>
      <c r="C309">
        <v>80.296966552734375</v>
      </c>
      <c r="D309">
        <v>37.896823883056641</v>
      </c>
      <c r="E309">
        <v>25.213474273681641</v>
      </c>
      <c r="F309"/>
    </row>
    <row r="310" spans="1:6" x14ac:dyDescent="0.2">
      <c r="A310" s="64">
        <v>44075</v>
      </c>
      <c r="B310">
        <v>52.4</v>
      </c>
      <c r="C310">
        <v>77.927543640136719</v>
      </c>
      <c r="D310">
        <v>36.4825439453125</v>
      </c>
      <c r="E310">
        <v>24.125057220458981</v>
      </c>
      <c r="F310"/>
    </row>
    <row r="311" spans="1:6" x14ac:dyDescent="0.2">
      <c r="A311" s="64">
        <v>44105</v>
      </c>
      <c r="B311">
        <v>53</v>
      </c>
      <c r="C311">
        <v>76.191925048828125</v>
      </c>
      <c r="D311">
        <v>34.519878387451172</v>
      </c>
      <c r="E311">
        <v>23.036638259887699</v>
      </c>
      <c r="F311">
        <v>-3.4961034564899118E-3</v>
      </c>
    </row>
    <row r="312" spans="1:6" x14ac:dyDescent="0.2">
      <c r="A312" s="64">
        <v>44136</v>
      </c>
      <c r="B312">
        <v>53.8</v>
      </c>
      <c r="C312">
        <v>85.152816772460938</v>
      </c>
      <c r="D312">
        <v>41.312252044677727</v>
      </c>
      <c r="E312">
        <v>26.74672698974609</v>
      </c>
      <c r="F312"/>
    </row>
    <row r="313" spans="1:6" x14ac:dyDescent="0.2">
      <c r="A313" s="64">
        <v>44166</v>
      </c>
      <c r="B313">
        <v>53.8</v>
      </c>
      <c r="C313">
        <v>88.458297729492188</v>
      </c>
      <c r="D313">
        <v>42.409034729003913</v>
      </c>
      <c r="E313">
        <v>27.721574783325199</v>
      </c>
      <c r="F313"/>
    </row>
    <row r="314" spans="1:6" x14ac:dyDescent="0.2">
      <c r="A314" s="64">
        <v>44197</v>
      </c>
      <c r="B314">
        <v>53.6</v>
      </c>
      <c r="C314">
        <v>88.869033813476562</v>
      </c>
      <c r="D314">
        <v>42.26904296875</v>
      </c>
      <c r="E314">
        <v>27.971511840820309</v>
      </c>
      <c r="F314">
        <v>-2.0572904402936252E-3</v>
      </c>
    </row>
    <row r="315" spans="1:6" x14ac:dyDescent="0.2">
      <c r="A315" s="64">
        <v>44228</v>
      </c>
      <c r="B315">
        <v>53.9</v>
      </c>
      <c r="C315">
        <v>90.903083801269531</v>
      </c>
      <c r="D315">
        <v>43.703704833984382</v>
      </c>
      <c r="E315">
        <v>29.0723762512207</v>
      </c>
      <c r="F315"/>
    </row>
    <row r="316" spans="1:6" x14ac:dyDescent="0.2">
      <c r="A316" s="64">
        <v>44256</v>
      </c>
      <c r="B316">
        <v>55</v>
      </c>
      <c r="C316">
        <v>93.497222900390625</v>
      </c>
      <c r="D316">
        <v>45.314048767089837</v>
      </c>
      <c r="E316">
        <v>29.972211837768551</v>
      </c>
      <c r="F316"/>
    </row>
    <row r="317" spans="1:6" x14ac:dyDescent="0.2">
      <c r="A317" s="64">
        <v>44287</v>
      </c>
      <c r="B317">
        <v>55.9</v>
      </c>
      <c r="C317">
        <v>97.467048645019531</v>
      </c>
      <c r="D317">
        <v>47.422134399414062</v>
      </c>
      <c r="E317">
        <v>31.140083312988281</v>
      </c>
      <c r="F317">
        <v>2.2001877452358699E-2</v>
      </c>
    </row>
    <row r="318" spans="1:6" x14ac:dyDescent="0.2">
      <c r="A318" s="64">
        <v>44317</v>
      </c>
      <c r="B318">
        <v>56</v>
      </c>
      <c r="C318">
        <v>98.901679992675781</v>
      </c>
      <c r="D318">
        <v>49.500938415527337</v>
      </c>
      <c r="E318">
        <v>32.34625244140625</v>
      </c>
      <c r="F318"/>
    </row>
    <row r="319" spans="1:6" x14ac:dyDescent="0.2">
      <c r="A319" s="64">
        <v>44348</v>
      </c>
      <c r="B319">
        <v>55.5</v>
      </c>
      <c r="C319">
        <v>99.43231201171875</v>
      </c>
      <c r="D319">
        <v>48.163864135742188</v>
      </c>
      <c r="E319">
        <v>31.302822113037109</v>
      </c>
      <c r="F319"/>
    </row>
    <row r="320" spans="1:6" x14ac:dyDescent="0.2">
      <c r="A320" s="64">
        <v>44378</v>
      </c>
      <c r="B320">
        <v>55.4</v>
      </c>
      <c r="C320">
        <v>101.0592498779297</v>
      </c>
      <c r="D320">
        <v>49.115421295166023</v>
      </c>
      <c r="E320">
        <v>31.9211540222168</v>
      </c>
      <c r="F320">
        <v>2.264902081004062E-2</v>
      </c>
    </row>
    <row r="321" spans="1:6" x14ac:dyDescent="0.2">
      <c r="A321" s="64">
        <v>44409</v>
      </c>
      <c r="B321">
        <v>54.1</v>
      </c>
      <c r="C321">
        <v>103.2564010620117</v>
      </c>
      <c r="D321">
        <v>50.080982208251953</v>
      </c>
      <c r="E321">
        <v>32.135322570800781</v>
      </c>
      <c r="F321"/>
    </row>
    <row r="322" spans="1:6" x14ac:dyDescent="0.2">
      <c r="A322" s="64">
        <v>44440</v>
      </c>
      <c r="B322">
        <v>54.1</v>
      </c>
      <c r="C322">
        <v>98.89178466796875</v>
      </c>
      <c r="D322">
        <v>47.410911560058587</v>
      </c>
      <c r="E322">
        <v>31.395462036132809</v>
      </c>
      <c r="F322"/>
    </row>
    <row r="323" spans="1:6" x14ac:dyDescent="0.2">
      <c r="A323" s="64">
        <v>44470</v>
      </c>
      <c r="B323">
        <v>54.2</v>
      </c>
      <c r="C323">
        <v>104.226318359375</v>
      </c>
      <c r="D323">
        <v>49.578495025634773</v>
      </c>
      <c r="E323">
        <v>32.787570953369141</v>
      </c>
      <c r="F323">
        <v>2.8971438915172602E-3</v>
      </c>
    </row>
    <row r="324" spans="1:6" x14ac:dyDescent="0.2">
      <c r="A324" s="64">
        <v>44501</v>
      </c>
      <c r="B324">
        <v>54.2</v>
      </c>
      <c r="C324">
        <v>101.8213195800781</v>
      </c>
      <c r="D324">
        <v>46.898574829101562</v>
      </c>
      <c r="E324">
        <v>31.19102668762207</v>
      </c>
      <c r="F324"/>
    </row>
    <row r="325" spans="1:6" x14ac:dyDescent="0.2">
      <c r="A325" s="64">
        <v>44531</v>
      </c>
      <c r="B325">
        <v>54.3</v>
      </c>
      <c r="C325">
        <v>104.6914825439453</v>
      </c>
      <c r="D325">
        <v>48.287796020507812</v>
      </c>
      <c r="E325">
        <v>32.261878967285163</v>
      </c>
      <c r="F325"/>
    </row>
    <row r="326" spans="1:6" x14ac:dyDescent="0.2">
      <c r="A326" s="64">
        <v>44562</v>
      </c>
      <c r="B326">
        <v>51.4</v>
      </c>
      <c r="C326">
        <v>100.9700012207031</v>
      </c>
      <c r="D326">
        <v>47.380001068115227</v>
      </c>
      <c r="E326">
        <v>33.889999389648438</v>
      </c>
      <c r="F326"/>
    </row>
    <row r="327" spans="1:6" x14ac:dyDescent="0.2">
      <c r="A327" s="64">
        <v>44593</v>
      </c>
      <c r="B327"/>
      <c r="C327">
        <v>101.75</v>
      </c>
      <c r="D327">
        <v>47.860000610351562</v>
      </c>
      <c r="E327">
        <v>34.279998779296882</v>
      </c>
      <c r="F3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10"/>
  <sheetViews>
    <sheetView zoomScale="200" zoomScaleNormal="200" workbookViewId="0">
      <pane ySplit="1" topLeftCell="A188" activePane="bottomLeft" state="frozen"/>
      <selection pane="bottomLeft" activeCell="H18" sqref="H18"/>
    </sheetView>
  </sheetViews>
  <sheetFormatPr baseColWidth="10" defaultRowHeight="15" x14ac:dyDescent="0.2"/>
  <cols>
    <col min="1" max="1" width="10.83203125" style="61" customWidth="1"/>
    <col min="2" max="2" width="21.83203125" style="61" customWidth="1"/>
    <col min="3" max="24" width="10.83203125" style="61" customWidth="1"/>
    <col min="25" max="16384" width="10.83203125" style="61"/>
  </cols>
  <sheetData>
    <row r="1" spans="1:3" x14ac:dyDescent="0.2">
      <c r="A1" t="s">
        <v>80</v>
      </c>
      <c r="B1" t="s">
        <v>85</v>
      </c>
      <c r="C1" t="s">
        <v>86</v>
      </c>
    </row>
    <row r="2" spans="1:3" x14ac:dyDescent="0.2">
      <c r="A2" s="64">
        <v>38353</v>
      </c>
      <c r="B2">
        <v>55.7</v>
      </c>
    </row>
    <row r="3" spans="1:3" x14ac:dyDescent="0.2">
      <c r="A3" s="64">
        <v>38384</v>
      </c>
      <c r="B3">
        <v>54.4</v>
      </c>
    </row>
    <row r="4" spans="1:3" x14ac:dyDescent="0.2">
      <c r="A4" s="64">
        <v>38412</v>
      </c>
      <c r="B4">
        <v>63.4</v>
      </c>
    </row>
    <row r="5" spans="1:3" x14ac:dyDescent="0.2">
      <c r="A5" s="64">
        <v>38443</v>
      </c>
      <c r="B5">
        <v>56.9</v>
      </c>
      <c r="C5">
        <v>0.111</v>
      </c>
    </row>
    <row r="6" spans="1:3" x14ac:dyDescent="0.2">
      <c r="A6" s="64">
        <v>38473</v>
      </c>
      <c r="B6">
        <v>52.1</v>
      </c>
    </row>
    <row r="7" spans="1:3" x14ac:dyDescent="0.2">
      <c r="A7" s="64">
        <v>38504</v>
      </c>
      <c r="B7">
        <v>52.1</v>
      </c>
    </row>
    <row r="8" spans="1:3" x14ac:dyDescent="0.2">
      <c r="A8" s="64">
        <v>38534</v>
      </c>
      <c r="B8">
        <v>51.2</v>
      </c>
      <c r="C8">
        <v>0.111</v>
      </c>
    </row>
    <row r="9" spans="1:3" x14ac:dyDescent="0.2">
      <c r="A9" s="64">
        <v>38565</v>
      </c>
      <c r="B9">
        <v>54.1</v>
      </c>
    </row>
    <row r="10" spans="1:3" x14ac:dyDescent="0.2">
      <c r="A10" s="64">
        <v>38596</v>
      </c>
      <c r="B10">
        <v>56.9</v>
      </c>
    </row>
    <row r="11" spans="1:3" x14ac:dyDescent="0.2">
      <c r="A11" s="64">
        <v>38626</v>
      </c>
      <c r="B11">
        <v>54.1</v>
      </c>
      <c r="C11">
        <v>0.108</v>
      </c>
    </row>
    <row r="12" spans="1:3" x14ac:dyDescent="0.2">
      <c r="A12" s="64">
        <v>38657</v>
      </c>
      <c r="B12">
        <v>54.1</v>
      </c>
    </row>
    <row r="13" spans="1:3" x14ac:dyDescent="0.2">
      <c r="A13" s="64">
        <v>38687</v>
      </c>
      <c r="B13">
        <v>54.3</v>
      </c>
    </row>
    <row r="14" spans="1:3" x14ac:dyDescent="0.2">
      <c r="A14" s="64">
        <v>38718</v>
      </c>
      <c r="B14">
        <v>52.1</v>
      </c>
      <c r="C14">
        <v>0.124</v>
      </c>
    </row>
    <row r="15" spans="1:3" x14ac:dyDescent="0.2">
      <c r="A15" s="64">
        <v>38749</v>
      </c>
      <c r="B15">
        <v>52.1</v>
      </c>
    </row>
    <row r="16" spans="1:3" x14ac:dyDescent="0.2">
      <c r="A16" s="64">
        <v>38777</v>
      </c>
      <c r="B16">
        <v>55.3</v>
      </c>
    </row>
    <row r="17" spans="1:3" x14ac:dyDescent="0.2">
      <c r="A17" s="64">
        <v>38808</v>
      </c>
      <c r="B17">
        <v>58.1</v>
      </c>
      <c r="C17">
        <v>0.125</v>
      </c>
    </row>
    <row r="18" spans="1:3" x14ac:dyDescent="0.2">
      <c r="A18" s="64">
        <v>38838</v>
      </c>
      <c r="B18">
        <v>54.8</v>
      </c>
    </row>
    <row r="19" spans="1:3" x14ac:dyDescent="0.2">
      <c r="A19" s="64">
        <v>38869</v>
      </c>
      <c r="B19">
        <v>54.1</v>
      </c>
    </row>
    <row r="20" spans="1:3" x14ac:dyDescent="0.2">
      <c r="A20" s="64">
        <v>38899</v>
      </c>
      <c r="B20">
        <v>52.4</v>
      </c>
      <c r="C20">
        <v>0.13700000000000001</v>
      </c>
    </row>
    <row r="21" spans="1:3" x14ac:dyDescent="0.2">
      <c r="A21" s="64">
        <v>38930</v>
      </c>
      <c r="B21">
        <v>53.1</v>
      </c>
    </row>
    <row r="22" spans="1:3" x14ac:dyDescent="0.2">
      <c r="A22" s="64">
        <v>38961</v>
      </c>
      <c r="B22">
        <v>57</v>
      </c>
    </row>
    <row r="23" spans="1:3" x14ac:dyDescent="0.2">
      <c r="A23" s="64">
        <v>38991</v>
      </c>
      <c r="B23">
        <v>54.7</v>
      </c>
      <c r="C23">
        <v>0.122</v>
      </c>
    </row>
    <row r="24" spans="1:3" x14ac:dyDescent="0.2">
      <c r="A24" s="64">
        <v>39022</v>
      </c>
      <c r="B24">
        <v>55.3</v>
      </c>
    </row>
    <row r="25" spans="1:3" x14ac:dyDescent="0.2">
      <c r="A25" s="64">
        <v>39052</v>
      </c>
      <c r="B25">
        <v>54.8</v>
      </c>
    </row>
    <row r="26" spans="1:3" x14ac:dyDescent="0.2">
      <c r="A26" s="64">
        <v>39083</v>
      </c>
      <c r="B26">
        <v>55.1</v>
      </c>
      <c r="C26">
        <v>0.125</v>
      </c>
    </row>
    <row r="27" spans="1:3" x14ac:dyDescent="0.2">
      <c r="A27" s="64">
        <v>39114</v>
      </c>
      <c r="B27">
        <v>53.1</v>
      </c>
    </row>
    <row r="28" spans="1:3" x14ac:dyDescent="0.2">
      <c r="A28" s="64">
        <v>39142</v>
      </c>
      <c r="B28">
        <v>56.1</v>
      </c>
    </row>
    <row r="29" spans="1:3" x14ac:dyDescent="0.2">
      <c r="A29" s="64">
        <v>39173</v>
      </c>
      <c r="B29">
        <v>58.6</v>
      </c>
      <c r="C29">
        <v>0.13800000000000001</v>
      </c>
    </row>
    <row r="30" spans="1:3" x14ac:dyDescent="0.2">
      <c r="A30" s="64">
        <v>39203</v>
      </c>
      <c r="B30">
        <v>55.7</v>
      </c>
    </row>
    <row r="31" spans="1:3" x14ac:dyDescent="0.2">
      <c r="A31" s="64">
        <v>39234</v>
      </c>
      <c r="B31">
        <v>54.5</v>
      </c>
    </row>
    <row r="32" spans="1:3" x14ac:dyDescent="0.2">
      <c r="A32" s="64">
        <v>39264</v>
      </c>
      <c r="B32">
        <v>53.3</v>
      </c>
      <c r="C32">
        <v>0.15</v>
      </c>
    </row>
    <row r="33" spans="1:3" x14ac:dyDescent="0.2">
      <c r="A33" s="64">
        <v>39295</v>
      </c>
      <c r="B33">
        <v>54</v>
      </c>
    </row>
    <row r="34" spans="1:3" x14ac:dyDescent="0.2">
      <c r="A34" s="64">
        <v>39326</v>
      </c>
      <c r="B34">
        <v>56.1</v>
      </c>
    </row>
    <row r="35" spans="1:3" x14ac:dyDescent="0.2">
      <c r="A35" s="64">
        <v>39356</v>
      </c>
      <c r="B35">
        <v>53.2</v>
      </c>
      <c r="C35">
        <v>0.14299999999999999</v>
      </c>
    </row>
    <row r="36" spans="1:3" x14ac:dyDescent="0.2">
      <c r="A36" s="64">
        <v>39387</v>
      </c>
      <c r="B36">
        <v>55.4</v>
      </c>
    </row>
    <row r="37" spans="1:3" x14ac:dyDescent="0.2">
      <c r="A37" s="64">
        <v>39417</v>
      </c>
      <c r="B37">
        <v>55.3</v>
      </c>
    </row>
    <row r="38" spans="1:3" x14ac:dyDescent="0.2">
      <c r="A38" s="64">
        <v>39448</v>
      </c>
      <c r="B38">
        <v>53</v>
      </c>
      <c r="C38">
        <v>0.13900000000000001</v>
      </c>
    </row>
    <row r="39" spans="1:3" x14ac:dyDescent="0.2">
      <c r="A39" s="64">
        <v>39479</v>
      </c>
      <c r="B39">
        <v>53.4</v>
      </c>
    </row>
    <row r="40" spans="1:3" x14ac:dyDescent="0.2">
      <c r="A40" s="64">
        <v>39508</v>
      </c>
      <c r="B40">
        <v>58.4</v>
      </c>
    </row>
    <row r="41" spans="1:3" x14ac:dyDescent="0.2">
      <c r="A41" s="64">
        <v>39539</v>
      </c>
      <c r="B41">
        <v>59.2</v>
      </c>
      <c r="C41">
        <v>0.115</v>
      </c>
    </row>
    <row r="42" spans="1:3" x14ac:dyDescent="0.2">
      <c r="A42" s="64">
        <v>39569</v>
      </c>
      <c r="B42">
        <v>53.3</v>
      </c>
    </row>
    <row r="43" spans="1:3" x14ac:dyDescent="0.2">
      <c r="A43" s="64">
        <v>39600</v>
      </c>
      <c r="B43">
        <v>52</v>
      </c>
    </row>
    <row r="44" spans="1:3" x14ac:dyDescent="0.2">
      <c r="A44" s="64">
        <v>39630</v>
      </c>
      <c r="B44">
        <v>48.4</v>
      </c>
      <c r="C44">
        <v>0.109</v>
      </c>
    </row>
    <row r="45" spans="1:3" x14ac:dyDescent="0.2">
      <c r="A45" s="64">
        <v>39661</v>
      </c>
      <c r="B45">
        <v>48.4</v>
      </c>
    </row>
    <row r="46" spans="1:3" x14ac:dyDescent="0.2">
      <c r="A46" s="64">
        <v>39692</v>
      </c>
      <c r="B46">
        <v>51.2</v>
      </c>
    </row>
    <row r="47" spans="1:3" x14ac:dyDescent="0.2">
      <c r="A47" s="64">
        <v>39722</v>
      </c>
      <c r="B47">
        <v>44.6</v>
      </c>
      <c r="C47">
        <v>9.5000000000000001E-2</v>
      </c>
    </row>
    <row r="48" spans="1:3" x14ac:dyDescent="0.2">
      <c r="A48" s="64">
        <v>39753</v>
      </c>
      <c r="B48">
        <v>38.799999999999997</v>
      </c>
    </row>
    <row r="49" spans="1:3" x14ac:dyDescent="0.2">
      <c r="A49" s="64">
        <v>39783</v>
      </c>
      <c r="B49">
        <v>41.2</v>
      </c>
    </row>
    <row r="50" spans="1:3" x14ac:dyDescent="0.2">
      <c r="A50" s="64">
        <v>39814</v>
      </c>
      <c r="B50">
        <v>45.3</v>
      </c>
      <c r="C50">
        <v>7.0999999999999994E-2</v>
      </c>
    </row>
    <row r="51" spans="1:3" x14ac:dyDescent="0.2">
      <c r="A51" s="64">
        <v>39845</v>
      </c>
      <c r="B51">
        <v>49</v>
      </c>
    </row>
    <row r="52" spans="1:3" x14ac:dyDescent="0.2">
      <c r="A52" s="64">
        <v>39873</v>
      </c>
      <c r="B52">
        <v>52.4</v>
      </c>
    </row>
    <row r="53" spans="1:3" x14ac:dyDescent="0.2">
      <c r="A53" s="64">
        <v>39904</v>
      </c>
      <c r="B53">
        <v>53.5</v>
      </c>
      <c r="C53">
        <v>6.4000000000000001E-2</v>
      </c>
    </row>
    <row r="54" spans="1:3" x14ac:dyDescent="0.2">
      <c r="A54" s="64">
        <v>39934</v>
      </c>
      <c r="B54">
        <v>53.1</v>
      </c>
    </row>
    <row r="55" spans="1:3" x14ac:dyDescent="0.2">
      <c r="A55" s="64">
        <v>39965</v>
      </c>
      <c r="B55">
        <v>53.2</v>
      </c>
    </row>
    <row r="56" spans="1:3" x14ac:dyDescent="0.2">
      <c r="A56" s="64">
        <v>39995</v>
      </c>
      <c r="B56">
        <v>53.3</v>
      </c>
      <c r="C56">
        <v>8.199999999999999E-2</v>
      </c>
    </row>
    <row r="57" spans="1:3" x14ac:dyDescent="0.2">
      <c r="A57" s="64">
        <v>40026</v>
      </c>
      <c r="B57">
        <v>54</v>
      </c>
    </row>
    <row r="58" spans="1:3" x14ac:dyDescent="0.2">
      <c r="A58" s="64">
        <v>40057</v>
      </c>
      <c r="B58">
        <v>54.3</v>
      </c>
    </row>
    <row r="59" spans="1:3" x14ac:dyDescent="0.2">
      <c r="A59" s="64">
        <v>40087</v>
      </c>
      <c r="B59">
        <v>55.2</v>
      </c>
      <c r="C59">
        <v>0.106</v>
      </c>
    </row>
    <row r="60" spans="1:3" x14ac:dyDescent="0.2">
      <c r="A60" s="64">
        <v>40118</v>
      </c>
      <c r="B60">
        <v>55.2</v>
      </c>
    </row>
    <row r="61" spans="1:3" x14ac:dyDescent="0.2">
      <c r="A61" s="64">
        <v>40148</v>
      </c>
      <c r="B61">
        <v>56.6</v>
      </c>
    </row>
    <row r="62" spans="1:3" x14ac:dyDescent="0.2">
      <c r="A62" s="64">
        <v>40179</v>
      </c>
      <c r="B62">
        <v>55.8</v>
      </c>
      <c r="C62">
        <v>0.11899999999999999</v>
      </c>
    </row>
    <row r="63" spans="1:3" x14ac:dyDescent="0.2">
      <c r="A63" s="64">
        <v>40210</v>
      </c>
      <c r="B63">
        <v>52</v>
      </c>
    </row>
    <row r="64" spans="1:3" x14ac:dyDescent="0.2">
      <c r="A64" s="64">
        <v>40238</v>
      </c>
      <c r="B64">
        <v>55.1</v>
      </c>
    </row>
    <row r="65" spans="1:3" x14ac:dyDescent="0.2">
      <c r="A65" s="64">
        <v>40269</v>
      </c>
      <c r="B65">
        <v>55.7</v>
      </c>
      <c r="C65">
        <v>0.122</v>
      </c>
    </row>
    <row r="66" spans="1:3" x14ac:dyDescent="0.2">
      <c r="A66" s="64">
        <v>40299</v>
      </c>
      <c r="B66">
        <v>53.9</v>
      </c>
    </row>
    <row r="67" spans="1:3" x14ac:dyDescent="0.2">
      <c r="A67" s="64">
        <v>40330</v>
      </c>
      <c r="B67">
        <v>52.1</v>
      </c>
    </row>
    <row r="68" spans="1:3" x14ac:dyDescent="0.2">
      <c r="A68" s="64">
        <v>40360</v>
      </c>
      <c r="B68">
        <v>51.2</v>
      </c>
      <c r="C68">
        <v>0.108</v>
      </c>
    </row>
    <row r="69" spans="1:3" x14ac:dyDescent="0.2">
      <c r="A69" s="64">
        <v>40391</v>
      </c>
      <c r="B69">
        <v>51.7</v>
      </c>
    </row>
    <row r="70" spans="1:3" x14ac:dyDescent="0.2">
      <c r="A70" s="64">
        <v>40422</v>
      </c>
      <c r="B70">
        <v>53.8</v>
      </c>
    </row>
    <row r="71" spans="1:3" x14ac:dyDescent="0.2">
      <c r="A71" s="64">
        <v>40452</v>
      </c>
      <c r="B71">
        <v>54.7</v>
      </c>
      <c r="C71">
        <v>9.9000000000000005E-2</v>
      </c>
    </row>
    <row r="72" spans="1:3" x14ac:dyDescent="0.2">
      <c r="A72" s="64">
        <v>40483</v>
      </c>
      <c r="B72">
        <v>55.2</v>
      </c>
    </row>
    <row r="73" spans="1:3" x14ac:dyDescent="0.2">
      <c r="A73" s="64">
        <v>40513</v>
      </c>
      <c r="B73">
        <v>53.9</v>
      </c>
    </row>
    <row r="74" spans="1:3" x14ac:dyDescent="0.2">
      <c r="A74" s="64">
        <v>40544</v>
      </c>
      <c r="B74">
        <v>52.9</v>
      </c>
      <c r="C74">
        <v>9.9000000000000005E-2</v>
      </c>
    </row>
    <row r="75" spans="1:3" x14ac:dyDescent="0.2">
      <c r="A75" s="64">
        <v>40575</v>
      </c>
      <c r="B75">
        <v>52.2</v>
      </c>
    </row>
    <row r="76" spans="1:3" x14ac:dyDescent="0.2">
      <c r="A76" s="64">
        <v>40603</v>
      </c>
      <c r="B76">
        <v>53.4</v>
      </c>
    </row>
    <row r="77" spans="1:3" x14ac:dyDescent="0.2">
      <c r="A77" s="64">
        <v>40634</v>
      </c>
      <c r="B77">
        <v>52.9</v>
      </c>
      <c r="C77">
        <v>0.10199999999999999</v>
      </c>
    </row>
    <row r="78" spans="1:3" x14ac:dyDescent="0.2">
      <c r="A78" s="64">
        <v>40664</v>
      </c>
      <c r="B78">
        <v>52</v>
      </c>
    </row>
    <row r="79" spans="1:3" x14ac:dyDescent="0.2">
      <c r="A79" s="64">
        <v>40695</v>
      </c>
      <c r="B79">
        <v>50.9</v>
      </c>
    </row>
    <row r="80" spans="1:3" x14ac:dyDescent="0.2">
      <c r="A80" s="64">
        <v>40725</v>
      </c>
      <c r="B80">
        <v>50.7</v>
      </c>
      <c r="C80">
        <v>0.1</v>
      </c>
    </row>
    <row r="81" spans="1:3" x14ac:dyDescent="0.2">
      <c r="A81" s="64">
        <v>40756</v>
      </c>
      <c r="B81">
        <v>50.9</v>
      </c>
    </row>
    <row r="82" spans="1:3" x14ac:dyDescent="0.2">
      <c r="A82" s="64">
        <v>40787</v>
      </c>
      <c r="B82">
        <v>51.2</v>
      </c>
    </row>
    <row r="83" spans="1:3" x14ac:dyDescent="0.2">
      <c r="A83" s="64">
        <v>40817</v>
      </c>
      <c r="B83">
        <v>50.4</v>
      </c>
      <c r="C83">
        <v>9.4E-2</v>
      </c>
    </row>
    <row r="84" spans="1:3" x14ac:dyDescent="0.2">
      <c r="A84" s="64">
        <v>40848</v>
      </c>
      <c r="B84">
        <v>49</v>
      </c>
    </row>
    <row r="85" spans="1:3" x14ac:dyDescent="0.2">
      <c r="A85" s="64">
        <v>40878</v>
      </c>
      <c r="B85">
        <v>50.3</v>
      </c>
    </row>
    <row r="86" spans="1:3" x14ac:dyDescent="0.2">
      <c r="A86" s="64">
        <v>40909</v>
      </c>
      <c r="B86">
        <v>50.5</v>
      </c>
      <c r="C86">
        <v>8.8000000000000009E-2</v>
      </c>
    </row>
    <row r="87" spans="1:3" x14ac:dyDescent="0.2">
      <c r="A87" s="64">
        <v>40940</v>
      </c>
      <c r="B87">
        <v>51</v>
      </c>
    </row>
    <row r="88" spans="1:3" x14ac:dyDescent="0.2">
      <c r="A88" s="64">
        <v>40969</v>
      </c>
      <c r="B88">
        <v>53.1</v>
      </c>
    </row>
    <row r="89" spans="1:3" x14ac:dyDescent="0.2">
      <c r="A89" s="64">
        <v>41000</v>
      </c>
      <c r="B89">
        <v>53.3</v>
      </c>
      <c r="C89">
        <v>8.1000000000000003E-2</v>
      </c>
    </row>
    <row r="90" spans="1:3" x14ac:dyDescent="0.2">
      <c r="A90" s="64">
        <v>41030</v>
      </c>
      <c r="B90">
        <v>50.4</v>
      </c>
    </row>
    <row r="91" spans="1:3" x14ac:dyDescent="0.2">
      <c r="A91" s="64">
        <v>41061</v>
      </c>
      <c r="B91">
        <v>50.2</v>
      </c>
    </row>
    <row r="92" spans="1:3" x14ac:dyDescent="0.2">
      <c r="A92" s="64">
        <v>41091</v>
      </c>
      <c r="B92">
        <v>50.1</v>
      </c>
      <c r="C92">
        <v>7.6999999999999999E-2</v>
      </c>
    </row>
    <row r="93" spans="1:3" x14ac:dyDescent="0.2">
      <c r="A93" s="64">
        <v>41122</v>
      </c>
      <c r="B93">
        <v>49.2</v>
      </c>
    </row>
    <row r="94" spans="1:3" x14ac:dyDescent="0.2">
      <c r="A94" s="64">
        <v>41153</v>
      </c>
      <c r="B94">
        <v>49.8</v>
      </c>
    </row>
    <row r="95" spans="1:3" x14ac:dyDescent="0.2">
      <c r="A95" s="64">
        <v>41183</v>
      </c>
      <c r="B95">
        <v>50.2</v>
      </c>
      <c r="C95">
        <v>7.4999999999999997E-2</v>
      </c>
    </row>
    <row r="96" spans="1:3" x14ac:dyDescent="0.2">
      <c r="A96" s="64">
        <v>41214</v>
      </c>
      <c r="B96">
        <v>50.6</v>
      </c>
    </row>
    <row r="97" spans="1:3" x14ac:dyDescent="0.2">
      <c r="A97" s="64">
        <v>41244</v>
      </c>
      <c r="B97">
        <v>50.6</v>
      </c>
    </row>
    <row r="98" spans="1:3" x14ac:dyDescent="0.2">
      <c r="A98" s="64">
        <v>41275</v>
      </c>
      <c r="B98">
        <v>50.4</v>
      </c>
      <c r="C98">
        <v>8.1000000000000003E-2</v>
      </c>
    </row>
    <row r="99" spans="1:3" x14ac:dyDescent="0.2">
      <c r="A99" s="64">
        <v>41306</v>
      </c>
      <c r="B99">
        <v>50.1</v>
      </c>
    </row>
    <row r="100" spans="1:3" x14ac:dyDescent="0.2">
      <c r="A100" s="64">
        <v>41334</v>
      </c>
      <c r="B100">
        <v>50.9</v>
      </c>
    </row>
    <row r="101" spans="1:3" x14ac:dyDescent="0.2">
      <c r="A101" s="64">
        <v>41365</v>
      </c>
      <c r="B101">
        <v>50.6</v>
      </c>
      <c r="C101">
        <v>7.9000000000000001E-2</v>
      </c>
    </row>
    <row r="102" spans="1:3" x14ac:dyDescent="0.2">
      <c r="A102" s="64">
        <v>41395</v>
      </c>
      <c r="B102">
        <v>50.8</v>
      </c>
    </row>
    <row r="103" spans="1:3" x14ac:dyDescent="0.2">
      <c r="A103" s="64">
        <v>41426</v>
      </c>
      <c r="B103">
        <v>50.1</v>
      </c>
    </row>
    <row r="104" spans="1:3" x14ac:dyDescent="0.2">
      <c r="A104" s="64">
        <v>41456</v>
      </c>
      <c r="B104">
        <v>50.3</v>
      </c>
      <c r="C104">
        <v>7.5999999999999998E-2</v>
      </c>
    </row>
    <row r="105" spans="1:3" x14ac:dyDescent="0.2">
      <c r="A105" s="64">
        <v>41487</v>
      </c>
      <c r="B105">
        <v>51</v>
      </c>
    </row>
    <row r="106" spans="1:3" x14ac:dyDescent="0.2">
      <c r="A106" s="64">
        <v>41518</v>
      </c>
      <c r="B106">
        <v>51.1</v>
      </c>
    </row>
    <row r="107" spans="1:3" x14ac:dyDescent="0.2">
      <c r="A107" s="64">
        <v>41548</v>
      </c>
      <c r="B107">
        <v>51.4</v>
      </c>
      <c r="C107">
        <v>7.9000000000000001E-2</v>
      </c>
    </row>
    <row r="108" spans="1:3" x14ac:dyDescent="0.2">
      <c r="A108" s="64">
        <v>41579</v>
      </c>
      <c r="B108">
        <v>51.4</v>
      </c>
    </row>
    <row r="109" spans="1:3" x14ac:dyDescent="0.2">
      <c r="A109" s="64">
        <v>41609</v>
      </c>
      <c r="B109">
        <v>51</v>
      </c>
    </row>
    <row r="110" spans="1:3" x14ac:dyDescent="0.2">
      <c r="A110" s="64">
        <v>41640</v>
      </c>
      <c r="B110">
        <v>50.5</v>
      </c>
      <c r="C110">
        <v>7.6999999999999999E-2</v>
      </c>
    </row>
    <row r="111" spans="1:3" x14ac:dyDescent="0.2">
      <c r="A111" s="64">
        <v>41671</v>
      </c>
      <c r="B111">
        <v>50.2</v>
      </c>
    </row>
    <row r="112" spans="1:3" x14ac:dyDescent="0.2">
      <c r="A112" s="64">
        <v>41699</v>
      </c>
      <c r="B112">
        <v>50.3</v>
      </c>
    </row>
    <row r="113" spans="1:3" x14ac:dyDescent="0.2">
      <c r="A113" s="64">
        <v>41730</v>
      </c>
      <c r="B113">
        <v>50.4</v>
      </c>
      <c r="C113">
        <v>7.4999999999999997E-2</v>
      </c>
    </row>
    <row r="114" spans="1:3" x14ac:dyDescent="0.2">
      <c r="A114" s="64">
        <v>41760</v>
      </c>
      <c r="B114">
        <v>50.8</v>
      </c>
    </row>
    <row r="115" spans="1:3" x14ac:dyDescent="0.2">
      <c r="A115" s="64">
        <v>41791</v>
      </c>
      <c r="B115">
        <v>51</v>
      </c>
    </row>
    <row r="116" spans="1:3" x14ac:dyDescent="0.2">
      <c r="A116" s="64">
        <v>41821</v>
      </c>
      <c r="B116">
        <v>51.7</v>
      </c>
      <c r="C116">
        <v>7.5999999999999998E-2</v>
      </c>
    </row>
    <row r="117" spans="1:3" x14ac:dyDescent="0.2">
      <c r="A117" s="64">
        <v>41852</v>
      </c>
      <c r="B117">
        <v>51.1</v>
      </c>
    </row>
    <row r="118" spans="1:3" x14ac:dyDescent="0.2">
      <c r="A118" s="64">
        <v>41883</v>
      </c>
      <c r="B118">
        <v>51.1</v>
      </c>
    </row>
    <row r="119" spans="1:3" x14ac:dyDescent="0.2">
      <c r="A119" s="64">
        <v>41913</v>
      </c>
      <c r="B119">
        <v>50.8</v>
      </c>
      <c r="C119">
        <v>7.2000000000000008E-2</v>
      </c>
    </row>
    <row r="120" spans="1:3" x14ac:dyDescent="0.2">
      <c r="A120" s="64">
        <v>41944</v>
      </c>
      <c r="B120">
        <v>50.3</v>
      </c>
    </row>
    <row r="121" spans="1:3" x14ac:dyDescent="0.2">
      <c r="A121" s="64">
        <v>41974</v>
      </c>
      <c r="B121">
        <v>50.1</v>
      </c>
    </row>
    <row r="122" spans="1:3" x14ac:dyDescent="0.2">
      <c r="A122" s="64">
        <v>42005</v>
      </c>
      <c r="B122">
        <v>49.8</v>
      </c>
      <c r="C122">
        <v>7.2999999999999995E-2</v>
      </c>
    </row>
    <row r="123" spans="1:3" x14ac:dyDescent="0.2">
      <c r="A123" s="64">
        <v>42036</v>
      </c>
      <c r="B123">
        <v>49.9</v>
      </c>
    </row>
    <row r="124" spans="1:3" x14ac:dyDescent="0.2">
      <c r="A124" s="64">
        <v>42064</v>
      </c>
      <c r="B124">
        <v>50.1</v>
      </c>
    </row>
    <row r="125" spans="1:3" x14ac:dyDescent="0.2">
      <c r="A125" s="64">
        <v>42095</v>
      </c>
      <c r="B125">
        <v>50.1</v>
      </c>
      <c r="C125">
        <v>7.0999999999999994E-2</v>
      </c>
    </row>
    <row r="126" spans="1:3" x14ac:dyDescent="0.2">
      <c r="A126" s="64">
        <v>42125</v>
      </c>
      <c r="B126">
        <v>50.2</v>
      </c>
    </row>
    <row r="127" spans="1:3" x14ac:dyDescent="0.2">
      <c r="A127" s="64">
        <v>42156</v>
      </c>
      <c r="B127">
        <v>50.2</v>
      </c>
    </row>
    <row r="128" spans="1:3" x14ac:dyDescent="0.2">
      <c r="A128" s="64">
        <v>42186</v>
      </c>
      <c r="B128">
        <v>50</v>
      </c>
      <c r="C128">
        <v>7.0999999999999994E-2</v>
      </c>
    </row>
    <row r="129" spans="1:3" x14ac:dyDescent="0.2">
      <c r="A129" s="64">
        <v>42217</v>
      </c>
      <c r="B129">
        <v>49.7</v>
      </c>
    </row>
    <row r="130" spans="1:3" x14ac:dyDescent="0.2">
      <c r="A130" s="64">
        <v>42248</v>
      </c>
      <c r="B130">
        <v>49.8</v>
      </c>
    </row>
    <row r="131" spans="1:3" x14ac:dyDescent="0.2">
      <c r="A131" s="64">
        <v>42278</v>
      </c>
      <c r="B131">
        <v>49.8</v>
      </c>
      <c r="C131">
        <v>7.0000000000000007E-2</v>
      </c>
    </row>
    <row r="132" spans="1:3" x14ac:dyDescent="0.2">
      <c r="A132" s="64">
        <v>42309</v>
      </c>
      <c r="B132">
        <v>49.6</v>
      </c>
    </row>
    <row r="133" spans="1:3" x14ac:dyDescent="0.2">
      <c r="A133" s="64">
        <v>42339</v>
      </c>
      <c r="B133">
        <v>49.7</v>
      </c>
    </row>
    <row r="134" spans="1:3" x14ac:dyDescent="0.2">
      <c r="A134" s="64">
        <v>42370</v>
      </c>
      <c r="B134">
        <v>49.4</v>
      </c>
      <c r="C134">
        <v>6.9000000000000006E-2</v>
      </c>
    </row>
    <row r="135" spans="1:3" x14ac:dyDescent="0.2">
      <c r="A135" s="64">
        <v>42401</v>
      </c>
      <c r="B135">
        <v>49</v>
      </c>
    </row>
    <row r="136" spans="1:3" x14ac:dyDescent="0.2">
      <c r="A136" s="64">
        <v>42430</v>
      </c>
      <c r="B136">
        <v>50.2</v>
      </c>
    </row>
    <row r="137" spans="1:3" x14ac:dyDescent="0.2">
      <c r="A137" s="64">
        <v>42461</v>
      </c>
      <c r="B137">
        <v>50.1</v>
      </c>
      <c r="C137">
        <v>6.9000000000000006E-2</v>
      </c>
    </row>
    <row r="138" spans="1:3" x14ac:dyDescent="0.2">
      <c r="A138" s="64">
        <v>42491</v>
      </c>
      <c r="B138">
        <v>50.1</v>
      </c>
    </row>
    <row r="139" spans="1:3" x14ac:dyDescent="0.2">
      <c r="A139" s="64">
        <v>42522</v>
      </c>
      <c r="B139">
        <v>50</v>
      </c>
    </row>
    <row r="140" spans="1:3" x14ac:dyDescent="0.2">
      <c r="A140" s="64">
        <v>42552</v>
      </c>
      <c r="B140">
        <v>49.9</v>
      </c>
      <c r="C140">
        <v>6.8000000000000005E-2</v>
      </c>
    </row>
    <row r="141" spans="1:3" x14ac:dyDescent="0.2">
      <c r="A141" s="64">
        <v>42583</v>
      </c>
      <c r="B141">
        <v>50.4</v>
      </c>
    </row>
    <row r="142" spans="1:3" x14ac:dyDescent="0.2">
      <c r="A142" s="64">
        <v>42614</v>
      </c>
      <c r="B142">
        <v>50.4</v>
      </c>
    </row>
    <row r="143" spans="1:3" x14ac:dyDescent="0.2">
      <c r="A143" s="64">
        <v>42644</v>
      </c>
      <c r="B143">
        <v>51.2</v>
      </c>
      <c r="C143">
        <v>6.8000000000000005E-2</v>
      </c>
    </row>
    <row r="144" spans="1:3" x14ac:dyDescent="0.2">
      <c r="A144" s="64">
        <v>42675</v>
      </c>
      <c r="B144">
        <v>51.7</v>
      </c>
    </row>
    <row r="145" spans="1:3" x14ac:dyDescent="0.2">
      <c r="A145" s="64">
        <v>42705</v>
      </c>
      <c r="B145">
        <v>51.4</v>
      </c>
    </row>
    <row r="146" spans="1:3" x14ac:dyDescent="0.2">
      <c r="A146" s="64">
        <v>42736</v>
      </c>
      <c r="B146">
        <v>51.3</v>
      </c>
      <c r="C146">
        <v>6.9000000000000006E-2</v>
      </c>
    </row>
    <row r="147" spans="1:3" x14ac:dyDescent="0.2">
      <c r="A147" s="64">
        <v>42767</v>
      </c>
      <c r="B147">
        <v>51.6</v>
      </c>
    </row>
    <row r="148" spans="1:3" x14ac:dyDescent="0.2">
      <c r="A148" s="64">
        <v>42795</v>
      </c>
      <c r="B148">
        <v>51.8</v>
      </c>
    </row>
    <row r="149" spans="1:3" x14ac:dyDescent="0.2">
      <c r="A149" s="64">
        <v>42826</v>
      </c>
      <c r="B149">
        <v>51.2</v>
      </c>
      <c r="C149">
        <v>7.0000000000000007E-2</v>
      </c>
    </row>
    <row r="150" spans="1:3" x14ac:dyDescent="0.2">
      <c r="A150" s="64">
        <v>42856</v>
      </c>
      <c r="B150">
        <v>51.2</v>
      </c>
    </row>
    <row r="151" spans="1:3" x14ac:dyDescent="0.2">
      <c r="A151" s="64">
        <v>42887</v>
      </c>
      <c r="B151">
        <v>51.7</v>
      </c>
    </row>
    <row r="152" spans="1:3" x14ac:dyDescent="0.2">
      <c r="A152" s="64">
        <v>42917</v>
      </c>
      <c r="B152">
        <v>51.4</v>
      </c>
      <c r="C152">
        <v>7.0000000000000007E-2</v>
      </c>
    </row>
    <row r="153" spans="1:3" x14ac:dyDescent="0.2">
      <c r="A153" s="64">
        <v>42948</v>
      </c>
      <c r="B153">
        <v>51.7</v>
      </c>
    </row>
    <row r="154" spans="1:3" x14ac:dyDescent="0.2">
      <c r="A154" s="64">
        <v>42979</v>
      </c>
      <c r="B154">
        <v>52.4</v>
      </c>
    </row>
    <row r="155" spans="1:3" x14ac:dyDescent="0.2">
      <c r="A155" s="64">
        <v>43009</v>
      </c>
      <c r="B155">
        <v>51.6</v>
      </c>
      <c r="C155">
        <v>6.9000000000000006E-2</v>
      </c>
    </row>
    <row r="156" spans="1:3" x14ac:dyDescent="0.2">
      <c r="A156" s="64">
        <v>43040</v>
      </c>
      <c r="B156">
        <v>51.8</v>
      </c>
    </row>
    <row r="157" spans="1:3" x14ac:dyDescent="0.2">
      <c r="A157" s="64">
        <v>43070</v>
      </c>
      <c r="B157">
        <v>51.6</v>
      </c>
    </row>
    <row r="158" spans="1:3" x14ac:dyDescent="0.2">
      <c r="A158" s="64">
        <v>43101</v>
      </c>
      <c r="B158">
        <v>51.3</v>
      </c>
      <c r="C158">
        <v>6.8000000000000005E-2</v>
      </c>
    </row>
    <row r="159" spans="1:3" x14ac:dyDescent="0.2">
      <c r="A159" s="64">
        <v>43132</v>
      </c>
      <c r="B159">
        <v>50.3</v>
      </c>
    </row>
    <row r="160" spans="1:3" x14ac:dyDescent="0.2">
      <c r="A160" s="64">
        <v>43160</v>
      </c>
      <c r="B160">
        <v>51.5</v>
      </c>
    </row>
    <row r="161" spans="1:3" x14ac:dyDescent="0.2">
      <c r="A161" s="64">
        <v>43191</v>
      </c>
      <c r="B161">
        <v>51.4</v>
      </c>
      <c r="C161">
        <v>6.9000000000000006E-2</v>
      </c>
    </row>
    <row r="162" spans="1:3" x14ac:dyDescent="0.2">
      <c r="A162" s="64">
        <v>43221</v>
      </c>
      <c r="B162">
        <v>51.9</v>
      </c>
    </row>
    <row r="163" spans="1:3" x14ac:dyDescent="0.2">
      <c r="A163" s="64">
        <v>43252</v>
      </c>
      <c r="B163">
        <v>51.5</v>
      </c>
    </row>
    <row r="164" spans="1:3" x14ac:dyDescent="0.2">
      <c r="A164" s="64">
        <v>43282</v>
      </c>
      <c r="B164">
        <v>51.2</v>
      </c>
      <c r="C164">
        <v>6.9000000000000006E-2</v>
      </c>
    </row>
    <row r="165" spans="1:3" x14ac:dyDescent="0.2">
      <c r="A165" s="64">
        <v>43313</v>
      </c>
      <c r="B165">
        <v>51.3</v>
      </c>
    </row>
    <row r="166" spans="1:3" x14ac:dyDescent="0.2">
      <c r="A166" s="64">
        <v>43344</v>
      </c>
      <c r="B166">
        <v>50.8</v>
      </c>
    </row>
    <row r="167" spans="1:3" x14ac:dyDescent="0.2">
      <c r="A167" s="64">
        <v>43374</v>
      </c>
      <c r="B167">
        <v>50.2</v>
      </c>
      <c r="C167">
        <v>6.7000000000000004E-2</v>
      </c>
    </row>
    <row r="168" spans="1:3" x14ac:dyDescent="0.2">
      <c r="A168" s="64">
        <v>43405</v>
      </c>
      <c r="B168">
        <v>50</v>
      </c>
    </row>
    <row r="169" spans="1:3" x14ac:dyDescent="0.2">
      <c r="A169" s="64">
        <v>43435</v>
      </c>
      <c r="B169">
        <v>49.4</v>
      </c>
    </row>
    <row r="170" spans="1:3" x14ac:dyDescent="0.2">
      <c r="A170" s="64">
        <v>43466</v>
      </c>
      <c r="B170">
        <v>49.5</v>
      </c>
      <c r="C170">
        <v>6.5000000000000002E-2</v>
      </c>
    </row>
    <row r="171" spans="1:3" x14ac:dyDescent="0.2">
      <c r="A171" s="64">
        <v>43497</v>
      </c>
      <c r="B171">
        <v>49.2</v>
      </c>
    </row>
    <row r="172" spans="1:3" x14ac:dyDescent="0.2">
      <c r="A172" s="64">
        <v>43525</v>
      </c>
      <c r="B172">
        <v>50.5</v>
      </c>
    </row>
    <row r="173" spans="1:3" x14ac:dyDescent="0.2">
      <c r="A173" s="64">
        <v>43556</v>
      </c>
      <c r="B173">
        <v>50.1</v>
      </c>
      <c r="C173">
        <v>6.3E-2</v>
      </c>
    </row>
    <row r="174" spans="1:3" x14ac:dyDescent="0.2">
      <c r="A174" s="64">
        <v>43586</v>
      </c>
      <c r="B174">
        <v>49.4</v>
      </c>
    </row>
    <row r="175" spans="1:3" x14ac:dyDescent="0.2">
      <c r="A175" s="64">
        <v>43617</v>
      </c>
      <c r="B175">
        <v>49.4</v>
      </c>
    </row>
    <row r="176" spans="1:3" x14ac:dyDescent="0.2">
      <c r="A176" s="64">
        <v>43647</v>
      </c>
      <c r="B176">
        <v>49.7</v>
      </c>
      <c r="C176">
        <v>0.06</v>
      </c>
    </row>
    <row r="177" spans="1:3" x14ac:dyDescent="0.2">
      <c r="A177" s="64">
        <v>43678</v>
      </c>
      <c r="B177">
        <v>49.5</v>
      </c>
    </row>
    <row r="178" spans="1:3" x14ac:dyDescent="0.2">
      <c r="A178" s="64">
        <v>43709</v>
      </c>
      <c r="B178">
        <v>49.8</v>
      </c>
    </row>
    <row r="179" spans="1:3" x14ac:dyDescent="0.2">
      <c r="A179" s="64">
        <v>43739</v>
      </c>
      <c r="B179">
        <v>49.3</v>
      </c>
      <c r="C179">
        <v>5.8999999999999997E-2</v>
      </c>
    </row>
    <row r="180" spans="1:3" x14ac:dyDescent="0.2">
      <c r="A180" s="64">
        <v>43770</v>
      </c>
      <c r="B180">
        <v>50.2</v>
      </c>
    </row>
    <row r="181" spans="1:3" x14ac:dyDescent="0.2">
      <c r="A181" s="64">
        <v>43800</v>
      </c>
      <c r="B181">
        <v>50.2</v>
      </c>
    </row>
    <row r="182" spans="1:3" x14ac:dyDescent="0.2">
      <c r="A182" s="64">
        <v>43831</v>
      </c>
      <c r="B182">
        <v>50</v>
      </c>
      <c r="C182">
        <v>5.8000000000000003E-2</v>
      </c>
    </row>
    <row r="183" spans="1:3" x14ac:dyDescent="0.2">
      <c r="A183" s="64">
        <v>43862</v>
      </c>
      <c r="B183">
        <v>35.700000000000003</v>
      </c>
    </row>
    <row r="184" spans="1:3" x14ac:dyDescent="0.2">
      <c r="A184" s="64">
        <v>43891</v>
      </c>
      <c r="B184">
        <v>52</v>
      </c>
    </row>
    <row r="185" spans="1:3" x14ac:dyDescent="0.2">
      <c r="A185" s="64">
        <v>43922</v>
      </c>
      <c r="B185">
        <v>50.8</v>
      </c>
      <c r="C185">
        <v>-6.9000000000000006E-2</v>
      </c>
    </row>
    <row r="186" spans="1:3" x14ac:dyDescent="0.2">
      <c r="A186" s="64">
        <v>43952</v>
      </c>
      <c r="B186">
        <v>50.6</v>
      </c>
    </row>
    <row r="187" spans="1:3" x14ac:dyDescent="0.2">
      <c r="A187" s="64">
        <v>43983</v>
      </c>
      <c r="B187">
        <v>50.9</v>
      </c>
    </row>
    <row r="188" spans="1:3" x14ac:dyDescent="0.2">
      <c r="A188" s="64">
        <v>44013</v>
      </c>
      <c r="B188">
        <v>51.1</v>
      </c>
      <c r="C188">
        <v>3.1E-2</v>
      </c>
    </row>
    <row r="189" spans="1:3" x14ac:dyDescent="0.2">
      <c r="A189" s="64">
        <v>44044</v>
      </c>
      <c r="B189">
        <v>51</v>
      </c>
    </row>
    <row r="190" spans="1:3" x14ac:dyDescent="0.2">
      <c r="A190" s="64">
        <v>44075</v>
      </c>
      <c r="B190">
        <v>51.5</v>
      </c>
    </row>
    <row r="191" spans="1:3" x14ac:dyDescent="0.2">
      <c r="A191" s="64">
        <v>44105</v>
      </c>
      <c r="B191">
        <v>51.4</v>
      </c>
      <c r="C191">
        <v>4.8000000000000001E-2</v>
      </c>
    </row>
    <row r="192" spans="1:3" x14ac:dyDescent="0.2">
      <c r="A192" s="64">
        <v>44136</v>
      </c>
      <c r="B192">
        <v>52.1</v>
      </c>
    </row>
    <row r="193" spans="1:3" x14ac:dyDescent="0.2">
      <c r="A193" s="64">
        <v>44166</v>
      </c>
      <c r="B193">
        <v>51.9</v>
      </c>
    </row>
    <row r="194" spans="1:3" x14ac:dyDescent="0.2">
      <c r="A194" s="64">
        <v>44197</v>
      </c>
      <c r="B194">
        <v>51.3</v>
      </c>
      <c r="C194">
        <v>6.4000000000000001E-2</v>
      </c>
    </row>
    <row r="195" spans="1:3" x14ac:dyDescent="0.2">
      <c r="A195" s="64">
        <v>44228</v>
      </c>
      <c r="B195">
        <v>50.6</v>
      </c>
    </row>
    <row r="196" spans="1:3" x14ac:dyDescent="0.2">
      <c r="A196" s="64">
        <v>44256</v>
      </c>
      <c r="B196">
        <v>51.9</v>
      </c>
    </row>
    <row r="197" spans="1:3" x14ac:dyDescent="0.2">
      <c r="A197" s="64">
        <v>44287</v>
      </c>
      <c r="B197">
        <v>51.1</v>
      </c>
      <c r="C197">
        <v>0.183</v>
      </c>
    </row>
    <row r="198" spans="1:3" x14ac:dyDescent="0.2">
      <c r="A198" s="64">
        <v>44317</v>
      </c>
      <c r="B198">
        <v>51</v>
      </c>
    </row>
    <row r="199" spans="1:3" x14ac:dyDescent="0.2">
      <c r="A199" s="64">
        <v>44348</v>
      </c>
      <c r="B199">
        <v>50.9</v>
      </c>
    </row>
    <row r="200" spans="1:3" x14ac:dyDescent="0.2">
      <c r="A200" s="64">
        <v>44378</v>
      </c>
      <c r="B200">
        <v>50.4</v>
      </c>
      <c r="C200">
        <v>7.9000000000000001E-2</v>
      </c>
    </row>
    <row r="201" spans="1:3" x14ac:dyDescent="0.2">
      <c r="A201" s="64">
        <v>44409</v>
      </c>
      <c r="B201">
        <v>50.1</v>
      </c>
    </row>
    <row r="202" spans="1:3" x14ac:dyDescent="0.2">
      <c r="A202" s="64">
        <v>44440</v>
      </c>
      <c r="B202">
        <v>49.6</v>
      </c>
    </row>
    <row r="203" spans="1:3" x14ac:dyDescent="0.2">
      <c r="A203" s="64">
        <v>44470</v>
      </c>
      <c r="B203">
        <v>49.2</v>
      </c>
      <c r="C203">
        <v>4.9000000000000002E-2</v>
      </c>
    </row>
    <row r="204" spans="1:3" x14ac:dyDescent="0.2">
      <c r="A204" s="64">
        <v>44501</v>
      </c>
      <c r="B204">
        <v>50.1</v>
      </c>
    </row>
    <row r="205" spans="1:3" x14ac:dyDescent="0.2">
      <c r="A205" s="64">
        <v>44531</v>
      </c>
      <c r="B205">
        <v>50.3</v>
      </c>
    </row>
    <row r="206" spans="1:3" x14ac:dyDescent="0.2">
      <c r="A206" s="64">
        <v>44562</v>
      </c>
      <c r="B206">
        <v>50.1</v>
      </c>
      <c r="C206">
        <v>0.04</v>
      </c>
    </row>
    <row r="207" spans="1:3" x14ac:dyDescent="0.2">
      <c r="A207" s="64">
        <v>44652</v>
      </c>
    </row>
    <row r="208" spans="1:3" x14ac:dyDescent="0.2">
      <c r="A208" s="64">
        <v>44743</v>
      </c>
    </row>
    <row r="209" spans="1:1" x14ac:dyDescent="0.2">
      <c r="A209" s="64">
        <v>44835</v>
      </c>
    </row>
    <row r="210" spans="1:1" x14ac:dyDescent="0.2">
      <c r="A210" s="64">
        <v>44927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37"/>
  <sheetViews>
    <sheetView zoomScale="200" zoomScaleNormal="200" workbookViewId="0">
      <pane ySplit="1" topLeftCell="A109" activePane="bottomLeft" state="frozen"/>
      <selection pane="bottomLeft" activeCell="G20" sqref="G20"/>
    </sheetView>
  </sheetViews>
  <sheetFormatPr baseColWidth="10" defaultRowHeight="15" x14ac:dyDescent="0.2"/>
  <cols>
    <col min="1" max="24" width="10.83203125" style="61" customWidth="1"/>
    <col min="25" max="16384" width="10.83203125" style="61"/>
  </cols>
  <sheetData>
    <row r="1" spans="1:2" x14ac:dyDescent="0.2">
      <c r="A1" t="s">
        <v>80</v>
      </c>
      <c r="B1" t="s">
        <v>87</v>
      </c>
    </row>
    <row r="2" spans="1:2" x14ac:dyDescent="0.2">
      <c r="A2" s="64">
        <v>40452</v>
      </c>
      <c r="B2">
        <v>56.9</v>
      </c>
    </row>
    <row r="3" spans="1:2" x14ac:dyDescent="0.2">
      <c r="A3" s="64">
        <v>40483</v>
      </c>
      <c r="B3">
        <v>57.3</v>
      </c>
    </row>
    <row r="4" spans="1:2" x14ac:dyDescent="0.2">
      <c r="A4" s="64">
        <v>40513</v>
      </c>
      <c r="B4">
        <v>56.6</v>
      </c>
    </row>
    <row r="5" spans="1:2" x14ac:dyDescent="0.2">
      <c r="A5" s="64">
        <v>40544</v>
      </c>
      <c r="B5">
        <v>59.1</v>
      </c>
    </row>
    <row r="6" spans="1:2" x14ac:dyDescent="0.2">
      <c r="A6" s="64">
        <v>40575</v>
      </c>
      <c r="B6">
        <v>59.2</v>
      </c>
    </row>
    <row r="7" spans="1:2" x14ac:dyDescent="0.2">
      <c r="A7" s="64">
        <v>40603</v>
      </c>
      <c r="B7">
        <v>58.4</v>
      </c>
    </row>
    <row r="8" spans="1:2" x14ac:dyDescent="0.2">
      <c r="A8" s="64">
        <v>40634</v>
      </c>
      <c r="B8">
        <v>57.9</v>
      </c>
    </row>
    <row r="9" spans="1:2" x14ac:dyDescent="0.2">
      <c r="A9" s="64">
        <v>40664</v>
      </c>
      <c r="B9">
        <v>54.8</v>
      </c>
    </row>
    <row r="10" spans="1:2" x14ac:dyDescent="0.2">
      <c r="A10" s="64">
        <v>40695</v>
      </c>
      <c r="B10">
        <v>55.8</v>
      </c>
    </row>
    <row r="11" spans="1:2" x14ac:dyDescent="0.2">
      <c r="A11" s="64">
        <v>40725</v>
      </c>
      <c r="B11">
        <v>52.9</v>
      </c>
    </row>
    <row r="12" spans="1:2" x14ac:dyDescent="0.2">
      <c r="A12" s="64">
        <v>40756</v>
      </c>
      <c r="B12">
        <v>52.6</v>
      </c>
    </row>
    <row r="13" spans="1:2" x14ac:dyDescent="0.2">
      <c r="A13" s="64">
        <v>40787</v>
      </c>
      <c r="B13">
        <v>53.7</v>
      </c>
    </row>
    <row r="14" spans="1:2" x14ac:dyDescent="0.2">
      <c r="A14" s="64">
        <v>40817</v>
      </c>
      <c r="B14">
        <v>51.4</v>
      </c>
    </row>
    <row r="15" spans="1:2" x14ac:dyDescent="0.2">
      <c r="A15" s="64">
        <v>40848</v>
      </c>
      <c r="B15">
        <v>51.8</v>
      </c>
    </row>
    <row r="16" spans="1:2" x14ac:dyDescent="0.2">
      <c r="A16" s="64">
        <v>40878</v>
      </c>
      <c r="B16">
        <v>53</v>
      </c>
    </row>
    <row r="17" spans="1:2" x14ac:dyDescent="0.2">
      <c r="A17" s="64">
        <v>40909</v>
      </c>
      <c r="B17">
        <v>52.6</v>
      </c>
    </row>
    <row r="18" spans="1:2" x14ac:dyDescent="0.2">
      <c r="A18" s="64">
        <v>40940</v>
      </c>
      <c r="B18">
        <v>53.1</v>
      </c>
    </row>
    <row r="19" spans="1:2" x14ac:dyDescent="0.2">
      <c r="A19" s="64">
        <v>40969</v>
      </c>
      <c r="B19">
        <v>53.5</v>
      </c>
    </row>
    <row r="20" spans="1:2" x14ac:dyDescent="0.2">
      <c r="A20" s="64">
        <v>41000</v>
      </c>
      <c r="B20">
        <v>53.5</v>
      </c>
    </row>
    <row r="21" spans="1:2" x14ac:dyDescent="0.2">
      <c r="A21" s="64">
        <v>41030</v>
      </c>
      <c r="B21">
        <v>52.6</v>
      </c>
    </row>
    <row r="22" spans="1:2" x14ac:dyDescent="0.2">
      <c r="A22" s="64">
        <v>41061</v>
      </c>
      <c r="B22">
        <v>49.7</v>
      </c>
    </row>
    <row r="23" spans="1:2" x14ac:dyDescent="0.2">
      <c r="A23" s="64">
        <v>41091</v>
      </c>
      <c r="B23">
        <v>50</v>
      </c>
    </row>
    <row r="24" spans="1:2" x14ac:dyDescent="0.2">
      <c r="A24" s="64">
        <v>41122</v>
      </c>
      <c r="B24">
        <v>50.2</v>
      </c>
    </row>
    <row r="25" spans="1:2" x14ac:dyDescent="0.2">
      <c r="A25" s="64">
        <v>41153</v>
      </c>
      <c r="B25">
        <v>51.8</v>
      </c>
    </row>
    <row r="26" spans="1:2" x14ac:dyDescent="0.2">
      <c r="A26" s="64">
        <v>41183</v>
      </c>
      <c r="B26">
        <v>50.7</v>
      </c>
    </row>
    <row r="27" spans="1:2" x14ac:dyDescent="0.2">
      <c r="A27" s="64">
        <v>41214</v>
      </c>
      <c r="B27">
        <v>48.9</v>
      </c>
    </row>
    <row r="28" spans="1:2" x14ac:dyDescent="0.2">
      <c r="A28" s="64">
        <v>41244</v>
      </c>
      <c r="B28">
        <v>49.8</v>
      </c>
    </row>
    <row r="29" spans="1:2" x14ac:dyDescent="0.2">
      <c r="A29" s="64">
        <v>41275</v>
      </c>
      <c r="B29">
        <v>52</v>
      </c>
    </row>
    <row r="30" spans="1:2" x14ac:dyDescent="0.2">
      <c r="A30" s="64">
        <v>41306</v>
      </c>
      <c r="B30">
        <v>53.6</v>
      </c>
    </row>
    <row r="31" spans="1:2" x14ac:dyDescent="0.2">
      <c r="A31" s="64">
        <v>41334</v>
      </c>
      <c r="B31">
        <v>52</v>
      </c>
    </row>
    <row r="32" spans="1:2" x14ac:dyDescent="0.2">
      <c r="A32" s="64">
        <v>41365</v>
      </c>
      <c r="B32">
        <v>49.7</v>
      </c>
    </row>
    <row r="33" spans="1:2" x14ac:dyDescent="0.2">
      <c r="A33" s="64">
        <v>41395</v>
      </c>
      <c r="B33">
        <v>50.5</v>
      </c>
    </row>
    <row r="34" spans="1:2" x14ac:dyDescent="0.2">
      <c r="A34" s="64">
        <v>41426</v>
      </c>
      <c r="B34">
        <v>51.5</v>
      </c>
    </row>
    <row r="35" spans="1:2" x14ac:dyDescent="0.2">
      <c r="A35" s="64">
        <v>41456</v>
      </c>
      <c r="B35">
        <v>53.5</v>
      </c>
    </row>
    <row r="36" spans="1:2" x14ac:dyDescent="0.2">
      <c r="A36" s="64">
        <v>41487</v>
      </c>
      <c r="B36">
        <v>55.9</v>
      </c>
    </row>
    <row r="37" spans="1:2" x14ac:dyDescent="0.2">
      <c r="A37" s="64">
        <v>41518</v>
      </c>
      <c r="B37">
        <v>54.8</v>
      </c>
    </row>
    <row r="38" spans="1:2" x14ac:dyDescent="0.2">
      <c r="A38" s="64">
        <v>41548</v>
      </c>
      <c r="B38">
        <v>55.3</v>
      </c>
    </row>
    <row r="39" spans="1:2" x14ac:dyDescent="0.2">
      <c r="A39" s="64">
        <v>41579</v>
      </c>
      <c r="B39">
        <v>56.3</v>
      </c>
    </row>
    <row r="40" spans="1:2" x14ac:dyDescent="0.2">
      <c r="A40" s="64">
        <v>41609</v>
      </c>
      <c r="B40">
        <v>55.9</v>
      </c>
    </row>
    <row r="41" spans="1:2" x14ac:dyDescent="0.2">
      <c r="A41" s="64">
        <v>41640</v>
      </c>
      <c r="B41">
        <v>51.7</v>
      </c>
    </row>
    <row r="42" spans="1:2" x14ac:dyDescent="0.2">
      <c r="A42" s="64">
        <v>41671</v>
      </c>
      <c r="B42">
        <v>54.6</v>
      </c>
    </row>
    <row r="43" spans="1:2" x14ac:dyDescent="0.2">
      <c r="A43" s="64">
        <v>41699</v>
      </c>
      <c r="B43">
        <v>55.3</v>
      </c>
    </row>
    <row r="44" spans="1:2" x14ac:dyDescent="0.2">
      <c r="A44" s="64">
        <v>41730</v>
      </c>
      <c r="B44">
        <v>55.7</v>
      </c>
    </row>
    <row r="45" spans="1:2" x14ac:dyDescent="0.2">
      <c r="A45" s="64">
        <v>41760</v>
      </c>
      <c r="B45">
        <v>55.8</v>
      </c>
    </row>
    <row r="46" spans="1:2" x14ac:dyDescent="0.2">
      <c r="A46" s="64">
        <v>41791</v>
      </c>
      <c r="B46">
        <v>54.9</v>
      </c>
    </row>
    <row r="47" spans="1:2" x14ac:dyDescent="0.2">
      <c r="A47" s="64">
        <v>41821</v>
      </c>
      <c r="B47">
        <v>55.3</v>
      </c>
    </row>
    <row r="48" spans="1:2" x14ac:dyDescent="0.2">
      <c r="A48" s="64">
        <v>41852</v>
      </c>
      <c r="B48">
        <v>58.2</v>
      </c>
    </row>
    <row r="49" spans="1:2" x14ac:dyDescent="0.2">
      <c r="A49" s="64">
        <v>41883</v>
      </c>
      <c r="B49">
        <v>55.5</v>
      </c>
    </row>
    <row r="50" spans="1:2" x14ac:dyDescent="0.2">
      <c r="A50" s="64">
        <v>41913</v>
      </c>
      <c r="B50">
        <v>56.8</v>
      </c>
    </row>
    <row r="51" spans="1:2" x14ac:dyDescent="0.2">
      <c r="A51" s="64">
        <v>41944</v>
      </c>
      <c r="B51">
        <v>57</v>
      </c>
    </row>
    <row r="52" spans="1:2" x14ac:dyDescent="0.2">
      <c r="A52" s="64">
        <v>41974</v>
      </c>
      <c r="B52">
        <v>54.7</v>
      </c>
    </row>
    <row r="53" spans="1:2" x14ac:dyDescent="0.2">
      <c r="A53" s="64">
        <v>42005</v>
      </c>
      <c r="B53">
        <v>53.9</v>
      </c>
    </row>
    <row r="54" spans="1:2" x14ac:dyDescent="0.2">
      <c r="A54" s="64">
        <v>42036</v>
      </c>
      <c r="B54">
        <v>53</v>
      </c>
    </row>
    <row r="55" spans="1:2" x14ac:dyDescent="0.2">
      <c r="A55" s="64">
        <v>42064</v>
      </c>
      <c r="B55">
        <v>51.8</v>
      </c>
    </row>
    <row r="56" spans="1:2" x14ac:dyDescent="0.2">
      <c r="A56" s="64">
        <v>42095</v>
      </c>
      <c r="B56">
        <v>51.6</v>
      </c>
    </row>
    <row r="57" spans="1:2" x14ac:dyDescent="0.2">
      <c r="A57" s="64">
        <v>42125</v>
      </c>
      <c r="B57">
        <v>52.9</v>
      </c>
    </row>
    <row r="58" spans="1:2" x14ac:dyDescent="0.2">
      <c r="A58" s="64">
        <v>42156</v>
      </c>
      <c r="B58">
        <v>52.3</v>
      </c>
    </row>
    <row r="59" spans="1:2" x14ac:dyDescent="0.2">
      <c r="A59" s="64">
        <v>42186</v>
      </c>
      <c r="B59">
        <v>51.9</v>
      </c>
    </row>
    <row r="60" spans="1:2" x14ac:dyDescent="0.2">
      <c r="A60" s="64">
        <v>42217</v>
      </c>
      <c r="B60">
        <v>50.8</v>
      </c>
    </row>
    <row r="61" spans="1:2" x14ac:dyDescent="0.2">
      <c r="A61" s="64">
        <v>42248</v>
      </c>
      <c r="B61">
        <v>50.1</v>
      </c>
    </row>
    <row r="62" spans="1:2" x14ac:dyDescent="0.2">
      <c r="A62" s="64">
        <v>42278</v>
      </c>
      <c r="B62">
        <v>49.6</v>
      </c>
    </row>
    <row r="63" spans="1:2" x14ac:dyDescent="0.2">
      <c r="A63" s="64">
        <v>42309</v>
      </c>
      <c r="B63">
        <v>49.1</v>
      </c>
    </row>
    <row r="64" spans="1:2" x14ac:dyDescent="0.2">
      <c r="A64" s="64">
        <v>42339</v>
      </c>
      <c r="B64">
        <v>48.4</v>
      </c>
    </row>
    <row r="65" spans="1:2" x14ac:dyDescent="0.2">
      <c r="A65" s="64">
        <v>42370</v>
      </c>
      <c r="B65">
        <v>47.8</v>
      </c>
    </row>
    <row r="66" spans="1:2" x14ac:dyDescent="0.2">
      <c r="A66" s="64">
        <v>42401</v>
      </c>
      <c r="B66">
        <v>49.4</v>
      </c>
    </row>
    <row r="67" spans="1:2" x14ac:dyDescent="0.2">
      <c r="A67" s="64">
        <v>42430</v>
      </c>
      <c r="B67">
        <v>51.2</v>
      </c>
    </row>
    <row r="68" spans="1:2" x14ac:dyDescent="0.2">
      <c r="A68" s="64">
        <v>42461</v>
      </c>
      <c r="B68">
        <v>50.8</v>
      </c>
    </row>
    <row r="69" spans="1:2" x14ac:dyDescent="0.2">
      <c r="A69" s="64">
        <v>42491</v>
      </c>
      <c r="B69">
        <v>50.9</v>
      </c>
    </row>
    <row r="70" spans="1:2" x14ac:dyDescent="0.2">
      <c r="A70" s="64">
        <v>42522</v>
      </c>
      <c r="B70">
        <v>52.5</v>
      </c>
    </row>
    <row r="71" spans="1:2" x14ac:dyDescent="0.2">
      <c r="A71" s="64">
        <v>42552</v>
      </c>
      <c r="B71">
        <v>52.9</v>
      </c>
    </row>
    <row r="72" spans="1:2" x14ac:dyDescent="0.2">
      <c r="A72" s="64">
        <v>42583</v>
      </c>
      <c r="B72">
        <v>49.9</v>
      </c>
    </row>
    <row r="73" spans="1:2" x14ac:dyDescent="0.2">
      <c r="A73" s="64">
        <v>42614</v>
      </c>
      <c r="B73">
        <v>51.4</v>
      </c>
    </row>
    <row r="74" spans="1:2" x14ac:dyDescent="0.2">
      <c r="A74" s="64">
        <v>42644</v>
      </c>
      <c r="B74">
        <v>51.8</v>
      </c>
    </row>
    <row r="75" spans="1:2" x14ac:dyDescent="0.2">
      <c r="A75" s="64">
        <v>42675</v>
      </c>
      <c r="B75">
        <v>53.4</v>
      </c>
    </row>
    <row r="76" spans="1:2" x14ac:dyDescent="0.2">
      <c r="A76" s="64">
        <v>42705</v>
      </c>
      <c r="B76">
        <v>54.3</v>
      </c>
    </row>
    <row r="77" spans="1:2" x14ac:dyDescent="0.2">
      <c r="A77" s="64">
        <v>42736</v>
      </c>
      <c r="B77">
        <v>55.6</v>
      </c>
    </row>
    <row r="78" spans="1:2" x14ac:dyDescent="0.2">
      <c r="A78" s="64">
        <v>42767</v>
      </c>
      <c r="B78">
        <v>57.6</v>
      </c>
    </row>
    <row r="79" spans="1:2" x14ac:dyDescent="0.2">
      <c r="A79" s="64">
        <v>42795</v>
      </c>
      <c r="B79">
        <v>56.6</v>
      </c>
    </row>
    <row r="80" spans="1:2" x14ac:dyDescent="0.2">
      <c r="A80" s="64">
        <v>42826</v>
      </c>
      <c r="B80">
        <v>55.3</v>
      </c>
    </row>
    <row r="81" spans="1:2" x14ac:dyDescent="0.2">
      <c r="A81" s="64">
        <v>42856</v>
      </c>
      <c r="B81">
        <v>55.5</v>
      </c>
    </row>
    <row r="82" spans="1:2" x14ac:dyDescent="0.2">
      <c r="A82" s="64">
        <v>42887</v>
      </c>
      <c r="B82">
        <v>56.7</v>
      </c>
    </row>
    <row r="83" spans="1:2" x14ac:dyDescent="0.2">
      <c r="A83" s="64">
        <v>42917</v>
      </c>
      <c r="B83">
        <v>56.5</v>
      </c>
    </row>
    <row r="84" spans="1:2" x14ac:dyDescent="0.2">
      <c r="A84" s="64">
        <v>42948</v>
      </c>
      <c r="B84">
        <v>59.3</v>
      </c>
    </row>
    <row r="85" spans="1:2" x14ac:dyDescent="0.2">
      <c r="A85" s="64">
        <v>42979</v>
      </c>
      <c r="B85">
        <v>60.2</v>
      </c>
    </row>
    <row r="86" spans="1:2" x14ac:dyDescent="0.2">
      <c r="A86" s="64">
        <v>43009</v>
      </c>
      <c r="B86">
        <v>58.5</v>
      </c>
    </row>
    <row r="87" spans="1:2" x14ac:dyDescent="0.2">
      <c r="A87" s="64">
        <v>43040</v>
      </c>
      <c r="B87">
        <v>58.2</v>
      </c>
    </row>
    <row r="88" spans="1:2" x14ac:dyDescent="0.2">
      <c r="A88" s="64">
        <v>43070</v>
      </c>
      <c r="B88">
        <v>59.3</v>
      </c>
    </row>
    <row r="89" spans="1:2" x14ac:dyDescent="0.2">
      <c r="A89" s="64">
        <v>43101</v>
      </c>
      <c r="B89">
        <v>59.1</v>
      </c>
    </row>
    <row r="90" spans="1:2" x14ac:dyDescent="0.2">
      <c r="A90" s="64">
        <v>43132</v>
      </c>
      <c r="B90">
        <v>60.8</v>
      </c>
    </row>
    <row r="91" spans="1:2" x14ac:dyDescent="0.2">
      <c r="A91" s="64">
        <v>43160</v>
      </c>
      <c r="B91">
        <v>59.3</v>
      </c>
    </row>
    <row r="92" spans="1:2" x14ac:dyDescent="0.2">
      <c r="A92" s="64">
        <v>43191</v>
      </c>
      <c r="B92">
        <v>57.3</v>
      </c>
    </row>
    <row r="93" spans="1:2" x14ac:dyDescent="0.2">
      <c r="A93" s="64">
        <v>43221</v>
      </c>
      <c r="B93">
        <v>58.7</v>
      </c>
    </row>
    <row r="94" spans="1:2" x14ac:dyDescent="0.2">
      <c r="A94" s="64">
        <v>43252</v>
      </c>
      <c r="B94">
        <v>60.2</v>
      </c>
    </row>
    <row r="95" spans="1:2" x14ac:dyDescent="0.2">
      <c r="A95" s="64">
        <v>43282</v>
      </c>
      <c r="B95">
        <v>58.1</v>
      </c>
    </row>
    <row r="96" spans="1:2" x14ac:dyDescent="0.2">
      <c r="A96" s="64">
        <v>43313</v>
      </c>
      <c r="B96">
        <v>61.3</v>
      </c>
    </row>
    <row r="97" spans="1:2" x14ac:dyDescent="0.2">
      <c r="A97" s="64">
        <v>43344</v>
      </c>
      <c r="B97">
        <v>59.8</v>
      </c>
    </row>
    <row r="98" spans="1:2" x14ac:dyDescent="0.2">
      <c r="A98" s="64">
        <v>43374</v>
      </c>
      <c r="B98">
        <v>57.7</v>
      </c>
    </row>
    <row r="99" spans="1:2" x14ac:dyDescent="0.2">
      <c r="A99" s="64">
        <v>43405</v>
      </c>
      <c r="B99">
        <v>59.3</v>
      </c>
    </row>
    <row r="100" spans="1:2" x14ac:dyDescent="0.2">
      <c r="A100" s="64">
        <v>43435</v>
      </c>
      <c r="B100">
        <v>54.3</v>
      </c>
    </row>
    <row r="101" spans="1:2" x14ac:dyDescent="0.2">
      <c r="A101" s="64">
        <v>43466</v>
      </c>
      <c r="B101">
        <v>56.6</v>
      </c>
    </row>
    <row r="102" spans="1:2" x14ac:dyDescent="0.2">
      <c r="A102" s="64">
        <v>43497</v>
      </c>
      <c r="B102">
        <v>54.3</v>
      </c>
    </row>
    <row r="103" spans="1:2" x14ac:dyDescent="0.2">
      <c r="A103" s="64">
        <v>43525</v>
      </c>
      <c r="B103">
        <v>54.3</v>
      </c>
    </row>
    <row r="104" spans="1:2" x14ac:dyDescent="0.2">
      <c r="A104" s="64">
        <v>43556</v>
      </c>
      <c r="B104">
        <v>52.8</v>
      </c>
    </row>
    <row r="105" spans="1:2" x14ac:dyDescent="0.2">
      <c r="A105" s="64">
        <v>43586</v>
      </c>
      <c r="B105">
        <v>52.1</v>
      </c>
    </row>
    <row r="106" spans="1:2" x14ac:dyDescent="0.2">
      <c r="A106" s="64">
        <v>43617</v>
      </c>
      <c r="B106">
        <v>51.7</v>
      </c>
    </row>
    <row r="107" spans="1:2" x14ac:dyDescent="0.2">
      <c r="A107" s="64">
        <v>43647</v>
      </c>
      <c r="B107">
        <v>51.2</v>
      </c>
    </row>
    <row r="108" spans="1:2" x14ac:dyDescent="0.2">
      <c r="A108" s="64">
        <v>43678</v>
      </c>
      <c r="B108">
        <v>49.1</v>
      </c>
    </row>
    <row r="109" spans="1:2" x14ac:dyDescent="0.2">
      <c r="A109" s="64">
        <v>43709</v>
      </c>
      <c r="B109">
        <v>47.8</v>
      </c>
    </row>
    <row r="110" spans="1:2" x14ac:dyDescent="0.2">
      <c r="A110" s="64">
        <v>43739</v>
      </c>
      <c r="B110">
        <v>48.3</v>
      </c>
    </row>
    <row r="111" spans="1:2" x14ac:dyDescent="0.2">
      <c r="A111" s="64">
        <v>43770</v>
      </c>
      <c r="B111">
        <v>48.1</v>
      </c>
    </row>
    <row r="112" spans="1:2" x14ac:dyDescent="0.2">
      <c r="A112" s="64">
        <v>43800</v>
      </c>
      <c r="B112">
        <v>47.8</v>
      </c>
    </row>
    <row r="113" spans="1:2" x14ac:dyDescent="0.2">
      <c r="A113" s="64">
        <v>43831</v>
      </c>
      <c r="B113">
        <v>50.9</v>
      </c>
    </row>
    <row r="114" spans="1:2" x14ac:dyDescent="0.2">
      <c r="A114" s="64">
        <v>43862</v>
      </c>
      <c r="B114">
        <v>50.1</v>
      </c>
    </row>
    <row r="115" spans="1:2" x14ac:dyDescent="0.2">
      <c r="A115" s="64">
        <v>43891</v>
      </c>
      <c r="B115">
        <v>49.1</v>
      </c>
    </row>
    <row r="116" spans="1:2" x14ac:dyDescent="0.2">
      <c r="A116" s="64">
        <v>43922</v>
      </c>
      <c r="B116">
        <v>41.5</v>
      </c>
    </row>
    <row r="117" spans="1:2" x14ac:dyDescent="0.2">
      <c r="A117" s="64">
        <v>43952</v>
      </c>
      <c r="B117">
        <v>43.1</v>
      </c>
    </row>
    <row r="118" spans="1:2" x14ac:dyDescent="0.2">
      <c r="A118" s="64">
        <v>43983</v>
      </c>
      <c r="B118">
        <v>52.6</v>
      </c>
    </row>
    <row r="119" spans="1:2" x14ac:dyDescent="0.2">
      <c r="A119" s="64">
        <v>44013</v>
      </c>
      <c r="B119">
        <v>54.2</v>
      </c>
    </row>
    <row r="120" spans="1:2" x14ac:dyDescent="0.2">
      <c r="A120" s="64">
        <v>44044</v>
      </c>
      <c r="B120">
        <v>56</v>
      </c>
    </row>
    <row r="121" spans="1:2" x14ac:dyDescent="0.2">
      <c r="A121" s="64">
        <v>44075</v>
      </c>
      <c r="B121">
        <v>57.8</v>
      </c>
    </row>
    <row r="122" spans="1:2" x14ac:dyDescent="0.2">
      <c r="A122" s="64">
        <v>44105</v>
      </c>
      <c r="B122">
        <v>59.3</v>
      </c>
    </row>
    <row r="123" spans="1:2" x14ac:dyDescent="0.2">
      <c r="A123" s="64">
        <v>44136</v>
      </c>
      <c r="B123">
        <v>57.5</v>
      </c>
    </row>
    <row r="124" spans="1:2" x14ac:dyDescent="0.2">
      <c r="A124" s="64">
        <v>44166</v>
      </c>
      <c r="B124">
        <v>60.5</v>
      </c>
    </row>
    <row r="125" spans="1:2" x14ac:dyDescent="0.2">
      <c r="A125" s="64">
        <v>44197</v>
      </c>
      <c r="B125">
        <v>58.7</v>
      </c>
    </row>
    <row r="126" spans="1:2" x14ac:dyDescent="0.2">
      <c r="A126" s="64">
        <v>44228</v>
      </c>
      <c r="B126">
        <v>60.8</v>
      </c>
    </row>
    <row r="127" spans="1:2" x14ac:dyDescent="0.2">
      <c r="A127" s="64">
        <v>44256</v>
      </c>
      <c r="B127">
        <v>64.7</v>
      </c>
    </row>
    <row r="128" spans="1:2" x14ac:dyDescent="0.2">
      <c r="A128" s="64">
        <v>44287</v>
      </c>
      <c r="B128">
        <v>60.7</v>
      </c>
    </row>
    <row r="129" spans="1:2" x14ac:dyDescent="0.2">
      <c r="A129" s="64">
        <v>44317</v>
      </c>
      <c r="B129">
        <v>61.2</v>
      </c>
    </row>
    <row r="130" spans="1:2" x14ac:dyDescent="0.2">
      <c r="A130" s="64">
        <v>44348</v>
      </c>
      <c r="B130">
        <v>60.6</v>
      </c>
    </row>
    <row r="131" spans="1:2" x14ac:dyDescent="0.2">
      <c r="A131" s="64">
        <v>44378</v>
      </c>
      <c r="B131">
        <v>59.5</v>
      </c>
    </row>
    <row r="132" spans="1:2" x14ac:dyDescent="0.2">
      <c r="A132" s="64">
        <v>44409</v>
      </c>
      <c r="B132">
        <v>59.9</v>
      </c>
    </row>
    <row r="133" spans="1:2" x14ac:dyDescent="0.2">
      <c r="A133" s="64">
        <v>44440</v>
      </c>
      <c r="B133">
        <v>60.3</v>
      </c>
    </row>
    <row r="134" spans="1:2" x14ac:dyDescent="0.2">
      <c r="A134" s="64">
        <v>44470</v>
      </c>
      <c r="B134">
        <v>60.7</v>
      </c>
    </row>
    <row r="135" spans="1:2" x14ac:dyDescent="0.2">
      <c r="A135" s="64">
        <v>44501</v>
      </c>
      <c r="B135">
        <v>61.1</v>
      </c>
    </row>
    <row r="136" spans="1:2" x14ac:dyDescent="0.2">
      <c r="A136" s="64">
        <v>44531</v>
      </c>
      <c r="B136">
        <v>61.5</v>
      </c>
    </row>
    <row r="137" spans="1:2" x14ac:dyDescent="0.2">
      <c r="A137" s="64">
        <v>44562</v>
      </c>
      <c r="B137">
        <v>57.6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tabSelected="1" zoomScale="150" zoomScaleNormal="150" workbookViewId="0">
      <pane xSplit="2" ySplit="11" topLeftCell="C63" activePane="bottomRight" state="frozen"/>
      <selection pane="topRight" activeCell="C1" sqref="C1"/>
      <selection pane="bottomLeft" activeCell="A12" sqref="A12"/>
      <selection pane="bottomRight" activeCell="C10" sqref="C10"/>
    </sheetView>
  </sheetViews>
  <sheetFormatPr baseColWidth="10" defaultColWidth="9.1640625" defaultRowHeight="15" x14ac:dyDescent="0.2"/>
  <cols>
    <col min="1" max="1" width="9.1640625" style="63" customWidth="1"/>
    <col min="2" max="2" width="17.83203125" style="61" customWidth="1"/>
    <col min="3" max="27" width="6.1640625" style="61" customWidth="1"/>
    <col min="28" max="28" width="7.33203125" style="61" customWidth="1"/>
    <col min="29" max="29" width="9.1640625" style="63" customWidth="1"/>
    <col min="30" max="30" width="12.33203125" style="63" customWidth="1"/>
    <col min="31" max="31" width="9.1640625" style="63" customWidth="1"/>
    <col min="32" max="32" width="10.5" style="63" customWidth="1"/>
    <col min="33" max="33" width="10.6640625" style="63" bestFit="1" customWidth="1"/>
    <col min="34" max="74" width="9.1640625" style="63" customWidth="1"/>
    <col min="75" max="111" width="9.1640625" style="61" customWidth="1"/>
    <col min="112" max="16384" width="9.1640625" style="61"/>
  </cols>
  <sheetData>
    <row r="1" spans="2:36" s="63" customFormat="1" ht="16" customHeight="1" thickBot="1" x14ac:dyDescent="0.25">
      <c r="AD1" s="31" t="s">
        <v>88</v>
      </c>
      <c r="AE1" s="63" t="s">
        <v>89</v>
      </c>
      <c r="AG1" s="66">
        <v>44562</v>
      </c>
      <c r="AJ1" s="4" t="s">
        <v>90</v>
      </c>
    </row>
    <row r="2" spans="2:36" ht="66" x14ac:dyDescent="0.2">
      <c r="B2" s="36"/>
      <c r="C2" s="37" t="s">
        <v>16</v>
      </c>
      <c r="D2" s="37" t="s">
        <v>91</v>
      </c>
      <c r="E2" s="37" t="s">
        <v>19</v>
      </c>
      <c r="F2" s="37" t="s">
        <v>21</v>
      </c>
      <c r="G2" s="37" t="s">
        <v>22</v>
      </c>
      <c r="H2" s="37" t="s">
        <v>23</v>
      </c>
      <c r="I2" s="37" t="s">
        <v>24</v>
      </c>
      <c r="J2" s="37" t="s">
        <v>25</v>
      </c>
      <c r="K2" s="37" t="s">
        <v>26</v>
      </c>
      <c r="L2" s="37" t="s">
        <v>27</v>
      </c>
      <c r="M2" s="37" t="s">
        <v>28</v>
      </c>
      <c r="N2" s="37" t="s">
        <v>29</v>
      </c>
      <c r="O2" s="37" t="s">
        <v>30</v>
      </c>
      <c r="P2" s="37" t="s">
        <v>31</v>
      </c>
      <c r="Q2" s="37" t="s">
        <v>32</v>
      </c>
      <c r="R2" s="37" t="s">
        <v>33</v>
      </c>
      <c r="S2" s="37" t="s">
        <v>34</v>
      </c>
      <c r="T2" s="38" t="s">
        <v>35</v>
      </c>
      <c r="U2" s="37" t="s">
        <v>36</v>
      </c>
      <c r="V2" s="37" t="s">
        <v>37</v>
      </c>
      <c r="W2" s="37" t="s">
        <v>38</v>
      </c>
      <c r="X2" s="37" t="s">
        <v>39</v>
      </c>
      <c r="Y2" s="37" t="s">
        <v>40</v>
      </c>
      <c r="Z2" s="37" t="s">
        <v>41</v>
      </c>
      <c r="AA2" s="37" t="s">
        <v>42</v>
      </c>
      <c r="AB2" s="39" t="s">
        <v>43</v>
      </c>
    </row>
    <row r="3" spans="2:36" x14ac:dyDescent="0.2">
      <c r="B3" s="32" t="s">
        <v>93</v>
      </c>
      <c r="C3" s="28">
        <f ca="1">MAX(OFFSET(C$12,COUNT(C$12:C$105),0,-13,1))</f>
        <v>56</v>
      </c>
      <c r="D3" s="28">
        <f t="shared" ref="D3:AB3" ca="1" si="0">MAX(OFFSET(D$12,COUNT(D$12:D$105),0,-13,1))</f>
        <v>64.7</v>
      </c>
      <c r="E3" s="28">
        <f t="shared" ca="1" si="0"/>
        <v>63.4</v>
      </c>
      <c r="F3" s="28">
        <f t="shared" ca="1" si="0"/>
        <v>52</v>
      </c>
      <c r="G3" s="28">
        <f t="shared" ca="1" si="0"/>
        <v>63.4</v>
      </c>
      <c r="H3" s="28">
        <f t="shared" ca="1" si="0"/>
        <v>55.4</v>
      </c>
      <c r="I3" s="28">
        <f t="shared" ca="1" si="0"/>
        <v>66.599999999999994</v>
      </c>
      <c r="J3" s="28">
        <f t="shared" ca="1" si="0"/>
        <v>59.4</v>
      </c>
      <c r="K3" s="28">
        <f t="shared" ca="1" si="0"/>
        <v>65.599999999999994</v>
      </c>
      <c r="L3" s="28">
        <f t="shared" ca="1" si="0"/>
        <v>62.8</v>
      </c>
      <c r="M3" s="28">
        <f t="shared" ca="1" si="0"/>
        <v>60.4</v>
      </c>
      <c r="N3" s="28">
        <f t="shared" ca="1" si="0"/>
        <v>58.4</v>
      </c>
      <c r="O3" s="28">
        <f t="shared" ca="1" si="0"/>
        <v>49.6</v>
      </c>
      <c r="P3" s="28">
        <f t="shared" ca="1" si="0"/>
        <v>51.9</v>
      </c>
      <c r="Q3" s="28">
        <f t="shared" ca="1" si="0"/>
        <v>57.6</v>
      </c>
      <c r="R3" s="28">
        <f t="shared" ca="1" si="0"/>
        <v>58.5</v>
      </c>
      <c r="S3" s="28">
        <f t="shared" ca="1" si="0"/>
        <v>63.2</v>
      </c>
      <c r="T3" s="28">
        <f t="shared" ca="1" si="0"/>
        <v>57.2</v>
      </c>
      <c r="U3" s="28">
        <f t="shared" ca="1" si="0"/>
        <v>55.3</v>
      </c>
      <c r="V3" s="28">
        <f t="shared" ca="1" si="0"/>
        <v>62.4</v>
      </c>
      <c r="W3" s="28">
        <f t="shared" ca="1" si="0"/>
        <v>59.3</v>
      </c>
      <c r="X3" s="28">
        <f t="shared" ca="1" si="0"/>
        <v>64.099999999999994</v>
      </c>
      <c r="Y3" s="28">
        <f t="shared" ca="1" si="0"/>
        <v>54.1</v>
      </c>
      <c r="Z3" s="28">
        <f t="shared" ca="1" si="0"/>
        <v>62.7</v>
      </c>
      <c r="AA3" s="28">
        <f t="shared" ca="1" si="0"/>
        <v>59.4</v>
      </c>
      <c r="AB3" s="28">
        <f t="shared" ca="1" si="0"/>
        <v>72</v>
      </c>
      <c r="AE3" s="63" t="s">
        <v>92</v>
      </c>
      <c r="AG3" s="27">
        <f>DATE(YEAR(AG1),MONTH(AG1)-1,DAY(AG1))</f>
        <v>44531</v>
      </c>
    </row>
    <row r="4" spans="2:36" x14ac:dyDescent="0.2">
      <c r="B4" s="32" t="s">
        <v>95</v>
      </c>
      <c r="C4" s="28">
        <f ca="1">MIN(OFFSET(C$12,COUNT(C$12:C$105),0,-13,1))</f>
        <v>51.4</v>
      </c>
      <c r="D4" s="28">
        <f t="shared" ref="D4:AB4" ca="1" si="1">MIN(OFFSET(D$12,COUNT(D$12:D$105),0,-13,1))</f>
        <v>57.6</v>
      </c>
      <c r="E4" s="28">
        <f t="shared" ca="1" si="1"/>
        <v>55</v>
      </c>
      <c r="F4" s="28">
        <f t="shared" ca="1" si="1"/>
        <v>49.1</v>
      </c>
      <c r="G4" s="28">
        <f t="shared" ca="1" si="1"/>
        <v>57.9</v>
      </c>
      <c r="H4" s="28">
        <f t="shared" ca="1" si="1"/>
        <v>51.4</v>
      </c>
      <c r="I4" s="28">
        <f t="shared" ca="1" si="1"/>
        <v>57.4</v>
      </c>
      <c r="J4" s="28">
        <f t="shared" ca="1" si="1"/>
        <v>53.6</v>
      </c>
      <c r="K4" s="28">
        <f t="shared" ca="1" si="1"/>
        <v>55.1</v>
      </c>
      <c r="L4" s="28">
        <f t="shared" ca="1" si="1"/>
        <v>56.9</v>
      </c>
      <c r="M4" s="28">
        <f t="shared" ca="1" si="1"/>
        <v>52.9</v>
      </c>
      <c r="N4" s="28">
        <f t="shared" ca="1" si="1"/>
        <v>47.8</v>
      </c>
      <c r="O4" s="28">
        <f t="shared" ca="1" si="1"/>
        <v>44.2</v>
      </c>
      <c r="P4" s="28">
        <f t="shared" ca="1" si="1"/>
        <v>46.5</v>
      </c>
      <c r="Q4" s="28">
        <f t="shared" ca="1" si="1"/>
        <v>48.1</v>
      </c>
      <c r="R4" s="28">
        <f t="shared" ca="1" si="1"/>
        <v>54.8</v>
      </c>
      <c r="S4" s="28">
        <f t="shared" ca="1" si="1"/>
        <v>48.4</v>
      </c>
      <c r="T4" s="28">
        <f t="shared" ca="1" si="1"/>
        <v>40.1</v>
      </c>
      <c r="U4" s="28">
        <f t="shared" ca="1" si="1"/>
        <v>50.2</v>
      </c>
      <c r="V4" s="28">
        <f t="shared" ca="1" si="1"/>
        <v>54.7</v>
      </c>
      <c r="W4" s="28">
        <f t="shared" ca="1" si="1"/>
        <v>49.4</v>
      </c>
      <c r="X4" s="28">
        <f t="shared" ca="1" si="1"/>
        <v>52</v>
      </c>
      <c r="Y4" s="28">
        <f t="shared" ca="1" si="1"/>
        <v>49.3</v>
      </c>
      <c r="Z4" s="28">
        <f t="shared" ca="1" si="1"/>
        <v>55.1</v>
      </c>
      <c r="AA4" s="28">
        <f t="shared" ca="1" si="1"/>
        <v>53.4</v>
      </c>
      <c r="AB4" s="28">
        <f t="shared" ca="1" si="1"/>
        <v>40.799999999999997</v>
      </c>
      <c r="AF4" s="63" t="s">
        <v>94</v>
      </c>
      <c r="AG4" s="27">
        <f>DATE(YEAR(AG1),MONTH(AG1)-12,DAY(AG1))</f>
        <v>44197</v>
      </c>
    </row>
    <row r="5" spans="2:36" ht="16" thickBot="1" x14ac:dyDescent="0.25">
      <c r="B5" s="32" t="s">
        <v>96</v>
      </c>
      <c r="C5" s="40">
        <f ca="1">AVERAGE(OFFSET(C$12,COUNT(C$12:C$105),0,-13,1))</f>
        <v>54.5</v>
      </c>
      <c r="D5" s="40">
        <f t="shared" ref="D5:AB5" ca="1" si="2">AVERAGE(OFFSET(D$12,COUNT(D$12:D$105),0,-13,1))</f>
        <v>60.716666666666669</v>
      </c>
      <c r="E5" s="40">
        <f t="shared" ca="1" si="2"/>
        <v>59.791666666666664</v>
      </c>
      <c r="F5" s="40">
        <f t="shared" ca="1" si="2"/>
        <v>50.558333333333337</v>
      </c>
      <c r="G5" s="40">
        <f t="shared" ca="1" si="2"/>
        <v>60.524999999999999</v>
      </c>
      <c r="H5" s="40">
        <f t="shared" ca="1" si="2"/>
        <v>53.141666666666659</v>
      </c>
      <c r="I5" s="40">
        <f t="shared" ca="1" si="2"/>
        <v>61.916666666666657</v>
      </c>
      <c r="J5" s="40">
        <f t="shared" ca="1" si="2"/>
        <v>56.983333333333341</v>
      </c>
      <c r="K5" s="40">
        <f t="shared" ca="1" si="2"/>
        <v>59.408333333333331</v>
      </c>
      <c r="L5" s="40">
        <f t="shared" ca="1" si="2"/>
        <v>60.583333333333321</v>
      </c>
      <c r="M5" s="40">
        <f t="shared" ca="1" si="2"/>
        <v>57.566666666666684</v>
      </c>
      <c r="N5" s="40">
        <f t="shared" ca="1" si="2"/>
        <v>53.116666666666653</v>
      </c>
      <c r="O5" s="40">
        <f t="shared" ca="1" si="2"/>
        <v>47.841666666666676</v>
      </c>
      <c r="P5" s="40">
        <f t="shared" ca="1" si="2"/>
        <v>50.383333333333333</v>
      </c>
      <c r="Q5" s="40">
        <f t="shared" ca="1" si="2"/>
        <v>54.300000000000004</v>
      </c>
      <c r="R5" s="40">
        <f t="shared" ca="1" si="2"/>
        <v>56.750000000000007</v>
      </c>
      <c r="S5" s="40">
        <f t="shared" ca="1" si="2"/>
        <v>55.916666666666657</v>
      </c>
      <c r="T5" s="40">
        <f t="shared" ca="1" si="2"/>
        <v>51.81666666666667</v>
      </c>
      <c r="U5" s="40">
        <f t="shared" ca="1" si="2"/>
        <v>52.933333333333316</v>
      </c>
      <c r="V5" s="40">
        <f t="shared" ca="1" si="2"/>
        <v>58.066666666666663</v>
      </c>
      <c r="W5" s="40">
        <f t="shared" ca="1" si="2"/>
        <v>56.824999999999989</v>
      </c>
      <c r="X5" s="40">
        <f t="shared" ca="1" si="2"/>
        <v>60.341666666666661</v>
      </c>
      <c r="Y5" s="40">
        <f t="shared" ca="1" si="2"/>
        <v>51.808333333333337</v>
      </c>
      <c r="Z5" s="40">
        <f t="shared" ca="1" si="2"/>
        <v>59.1</v>
      </c>
      <c r="AA5" s="40">
        <f t="shared" ca="1" si="2"/>
        <v>55.316666666666663</v>
      </c>
      <c r="AB5" s="40">
        <f t="shared" ca="1" si="2"/>
        <v>64.825000000000003</v>
      </c>
    </row>
    <row r="6" spans="2:36" x14ac:dyDescent="0.2">
      <c r="B6" s="49" t="s">
        <v>97</v>
      </c>
      <c r="C6" s="41" t="str">
        <f t="shared" ref="C6:AA6" ca="1" si="3">IF((VLOOKUP($AG$1,$B:$AA,MATCH(C2,$B$2:$AA$2,),))&gt;C5,"above","below")</f>
        <v>below</v>
      </c>
      <c r="D6" s="42" t="str">
        <f t="shared" ca="1" si="3"/>
        <v>below</v>
      </c>
      <c r="E6" s="42" t="str">
        <f t="shared" ca="1" si="3"/>
        <v>below</v>
      </c>
      <c r="F6" s="42" t="str">
        <f t="shared" ca="1" si="3"/>
        <v>below</v>
      </c>
      <c r="G6" s="42" t="str">
        <f t="shared" ca="1" si="3"/>
        <v>below</v>
      </c>
      <c r="H6" s="42" t="str">
        <f t="shared" ca="1" si="3"/>
        <v>above</v>
      </c>
      <c r="I6" s="42" t="str">
        <f t="shared" ca="1" si="3"/>
        <v>below</v>
      </c>
      <c r="J6" s="42" t="str">
        <f t="shared" ca="1" si="3"/>
        <v>below</v>
      </c>
      <c r="K6" s="42" t="str">
        <f t="shared" ca="1" si="3"/>
        <v>below</v>
      </c>
      <c r="L6" s="42" t="str">
        <f t="shared" ca="1" si="3"/>
        <v>below</v>
      </c>
      <c r="M6" s="42" t="str">
        <f t="shared" ca="1" si="3"/>
        <v>below</v>
      </c>
      <c r="N6" s="42" t="str">
        <f t="shared" ca="1" si="3"/>
        <v>below</v>
      </c>
      <c r="O6" s="42" t="str">
        <f t="shared" ca="1" si="3"/>
        <v>below</v>
      </c>
      <c r="P6" s="42" t="str">
        <f t="shared" ca="1" si="3"/>
        <v>above</v>
      </c>
      <c r="Q6" s="42" t="str">
        <f t="shared" ca="1" si="3"/>
        <v>below</v>
      </c>
      <c r="R6" s="42" t="str">
        <f t="shared" ca="1" si="3"/>
        <v>below</v>
      </c>
      <c r="S6" s="42" t="str">
        <f t="shared" ca="1" si="3"/>
        <v>below</v>
      </c>
      <c r="T6" s="42" t="str">
        <f t="shared" ca="1" si="3"/>
        <v>above</v>
      </c>
      <c r="U6" s="42" t="str">
        <f t="shared" ca="1" si="3"/>
        <v>below</v>
      </c>
      <c r="V6" s="42" t="str">
        <f t="shared" ca="1" si="3"/>
        <v>below</v>
      </c>
      <c r="W6" s="42" t="str">
        <f t="shared" ca="1" si="3"/>
        <v>above</v>
      </c>
      <c r="X6" s="42" t="str">
        <f t="shared" ca="1" si="3"/>
        <v>below</v>
      </c>
      <c r="Y6" s="42" t="str">
        <f t="shared" ca="1" si="3"/>
        <v>below</v>
      </c>
      <c r="Z6" s="42" t="str">
        <f t="shared" ca="1" si="3"/>
        <v>below</v>
      </c>
      <c r="AA6" s="42" t="str">
        <f t="shared" ca="1" si="3"/>
        <v>below</v>
      </c>
      <c r="AB6" s="43" t="str">
        <f ca="1">IF((VLOOKUP($AG$1,$B:$AB,MATCH(AB2,$B$2:$AB$2,),))&gt;AB5,"above","below")</f>
        <v>below</v>
      </c>
    </row>
    <row r="7" spans="2:36" x14ac:dyDescent="0.2">
      <c r="B7" s="49" t="s">
        <v>98</v>
      </c>
      <c r="C7" s="44">
        <f t="shared" ref="C7:AA7" si="4">VLOOKUP($AG$1,$B:$AA,MATCH(C2,$B$2:$AA$2,),)-VLOOKUP($AG$4,$B:$AA,MATCH(C2,$B$2:$AA$2,),)</f>
        <v>-2.2000000000000028</v>
      </c>
      <c r="D7" s="28">
        <f t="shared" si="4"/>
        <v>-1.1000000000000014</v>
      </c>
      <c r="E7" s="28">
        <f t="shared" si="4"/>
        <v>-4.2000000000000028</v>
      </c>
      <c r="F7" s="28">
        <f t="shared" si="4"/>
        <v>-2.3999999999999986</v>
      </c>
      <c r="G7" s="28">
        <f t="shared" si="4"/>
        <v>4.2000000000000028</v>
      </c>
      <c r="H7" s="28">
        <f t="shared" si="4"/>
        <v>5.6000000000000014</v>
      </c>
      <c r="I7" s="28">
        <f t="shared" si="4"/>
        <v>3.3999999999999986</v>
      </c>
      <c r="J7" s="28">
        <f t="shared" si="4"/>
        <v>3.8999999999999986</v>
      </c>
      <c r="K7" s="28">
        <f t="shared" si="4"/>
        <v>2.7999999999999972</v>
      </c>
      <c r="L7" s="28">
        <f t="shared" si="4"/>
        <v>3.1999999999999957</v>
      </c>
      <c r="M7" s="28">
        <f t="shared" si="4"/>
        <v>6.9000000000000057</v>
      </c>
      <c r="N7" s="28">
        <f t="shared" si="4"/>
        <v>-8.7000000000000028</v>
      </c>
      <c r="O7" s="28">
        <f t="shared" si="4"/>
        <v>3.1000000000000014</v>
      </c>
      <c r="P7" s="28">
        <f t="shared" si="4"/>
        <v>0.89999999999999858</v>
      </c>
      <c r="Q7" s="28">
        <f t="shared" si="4"/>
        <v>-3.7000000000000028</v>
      </c>
      <c r="R7" s="28">
        <f t="shared" si="4"/>
        <v>1.8000000000000043</v>
      </c>
      <c r="S7" s="28">
        <f t="shared" si="4"/>
        <v>-6.8999999999999986</v>
      </c>
      <c r="T7" s="28">
        <f t="shared" si="4"/>
        <v>1.5</v>
      </c>
      <c r="U7" s="28">
        <f t="shared" si="4"/>
        <v>-0.40000000000000568</v>
      </c>
      <c r="V7" s="28">
        <f t="shared" si="4"/>
        <v>-5.1000000000000014</v>
      </c>
      <c r="W7" s="28">
        <f t="shared" si="4"/>
        <v>7.8999999999999986</v>
      </c>
      <c r="X7" s="28">
        <f t="shared" si="4"/>
        <v>7.6000000000000014</v>
      </c>
      <c r="Y7" s="28">
        <f t="shared" si="4"/>
        <v>-3.8999999999999986</v>
      </c>
      <c r="Z7" s="28">
        <f t="shared" si="4"/>
        <v>2</v>
      </c>
      <c r="AA7" s="28">
        <f t="shared" si="4"/>
        <v>2.6000000000000014</v>
      </c>
      <c r="AB7" s="33">
        <f>VLOOKUP($AG$1,$B:$AB,MATCH(AB2,$B$2:$AB$2,),)-VLOOKUP($AG$4,$B:$AB,MATCH(AB2,$B$2:$AB$2,),)</f>
        <v>18.799999999999997</v>
      </c>
    </row>
    <row r="8" spans="2:36" x14ac:dyDescent="0.2">
      <c r="B8" s="49" t="s">
        <v>99</v>
      </c>
      <c r="C8" s="44">
        <f t="shared" ref="C8:AA8" si="5">VLOOKUP($AG$1,$B:$AA,MATCH(C2,$B$2:$AA$2,),)-VLOOKUP($AG$3,$B:$AA,MATCH(C2,$B$2:$AA$2,),)</f>
        <v>-2.8999999999999986</v>
      </c>
      <c r="D8" s="28">
        <f t="shared" si="5"/>
        <v>-3.8999999999999986</v>
      </c>
      <c r="E8" s="28">
        <f t="shared" si="5"/>
        <v>-2.7000000000000028</v>
      </c>
      <c r="F8" s="28">
        <f t="shared" si="5"/>
        <v>-1.7999999999999972</v>
      </c>
      <c r="G8" s="28">
        <f t="shared" si="5"/>
        <v>1</v>
      </c>
      <c r="H8" s="28">
        <f t="shared" si="5"/>
        <v>1.1000000000000014</v>
      </c>
      <c r="I8" s="28">
        <f t="shared" si="5"/>
        <v>3.1000000000000014</v>
      </c>
      <c r="J8" s="28">
        <f t="shared" si="5"/>
        <v>-0.10000000000000142</v>
      </c>
      <c r="K8" s="28">
        <f t="shared" si="5"/>
        <v>-1</v>
      </c>
      <c r="L8" s="28">
        <f t="shared" si="5"/>
        <v>-3.7000000000000028</v>
      </c>
      <c r="M8" s="28">
        <f t="shared" si="5"/>
        <v>0</v>
      </c>
      <c r="N8" s="28">
        <f t="shared" si="5"/>
        <v>-2</v>
      </c>
      <c r="O8" s="28">
        <f t="shared" si="5"/>
        <v>-3.2999999999999972</v>
      </c>
      <c r="P8" s="28">
        <f t="shared" si="5"/>
        <v>0.19999999999999574</v>
      </c>
      <c r="Q8" s="28">
        <f t="shared" si="5"/>
        <v>-1.5</v>
      </c>
      <c r="R8" s="28">
        <f t="shared" si="5"/>
        <v>0.70000000000000284</v>
      </c>
      <c r="S8" s="28">
        <f t="shared" si="5"/>
        <v>0</v>
      </c>
      <c r="T8" s="28">
        <f t="shared" si="5"/>
        <v>0.20000000000000284</v>
      </c>
      <c r="U8" s="28">
        <f t="shared" si="5"/>
        <v>0.89999999999999858</v>
      </c>
      <c r="V8" s="28">
        <f t="shared" si="5"/>
        <v>-0.39999999999999858</v>
      </c>
      <c r="W8" s="28">
        <f t="shared" si="5"/>
        <v>-1.1000000000000014</v>
      </c>
      <c r="X8" s="28">
        <f t="shared" si="5"/>
        <v>1.1000000000000014</v>
      </c>
      <c r="Y8" s="28">
        <f t="shared" si="5"/>
        <v>-1.6000000000000014</v>
      </c>
      <c r="Z8" s="28">
        <f t="shared" si="5"/>
        <v>-0.10000000000000142</v>
      </c>
      <c r="AA8" s="28">
        <f t="shared" si="5"/>
        <v>-1.6000000000000014</v>
      </c>
      <c r="AB8" s="33">
        <f>VLOOKUP($AG$1,$B:$AB,MATCH(AB2,$B$2:$AB$2,),)-VLOOKUP($AG$3,$B:$AB,MATCH(AB2,$B$2:$AB$2,),)</f>
        <v>-3.5000000000000071</v>
      </c>
    </row>
    <row r="9" spans="2:36" ht="66.75" customHeight="1" x14ac:dyDescent="0.2">
      <c r="B9" s="50" t="s">
        <v>100</v>
      </c>
      <c r="C9" s="46" t="str">
        <f>IF(VLOOKUP($AG$1,$B:$AB,MATCH(C2,$B$2:$AB$2,),)&gt;50,"Growth","Contraction")</f>
        <v>Growth</v>
      </c>
      <c r="D9" s="47" t="str">
        <f t="shared" ref="C9:AB9" si="6">IF(VLOOKUP($AG$1,$B:$AB,MATCH(D2,$B$2:$AB$2,),)&gt;50,"Growth","Contraction")</f>
        <v>Growth</v>
      </c>
      <c r="E9" s="47" t="str">
        <f t="shared" si="6"/>
        <v>Growth</v>
      </c>
      <c r="F9" s="47" t="str">
        <f t="shared" si="6"/>
        <v>Contraction</v>
      </c>
      <c r="G9" s="47" t="str">
        <f t="shared" si="6"/>
        <v>Growth</v>
      </c>
      <c r="H9" s="47" t="str">
        <f t="shared" si="6"/>
        <v>Growth</v>
      </c>
      <c r="I9" s="47" t="str">
        <f t="shared" si="6"/>
        <v>Growth</v>
      </c>
      <c r="J9" s="47" t="str">
        <f t="shared" si="6"/>
        <v>Growth</v>
      </c>
      <c r="K9" s="47" t="str">
        <f t="shared" si="6"/>
        <v>Growth</v>
      </c>
      <c r="L9" s="47" t="str">
        <f t="shared" si="6"/>
        <v>Growth</v>
      </c>
      <c r="M9" s="47" t="str">
        <f t="shared" si="6"/>
        <v>Growth</v>
      </c>
      <c r="N9" s="47" t="str">
        <f t="shared" si="6"/>
        <v>Contraction</v>
      </c>
      <c r="O9" s="47" t="str">
        <f t="shared" si="6"/>
        <v>Contraction</v>
      </c>
      <c r="P9" s="47" t="str">
        <f t="shared" si="6"/>
        <v>Growth</v>
      </c>
      <c r="Q9" s="47" t="str">
        <f t="shared" si="6"/>
        <v>Growth</v>
      </c>
      <c r="R9" s="47" t="str">
        <f t="shared" si="6"/>
        <v>Growth</v>
      </c>
      <c r="S9" s="47" t="str">
        <f t="shared" si="6"/>
        <v>Contraction</v>
      </c>
      <c r="T9" s="47" t="str">
        <f t="shared" si="6"/>
        <v>Growth</v>
      </c>
      <c r="U9" s="47" t="str">
        <f t="shared" si="6"/>
        <v>Growth</v>
      </c>
      <c r="V9" s="47" t="str">
        <f t="shared" si="6"/>
        <v>Growth</v>
      </c>
      <c r="W9" s="47" t="str">
        <f t="shared" si="6"/>
        <v>Growth</v>
      </c>
      <c r="X9" s="47" t="str">
        <f t="shared" si="6"/>
        <v>Growth</v>
      </c>
      <c r="Y9" s="47" t="str">
        <f t="shared" si="6"/>
        <v>Growth</v>
      </c>
      <c r="Z9" s="47" t="str">
        <f t="shared" si="6"/>
        <v>Growth</v>
      </c>
      <c r="AA9" s="47" t="str">
        <f t="shared" si="6"/>
        <v>Growth</v>
      </c>
      <c r="AB9" s="48" t="str">
        <f t="shared" si="6"/>
        <v>Growth</v>
      </c>
    </row>
    <row r="10" spans="2:36" ht="26.25" customHeight="1" thickBot="1" x14ac:dyDescent="0.25">
      <c r="B10" s="51" t="s">
        <v>101</v>
      </c>
      <c r="C10" s="45" t="str">
        <f t="shared" ref="C10:AB10" si="7">IF(C8&gt;0,"+","-")</f>
        <v>-</v>
      </c>
      <c r="D10" s="34" t="str">
        <f t="shared" si="7"/>
        <v>-</v>
      </c>
      <c r="E10" s="34" t="str">
        <f t="shared" si="7"/>
        <v>-</v>
      </c>
      <c r="F10" s="34" t="str">
        <f t="shared" si="7"/>
        <v>-</v>
      </c>
      <c r="G10" s="34" t="str">
        <f t="shared" si="7"/>
        <v>+</v>
      </c>
      <c r="H10" s="34" t="str">
        <f t="shared" si="7"/>
        <v>+</v>
      </c>
      <c r="I10" s="34" t="str">
        <f t="shared" si="7"/>
        <v>+</v>
      </c>
      <c r="J10" s="34" t="str">
        <f t="shared" si="7"/>
        <v>-</v>
      </c>
      <c r="K10" s="34" t="str">
        <f t="shared" si="7"/>
        <v>-</v>
      </c>
      <c r="L10" s="34" t="str">
        <f t="shared" si="7"/>
        <v>-</v>
      </c>
      <c r="M10" s="34" t="str">
        <f t="shared" si="7"/>
        <v>-</v>
      </c>
      <c r="N10" s="34" t="str">
        <f t="shared" si="7"/>
        <v>-</v>
      </c>
      <c r="O10" s="34" t="str">
        <f t="shared" si="7"/>
        <v>-</v>
      </c>
      <c r="P10" s="34" t="str">
        <f t="shared" si="7"/>
        <v>+</v>
      </c>
      <c r="Q10" s="34" t="str">
        <f t="shared" si="7"/>
        <v>-</v>
      </c>
      <c r="R10" s="34" t="str">
        <f t="shared" si="7"/>
        <v>+</v>
      </c>
      <c r="S10" s="34" t="str">
        <f t="shared" si="7"/>
        <v>-</v>
      </c>
      <c r="T10" s="34" t="str">
        <f t="shared" si="7"/>
        <v>+</v>
      </c>
      <c r="U10" s="34" t="str">
        <f t="shared" si="7"/>
        <v>+</v>
      </c>
      <c r="V10" s="34" t="str">
        <f t="shared" si="7"/>
        <v>-</v>
      </c>
      <c r="W10" s="34" t="str">
        <f t="shared" si="7"/>
        <v>-</v>
      </c>
      <c r="X10" s="34" t="str">
        <f t="shared" si="7"/>
        <v>+</v>
      </c>
      <c r="Y10" s="34" t="str">
        <f t="shared" si="7"/>
        <v>-</v>
      </c>
      <c r="Z10" s="34" t="str">
        <f t="shared" si="7"/>
        <v>-</v>
      </c>
      <c r="AA10" s="34" t="str">
        <f t="shared" si="7"/>
        <v>-</v>
      </c>
      <c r="AB10" s="35" t="str">
        <f t="shared" si="7"/>
        <v>-</v>
      </c>
    </row>
    <row r="11" spans="2:36" ht="26.25" customHeight="1" x14ac:dyDescent="0.2">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row>
    <row r="12" spans="2:36" x14ac:dyDescent="0.2">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2">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2">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2">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2">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2">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2">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2">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2">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2">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2">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2">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2">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2">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2">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2">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2">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2">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2">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2">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2">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2">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2">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2">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2">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2">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2">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2">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2">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2">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2">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2">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2">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2">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2">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2">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2">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2">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3" customFormat="1" x14ac:dyDescent="0.2">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3" customFormat="1" x14ac:dyDescent="0.2">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3" customFormat="1" x14ac:dyDescent="0.2">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3" customFormat="1" x14ac:dyDescent="0.2">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3" customFormat="1" x14ac:dyDescent="0.2">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3" customFormat="1" x14ac:dyDescent="0.2">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3" customFormat="1" x14ac:dyDescent="0.2">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3" customFormat="1" x14ac:dyDescent="0.2">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3" customFormat="1" x14ac:dyDescent="0.2">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3" customFormat="1" x14ac:dyDescent="0.2">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3" customFormat="1" x14ac:dyDescent="0.2">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3" customFormat="1" x14ac:dyDescent="0.2">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3" customFormat="1" x14ac:dyDescent="0.2">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3" customFormat="1" x14ac:dyDescent="0.2">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3" customFormat="1" x14ac:dyDescent="0.2">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33" s="63" customFormat="1" x14ac:dyDescent="0.2">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33" s="63" customFormat="1" x14ac:dyDescent="0.2">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33" s="63" customFormat="1" x14ac:dyDescent="0.2">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33" s="63" customFormat="1" x14ac:dyDescent="0.2">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33" s="63" customFormat="1" x14ac:dyDescent="0.2">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33" s="63" customFormat="1" x14ac:dyDescent="0.2">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33" s="63" customFormat="1" x14ac:dyDescent="0.2">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33" s="63" customFormat="1" x14ac:dyDescent="0.2">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33" s="63" customFormat="1" x14ac:dyDescent="0.2">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33" s="63" customFormat="1" x14ac:dyDescent="0.2">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33" s="63" customFormat="1" x14ac:dyDescent="0.2">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33" s="63" customFormat="1" x14ac:dyDescent="0.2">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33" s="63" customFormat="1" x14ac:dyDescent="0.2">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33" s="63" customFormat="1" x14ac:dyDescent="0.2">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33" s="63" customFormat="1" x14ac:dyDescent="0.2">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33" s="63" customFormat="1" x14ac:dyDescent="0.2">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c r="AG80" s="65"/>
    </row>
    <row r="81" spans="2:28" s="63" customFormat="1" x14ac:dyDescent="0.2">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3" customFormat="1" x14ac:dyDescent="0.2">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3" customFormat="1" x14ac:dyDescent="0.2">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3" customFormat="1" x14ac:dyDescent="0.2">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3" customFormat="1" x14ac:dyDescent="0.2">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3" customFormat="1" x14ac:dyDescent="0.2">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3" customFormat="1" x14ac:dyDescent="0.2">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3" customFormat="1" x14ac:dyDescent="0.2">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3" customFormat="1" x14ac:dyDescent="0.2">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3" customFormat="1" x14ac:dyDescent="0.2">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3" customFormat="1" x14ac:dyDescent="0.2">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3" customFormat="1" x14ac:dyDescent="0.2">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3" customFormat="1" x14ac:dyDescent="0.2">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3" customFormat="1" x14ac:dyDescent="0.2">
      <c r="B94" s="29">
        <v>44562</v>
      </c>
      <c r="C94" s="30">
        <f>VLOOKUP(B94,Global!$A:$B,2,)</f>
        <v>51.4</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3" customFormat="1" x14ac:dyDescent="0.2"/>
    <row r="96" spans="2:28" s="63" customFormat="1" x14ac:dyDescent="0.2"/>
    <row r="97" s="63" customFormat="1" x14ac:dyDescent="0.2"/>
    <row r="98" s="63" customFormat="1" x14ac:dyDescent="0.2"/>
    <row r="99" s="63" customFormat="1" x14ac:dyDescent="0.2"/>
    <row r="100" s="63" customFormat="1" x14ac:dyDescent="0.2"/>
    <row r="101" s="63" customFormat="1" x14ac:dyDescent="0.2"/>
    <row r="102" s="63" customFormat="1" x14ac:dyDescent="0.2"/>
    <row r="103" s="63" customFormat="1" x14ac:dyDescent="0.2"/>
    <row r="104" s="63" customFormat="1" x14ac:dyDescent="0.2"/>
    <row r="105" s="63" customFormat="1" x14ac:dyDescent="0.2"/>
    <row r="106" s="63" customFormat="1" x14ac:dyDescent="0.2"/>
    <row r="107" s="63" customFormat="1" x14ac:dyDescent="0.2"/>
    <row r="108" s="63" customFormat="1" x14ac:dyDescent="0.2"/>
    <row r="109" s="63" customFormat="1" x14ac:dyDescent="0.2"/>
    <row r="110" s="63" customFormat="1" x14ac:dyDescent="0.2"/>
    <row r="111" s="63" customFormat="1" x14ac:dyDescent="0.2"/>
    <row r="112" s="63" customFormat="1" x14ac:dyDescent="0.2"/>
    <row r="113" s="63" customFormat="1" x14ac:dyDescent="0.2"/>
    <row r="114" s="63" customFormat="1" x14ac:dyDescent="0.2"/>
    <row r="115" s="63" customFormat="1" x14ac:dyDescent="0.2"/>
    <row r="116" s="63" customFormat="1" x14ac:dyDescent="0.2"/>
    <row r="117" s="63" customFormat="1" x14ac:dyDescent="0.2"/>
    <row r="118" s="63" customFormat="1" x14ac:dyDescent="0.2"/>
    <row r="119" s="63" customFormat="1" x14ac:dyDescent="0.2"/>
    <row r="120" s="63" customFormat="1" x14ac:dyDescent="0.2"/>
    <row r="121" s="63" customFormat="1" x14ac:dyDescent="0.2"/>
    <row r="122" s="63" customFormat="1" x14ac:dyDescent="0.2"/>
    <row r="123" s="63" customFormat="1" x14ac:dyDescent="0.2"/>
    <row r="124" s="63" customFormat="1" x14ac:dyDescent="0.2"/>
    <row r="125" s="63" customFormat="1" x14ac:dyDescent="0.2"/>
    <row r="126" s="63" customFormat="1" x14ac:dyDescent="0.2"/>
    <row r="127" s="63" customFormat="1" x14ac:dyDescent="0.2"/>
    <row r="128" s="63" customFormat="1" x14ac:dyDescent="0.2"/>
    <row r="129" s="63" customFormat="1" x14ac:dyDescent="0.2"/>
    <row r="130" s="63" customFormat="1" x14ac:dyDescent="0.2"/>
    <row r="131" s="63" customFormat="1" x14ac:dyDescent="0.2"/>
    <row r="132" s="63" customFormat="1" x14ac:dyDescent="0.2"/>
    <row r="133" s="63" customFormat="1" x14ac:dyDescent="0.2"/>
    <row r="134" s="63" customFormat="1" x14ac:dyDescent="0.2"/>
    <row r="135" s="63" customFormat="1" x14ac:dyDescent="0.2"/>
    <row r="136" s="63" customFormat="1" x14ac:dyDescent="0.2"/>
    <row r="137" s="63" customFormat="1" x14ac:dyDescent="0.2"/>
    <row r="138" s="63" customFormat="1" x14ac:dyDescent="0.2"/>
    <row r="139" s="63" customFormat="1" x14ac:dyDescent="0.2"/>
    <row r="140" s="63" customFormat="1" x14ac:dyDescent="0.2"/>
    <row r="141" s="63" customFormat="1" x14ac:dyDescent="0.2"/>
    <row r="142" s="63" customFormat="1" x14ac:dyDescent="0.2"/>
    <row r="143" s="63" customFormat="1" x14ac:dyDescent="0.2"/>
    <row r="144" s="63" customFormat="1" x14ac:dyDescent="0.2"/>
    <row r="145" s="63" customFormat="1" x14ac:dyDescent="0.2"/>
    <row r="146" s="63" customFormat="1" x14ac:dyDescent="0.2"/>
    <row r="147" s="63" customFormat="1" x14ac:dyDescent="0.2"/>
    <row r="148" s="63" customFormat="1" x14ac:dyDescent="0.2"/>
    <row r="149" s="63" customFormat="1" x14ac:dyDescent="0.2"/>
    <row r="150" s="63" customFormat="1" x14ac:dyDescent="0.2"/>
    <row r="151" s="63" customFormat="1" x14ac:dyDescent="0.2"/>
    <row r="152" s="63" customFormat="1" x14ac:dyDescent="0.2"/>
    <row r="153" s="63" customFormat="1" x14ac:dyDescent="0.2"/>
    <row r="154" s="63" customFormat="1" x14ac:dyDescent="0.2"/>
    <row r="155" s="63" customFormat="1" x14ac:dyDescent="0.2"/>
    <row r="156" s="63" customFormat="1" x14ac:dyDescent="0.2"/>
    <row r="157" s="63" customFormat="1" x14ac:dyDescent="0.2"/>
    <row r="158" s="63" customFormat="1" x14ac:dyDescent="0.2"/>
    <row r="159" s="63" customFormat="1" x14ac:dyDescent="0.2"/>
    <row r="160" s="63" customFormat="1" x14ac:dyDescent="0.2"/>
    <row r="161" s="63" customFormat="1" x14ac:dyDescent="0.2"/>
    <row r="162" s="63" customFormat="1" x14ac:dyDescent="0.2"/>
    <row r="163" s="63" customFormat="1" x14ac:dyDescent="0.2"/>
    <row r="164" s="63" customFormat="1" x14ac:dyDescent="0.2"/>
    <row r="165" s="63" customFormat="1" x14ac:dyDescent="0.2"/>
    <row r="166" s="63" customFormat="1" x14ac:dyDescent="0.2"/>
    <row r="167" s="63" customFormat="1" x14ac:dyDescent="0.2"/>
    <row r="168" s="63" customFormat="1" x14ac:dyDescent="0.2"/>
    <row r="169" s="63" customFormat="1" x14ac:dyDescent="0.2"/>
    <row r="170" s="63" customFormat="1" x14ac:dyDescent="0.2"/>
    <row r="171" s="63" customFormat="1" x14ac:dyDescent="0.2"/>
    <row r="172" s="63" customFormat="1" x14ac:dyDescent="0.2"/>
    <row r="173" s="63" customFormat="1" x14ac:dyDescent="0.2"/>
    <row r="174" s="63" customFormat="1" x14ac:dyDescent="0.2"/>
    <row r="175" s="63" customFormat="1" x14ac:dyDescent="0.2"/>
    <row r="176" s="63" customFormat="1" x14ac:dyDescent="0.2"/>
    <row r="177" s="63" customFormat="1" x14ac:dyDescent="0.2"/>
    <row r="178" s="63" customFormat="1" x14ac:dyDescent="0.2"/>
    <row r="179" s="63" customFormat="1" x14ac:dyDescent="0.2"/>
    <row r="180" s="63" customFormat="1" x14ac:dyDescent="0.2"/>
    <row r="181" s="63" customFormat="1" x14ac:dyDescent="0.2"/>
    <row r="182" s="63" customFormat="1" x14ac:dyDescent="0.2"/>
    <row r="183" s="63" customFormat="1" x14ac:dyDescent="0.2"/>
    <row r="184" s="63" customFormat="1" x14ac:dyDescent="0.2"/>
    <row r="185" s="63" customFormat="1" x14ac:dyDescent="0.2"/>
    <row r="186" s="63" customFormat="1" x14ac:dyDescent="0.2"/>
    <row r="187" s="63" customFormat="1" x14ac:dyDescent="0.2"/>
    <row r="188" s="63" customFormat="1" x14ac:dyDescent="0.2"/>
    <row r="189" s="63" customFormat="1" x14ac:dyDescent="0.2"/>
    <row r="190" s="63" customFormat="1" x14ac:dyDescent="0.2"/>
    <row r="191" s="63" customFormat="1" x14ac:dyDescent="0.2"/>
    <row r="192" s="63" customFormat="1" x14ac:dyDescent="0.2"/>
    <row r="193" s="63" customFormat="1" x14ac:dyDescent="0.2"/>
    <row r="194" s="63" customFormat="1" x14ac:dyDescent="0.2"/>
    <row r="195" s="63" customFormat="1" x14ac:dyDescent="0.2"/>
    <row r="196" s="63" customFormat="1" x14ac:dyDescent="0.2"/>
    <row r="197" s="63" customFormat="1" x14ac:dyDescent="0.2"/>
    <row r="198" s="63" customFormat="1" x14ac:dyDescent="0.2"/>
    <row r="199" s="63" customFormat="1" x14ac:dyDescent="0.2"/>
    <row r="200" s="63" customFormat="1" x14ac:dyDescent="0.2"/>
    <row r="201" s="63" customFormat="1" x14ac:dyDescent="0.2"/>
    <row r="202" s="63" customFormat="1" x14ac:dyDescent="0.2"/>
    <row r="203" s="63" customFormat="1" x14ac:dyDescent="0.2"/>
    <row r="204" s="63" customFormat="1" x14ac:dyDescent="0.2"/>
    <row r="205" s="63" customFormat="1" x14ac:dyDescent="0.2"/>
    <row r="206" s="63" customFormat="1" x14ac:dyDescent="0.2"/>
    <row r="207" s="63" customFormat="1" x14ac:dyDescent="0.2"/>
    <row r="208" s="63" customFormat="1" x14ac:dyDescent="0.2"/>
    <row r="209" s="63" customFormat="1" x14ac:dyDescent="0.2"/>
    <row r="210" s="63" customFormat="1" x14ac:dyDescent="0.2"/>
    <row r="211" s="63" customFormat="1" x14ac:dyDescent="0.2"/>
    <row r="212" s="63" customFormat="1" x14ac:dyDescent="0.2"/>
    <row r="213" s="63" customFormat="1" x14ac:dyDescent="0.2"/>
    <row r="214" s="63" customFormat="1" x14ac:dyDescent="0.2"/>
    <row r="215" s="63" customFormat="1" x14ac:dyDescent="0.2"/>
    <row r="216" s="63" customFormat="1" x14ac:dyDescent="0.2"/>
    <row r="217" s="63" customFormat="1" x14ac:dyDescent="0.2"/>
    <row r="218" s="63" customFormat="1" x14ac:dyDescent="0.2"/>
    <row r="219" s="63" customFormat="1" x14ac:dyDescent="0.2"/>
    <row r="220" s="63" customFormat="1" x14ac:dyDescent="0.2"/>
    <row r="221" s="63" customFormat="1" x14ac:dyDescent="0.2"/>
    <row r="222" s="63" customFormat="1" x14ac:dyDescent="0.2"/>
    <row r="223" s="63" customFormat="1" x14ac:dyDescent="0.2"/>
    <row r="224" s="63" customFormat="1" x14ac:dyDescent="0.2"/>
    <row r="225" s="63" customFormat="1" x14ac:dyDescent="0.2"/>
    <row r="226" s="63" customFormat="1" x14ac:dyDescent="0.2"/>
    <row r="227" s="63" customFormat="1" x14ac:dyDescent="0.2"/>
    <row r="228" s="63" customFormat="1" x14ac:dyDescent="0.2"/>
    <row r="229" s="63" customFormat="1" x14ac:dyDescent="0.2"/>
    <row r="230" s="63" customFormat="1" x14ac:dyDescent="0.2"/>
    <row r="231" s="63" customFormat="1" x14ac:dyDescent="0.2"/>
    <row r="232" s="63" customFormat="1" x14ac:dyDescent="0.2"/>
    <row r="233" s="63" customFormat="1" x14ac:dyDescent="0.2"/>
    <row r="234" s="63" customFormat="1" x14ac:dyDescent="0.2"/>
    <row r="235" s="63" customFormat="1" x14ac:dyDescent="0.2"/>
    <row r="236" s="63" customFormat="1" x14ac:dyDescent="0.2"/>
    <row r="237" s="63" customFormat="1" x14ac:dyDescent="0.2"/>
    <row r="238" s="63" customFormat="1" x14ac:dyDescent="0.2"/>
    <row r="239" s="63" customFormat="1" x14ac:dyDescent="0.2"/>
    <row r="240" s="63" customFormat="1" x14ac:dyDescent="0.2"/>
    <row r="241" s="63" customFormat="1" x14ac:dyDescent="0.2"/>
    <row r="242" s="63" customFormat="1" x14ac:dyDescent="0.2"/>
    <row r="243" s="63" customFormat="1" x14ac:dyDescent="0.2"/>
    <row r="244" s="63" customFormat="1" x14ac:dyDescent="0.2"/>
    <row r="245" s="63" customFormat="1" x14ac:dyDescent="0.2"/>
    <row r="246" s="63" customFormat="1" x14ac:dyDescent="0.2"/>
    <row r="247" s="63" customFormat="1" x14ac:dyDescent="0.2"/>
    <row r="248" s="63" customFormat="1" x14ac:dyDescent="0.2"/>
    <row r="249" s="63" customFormat="1" x14ac:dyDescent="0.2"/>
    <row r="250" s="63" customFormat="1" x14ac:dyDescent="0.2"/>
    <row r="251" s="63" customFormat="1" x14ac:dyDescent="0.2"/>
    <row r="252" s="63" customFormat="1" x14ac:dyDescent="0.2"/>
    <row r="253" s="63" customFormat="1" x14ac:dyDescent="0.2"/>
    <row r="254" s="63" customFormat="1" x14ac:dyDescent="0.2"/>
    <row r="255" s="63" customFormat="1" x14ac:dyDescent="0.2"/>
    <row r="256" s="63" customFormat="1" x14ac:dyDescent="0.2"/>
    <row r="257" s="63" customFormat="1" x14ac:dyDescent="0.2"/>
    <row r="258" s="63" customFormat="1" x14ac:dyDescent="0.2"/>
    <row r="259" s="63" customFormat="1" x14ac:dyDescent="0.2"/>
    <row r="260" s="63" customFormat="1" x14ac:dyDescent="0.2"/>
    <row r="261" s="63" customFormat="1" x14ac:dyDescent="0.2"/>
    <row r="262" s="63" customFormat="1" x14ac:dyDescent="0.2"/>
    <row r="263" s="63" customFormat="1" x14ac:dyDescent="0.2"/>
    <row r="264" s="63" customFormat="1" x14ac:dyDescent="0.2"/>
    <row r="265" s="63" customFormat="1" x14ac:dyDescent="0.2"/>
    <row r="266" s="63" customFormat="1" x14ac:dyDescent="0.2"/>
    <row r="267" s="63" customFormat="1" x14ac:dyDescent="0.2"/>
    <row r="268" s="63" customFormat="1" x14ac:dyDescent="0.2"/>
    <row r="269" s="63" customFormat="1" x14ac:dyDescent="0.2"/>
    <row r="270" s="63" customFormat="1" x14ac:dyDescent="0.2"/>
    <row r="271" s="63" customFormat="1" x14ac:dyDescent="0.2"/>
    <row r="272" s="63" customFormat="1" x14ac:dyDescent="0.2"/>
    <row r="273" s="63" customFormat="1" x14ac:dyDescent="0.2"/>
    <row r="274" s="63" customFormat="1" x14ac:dyDescent="0.2"/>
    <row r="275" s="63" customFormat="1" x14ac:dyDescent="0.2"/>
    <row r="276" s="63" customFormat="1" x14ac:dyDescent="0.2"/>
    <row r="277" s="63" customFormat="1" x14ac:dyDescent="0.2"/>
    <row r="278" s="63" customFormat="1" x14ac:dyDescent="0.2"/>
    <row r="279" s="63" customFormat="1" x14ac:dyDescent="0.2"/>
    <row r="280" s="63" customFormat="1" x14ac:dyDescent="0.2"/>
    <row r="281" s="63" customFormat="1" x14ac:dyDescent="0.2"/>
    <row r="282" s="63" customFormat="1" x14ac:dyDescent="0.2"/>
    <row r="283" s="63" customFormat="1" x14ac:dyDescent="0.2"/>
    <row r="284" s="63" customFormat="1" x14ac:dyDescent="0.2"/>
    <row r="285" s="63" customFormat="1" x14ac:dyDescent="0.2"/>
    <row r="286" s="63" customFormat="1" x14ac:dyDescent="0.2"/>
    <row r="287" s="63" customFormat="1" x14ac:dyDescent="0.2"/>
    <row r="288" s="63" customFormat="1" x14ac:dyDescent="0.2"/>
    <row r="289" s="63" customFormat="1" x14ac:dyDescent="0.2"/>
    <row r="290" s="63" customFormat="1" x14ac:dyDescent="0.2"/>
    <row r="291" s="63" customFormat="1" x14ac:dyDescent="0.2"/>
    <row r="292" s="63" customFormat="1" x14ac:dyDescent="0.2"/>
    <row r="293" s="63" customFormat="1" x14ac:dyDescent="0.2"/>
    <row r="294" s="63" customFormat="1" x14ac:dyDescent="0.2"/>
    <row r="295" s="63" customFormat="1" x14ac:dyDescent="0.2"/>
    <row r="296" s="63" customFormat="1" x14ac:dyDescent="0.2"/>
    <row r="297" s="63" customFormat="1" x14ac:dyDescent="0.2"/>
    <row r="298" s="63" customFormat="1" x14ac:dyDescent="0.2"/>
    <row r="299" s="63" customFormat="1" x14ac:dyDescent="0.2"/>
    <row r="300" s="63" customFormat="1" x14ac:dyDescent="0.2"/>
    <row r="301" s="63" customFormat="1" x14ac:dyDescent="0.2"/>
    <row r="302" s="63" customFormat="1" x14ac:dyDescent="0.2"/>
    <row r="303" s="63" customFormat="1" x14ac:dyDescent="0.2"/>
    <row r="304" s="63" customFormat="1" x14ac:dyDescent="0.2"/>
    <row r="305" s="63" customFormat="1" x14ac:dyDescent="0.2"/>
    <row r="306" s="63" customFormat="1" x14ac:dyDescent="0.2"/>
    <row r="307" s="63" customFormat="1" x14ac:dyDescent="0.2"/>
    <row r="308" s="63" customFormat="1" x14ac:dyDescent="0.2"/>
    <row r="309" s="63" customFormat="1" x14ac:dyDescent="0.2"/>
    <row r="310" s="63" customFormat="1" x14ac:dyDescent="0.2"/>
    <row r="311" s="63" customFormat="1" x14ac:dyDescent="0.2"/>
    <row r="312" s="63" customFormat="1" x14ac:dyDescent="0.2"/>
    <row r="313" s="63" customFormat="1" x14ac:dyDescent="0.2"/>
    <row r="314" s="63" customFormat="1" x14ac:dyDescent="0.2"/>
    <row r="315" s="63" customFormat="1" x14ac:dyDescent="0.2"/>
    <row r="316" s="63" customFormat="1" x14ac:dyDescent="0.2"/>
    <row r="317" s="63" customFormat="1" x14ac:dyDescent="0.2"/>
    <row r="318" s="63" customFormat="1" x14ac:dyDescent="0.2"/>
    <row r="319" s="63" customFormat="1" x14ac:dyDescent="0.2"/>
    <row r="320" s="63" customFormat="1" x14ac:dyDescent="0.2"/>
    <row r="321" s="63" customFormat="1" x14ac:dyDescent="0.2"/>
    <row r="322" s="63" customFormat="1" x14ac:dyDescent="0.2"/>
    <row r="323" s="63" customFormat="1" x14ac:dyDescent="0.2"/>
    <row r="324" s="63" customFormat="1" x14ac:dyDescent="0.2"/>
    <row r="325" s="63" customFormat="1" x14ac:dyDescent="0.2"/>
    <row r="326" s="63" customFormat="1" x14ac:dyDescent="0.2"/>
    <row r="327" s="63" customFormat="1" x14ac:dyDescent="0.2"/>
    <row r="328" s="63" customFormat="1" x14ac:dyDescent="0.2"/>
    <row r="329" s="63" customFormat="1" x14ac:dyDescent="0.2"/>
    <row r="330" s="63" customFormat="1" x14ac:dyDescent="0.2"/>
    <row r="331" s="63" customFormat="1" x14ac:dyDescent="0.2"/>
    <row r="332" s="63" customFormat="1" x14ac:dyDescent="0.2"/>
    <row r="333" s="63" customFormat="1" x14ac:dyDescent="0.2"/>
    <row r="334" s="63" customFormat="1" x14ac:dyDescent="0.2"/>
    <row r="335" s="63" customFormat="1" x14ac:dyDescent="0.2"/>
    <row r="336" s="63" customFormat="1" x14ac:dyDescent="0.2"/>
    <row r="337" s="63" customFormat="1" x14ac:dyDescent="0.2"/>
    <row r="338" s="63" customFormat="1" x14ac:dyDescent="0.2"/>
    <row r="339" s="63" customFormat="1" x14ac:dyDescent="0.2"/>
    <row r="340" s="63" customFormat="1" x14ac:dyDescent="0.2"/>
    <row r="341" s="63" customFormat="1" x14ac:dyDescent="0.2"/>
    <row r="342" s="63" customFormat="1" x14ac:dyDescent="0.2"/>
    <row r="343" s="63" customFormat="1" x14ac:dyDescent="0.2"/>
    <row r="344" s="63" customFormat="1" x14ac:dyDescent="0.2"/>
    <row r="345" s="63" customFormat="1" x14ac:dyDescent="0.2"/>
    <row r="346" s="63" customFormat="1" x14ac:dyDescent="0.2"/>
    <row r="347" s="63" customFormat="1" x14ac:dyDescent="0.2"/>
  </sheetData>
  <conditionalFormatting sqref="C12:AB9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1"/>
  <sheetViews>
    <sheetView zoomScale="150" zoomScaleNormal="150" workbookViewId="0">
      <pane ySplit="5" topLeftCell="A124" activePane="bottomLeft" state="frozen"/>
      <selection activeCell="B327" sqref="B327"/>
      <selection pane="bottomLeft" activeCell="B327" sqref="B327"/>
    </sheetView>
  </sheetViews>
  <sheetFormatPr baseColWidth="10" defaultColWidth="9.1640625" defaultRowHeight="15" x14ac:dyDescent="0.2"/>
  <cols>
    <col min="1" max="1" width="13.5" style="63" customWidth="1"/>
    <col min="2" max="2" width="11.33203125" style="63" customWidth="1"/>
    <col min="3" max="3" width="9.1640625" style="63" customWidth="1"/>
    <col min="4" max="4" width="13" style="63" customWidth="1"/>
    <col min="5" max="41" width="9.1640625" style="63" customWidth="1"/>
    <col min="42" max="16384" width="9.1640625" style="63"/>
  </cols>
  <sheetData>
    <row r="1" spans="1:11" x14ac:dyDescent="0.2">
      <c r="A1" s="63" t="s">
        <v>102</v>
      </c>
    </row>
    <row r="2" spans="1:11" x14ac:dyDescent="0.2">
      <c r="K2" s="63" t="str">
        <f>A1</f>
        <v>Global Manufacturing PMI</v>
      </c>
    </row>
    <row r="4" spans="1:11" ht="16" customHeight="1" thickBot="1" x14ac:dyDescent="0.25"/>
    <row r="5" spans="1:11" ht="16" customHeight="1" thickBot="1" x14ac:dyDescent="0.25">
      <c r="A5" s="21" t="s">
        <v>44</v>
      </c>
      <c r="B5" s="22" t="s">
        <v>103</v>
      </c>
      <c r="C5" s="22" t="s">
        <v>104</v>
      </c>
      <c r="D5" s="22" t="s">
        <v>81</v>
      </c>
      <c r="E5" s="22" t="s">
        <v>105</v>
      </c>
      <c r="F5" s="23" t="s">
        <v>106</v>
      </c>
    </row>
    <row r="6" spans="1:11" x14ac:dyDescent="0.2">
      <c r="A6" s="17">
        <v>40452</v>
      </c>
      <c r="B6" s="18">
        <f>IF(VLOOKUP(Table1[[#This Row],[Date]],'DB Global PMI'!$A:$F,2)=0,"",VLOOKUP(Table1[[#This Row],[Date]],'DB Global PMI'!$A:$F,2))</f>
        <v>53.7</v>
      </c>
      <c r="C6" s="18"/>
      <c r="D6" s="19">
        <f>IF(VLOOKUP(Table1[[#This Row],[Date]],'DB Global PMI'!$A:$F,3)=0,"",VLOOKUP(Table1[[#This Row],[Date]],'DB Global PMI'!$A:$F,3))</f>
        <v>35.05340576171875</v>
      </c>
      <c r="E6" s="18"/>
      <c r="F6" s="20"/>
    </row>
    <row r="7" spans="1:11" x14ac:dyDescent="0.2">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34.287124633789062</v>
      </c>
      <c r="E7" s="24"/>
      <c r="F7" s="12"/>
    </row>
    <row r="8" spans="1:11" x14ac:dyDescent="0.2">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36.601608276367188</v>
      </c>
      <c r="E8" s="24"/>
      <c r="F8" s="12"/>
    </row>
    <row r="9" spans="1:11" x14ac:dyDescent="0.2">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37.353610992431641</v>
      </c>
      <c r="E9" s="24"/>
      <c r="F9" s="12"/>
    </row>
    <row r="10" spans="1:11" x14ac:dyDescent="0.2">
      <c r="A10" s="10">
        <v>40575</v>
      </c>
      <c r="B10" s="18">
        <f>IF(VLOOKUP(Table1[[#This Row],[Date]],'DB Global PMI'!$A:$F,2)=0,"",VLOOKUP(Table1[[#This Row],[Date]],'DB Global PMI'!$A:$F,2))</f>
        <v>58.2</v>
      </c>
      <c r="C10" s="24">
        <f>Table1[[#This Row],[PMI]]-B9</f>
        <v>1</v>
      </c>
      <c r="D10" s="19">
        <f>IF(VLOOKUP(Table1[[#This Row],[Date]],'DB Global PMI'!$A:$F,3)=0,"",VLOOKUP(Table1[[#This Row],[Date]],'DB Global PMI'!$A:$F,3))</f>
        <v>38.514251708984382</v>
      </c>
      <c r="E10" s="24"/>
      <c r="F10" s="12"/>
    </row>
    <row r="11" spans="1:11" x14ac:dyDescent="0.2">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38.182632446289062</v>
      </c>
      <c r="E11" s="24"/>
      <c r="F11" s="12"/>
    </row>
    <row r="12" spans="1:11" x14ac:dyDescent="0.2">
      <c r="A12" s="10">
        <v>40634</v>
      </c>
      <c r="B12" s="18">
        <f>IF(VLOOKUP(Table1[[#This Row],[Date]],'DB Global PMI'!$A:$F,2)=0,"",VLOOKUP(Table1[[#This Row],[Date]],'DB Global PMI'!$A:$F,2))</f>
        <v>55.5</v>
      </c>
      <c r="C12" s="24">
        <f>Table1[[#This Row],[PMI]]-B11</f>
        <v>-0.5</v>
      </c>
      <c r="D12" s="19">
        <f>IF(VLOOKUP(Table1[[#This Row],[Date]],'DB Global PMI'!$A:$F,3)=0,"",VLOOKUP(Table1[[#This Row],[Date]],'DB Global PMI'!$A:$F,3))</f>
        <v>40.022285461425781</v>
      </c>
      <c r="E12" s="24"/>
      <c r="F12" s="12"/>
    </row>
    <row r="13" spans="1:11" x14ac:dyDescent="0.2">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39.240627288818359</v>
      </c>
      <c r="E13" s="24"/>
      <c r="F13" s="12"/>
    </row>
    <row r="14" spans="1:11" x14ac:dyDescent="0.2">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38.095783233642578</v>
      </c>
      <c r="E14" s="24"/>
      <c r="F14" s="12"/>
    </row>
    <row r="15" spans="1:11" x14ac:dyDescent="0.2">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37.670745849609382</v>
      </c>
      <c r="E15" s="24"/>
      <c r="F15" s="12"/>
    </row>
    <row r="16" spans="1:11" x14ac:dyDescent="0.2">
      <c r="A16" s="10">
        <v>40756</v>
      </c>
      <c r="B16" s="18">
        <f>IF(VLOOKUP(Table1[[#This Row],[Date]],'DB Global PMI'!$A:$F,2)=0,"",VLOOKUP(Table1[[#This Row],[Date]],'DB Global PMI'!$A:$F,2))</f>
        <v>50.4</v>
      </c>
      <c r="C16" s="24">
        <f>Table1[[#This Row],[PMI]]-B15</f>
        <v>-0.5</v>
      </c>
      <c r="D16" s="19">
        <f>IF(VLOOKUP(Table1[[#This Row],[Date]],'DB Global PMI'!$A:$F,3)=0,"",VLOOKUP(Table1[[#This Row],[Date]],'DB Global PMI'!$A:$F,3))</f>
        <v>34.898372650146477</v>
      </c>
      <c r="E16" s="24"/>
      <c r="F16" s="12"/>
    </row>
    <row r="17" spans="1:6" x14ac:dyDescent="0.2">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31.255132675170898</v>
      </c>
      <c r="E17" s="24"/>
      <c r="F17" s="12"/>
    </row>
    <row r="18" spans="1:6" x14ac:dyDescent="0.2">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34.794509887695312</v>
      </c>
      <c r="E18" s="24">
        <f>Table1[[#This Row],[PMI]]-B6</f>
        <v>-4.2000000000000028</v>
      </c>
      <c r="F18" s="13">
        <f>(Table1[[#This Row],[ACWI]]-D6)/D6</f>
        <v>-7.3857552040256652E-3</v>
      </c>
    </row>
    <row r="19" spans="1:6" x14ac:dyDescent="0.2">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34.395027160644531</v>
      </c>
      <c r="E19" s="24">
        <f>Table1[[#This Row],[PMI]]-B7</f>
        <v>-4.3999999999999986</v>
      </c>
      <c r="F19" s="13">
        <f>(Table1[[#This Row],[ACWI]]-D7)/D7</f>
        <v>3.1470275798260914E-3</v>
      </c>
    </row>
    <row r="20" spans="1:6" x14ac:dyDescent="0.2">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33.691947937011719</v>
      </c>
      <c r="E20" s="24">
        <f>Table1[[#This Row],[PMI]]-B8</f>
        <v>-4.5</v>
      </c>
      <c r="F20" s="13">
        <f>(Table1[[#This Row],[ACWI]]-D8)/D8</f>
        <v>-7.9495423189755554E-2</v>
      </c>
    </row>
    <row r="21" spans="1:6" x14ac:dyDescent="0.2">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35.934349060058587</v>
      </c>
      <c r="E21" s="24">
        <f>Table1[[#This Row],[PMI]]-B9</f>
        <v>-6.2000000000000028</v>
      </c>
      <c r="F21" s="13">
        <f>(Table1[[#This Row],[ACWI]]-D9)/D9</f>
        <v>-3.7995307405771721E-2</v>
      </c>
    </row>
    <row r="22" spans="1:6" x14ac:dyDescent="0.2">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37.711681365966797</v>
      </c>
      <c r="E22" s="24">
        <f>Table1[[#This Row],[PMI]]-B10</f>
        <v>-7</v>
      </c>
      <c r="F22" s="13">
        <f>(Table1[[#This Row],[ACWI]]-D10)/D10</f>
        <v>-2.083826914467525E-2</v>
      </c>
    </row>
    <row r="23" spans="1:6" x14ac:dyDescent="0.2">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38.131778717041023</v>
      </c>
      <c r="E23" s="24">
        <f>Table1[[#This Row],[PMI]]-B11</f>
        <v>-4.3999999999999986</v>
      </c>
      <c r="F23" s="13">
        <f>(Table1[[#This Row],[ACWI]]-D11)/D11</f>
        <v>-1.331854981962675E-3</v>
      </c>
    </row>
    <row r="24" spans="1:6" x14ac:dyDescent="0.2">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37.695522308349609</v>
      </c>
      <c r="E24" s="24">
        <f>Table1[[#This Row],[PMI]]-B12</f>
        <v>-4.2000000000000028</v>
      </c>
      <c r="F24" s="13">
        <f>(Table1[[#This Row],[ACWI]]-D12)/D12</f>
        <v>-5.8136688753538307E-2</v>
      </c>
    </row>
    <row r="25" spans="1:6" x14ac:dyDescent="0.2">
      <c r="A25" s="10">
        <v>41030</v>
      </c>
      <c r="B25" s="18">
        <f>IF(VLOOKUP(Table1[[#This Row],[Date]],'DB Global PMI'!$A:$F,2)=0,"",VLOOKUP(Table1[[#This Row],[Date]],'DB Global PMI'!$A:$F,2))</f>
        <v>50.3</v>
      </c>
      <c r="C25" s="24">
        <f>Table1[[#This Row],[PMI]]-B24</f>
        <v>-1</v>
      </c>
      <c r="D25" s="19">
        <f>IF(VLOOKUP(Table1[[#This Row],[Date]],'DB Global PMI'!$A:$F,3)=0,"",VLOOKUP(Table1[[#This Row],[Date]],'DB Global PMI'!$A:$F,3))</f>
        <v>34.197429656982422</v>
      </c>
      <c r="E25" s="24">
        <f>Table1[[#This Row],[PMI]]-B13</f>
        <v>-2.8000000000000043</v>
      </c>
      <c r="F25" s="13">
        <f>(Table1[[#This Row],[ACWI]]-D13)/D13</f>
        <v>-0.12851980154947726</v>
      </c>
    </row>
    <row r="26" spans="1:6" x14ac:dyDescent="0.2">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35.441551208496087</v>
      </c>
      <c r="E26" s="24">
        <f>Table1[[#This Row],[PMI]]-B14</f>
        <v>-3.0999999999999943</v>
      </c>
      <c r="F26" s="13">
        <f>(Table1[[#This Row],[ACWI]]-D14)/D14</f>
        <v>-6.9672593653423709E-2</v>
      </c>
    </row>
    <row r="27" spans="1:6" x14ac:dyDescent="0.2">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36.226879119873047</v>
      </c>
      <c r="E27" s="24">
        <f>Table1[[#This Row],[PMI]]-B15</f>
        <v>-2.1000000000000014</v>
      </c>
      <c r="F27" s="13">
        <f>(Table1[[#This Row],[ACWI]]-D15)/D15</f>
        <v>-3.8328594169613636E-2</v>
      </c>
    </row>
    <row r="28" spans="1:6" x14ac:dyDescent="0.2">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37.234306335449219</v>
      </c>
      <c r="E28" s="24">
        <f>Table1[[#This Row],[PMI]]-B16</f>
        <v>-1.6999999999999957</v>
      </c>
      <c r="F28" s="13">
        <f>(Table1[[#This Row],[ACWI]]-D16)/D16</f>
        <v>6.6935318409265046E-2</v>
      </c>
    </row>
    <row r="29" spans="1:6" x14ac:dyDescent="0.2">
      <c r="A29" s="10">
        <v>41153</v>
      </c>
      <c r="B29" s="18">
        <f>IF(VLOOKUP(Table1[[#This Row],[Date]],'DB Global PMI'!$A:$F,2)=0,"",VLOOKUP(Table1[[#This Row],[Date]],'DB Global PMI'!$A:$F,2))</f>
        <v>48.7</v>
      </c>
      <c r="C29" s="24">
        <f>Table1[[#This Row],[PMI]]-B28</f>
        <v>0</v>
      </c>
      <c r="D29" s="19">
        <f>IF(VLOOKUP(Table1[[#This Row],[Date]],'DB Global PMI'!$A:$F,3)=0,"",VLOOKUP(Table1[[#This Row],[Date]],'DB Global PMI'!$A:$F,3))</f>
        <v>38.241756439208977</v>
      </c>
      <c r="E29" s="24">
        <f>Table1[[#This Row],[PMI]]-B17</f>
        <v>-1.3999999999999986</v>
      </c>
      <c r="F29" s="13">
        <f>(Table1[[#This Row],[ACWI]]-D17)/D17</f>
        <v>0.22353524576743383</v>
      </c>
    </row>
    <row r="30" spans="1:6" x14ac:dyDescent="0.2">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38.045181274414062</v>
      </c>
      <c r="E30" s="24">
        <f>Table1[[#This Row],[PMI]]-B18</f>
        <v>-0.60000000000000142</v>
      </c>
      <c r="F30" s="13">
        <f>(Table1[[#This Row],[ACWI]]-D18)/D18</f>
        <v>9.342483619429609E-2</v>
      </c>
    </row>
    <row r="31" spans="1:6" x14ac:dyDescent="0.2">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38.651275634765618</v>
      </c>
      <c r="E31" s="24">
        <f>Table1[[#This Row],[PMI]]-B19</f>
        <v>0</v>
      </c>
      <c r="F31" s="13">
        <f>(Table1[[#This Row],[ACWI]]-D19)/D19</f>
        <v>0.12374604195664571</v>
      </c>
    </row>
    <row r="32" spans="1:6" x14ac:dyDescent="0.2">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39.380245208740227</v>
      </c>
      <c r="E32" s="24">
        <f>Table1[[#This Row],[PMI]]-B20</f>
        <v>-0.39999999999999858</v>
      </c>
      <c r="F32" s="13">
        <f>(Table1[[#This Row],[ACWI]]-D20)/D20</f>
        <v>0.16883254367966435</v>
      </c>
    </row>
    <row r="33" spans="1:6" x14ac:dyDescent="0.2">
      <c r="A33" s="10">
        <v>41275</v>
      </c>
      <c r="B33" s="18">
        <f>IF(VLOOKUP(Table1[[#This Row],[Date]],'DB Global PMI'!$A:$F,2)=0,"",VLOOKUP(Table1[[#This Row],[Date]],'DB Global PMI'!$A:$F,2))</f>
        <v>51.5</v>
      </c>
      <c r="C33" s="24">
        <f>Table1[[#This Row],[PMI]]-B32</f>
        <v>1.5</v>
      </c>
      <c r="D33" s="19">
        <f>IF(VLOOKUP(Table1[[#This Row],[Date]],'DB Global PMI'!$A:$F,3)=0,"",VLOOKUP(Table1[[#This Row],[Date]],'DB Global PMI'!$A:$F,3))</f>
        <v>41.271072387695312</v>
      </c>
      <c r="E33" s="24">
        <f>Table1[[#This Row],[PMI]]-B21</f>
        <v>0.5</v>
      </c>
      <c r="F33" s="13">
        <f>(Table1[[#This Row],[ACWI]]-D21)/D21</f>
        <v>0.14851314876240657</v>
      </c>
    </row>
    <row r="34" spans="1:6" x14ac:dyDescent="0.2">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41.229713439941413</v>
      </c>
      <c r="E34" s="24">
        <f>Table1[[#This Row],[PMI]]-B22</f>
        <v>-0.30000000000000426</v>
      </c>
      <c r="F34" s="13">
        <f>(Table1[[#This Row],[ACWI]]-D22)/D22</f>
        <v>9.3287595422608019E-2</v>
      </c>
    </row>
    <row r="35" spans="1:6" x14ac:dyDescent="0.2">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41.982501983642578</v>
      </c>
      <c r="E35" s="24">
        <f>Table1[[#This Row],[PMI]]-B23</f>
        <v>-0.39999999999999858</v>
      </c>
      <c r="F35" s="13">
        <f>(Table1[[#This Row],[ACWI]]-D23)/D23</f>
        <v>0.1009846221750121</v>
      </c>
    </row>
    <row r="36" spans="1:6" x14ac:dyDescent="0.2">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43.173732757568359</v>
      </c>
      <c r="E36" s="24">
        <f>Table1[[#This Row],[PMI]]-B24</f>
        <v>-0.89999999999999858</v>
      </c>
      <c r="F36" s="13">
        <f>(Table1[[#This Row],[ACWI]]-D24)/D24</f>
        <v>0.14532788282934386</v>
      </c>
    </row>
    <row r="37" spans="1:6" x14ac:dyDescent="0.2">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43.008277893066413</v>
      </c>
      <c r="E37" s="24">
        <f>Table1[[#This Row],[PMI]]-B25</f>
        <v>0.30000000000000426</v>
      </c>
      <c r="F37" s="13">
        <f>(Table1[[#This Row],[ACWI]]-D25)/D25</f>
        <v>0.25764650514559928</v>
      </c>
    </row>
    <row r="38" spans="1:6" x14ac:dyDescent="0.2">
      <c r="A38" s="10">
        <v>41426</v>
      </c>
      <c r="B38" s="18">
        <f>IF(VLOOKUP(Table1[[#This Row],[Date]],'DB Global PMI'!$A:$F,2)=0,"",VLOOKUP(Table1[[#This Row],[Date]],'DB Global PMI'!$A:$F,2))</f>
        <v>50.6</v>
      </c>
      <c r="C38" s="24">
        <f>Table1[[#This Row],[PMI]]-B37</f>
        <v>0</v>
      </c>
      <c r="D38" s="19">
        <f>IF(VLOOKUP(Table1[[#This Row],[Date]],'DB Global PMI'!$A:$F,3)=0,"",VLOOKUP(Table1[[#This Row],[Date]],'DB Global PMI'!$A:$F,3))</f>
        <v>41.362068176269531</v>
      </c>
      <c r="E38" s="24">
        <f>Table1[[#This Row],[PMI]]-B26</f>
        <v>0.89999999999999858</v>
      </c>
      <c r="F38" s="13">
        <f>(Table1[[#This Row],[ACWI]]-D26)/D26</f>
        <v>0.16705016473303155</v>
      </c>
    </row>
    <row r="39" spans="1:6" x14ac:dyDescent="0.2">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43.807865142822273</v>
      </c>
      <c r="E39" s="24">
        <f>Table1[[#This Row],[PMI]]-B27</f>
        <v>2</v>
      </c>
      <c r="F39" s="13">
        <f>(Table1[[#This Row],[ACWI]]-D27)/D27</f>
        <v>0.20926412120304644</v>
      </c>
    </row>
    <row r="40" spans="1:6" x14ac:dyDescent="0.2">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42.802520751953118</v>
      </c>
      <c r="E40" s="24">
        <f>Table1[[#This Row],[PMI]]-B28</f>
        <v>2.8999999999999986</v>
      </c>
      <c r="F40" s="13">
        <f>(Table1[[#This Row],[ACWI]]-D28)/D28</f>
        <v>0.14954527059908287</v>
      </c>
    </row>
    <row r="41" spans="1:6" x14ac:dyDescent="0.2">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45.173454284667969</v>
      </c>
      <c r="E41" s="24">
        <f>Table1[[#This Row],[PMI]]-B29</f>
        <v>3.0999999999999943</v>
      </c>
      <c r="F41" s="13">
        <f>(Table1[[#This Row],[ACWI]]-D29)/D29</f>
        <v>0.18125992346815889</v>
      </c>
    </row>
    <row r="42" spans="1:6" x14ac:dyDescent="0.2">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46.957942962646477</v>
      </c>
      <c r="E42" s="24">
        <f>Table1[[#This Row],[PMI]]-B30</f>
        <v>3.2000000000000028</v>
      </c>
      <c r="F42" s="13">
        <f>(Table1[[#This Row],[ACWI]]-D30)/D30</f>
        <v>0.23426782025155907</v>
      </c>
    </row>
    <row r="43" spans="1:6" x14ac:dyDescent="0.2">
      <c r="A43" s="10">
        <v>41579</v>
      </c>
      <c r="B43" s="18">
        <f>IF(VLOOKUP(Table1[[#This Row],[Date]],'DB Global PMI'!$A:$F,2)=0,"",VLOOKUP(Table1[[#This Row],[Date]],'DB Global PMI'!$A:$F,2))</f>
        <v>53.1</v>
      </c>
      <c r="C43" s="24">
        <f>Table1[[#This Row],[PMI]]-B42</f>
        <v>1</v>
      </c>
      <c r="D43" s="19">
        <f>IF(VLOOKUP(Table1[[#This Row],[Date]],'DB Global PMI'!$A:$F,3)=0,"",VLOOKUP(Table1[[#This Row],[Date]],'DB Global PMI'!$A:$F,3))</f>
        <v>47.686813354492188</v>
      </c>
      <c r="E43" s="24">
        <f>Table1[[#This Row],[PMI]]-B31</f>
        <v>3.5</v>
      </c>
      <c r="F43" s="13">
        <f>(Table1[[#This Row],[ACWI]]-D31)/D31</f>
        <v>0.23377075067606268</v>
      </c>
    </row>
    <row r="44" spans="1:6" x14ac:dyDescent="0.2">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48.273262023925781</v>
      </c>
      <c r="E44" s="24">
        <f>Table1[[#This Row],[PMI]]-B32</f>
        <v>3.2999999999999972</v>
      </c>
      <c r="F44" s="13">
        <f>(Table1[[#This Row],[ACWI]]-D32)/D32</f>
        <v>0.22582431287684818</v>
      </c>
    </row>
    <row r="45" spans="1:6" x14ac:dyDescent="0.2">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46.418121337890618</v>
      </c>
      <c r="E45" s="24">
        <f>Table1[[#This Row],[PMI]]-B33</f>
        <v>1.3999999999999986</v>
      </c>
      <c r="F45" s="13">
        <f>(Table1[[#This Row],[ACWI]]-D33)/D33</f>
        <v>0.12471323501954514</v>
      </c>
    </row>
    <row r="46" spans="1:6" x14ac:dyDescent="0.2">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48.834068298339837</v>
      </c>
      <c r="E46" s="24">
        <f>Table1[[#This Row],[PMI]]-B34</f>
        <v>2.3999999999999986</v>
      </c>
      <c r="F46" s="13">
        <f>(Table1[[#This Row],[ACWI]]-D34)/D34</f>
        <v>0.18443870267193468</v>
      </c>
    </row>
    <row r="47" spans="1:6" x14ac:dyDescent="0.2">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49.112827301025391</v>
      </c>
      <c r="E47" s="24">
        <f>Table1[[#This Row],[PMI]]-B35</f>
        <v>1.1999999999999957</v>
      </c>
      <c r="F47" s="13">
        <f>(Table1[[#This Row],[ACWI]]-D35)/D35</f>
        <v>0.16984040922956339</v>
      </c>
    </row>
    <row r="48" spans="1:6" x14ac:dyDescent="0.2">
      <c r="A48" s="10">
        <v>41730</v>
      </c>
      <c r="B48" s="18">
        <f>IF(VLOOKUP(Table1[[#This Row],[Date]],'DB Global PMI'!$A:$F,2)=0,"",VLOOKUP(Table1[[#This Row],[Date]],'DB Global PMI'!$A:$F,2))</f>
        <v>51.9</v>
      </c>
      <c r="C48" s="24">
        <f>Table1[[#This Row],[PMI]]-B47</f>
        <v>-0.5</v>
      </c>
      <c r="D48" s="19">
        <f>IF(VLOOKUP(Table1[[#This Row],[Date]],'DB Global PMI'!$A:$F,3)=0,"",VLOOKUP(Table1[[#This Row],[Date]],'DB Global PMI'!$A:$F,3))</f>
        <v>49.695693969726562</v>
      </c>
      <c r="E48" s="24">
        <f>Table1[[#This Row],[PMI]]-B36</f>
        <v>1.5</v>
      </c>
      <c r="F48" s="13">
        <f>(Table1[[#This Row],[ACWI]]-D36)/D36</f>
        <v>0.15106317651014095</v>
      </c>
    </row>
    <row r="49" spans="1:6" x14ac:dyDescent="0.2">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50.692478179931641</v>
      </c>
      <c r="E49" s="24">
        <f>Table1[[#This Row],[PMI]]-B37</f>
        <v>1.6000000000000014</v>
      </c>
      <c r="F49" s="13">
        <f>(Table1[[#This Row],[ACWI]]-D37)/D37</f>
        <v>0.1786679370415814</v>
      </c>
    </row>
    <row r="50" spans="1:6" x14ac:dyDescent="0.2">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50.903652191162109</v>
      </c>
      <c r="E50" s="24">
        <f>Table1[[#This Row],[PMI]]-B38</f>
        <v>2</v>
      </c>
      <c r="F50" s="13">
        <f>(Table1[[#This Row],[ACWI]]-D38)/D38</f>
        <v>0.23068440326121861</v>
      </c>
    </row>
    <row r="51" spans="1:6" x14ac:dyDescent="0.2">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50.868995666503913</v>
      </c>
      <c r="E51" s="24">
        <f>Table1[[#This Row],[PMI]]-B39</f>
        <v>1.7000000000000028</v>
      </c>
      <c r="F51" s="13">
        <f>(Table1[[#This Row],[ACWI]]-D39)/D39</f>
        <v>0.16118408191453668</v>
      </c>
    </row>
    <row r="52" spans="1:6" x14ac:dyDescent="0.2">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52.179477691650391</v>
      </c>
      <c r="E52" s="24">
        <f>Table1[[#This Row],[PMI]]-B40</f>
        <v>1</v>
      </c>
      <c r="F52" s="13">
        <f>(Table1[[#This Row],[ACWI]]-D40)/D40</f>
        <v>0.21907487631483466</v>
      </c>
    </row>
    <row r="53" spans="1:6" x14ac:dyDescent="0.2">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50.449295043945312</v>
      </c>
      <c r="E53" s="24">
        <f>Table1[[#This Row],[PMI]]-B41</f>
        <v>0.40000000000000568</v>
      </c>
      <c r="F53" s="13">
        <f>(Table1[[#This Row],[ACWI]]-D41)/D41</f>
        <v>0.11679073125625425</v>
      </c>
    </row>
    <row r="54" spans="1:6" x14ac:dyDescent="0.2">
      <c r="A54" s="10">
        <v>41913</v>
      </c>
      <c r="B54" s="18">
        <f>IF(VLOOKUP(Table1[[#This Row],[Date]],'DB Global PMI'!$A:$F,2)=0,"",VLOOKUP(Table1[[#This Row],[Date]],'DB Global PMI'!$A:$F,2))</f>
        <v>52.2</v>
      </c>
      <c r="C54" s="24">
        <f>Table1[[#This Row],[PMI]]-B53</f>
        <v>0</v>
      </c>
      <c r="D54" s="19">
        <f>IF(VLOOKUP(Table1[[#This Row],[Date]],'DB Global PMI'!$A:$F,3)=0,"",VLOOKUP(Table1[[#This Row],[Date]],'DB Global PMI'!$A:$F,3))</f>
        <v>51.057430267333977</v>
      </c>
      <c r="E54" s="24">
        <f>Table1[[#This Row],[PMI]]-B42</f>
        <v>0.10000000000000142</v>
      </c>
      <c r="F54" s="13">
        <f>(Table1[[#This Row],[ACWI]]-D42)/D42</f>
        <v>8.7301253974189405E-2</v>
      </c>
    </row>
    <row r="55" spans="1:6" x14ac:dyDescent="0.2">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51.759777069091797</v>
      </c>
      <c r="E55" s="24">
        <f>Table1[[#This Row],[PMI]]-B43</f>
        <v>-1.3000000000000043</v>
      </c>
      <c r="F55" s="13">
        <f>(Table1[[#This Row],[ACWI]]-D43)/D43</f>
        <v>8.5410691721465773E-2</v>
      </c>
    </row>
    <row r="56" spans="1:6" x14ac:dyDescent="0.2">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50.106689453125</v>
      </c>
      <c r="E56" s="24">
        <f>Table1[[#This Row],[PMI]]-B44</f>
        <v>-1.6999999999999957</v>
      </c>
      <c r="F56" s="13">
        <f>(Table1[[#This Row],[ACWI]]-D44)/D44</f>
        <v>3.7980185144532247E-2</v>
      </c>
    </row>
    <row r="57" spans="1:6" x14ac:dyDescent="0.2">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49.874233245849609</v>
      </c>
      <c r="E57" s="24">
        <f>Table1[[#This Row],[PMI]]-B45</f>
        <v>-1.1999999999999957</v>
      </c>
      <c r="F57" s="13">
        <f>(Table1[[#This Row],[ACWI]]-D45)/D45</f>
        <v>7.4456091895683946E-2</v>
      </c>
    </row>
    <row r="58" spans="1:6" x14ac:dyDescent="0.2">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52.621505737304688</v>
      </c>
      <c r="E58" s="24">
        <f>Table1[[#This Row],[PMI]]-B46</f>
        <v>-1.2999999999999972</v>
      </c>
      <c r="F58" s="13">
        <f>(Table1[[#This Row],[ACWI]]-D46)/D46</f>
        <v>7.7557278574998612E-2</v>
      </c>
    </row>
    <row r="59" spans="1:6" x14ac:dyDescent="0.2">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51.852615356445312</v>
      </c>
      <c r="E59" s="24">
        <f>Table1[[#This Row],[PMI]]-B47</f>
        <v>-0.60000000000000142</v>
      </c>
      <c r="F59" s="13">
        <f>(Table1[[#This Row],[ACWI]]-D47)/D47</f>
        <v>5.5785590160123397E-2</v>
      </c>
    </row>
    <row r="60" spans="1:6" x14ac:dyDescent="0.2">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53.338558197021477</v>
      </c>
      <c r="E60" s="24">
        <f>Table1[[#This Row],[PMI]]-B48</f>
        <v>-0.89999999999999858</v>
      </c>
      <c r="F60" s="13">
        <f>(Table1[[#This Row],[ACWI]]-D48)/D48</f>
        <v>7.3303417988569819E-2</v>
      </c>
    </row>
    <row r="61" spans="1:6" x14ac:dyDescent="0.2">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53.338558197021477</v>
      </c>
      <c r="E61" s="24">
        <f>Table1[[#This Row],[PMI]]-B49</f>
        <v>-1</v>
      </c>
      <c r="F61" s="13">
        <f>(Table1[[#This Row],[ACWI]]-D49)/D49</f>
        <v>5.21986715208052E-2</v>
      </c>
    </row>
    <row r="62" spans="1:6" x14ac:dyDescent="0.2">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51.360187530517578</v>
      </c>
      <c r="E62" s="24">
        <f>Table1[[#This Row],[PMI]]-B50</f>
        <v>-1.6000000000000014</v>
      </c>
      <c r="F62" s="13">
        <f>(Table1[[#This Row],[ACWI]]-D50)/D50</f>
        <v>8.9686165865075669E-3</v>
      </c>
    </row>
    <row r="63" spans="1:6" x14ac:dyDescent="0.2">
      <c r="A63" s="10">
        <v>42186</v>
      </c>
      <c r="B63" s="18">
        <f>IF(VLOOKUP(Table1[[#This Row],[Date]],'DB Global PMI'!$A:$F,2)=0,"",VLOOKUP(Table1[[#This Row],[Date]],'DB Global PMI'!$A:$F,2))</f>
        <v>51</v>
      </c>
      <c r="C63" s="24">
        <f>Table1[[#This Row],[PMI]]-B62</f>
        <v>0</v>
      </c>
      <c r="D63" s="19">
        <f>IF(VLOOKUP(Table1[[#This Row],[Date]],'DB Global PMI'!$A:$F,3)=0,"",VLOOKUP(Table1[[#This Row],[Date]],'DB Global PMI'!$A:$F,3))</f>
        <v>52.3916015625</v>
      </c>
      <c r="E63" s="24">
        <f>Table1[[#This Row],[PMI]]-B51</f>
        <v>-1.5</v>
      </c>
      <c r="F63" s="13">
        <f>(Table1[[#This Row],[ACWI]]-D51)/D51</f>
        <v>2.9931904022211478E-2</v>
      </c>
    </row>
    <row r="64" spans="1:6" x14ac:dyDescent="0.2">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48.825416564941413</v>
      </c>
      <c r="E64" s="24">
        <f>Table1[[#This Row],[PMI]]-B52</f>
        <v>-1.8999999999999986</v>
      </c>
      <c r="F64" s="13">
        <f>(Table1[[#This Row],[ACWI]]-D52)/D52</f>
        <v>-6.4279315836189066E-2</v>
      </c>
    </row>
    <row r="65" spans="1:6" x14ac:dyDescent="0.2">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47.147201538085938</v>
      </c>
      <c r="E65" s="24">
        <f>Table1[[#This Row],[PMI]]-B53</f>
        <v>-1.6000000000000014</v>
      </c>
      <c r="F65" s="13">
        <f>(Table1[[#This Row],[ACWI]]-D53)/D53</f>
        <v>-6.5453709570827329E-2</v>
      </c>
    </row>
    <row r="66" spans="1:6" x14ac:dyDescent="0.2">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50.757095336914062</v>
      </c>
      <c r="E66" s="24">
        <f>Table1[[#This Row],[PMI]]-B54</f>
        <v>-0.80000000000000426</v>
      </c>
      <c r="F66" s="13">
        <f>(Table1[[#This Row],[ACWI]]-D54)/D54</f>
        <v>-5.8822962465478017E-3</v>
      </c>
    </row>
    <row r="67" spans="1:6" x14ac:dyDescent="0.2">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50.486141204833977</v>
      </c>
      <c r="E67" s="24">
        <f>Table1[[#This Row],[PMI]]-B55</f>
        <v>-0.59999999999999432</v>
      </c>
      <c r="F67" s="13">
        <f>(Table1[[#This Row],[ACWI]]-D55)/D55</f>
        <v>-2.4606672137665903E-2</v>
      </c>
    </row>
    <row r="68" spans="1:6" x14ac:dyDescent="0.2">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48.790451049804688</v>
      </c>
      <c r="E68" s="24">
        <f>Table1[[#This Row],[PMI]]-B56</f>
        <v>-0.70000000000000284</v>
      </c>
      <c r="F68" s="13">
        <f>(Table1[[#This Row],[ACWI]]-D56)/D56</f>
        <v>-2.626871616716284E-2</v>
      </c>
    </row>
    <row r="69" spans="1:6" x14ac:dyDescent="0.2">
      <c r="A69" s="10">
        <v>42370</v>
      </c>
      <c r="B69" s="18">
        <f>IF(VLOOKUP(Table1[[#This Row],[Date]],'DB Global PMI'!$A:$F,2)=0,"",VLOOKUP(Table1[[#This Row],[Date]],'DB Global PMI'!$A:$F,2))</f>
        <v>50.9</v>
      </c>
      <c r="C69" s="24">
        <f>Table1[[#This Row],[PMI]]-B68</f>
        <v>0</v>
      </c>
      <c r="D69" s="19">
        <f>IF(VLOOKUP(Table1[[#This Row],[Date]],'DB Global PMI'!$A:$F,3)=0,"",VLOOKUP(Table1[[#This Row],[Date]],'DB Global PMI'!$A:$F,3))</f>
        <v>46.802230834960938</v>
      </c>
      <c r="E69" s="24">
        <f>Table1[[#This Row],[PMI]]-B57</f>
        <v>-0.80000000000000426</v>
      </c>
      <c r="F69" s="13">
        <f>(Table1[[#This Row],[ACWI]]-D57)/D57</f>
        <v>-6.1594980232489389E-2</v>
      </c>
    </row>
    <row r="70" spans="1:6" x14ac:dyDescent="0.2">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46.217876434326172</v>
      </c>
      <c r="E70" s="24">
        <f>Table1[[#This Row],[PMI]]-B58</f>
        <v>-2</v>
      </c>
      <c r="F70" s="13">
        <f>(Table1[[#This Row],[ACWI]]-D58)/D58</f>
        <v>-0.12169224755647431</v>
      </c>
    </row>
    <row r="71" spans="1:6" x14ac:dyDescent="0.2">
      <c r="A71" s="10">
        <v>42430</v>
      </c>
      <c r="B71" s="18">
        <f>IF(VLOOKUP(Table1[[#This Row],[Date]],'DB Global PMI'!$A:$F,2)=0,"",VLOOKUP(Table1[[#This Row],[Date]],'DB Global PMI'!$A:$F,2))</f>
        <v>50.5</v>
      </c>
      <c r="C71" s="24">
        <f>Table1[[#This Row],[PMI]]-B70</f>
        <v>0.5</v>
      </c>
      <c r="D71" s="19">
        <f>IF(VLOOKUP(Table1[[#This Row],[Date]],'DB Global PMI'!$A:$F,3)=0,"",VLOOKUP(Table1[[#This Row],[Date]],'DB Global PMI'!$A:$F,3))</f>
        <v>49.635517120361328</v>
      </c>
      <c r="E71" s="24">
        <f>Table1[[#This Row],[PMI]]-B59</f>
        <v>-1.2999999999999972</v>
      </c>
      <c r="F71" s="13">
        <f>(Table1[[#This Row],[ACWI]]-D59)/D59</f>
        <v>-4.2757693528922405E-2</v>
      </c>
    </row>
    <row r="72" spans="1:6" x14ac:dyDescent="0.2">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50.299568176269531</v>
      </c>
      <c r="E72" s="24">
        <f>Table1[[#This Row],[PMI]]-B60</f>
        <v>-0.89999999999999858</v>
      </c>
      <c r="F72" s="13">
        <f>(Table1[[#This Row],[ACWI]]-D60)/D60</f>
        <v>-5.6975481218044036E-2</v>
      </c>
    </row>
    <row r="73" spans="1:6" x14ac:dyDescent="0.2">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50.467784881591797</v>
      </c>
      <c r="E73" s="24">
        <f>Table1[[#This Row],[PMI]]-B61</f>
        <v>-1.2000000000000028</v>
      </c>
      <c r="F73" s="13">
        <f>(Table1[[#This Row],[ACWI]]-D61)/D61</f>
        <v>-5.3821726954554047E-2</v>
      </c>
    </row>
    <row r="74" spans="1:6" x14ac:dyDescent="0.2">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49.786022186279297</v>
      </c>
      <c r="E74" s="24">
        <f>Table1[[#This Row],[PMI]]-B62</f>
        <v>-0.10000000000000142</v>
      </c>
      <c r="F74" s="13">
        <f>(Table1[[#This Row],[ACWI]]-D62)/D62</f>
        <v>-3.0649524854303382E-2</v>
      </c>
    </row>
    <row r="75" spans="1:6" x14ac:dyDescent="0.2">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52.344524383544922</v>
      </c>
      <c r="E75" s="24">
        <f>Table1[[#This Row],[PMI]]-B63</f>
        <v>0</v>
      </c>
      <c r="F75" s="13">
        <f>(Table1[[#This Row],[ACWI]]-D63)/D63</f>
        <v>-8.9856346343827474E-4</v>
      </c>
    </row>
    <row r="76" spans="1:6" x14ac:dyDescent="0.2">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52.523929595947273</v>
      </c>
      <c r="E76" s="24">
        <f>Table1[[#This Row],[PMI]]-B64</f>
        <v>0.19999999999999574</v>
      </c>
      <c r="F76" s="13">
        <f>(Table1[[#This Row],[ACWI]]-D64)/D64</f>
        <v>7.5749748618868698E-2</v>
      </c>
    </row>
    <row r="77" spans="1:6" x14ac:dyDescent="0.2">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53.017326354980469</v>
      </c>
      <c r="E77" s="24">
        <f>Table1[[#This Row],[PMI]]-B65</f>
        <v>0.39999999999999858</v>
      </c>
      <c r="F77" s="13">
        <f>(Table1[[#This Row],[ACWI]]-D65)/D65</f>
        <v>0.12450632541048255</v>
      </c>
    </row>
    <row r="78" spans="1:6" x14ac:dyDescent="0.2">
      <c r="A78" s="10">
        <v>42644</v>
      </c>
      <c r="B78" s="18">
        <f>IF(VLOOKUP(Table1[[#This Row],[Date]],'DB Global PMI'!$A:$F,2)=0,"",VLOOKUP(Table1[[#This Row],[Date]],'DB Global PMI'!$A:$F,2))</f>
        <v>52</v>
      </c>
      <c r="C78" s="24">
        <f>Table1[[#This Row],[PMI]]-B77</f>
        <v>1</v>
      </c>
      <c r="D78" s="19">
        <f>IF(VLOOKUP(Table1[[#This Row],[Date]],'DB Global PMI'!$A:$F,3)=0,"",VLOOKUP(Table1[[#This Row],[Date]],'DB Global PMI'!$A:$F,3))</f>
        <v>52.003635406494141</v>
      </c>
      <c r="E78" s="24">
        <f>Table1[[#This Row],[PMI]]-B66</f>
        <v>0.60000000000000142</v>
      </c>
      <c r="F78" s="13">
        <f>(Table1[[#This Row],[ACWI]]-D66)/D66</f>
        <v>2.4558932328688797E-2</v>
      </c>
    </row>
    <row r="79" spans="1:6" x14ac:dyDescent="0.2">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52.541877746582031</v>
      </c>
      <c r="E79" s="24">
        <f>Table1[[#This Row],[PMI]]-B67</f>
        <v>0.89999999999999858</v>
      </c>
      <c r="F79" s="13">
        <f>(Table1[[#This Row],[ACWI]]-D67)/D67</f>
        <v>4.0718828824874022E-2</v>
      </c>
    </row>
    <row r="80" spans="1:6" x14ac:dyDescent="0.2">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53.080120086669922</v>
      </c>
      <c r="E80" s="24">
        <f>Table1[[#This Row],[PMI]]-B68</f>
        <v>1.8000000000000043</v>
      </c>
      <c r="F80" s="13">
        <f>(Table1[[#This Row],[ACWI]]-D68)/D68</f>
        <v>8.7920257848946581E-2</v>
      </c>
    </row>
    <row r="81" spans="1:6" x14ac:dyDescent="0.2">
      <c r="A81" s="10">
        <v>42736</v>
      </c>
      <c r="B81" s="18">
        <f>IF(VLOOKUP(Table1[[#This Row],[Date]],'DB Global PMI'!$A:$F,2)=0,"",VLOOKUP(Table1[[#This Row],[Date]],'DB Global PMI'!$A:$F,2))</f>
        <v>52.7</v>
      </c>
      <c r="C81" s="24">
        <f>Table1[[#This Row],[PMI]]-B80</f>
        <v>0</v>
      </c>
      <c r="D81" s="19">
        <f>IF(VLOOKUP(Table1[[#This Row],[Date]],'DB Global PMI'!$A:$F,3)=0,"",VLOOKUP(Table1[[#This Row],[Date]],'DB Global PMI'!$A:$F,3))</f>
        <v>55.130203247070312</v>
      </c>
      <c r="E81" s="24">
        <f>Table1[[#This Row],[PMI]]-B69</f>
        <v>1.8000000000000043</v>
      </c>
      <c r="F81" s="13">
        <f>(Table1[[#This Row],[ACWI]]-D69)/D69</f>
        <v>0.17793964654113106</v>
      </c>
    </row>
    <row r="82" spans="1:6" x14ac:dyDescent="0.2">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56.515472412109382</v>
      </c>
      <c r="E82" s="24">
        <f>Table1[[#This Row],[PMI]]-B70</f>
        <v>3</v>
      </c>
      <c r="F82" s="13">
        <f>(Table1[[#This Row],[ACWI]]-D70)/D70</f>
        <v>0.22280547641377896</v>
      </c>
    </row>
    <row r="83" spans="1:6" x14ac:dyDescent="0.2">
      <c r="A83" s="10">
        <v>42795</v>
      </c>
      <c r="B83" s="18">
        <f>IF(VLOOKUP(Table1[[#This Row],[Date]],'DB Global PMI'!$A:$F,2)=0,"",VLOOKUP(Table1[[#This Row],[Date]],'DB Global PMI'!$A:$F,2))</f>
        <v>53</v>
      </c>
      <c r="C83" s="24">
        <f>Table1[[#This Row],[PMI]]-B82</f>
        <v>0</v>
      </c>
      <c r="D83" s="19">
        <f>IF(VLOOKUP(Table1[[#This Row],[Date]],'DB Global PMI'!$A:$F,3)=0,"",VLOOKUP(Table1[[#This Row],[Date]],'DB Global PMI'!$A:$F,3))</f>
        <v>57.276012420654297</v>
      </c>
      <c r="E83" s="24">
        <f>Table1[[#This Row],[PMI]]-B71</f>
        <v>2.5</v>
      </c>
      <c r="F83" s="13">
        <f>(Table1[[#This Row],[ACWI]]-D71)/D71</f>
        <v>0.15393201770751189</v>
      </c>
    </row>
    <row r="84" spans="1:6" x14ac:dyDescent="0.2">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58.199527740478523</v>
      </c>
      <c r="E84" s="24">
        <f>Table1[[#This Row],[PMI]]-B72</f>
        <v>2.6000000000000014</v>
      </c>
      <c r="F84" s="13">
        <f>(Table1[[#This Row],[ACWI]]-D72)/D72</f>
        <v>0.15705819852219041</v>
      </c>
    </row>
    <row r="85" spans="1:6" x14ac:dyDescent="0.2">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59.485206604003913</v>
      </c>
      <c r="E85" s="24">
        <f>Table1[[#This Row],[PMI]]-B73</f>
        <v>2.6000000000000014</v>
      </c>
      <c r="F85" s="13">
        <f>(Table1[[#This Row],[ACWI]]-D73)/D73</f>
        <v>0.17867678844175378</v>
      </c>
    </row>
    <row r="86" spans="1:6" x14ac:dyDescent="0.2">
      <c r="A86" s="10">
        <v>42887</v>
      </c>
      <c r="B86" s="18">
        <f>IF(VLOOKUP(Table1[[#This Row],[Date]],'DB Global PMI'!$A:$F,2)=0,"",VLOOKUP(Table1[[#This Row],[Date]],'DB Global PMI'!$A:$F,2))</f>
        <v>52.6</v>
      </c>
      <c r="C86" s="24">
        <f>Table1[[#This Row],[PMI]]-B85</f>
        <v>0</v>
      </c>
      <c r="D86" s="19">
        <f>IF(VLOOKUP(Table1[[#This Row],[Date]],'DB Global PMI'!$A:$F,3)=0,"",VLOOKUP(Table1[[#This Row],[Date]],'DB Global PMI'!$A:$F,3))</f>
        <v>59.295070648193359</v>
      </c>
      <c r="E86" s="24">
        <f>Table1[[#This Row],[PMI]]-B74</f>
        <v>1.7000000000000028</v>
      </c>
      <c r="F86" s="13">
        <f>(Table1[[#This Row],[ACWI]]-D74)/D74</f>
        <v>0.19099835745734059</v>
      </c>
    </row>
    <row r="87" spans="1:6" x14ac:dyDescent="0.2">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61.592098236083977</v>
      </c>
      <c r="E87" s="24">
        <f>Table1[[#This Row],[PMI]]-B75</f>
        <v>1.7999999999999972</v>
      </c>
      <c r="F87" s="13">
        <f>(Table1[[#This Row],[ACWI]]-D75)/D75</f>
        <v>0.17666745397816877</v>
      </c>
    </row>
    <row r="88" spans="1:6" x14ac:dyDescent="0.2">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61.839275360107422</v>
      </c>
      <c r="E88" s="24">
        <f>Table1[[#This Row],[PMI]]-B76</f>
        <v>2.3000000000000043</v>
      </c>
      <c r="F88" s="13">
        <f>(Table1[[#This Row],[ACWI]]-D76)/D76</f>
        <v>0.17735431898985177</v>
      </c>
    </row>
    <row r="89" spans="1:6" x14ac:dyDescent="0.2">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63.001903533935547</v>
      </c>
      <c r="E89" s="24">
        <f>Table1[[#This Row],[PMI]]-B77</f>
        <v>2.2999999999999972</v>
      </c>
      <c r="F89" s="13">
        <f>(Table1[[#This Row],[ACWI]]-D77)/D77</f>
        <v>0.18832668233970881</v>
      </c>
    </row>
    <row r="90" spans="1:6" x14ac:dyDescent="0.2">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64.356796264648438</v>
      </c>
      <c r="E90" s="24">
        <f>Table1[[#This Row],[PMI]]-B78</f>
        <v>1.5</v>
      </c>
      <c r="F90" s="13">
        <f>(Table1[[#This Row],[ACWI]]-D78)/D78</f>
        <v>0.23754417862508995</v>
      </c>
    </row>
    <row r="91" spans="1:6" x14ac:dyDescent="0.2">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65.656745910644531</v>
      </c>
      <c r="E91" s="24">
        <f>Table1[[#This Row],[PMI]]-B79</f>
        <v>2</v>
      </c>
      <c r="F91" s="13">
        <f>(Table1[[#This Row],[ACWI]]-D79)/D79</f>
        <v>0.24960790756884688</v>
      </c>
    </row>
    <row r="92" spans="1:6" x14ac:dyDescent="0.2">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65.995445251464844</v>
      </c>
      <c r="E92" s="24">
        <f>Table1[[#This Row],[PMI]]-B80</f>
        <v>1.7999999999999972</v>
      </c>
      <c r="F92" s="13">
        <f>(Table1[[#This Row],[ACWI]]-D80)/D80</f>
        <v>0.2433175573775381</v>
      </c>
    </row>
    <row r="93" spans="1:6" x14ac:dyDescent="0.2">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70.406509399414062</v>
      </c>
      <c r="E93" s="24">
        <f>Table1[[#This Row],[PMI]]-B81</f>
        <v>1.6999999999999957</v>
      </c>
      <c r="F93" s="13">
        <f>(Table1[[#This Row],[ACWI]]-D81)/D81</f>
        <v>0.27709504504965798</v>
      </c>
    </row>
    <row r="94" spans="1:6" x14ac:dyDescent="0.2">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67.255775451660156</v>
      </c>
      <c r="E94" s="24">
        <f>Table1[[#This Row],[PMI]]-B82</f>
        <v>1.1000000000000014</v>
      </c>
      <c r="F94" s="13">
        <f>(Table1[[#This Row],[ACWI]]-D82)/D82</f>
        <v>0.19004181653535085</v>
      </c>
    </row>
    <row r="95" spans="1:6" x14ac:dyDescent="0.2">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66.248641967773438</v>
      </c>
      <c r="E95" s="24">
        <f>Table1[[#This Row],[PMI]]-B83</f>
        <v>0.29999999999999716</v>
      </c>
      <c r="F95" s="13">
        <f>(Table1[[#This Row],[ACWI]]-D83)/D83</f>
        <v>0.15665597460279063</v>
      </c>
    </row>
    <row r="96" spans="1:6" x14ac:dyDescent="0.2">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66.5166015625</v>
      </c>
      <c r="E96" s="24">
        <f>Table1[[#This Row],[PMI]]-B84</f>
        <v>0.79999999999999716</v>
      </c>
      <c r="F96" s="13">
        <f>(Table1[[#This Row],[ACWI]]-D84)/D84</f>
        <v>0.14290620809001592</v>
      </c>
    </row>
    <row r="97" spans="1:6" x14ac:dyDescent="0.2">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66.83074951171875</v>
      </c>
      <c r="E97" s="24">
        <f>Table1[[#This Row],[PMI]]-B85</f>
        <v>0.5</v>
      </c>
      <c r="F97" s="13">
        <f>(Table1[[#This Row],[ACWI]]-D85)/D85</f>
        <v>0.12348520459237024</v>
      </c>
    </row>
    <row r="98" spans="1:6" x14ac:dyDescent="0.2">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65.712745666503906</v>
      </c>
      <c r="E98" s="24">
        <f>Table1[[#This Row],[PMI]]-B86</f>
        <v>0.39999999999999858</v>
      </c>
      <c r="F98" s="13">
        <f>(Table1[[#This Row],[ACWI]]-D86)/D86</f>
        <v>0.10823285895698793</v>
      </c>
    </row>
    <row r="99" spans="1:6" x14ac:dyDescent="0.2">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68.476127624511719</v>
      </c>
      <c r="E99" s="24">
        <f>Table1[[#This Row],[PMI]]-B87</f>
        <v>0</v>
      </c>
      <c r="F99" s="13">
        <f>(Table1[[#This Row],[ACWI]]-D87)/D87</f>
        <v>0.11176806092952205</v>
      </c>
    </row>
    <row r="100" spans="1:6" x14ac:dyDescent="0.2">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68.952545166015625</v>
      </c>
      <c r="E100" s="24">
        <f>Table1[[#This Row],[PMI]]-B88</f>
        <v>-0.60000000000000142</v>
      </c>
      <c r="F100" s="13">
        <f>(Table1[[#This Row],[ACWI]]-D88)/D88</f>
        <v>0.11502834993595318</v>
      </c>
    </row>
    <row r="101" spans="1:6" x14ac:dyDescent="0.2">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69.372932434082031</v>
      </c>
      <c r="E101" s="24">
        <f>Table1[[#This Row],[PMI]]-B89</f>
        <v>-1.0999999999999943</v>
      </c>
      <c r="F101" s="13">
        <f>(Table1[[#This Row],[ACWI]]-D89)/D89</f>
        <v>0.10112438740386269</v>
      </c>
    </row>
    <row r="102" spans="1:6" x14ac:dyDescent="0.2">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64.216201782226562</v>
      </c>
      <c r="E102" s="24">
        <f>Table1[[#This Row],[PMI]]-B90</f>
        <v>-1.5</v>
      </c>
      <c r="F102" s="13">
        <f>(Table1[[#This Row],[ACWI]]-D90)/D90</f>
        <v>-2.1846097161785593E-3</v>
      </c>
    </row>
    <row r="103" spans="1:6" x14ac:dyDescent="0.2">
      <c r="A103" s="10">
        <v>43405</v>
      </c>
      <c r="B103" s="18">
        <f>IF(VLOOKUP(Table1[[#This Row],[Date]],'DB Global PMI'!$A:$F,2)=0,"",VLOOKUP(Table1[[#This Row],[Date]],'DB Global PMI'!$A:$F,2))</f>
        <v>52</v>
      </c>
      <c r="C103" s="24">
        <f>Table1[[#This Row],[PMI]]-B102</f>
        <v>0</v>
      </c>
      <c r="D103" s="19">
        <f>IF(VLOOKUP(Table1[[#This Row],[Date]],'DB Global PMI'!$A:$F,3)=0,"",VLOOKUP(Table1[[#This Row],[Date]],'DB Global PMI'!$A:$F,3))</f>
        <v>65.234481811523438</v>
      </c>
      <c r="E103" s="24">
        <f>Table1[[#This Row],[PMI]]-B91</f>
        <v>-2.1000000000000014</v>
      </c>
      <c r="F103" s="13">
        <f>(Table1[[#This Row],[ACWI]]-D91)/D91</f>
        <v>-6.4313893913623679E-3</v>
      </c>
    </row>
    <row r="104" spans="1:6" x14ac:dyDescent="0.2">
      <c r="A104" s="10">
        <v>43435</v>
      </c>
      <c r="B104" s="18">
        <f>IF(VLOOKUP(Table1[[#This Row],[Date]],'DB Global PMI'!$A:$F,2)=0,"",VLOOKUP(Table1[[#This Row],[Date]],'DB Global PMI'!$A:$F,2))</f>
        <v>51.5</v>
      </c>
      <c r="C104" s="24">
        <f>Table1[[#This Row],[PMI]]-B103</f>
        <v>-0.5</v>
      </c>
      <c r="D104" s="19">
        <f>IF(VLOOKUP(Table1[[#This Row],[Date]],'DB Global PMI'!$A:$F,3)=0,"",VLOOKUP(Table1[[#This Row],[Date]],'DB Global PMI'!$A:$F,3))</f>
        <v>59.9376220703125</v>
      </c>
      <c r="E104" s="24">
        <f>Table1[[#This Row],[PMI]]-B92</f>
        <v>-3</v>
      </c>
      <c r="F104" s="13">
        <f>(Table1[[#This Row],[ACWI]]-D92)/D92</f>
        <v>-9.1791534371349418E-2</v>
      </c>
    </row>
    <row r="105" spans="1:6" x14ac:dyDescent="0.2">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65.399131774902344</v>
      </c>
      <c r="E105" s="24">
        <f>Table1[[#This Row],[PMI]]-B93</f>
        <v>-3.6999999999999957</v>
      </c>
      <c r="F105" s="13">
        <f>(Table1[[#This Row],[ACWI]]-D93)/D93</f>
        <v>-7.1120947015069477E-2</v>
      </c>
    </row>
    <row r="106" spans="1:6" x14ac:dyDescent="0.2">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67.012397766113281</v>
      </c>
      <c r="E106" s="24">
        <f>Table1[[#This Row],[PMI]]-B94</f>
        <v>-3.5</v>
      </c>
      <c r="F106" s="13">
        <f>(Table1[[#This Row],[ACWI]]-D94)/D94</f>
        <v>-3.6186882674752864E-3</v>
      </c>
    </row>
    <row r="107" spans="1:6" x14ac:dyDescent="0.2">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68.069046020507812</v>
      </c>
      <c r="E107" s="24">
        <f>Table1[[#This Row],[PMI]]-B95</f>
        <v>-2.7999999999999972</v>
      </c>
      <c r="F107" s="13">
        <f>(Table1[[#This Row],[ACWI]]-D95)/D95</f>
        <v>2.7478360290312188E-2</v>
      </c>
    </row>
    <row r="108" spans="1:6" x14ac:dyDescent="0.2">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70.399345397949219</v>
      </c>
      <c r="E108" s="24">
        <f>Table1[[#This Row],[PMI]]-B96</f>
        <v>-3.1000000000000014</v>
      </c>
      <c r="F108" s="13">
        <f>(Table1[[#This Row],[ACWI]]-D96)/D96</f>
        <v>5.8372552779939219E-2</v>
      </c>
    </row>
    <row r="109" spans="1:6" x14ac:dyDescent="0.2">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66.125564575195312</v>
      </c>
      <c r="E109" s="24">
        <f>Table1[[#This Row],[PMI]]-B97</f>
        <v>-3.3000000000000043</v>
      </c>
      <c r="F109" s="13">
        <f>(Table1[[#This Row],[ACWI]]-D97)/D97</f>
        <v>-1.0551803498773922E-2</v>
      </c>
    </row>
    <row r="110" spans="1:6" x14ac:dyDescent="0.2">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69.540817260742188</v>
      </c>
      <c r="E110" s="24">
        <f>Table1[[#This Row],[PMI]]-B98</f>
        <v>-3.6000000000000014</v>
      </c>
      <c r="F110" s="13">
        <f>(Table1[[#This Row],[ACWI]]-D98)/D98</f>
        <v>5.8254628617497924E-2</v>
      </c>
    </row>
    <row r="111" spans="1:6" x14ac:dyDescent="0.2">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70.465171813964844</v>
      </c>
      <c r="E111" s="24">
        <f>Table1[[#This Row],[PMI]]-B99</f>
        <v>-3.5</v>
      </c>
      <c r="F111" s="13">
        <f>(Table1[[#This Row],[ACWI]]-D99)/D99</f>
        <v>2.9047264476753598E-2</v>
      </c>
    </row>
    <row r="112" spans="1:6" x14ac:dyDescent="0.2">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68.907981872558594</v>
      </c>
      <c r="E112" s="15">
        <f>Table1[[#This Row],[PMI]]-B100</f>
        <v>-3.1000000000000014</v>
      </c>
      <c r="F112" s="16">
        <f>(Table1[[#This Row],[ACWI]]-D100)/D100</f>
        <v>-6.4628931897636451E-4</v>
      </c>
    </row>
    <row r="113" spans="1:6" x14ac:dyDescent="0.2">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70.455612182617188</v>
      </c>
      <c r="E113" s="24">
        <f>Table1[[#This Row],[PMI]]-B101</f>
        <v>-2.5</v>
      </c>
      <c r="F113" s="13">
        <f>(Table1[[#This Row],[ACWI]]-D101)/D101</f>
        <v>1.5606659694887708E-2</v>
      </c>
    </row>
    <row r="114" spans="1:6" x14ac:dyDescent="0.2">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72.385391235351562</v>
      </c>
      <c r="E114" s="15">
        <f>Table1[[#This Row],[PMI]]-B102</f>
        <v>-2.2000000000000028</v>
      </c>
      <c r="F114" s="16">
        <f>(Table1[[#This Row],[ACWI]]-D102)/D102</f>
        <v>0.12721383741798986</v>
      </c>
    </row>
    <row r="115" spans="1:6" x14ac:dyDescent="0.2">
      <c r="A115" s="10">
        <v>43770</v>
      </c>
      <c r="B115" s="18">
        <f>IF(VLOOKUP(Table1[[#This Row],[Date]],'DB Global PMI'!$A:$F,2)=0,"",VLOOKUP(Table1[[#This Row],[Date]],'DB Global PMI'!$A:$F,2))</f>
        <v>50.3</v>
      </c>
      <c r="C115" s="24">
        <f>Table1[[#This Row],[PMI]]-B114</f>
        <v>0.5</v>
      </c>
      <c r="D115" s="19">
        <f>IF(VLOOKUP(Table1[[#This Row],[Date]],'DB Global PMI'!$A:$F,3)=0,"",VLOOKUP(Table1[[#This Row],[Date]],'DB Global PMI'!$A:$F,3))</f>
        <v>74.076316833496094</v>
      </c>
      <c r="E115" s="24">
        <f>Table1[[#This Row],[PMI]]-B103</f>
        <v>-1.7000000000000028</v>
      </c>
      <c r="F115" s="13">
        <f>(Table1[[#This Row],[ACWI]]-D103)/D103</f>
        <v>0.13553928499836382</v>
      </c>
    </row>
    <row r="116" spans="1:6" x14ac:dyDescent="0.2">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75.709938049316406</v>
      </c>
      <c r="E116" s="15">
        <f>Table1[[#This Row],[PMI]]-B104</f>
        <v>-1.3999999999999986</v>
      </c>
      <c r="F116" s="16">
        <f>(Table1[[#This Row],[ACWI]]-D104)/D104</f>
        <v>0.26314550751615551</v>
      </c>
    </row>
    <row r="117" spans="1:6" x14ac:dyDescent="0.2">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75.523735046386719</v>
      </c>
      <c r="E117" s="24">
        <f>Table1[[#This Row],[PMI]]-B105</f>
        <v>-0.30000000000000426</v>
      </c>
      <c r="F117" s="13">
        <f>(Table1[[#This Row],[ACWI]]-D105)/D105</f>
        <v>0.15481250280710615</v>
      </c>
    </row>
    <row r="118" spans="1:6" x14ac:dyDescent="0.2">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69.867439270019531</v>
      </c>
      <c r="E118" s="15">
        <f>Table1[[#This Row],[PMI]]-B106</f>
        <v>-3.5</v>
      </c>
      <c r="F118" s="16">
        <f>(Table1[[#This Row],[ACWI]]-D106)/D106</f>
        <v>4.2604676135763977E-2</v>
      </c>
    </row>
    <row r="119" spans="1:6" x14ac:dyDescent="0.2">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60.498271942138672</v>
      </c>
      <c r="E119" s="24">
        <f>Table1[[#This Row],[PMI]]-B107</f>
        <v>-3.2000000000000028</v>
      </c>
      <c r="F119" s="13">
        <f>(Table1[[#This Row],[ACWI]]-D107)/D107</f>
        <v>-0.11122198004785054</v>
      </c>
    </row>
    <row r="120" spans="1:6" x14ac:dyDescent="0.2">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66.444648742675781</v>
      </c>
      <c r="E120" s="15">
        <f>Table1[[#This Row],[PMI]]-B108</f>
        <v>-10.799999999999997</v>
      </c>
      <c r="F120" s="16">
        <f>(Table1[[#This Row],[ACWI]]-D108)/D108</f>
        <v>-5.6175190733927488E-2</v>
      </c>
    </row>
    <row r="121" spans="1:6" x14ac:dyDescent="0.2">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69.828758239746094</v>
      </c>
      <c r="E121" s="24">
        <f>Table1[[#This Row],[PMI]]-B109</f>
        <v>-7.3999999999999986</v>
      </c>
      <c r="F121" s="13">
        <f>(Table1[[#This Row],[ACWI]]-D109)/D109</f>
        <v>5.6002450615596021E-2</v>
      </c>
    </row>
    <row r="122" spans="1:6" x14ac:dyDescent="0.2">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71.279090881347656</v>
      </c>
      <c r="E122" s="15">
        <f>Table1[[#This Row],[PMI]]-B110</f>
        <v>-1.6000000000000014</v>
      </c>
      <c r="F122" s="16">
        <f>(Table1[[#This Row],[ACWI]]-D110)/D110</f>
        <v>2.4996450848252753E-2</v>
      </c>
    </row>
    <row r="123" spans="1:6" x14ac:dyDescent="0.2">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75.733634948730469</v>
      </c>
      <c r="E123" s="24">
        <f>Table1[[#This Row],[PMI]]-B111</f>
        <v>1.3000000000000043</v>
      </c>
      <c r="F123" s="13">
        <f>(Table1[[#This Row],[ACWI]]-D111)/D111</f>
        <v>7.4766909653962085E-2</v>
      </c>
    </row>
    <row r="124" spans="1:6" x14ac:dyDescent="0.2">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80.296966552734375</v>
      </c>
      <c r="E124" s="15">
        <f>Table1[[#This Row],[PMI]]-B112</f>
        <v>2.2999999999999972</v>
      </c>
      <c r="F124" s="16">
        <f>(Table1[[#This Row],[ACWI]]-D112)/D112</f>
        <v>0.16527816329375403</v>
      </c>
    </row>
    <row r="125" spans="1:6" x14ac:dyDescent="0.2">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77.927543640136719</v>
      </c>
      <c r="E125" s="24">
        <f>Table1[[#This Row],[PMI]]-B113</f>
        <v>2.6999999999999957</v>
      </c>
      <c r="F125" s="13">
        <f>(Table1[[#This Row],[ACWI]]-D113)/D113</f>
        <v>0.10605161499629985</v>
      </c>
    </row>
    <row r="126" spans="1:6" x14ac:dyDescent="0.2">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76.191925048828125</v>
      </c>
      <c r="E126" s="15">
        <f>Table1[[#This Row],[PMI]]-B114</f>
        <v>3.2000000000000028</v>
      </c>
      <c r="F126" s="16">
        <f>(Table1[[#This Row],[ACWI]]-D114)/D114</f>
        <v>5.2587044823728578E-2</v>
      </c>
    </row>
    <row r="127" spans="1:6" x14ac:dyDescent="0.2">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85.152816772460938</v>
      </c>
      <c r="E127" s="24">
        <f>Table1[[#This Row],[PMI]]-B115</f>
        <v>3.5</v>
      </c>
      <c r="F127" s="13">
        <f>(Table1[[#This Row],[ACWI]]-D115)/D115</f>
        <v>0.14952822187234116</v>
      </c>
    </row>
    <row r="128" spans="1:6" x14ac:dyDescent="0.2">
      <c r="A128" s="14">
        <v>44166</v>
      </c>
      <c r="B128" s="18">
        <f>IF(VLOOKUP(Table1[[#This Row],[Date]],'DB Global PMI'!$A:$F,2)=0,"",VLOOKUP(Table1[[#This Row],[Date]],'DB Global PMI'!$A:$F,2))</f>
        <v>53.8</v>
      </c>
      <c r="C128" s="15">
        <f>Table1[[#This Row],[PMI]]-B127</f>
        <v>0</v>
      </c>
      <c r="D128" s="19">
        <f>IF(VLOOKUP(Table1[[#This Row],[Date]],'DB Global PMI'!$A:$F,3)=0,"",VLOOKUP(Table1[[#This Row],[Date]],'DB Global PMI'!$A:$F,3))</f>
        <v>88.458297729492188</v>
      </c>
      <c r="E128" s="15">
        <f>Table1[[#This Row],[PMI]]-B116</f>
        <v>3.6999999999999957</v>
      </c>
      <c r="F128" s="16">
        <f>(Table1[[#This Row],[ACWI]]-D116)/D116</f>
        <v>0.16838423077128495</v>
      </c>
    </row>
    <row r="129" spans="1:6" x14ac:dyDescent="0.2">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88.869033813476562</v>
      </c>
      <c r="E129" s="24">
        <f>Table1[[#This Row],[PMI]]-B117</f>
        <v>3.2000000000000028</v>
      </c>
      <c r="F129" s="13">
        <f>(Table1[[#This Row],[ACWI]]-D117)/D117</f>
        <v>0.17670337356717267</v>
      </c>
    </row>
    <row r="130" spans="1:6" x14ac:dyDescent="0.2">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90.903083801269531</v>
      </c>
      <c r="E130" s="15">
        <f>Table1[[#This Row],[PMI]]-B118</f>
        <v>6.7999999999999972</v>
      </c>
      <c r="F130" s="16">
        <f>(Table1[[#This Row],[ACWI]]-D118)/D118</f>
        <v>0.30107936903129784</v>
      </c>
    </row>
    <row r="131" spans="1:6" x14ac:dyDescent="0.2">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93.497222900390625</v>
      </c>
      <c r="E131" s="24">
        <f>Table1[[#This Row],[PMI]]-B119</f>
        <v>7.7000000000000028</v>
      </c>
      <c r="F131" s="13">
        <f>(Table1[[#This Row],[ACWI]]-D119)/D119</f>
        <v>0.54545278565663124</v>
      </c>
    </row>
    <row r="132" spans="1:6" x14ac:dyDescent="0.2">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97.467048645019531</v>
      </c>
      <c r="E132" s="15">
        <f>Table1[[#This Row],[PMI]]-B120</f>
        <v>16.299999999999997</v>
      </c>
      <c r="F132" s="16">
        <f>(Table1[[#This Row],[ACWI]]-D120)/D120</f>
        <v>0.46689087066267865</v>
      </c>
    </row>
    <row r="133" spans="1:6" x14ac:dyDescent="0.2">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98.901679992675781</v>
      </c>
      <c r="E133" s="24">
        <f>Table1[[#This Row],[PMI]]-B121</f>
        <v>13.600000000000001</v>
      </c>
      <c r="F133" s="13">
        <f>(Table1[[#This Row],[ACWI]]-D121)/D121</f>
        <v>0.41634596526995898</v>
      </c>
    </row>
    <row r="134" spans="1:6" x14ac:dyDescent="0.2">
      <c r="A134" s="14">
        <v>44348</v>
      </c>
      <c r="B134" s="18">
        <f>IF(VLOOKUP(Table1[[#This Row],[Date]],'DB Global PMI'!$A:$F,2)=0,"",VLOOKUP(Table1[[#This Row],[Date]],'DB Global PMI'!$A:$F,2))</f>
        <v>55.5</v>
      </c>
      <c r="C134" s="15">
        <f>Table1[[#This Row],[PMI]]-B133</f>
        <v>-0.5</v>
      </c>
      <c r="D134" s="19">
        <f>IF(VLOOKUP(Table1[[#This Row],[Date]],'DB Global PMI'!$A:$F,3)=0,"",VLOOKUP(Table1[[#This Row],[Date]],'DB Global PMI'!$A:$F,3))</f>
        <v>99.43231201171875</v>
      </c>
      <c r="E134" s="15">
        <f>Table1[[#This Row],[PMI]]-B122</f>
        <v>7.7000000000000028</v>
      </c>
      <c r="F134" s="16">
        <f>(Table1[[#This Row],[ACWI]]-D122)/D122</f>
        <v>0.39497166395171074</v>
      </c>
    </row>
    <row r="135" spans="1:6" x14ac:dyDescent="0.2">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101.0592498779297</v>
      </c>
      <c r="E135" s="24">
        <f>Table1[[#This Row],[PMI]]-B123</f>
        <v>4.7999999999999972</v>
      </c>
      <c r="F135" s="13">
        <f>(Table1[[#This Row],[ACWI]]-D123)/D123</f>
        <v>0.33440379491020017</v>
      </c>
    </row>
    <row r="136" spans="1:6" x14ac:dyDescent="0.2">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103.2564010620117</v>
      </c>
      <c r="E136" s="15">
        <f>Table1[[#This Row],[PMI]]-B124</f>
        <v>2.3000000000000043</v>
      </c>
      <c r="F136" s="16">
        <f>(Table1[[#This Row],[ACWI]]-D124)/D124</f>
        <v>0.28593153010579681</v>
      </c>
    </row>
    <row r="137" spans="1:6" x14ac:dyDescent="0.2">
      <c r="A137" s="10">
        <v>44440</v>
      </c>
      <c r="B137" s="18">
        <f>IF(VLOOKUP(Table1[[#This Row],[Date]],'DB Global PMI'!$A:$F,2)=0,"",VLOOKUP(Table1[[#This Row],[Date]],'DB Global PMI'!$A:$F,2))</f>
        <v>54.1</v>
      </c>
      <c r="C137" s="24">
        <f>Table1[[#This Row],[PMI]]-B136</f>
        <v>0</v>
      </c>
      <c r="D137" s="19">
        <f>IF(VLOOKUP(Table1[[#This Row],[Date]],'DB Global PMI'!$A:$F,3)=0,"",VLOOKUP(Table1[[#This Row],[Date]],'DB Global PMI'!$A:$F,3))</f>
        <v>98.89178466796875</v>
      </c>
      <c r="E137" s="24">
        <f>Table1[[#This Row],[PMI]]-B125</f>
        <v>1.7000000000000028</v>
      </c>
      <c r="F137" s="13">
        <f>(Table1[[#This Row],[ACWI]]-D125)/D125</f>
        <v>0.2690222230620184</v>
      </c>
    </row>
    <row r="138" spans="1:6" x14ac:dyDescent="0.2">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104.226318359375</v>
      </c>
      <c r="E138" s="15">
        <f>Table1[[#This Row],[PMI]]-B126</f>
        <v>1.2000000000000028</v>
      </c>
      <c r="F138" s="16">
        <f>(Table1[[#This Row],[ACWI]]-D126)/D126</f>
        <v>0.36794441527210187</v>
      </c>
    </row>
    <row r="139" spans="1:6" x14ac:dyDescent="0.2">
      <c r="A139" s="10">
        <v>44501</v>
      </c>
      <c r="B139" s="18">
        <f>IF(VLOOKUP(Table1[[#This Row],[Date]],'DB Global PMI'!$A:$F,2)=0,"",VLOOKUP(Table1[[#This Row],[Date]],'DB Global PMI'!$A:$F,2))</f>
        <v>54.2</v>
      </c>
      <c r="C139" s="24">
        <f>Table1[[#This Row],[PMI]]-B138</f>
        <v>0</v>
      </c>
      <c r="D139" s="19">
        <f>IF(VLOOKUP(Table1[[#This Row],[Date]],'DB Global PMI'!$A:$F,3)=0,"",VLOOKUP(Table1[[#This Row],[Date]],'DB Global PMI'!$A:$F,3))</f>
        <v>101.8213195800781</v>
      </c>
      <c r="E139" s="24">
        <f>Table1[[#This Row],[PMI]]-B127</f>
        <v>0.40000000000000568</v>
      </c>
      <c r="F139" s="13">
        <f>(Table1[[#This Row],[ACWI]]-D127)/D127</f>
        <v>0.19574810839384796</v>
      </c>
    </row>
    <row r="140" spans="1:6" x14ac:dyDescent="0.2">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104.6914825439453</v>
      </c>
      <c r="E140" s="15">
        <f>Table1[[#This Row],[PMI]]-B128</f>
        <v>0.5</v>
      </c>
      <c r="F140" s="16">
        <f>(Table1[[#This Row],[ACWI]]-D128)/D128</f>
        <v>0.18351229032345409</v>
      </c>
    </row>
    <row r="141" spans="1:6" x14ac:dyDescent="0.2">
      <c r="A141" s="10">
        <v>44562</v>
      </c>
      <c r="B141" s="18">
        <f>IF(VLOOKUP(Table1[[#This Row],[Date]],'DB Global PMI'!$A:$F,2)=0,"",VLOOKUP(Table1[[#This Row],[Date]],'DB Global PMI'!$A:$F,2))</f>
        <v>51.4</v>
      </c>
      <c r="C141" s="24">
        <f>Table1[[#This Row],[PMI]]-B140</f>
        <v>-2.8999999999999986</v>
      </c>
      <c r="D141" s="19">
        <f>IF(VLOOKUP(Table1[[#This Row],[Date]],'DB Global PMI'!$A:$F,3)=0,"",VLOOKUP(Table1[[#This Row],[Date]],'DB Global PMI'!$A:$F,3))</f>
        <v>100.9700012207031</v>
      </c>
      <c r="E141" s="24">
        <f>Table1[[#This Row],[PMI]]-B129</f>
        <v>-2.2000000000000028</v>
      </c>
      <c r="F141" s="13">
        <f>(Table1[[#This Row],[ACWI]]-D129)/D129</f>
        <v>0.13616629874276276</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41"/>
  <sheetViews>
    <sheetView zoomScale="160" zoomScaleNormal="160" workbookViewId="0">
      <pane ySplit="5" topLeftCell="A123" activePane="bottomLeft" state="frozen"/>
      <selection activeCell="O117" sqref="O117"/>
      <selection pane="bottomLeft" activeCell="S137" sqref="S137"/>
    </sheetView>
  </sheetViews>
  <sheetFormatPr baseColWidth="10" defaultColWidth="9.1640625" defaultRowHeight="15" x14ac:dyDescent="0.2"/>
  <cols>
    <col min="1" max="1" width="13.5" style="63" customWidth="1"/>
    <col min="2" max="2" width="11.33203125" style="63" customWidth="1"/>
    <col min="3" max="3" width="9.1640625" style="63" customWidth="1"/>
    <col min="4" max="4" width="19" style="63" customWidth="1"/>
    <col min="5" max="41" width="9.1640625" style="63" customWidth="1"/>
    <col min="42" max="16384" width="9.1640625" style="63"/>
  </cols>
  <sheetData>
    <row r="1" spans="1:11" x14ac:dyDescent="0.2">
      <c r="A1" s="63" t="s">
        <v>78</v>
      </c>
      <c r="K1" s="63" t="s">
        <v>107</v>
      </c>
    </row>
    <row r="2" spans="1:11" x14ac:dyDescent="0.2">
      <c r="K2" s="63" t="str">
        <f>A1&amp;K1</f>
        <v>United States Manufacturing PMI</v>
      </c>
    </row>
    <row r="4" spans="1:11" ht="16" customHeight="1" thickBot="1" x14ac:dyDescent="0.25"/>
    <row r="5" spans="1:11" ht="16" customHeight="1" thickBot="1" x14ac:dyDescent="0.25">
      <c r="A5" s="21" t="s">
        <v>44</v>
      </c>
      <c r="B5" s="22" t="s">
        <v>103</v>
      </c>
      <c r="C5" s="22" t="s">
        <v>104</v>
      </c>
      <c r="D5" s="25" t="s">
        <v>87</v>
      </c>
    </row>
    <row r="6" spans="1:11" x14ac:dyDescent="0.2">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2">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2">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2">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2">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2">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2">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2">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2">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2">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2">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2">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2">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2">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2">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2">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2">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2">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2">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2">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2">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2">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2">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2">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2">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2">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2">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2">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2">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2">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2">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2">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2">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2">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2">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2">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2">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2">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2">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2">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2">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2">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2">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2">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2">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2">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2">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2">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2">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2">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2">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2">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2">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2">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2">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2">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2">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2">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2">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2">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2">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2">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2">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2">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2">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2">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2">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2">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2">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2">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2">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2">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2">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2">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2">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2">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2">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2">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2">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2">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2">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2">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2">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2">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2">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2">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2">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2">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2">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2">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2">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2">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2">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2">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2">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2">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2">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2">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2">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2">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2">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2">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2">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2">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2">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2">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2">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2">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2">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2">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2">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2">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2">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2">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2">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2">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2">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2">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2">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2">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2">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2">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2">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2">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2">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2">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2">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2">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2">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2">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2">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2">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2">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2">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2">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2">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sheetData>
  <conditionalFormatting sqref="B6:B14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10"/>
  <sheetViews>
    <sheetView zoomScale="140" zoomScaleNormal="140" workbookViewId="0">
      <pane ySplit="5" topLeftCell="A192" activePane="bottomLeft" state="frozen"/>
      <selection activeCell="K199" sqref="K199"/>
      <selection pane="bottomLeft" activeCell="U181" sqref="U181"/>
    </sheetView>
  </sheetViews>
  <sheetFormatPr baseColWidth="10" defaultColWidth="9.1640625" defaultRowHeight="15" x14ac:dyDescent="0.2"/>
  <cols>
    <col min="1" max="1" width="13.5" style="63" customWidth="1"/>
    <col min="2" max="2" width="11.33203125" style="63" customWidth="1"/>
    <col min="3" max="3" width="9.1640625" style="63" customWidth="1"/>
    <col min="4" max="4" width="18.33203125" style="63" customWidth="1"/>
    <col min="5" max="41" width="9.1640625" style="63" customWidth="1"/>
    <col min="42" max="16384" width="9.1640625" style="63"/>
  </cols>
  <sheetData>
    <row r="1" spans="1:11" x14ac:dyDescent="0.2">
      <c r="A1" s="63" t="s">
        <v>108</v>
      </c>
      <c r="K1" s="63" t="s">
        <v>107</v>
      </c>
    </row>
    <row r="2" spans="1:11" x14ac:dyDescent="0.2">
      <c r="A2" s="63" t="s">
        <v>46</v>
      </c>
      <c r="K2" s="63" t="str">
        <f>A1&amp;K1</f>
        <v>Caixin China Manufacturing PMI</v>
      </c>
    </row>
    <row r="3" spans="1:11" x14ac:dyDescent="0.2">
      <c r="A3" s="1" t="s">
        <v>109</v>
      </c>
    </row>
    <row r="4" spans="1:11" ht="16" customHeight="1" thickBot="1" x14ac:dyDescent="0.25"/>
    <row r="5" spans="1:11" ht="16" customHeight="1" thickBot="1" x14ac:dyDescent="0.25">
      <c r="A5" s="21" t="s">
        <v>44</v>
      </c>
      <c r="B5" s="22" t="s">
        <v>110</v>
      </c>
      <c r="C5" s="22" t="s">
        <v>104</v>
      </c>
      <c r="D5" s="25" t="s">
        <v>111</v>
      </c>
      <c r="E5" s="25" t="s">
        <v>112</v>
      </c>
      <c r="F5" s="25" t="s">
        <v>113</v>
      </c>
    </row>
    <row r="6" spans="1:11" x14ac:dyDescent="0.2">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2" t="str">
        <f>IF(VLOOKUP(Table1346811121415161718192021[[#This Row],[Date]],'DB China Official PMI'!$A:$C,3)=0,"",VLOOKUP(Table1346811121415161718192021[[#This Row],[Date]],'DB China Official PMI'!$A:$C,3))</f>
        <v/>
      </c>
    </row>
    <row r="7" spans="1:11" x14ac:dyDescent="0.2">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2" t="str">
        <f>IF(VLOOKUP(Table1346811121415161718192021[[#This Row],[Date]],'DB China Official PMI'!$A:$C,3)=0,"",VLOOKUP(Table1346811121415161718192021[[#This Row],[Date]],'DB China Official PMI'!$A:$C,3))</f>
        <v/>
      </c>
    </row>
    <row r="8" spans="1:11" x14ac:dyDescent="0.2">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2" t="str">
        <f>IF(VLOOKUP(Table1346811121415161718192021[[#This Row],[Date]],'DB China Official PMI'!$A:$C,3)=0,"",VLOOKUP(Table1346811121415161718192021[[#This Row],[Date]],'DB China Official PMI'!$A:$C,3))</f>
        <v/>
      </c>
    </row>
    <row r="9" spans="1:11" x14ac:dyDescent="0.2">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2">
        <f>IF(VLOOKUP(Table1346811121415161718192021[[#This Row],[Date]],'DB China Official PMI'!$A:$C,3)=0,"",VLOOKUP(Table1346811121415161718192021[[#This Row],[Date]],'DB China Official PMI'!$A:$C,3))</f>
        <v>0.111</v>
      </c>
    </row>
    <row r="10" spans="1:11" x14ac:dyDescent="0.2">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2" t="str">
        <f>IF(VLOOKUP(Table1346811121415161718192021[[#This Row],[Date]],'DB China Official PMI'!$A:$C,3)=0,"",VLOOKUP(Table1346811121415161718192021[[#This Row],[Date]],'DB China Official PMI'!$A:$C,3))</f>
        <v/>
      </c>
    </row>
    <row r="11" spans="1:11" x14ac:dyDescent="0.2">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2" t="str">
        <f>IF(VLOOKUP(Table1346811121415161718192021[[#This Row],[Date]],'DB China Official PMI'!$A:$C,3)=0,"",VLOOKUP(Table1346811121415161718192021[[#This Row],[Date]],'DB China Official PMI'!$A:$C,3))</f>
        <v/>
      </c>
    </row>
    <row r="12" spans="1:11" x14ac:dyDescent="0.2">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2">
        <f>IF(VLOOKUP(Table1346811121415161718192021[[#This Row],[Date]],'DB China Official PMI'!$A:$C,3)=0,"",VLOOKUP(Table1346811121415161718192021[[#This Row],[Date]],'DB China Official PMI'!$A:$C,3))</f>
        <v>0.111</v>
      </c>
    </row>
    <row r="13" spans="1:11" x14ac:dyDescent="0.2">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2" t="str">
        <f>IF(VLOOKUP(Table1346811121415161718192021[[#This Row],[Date]],'DB China Official PMI'!$A:$C,3)=0,"",VLOOKUP(Table1346811121415161718192021[[#This Row],[Date]],'DB China Official PMI'!$A:$C,3))</f>
        <v/>
      </c>
    </row>
    <row r="14" spans="1:11" x14ac:dyDescent="0.2">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2" t="str">
        <f>IF(VLOOKUP(Table1346811121415161718192021[[#This Row],[Date]],'DB China Official PMI'!$A:$C,3)=0,"",VLOOKUP(Table1346811121415161718192021[[#This Row],[Date]],'DB China Official PMI'!$A:$C,3))</f>
        <v/>
      </c>
    </row>
    <row r="15" spans="1:11" x14ac:dyDescent="0.2">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2">
        <f>IF(VLOOKUP(Table1346811121415161718192021[[#This Row],[Date]],'DB China Official PMI'!$A:$C,3)=0,"",VLOOKUP(Table1346811121415161718192021[[#This Row],[Date]],'DB China Official PMI'!$A:$C,3))</f>
        <v>0.108</v>
      </c>
    </row>
    <row r="16" spans="1:11" x14ac:dyDescent="0.2">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2" t="str">
        <f>IF(VLOOKUP(Table1346811121415161718192021[[#This Row],[Date]],'DB China Official PMI'!$A:$C,3)=0,"",VLOOKUP(Table1346811121415161718192021[[#This Row],[Date]],'DB China Official PMI'!$A:$C,3))</f>
        <v/>
      </c>
    </row>
    <row r="17" spans="1:6" x14ac:dyDescent="0.2">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2" t="str">
        <f>IF(VLOOKUP(Table1346811121415161718192021[[#This Row],[Date]],'DB China Official PMI'!$A:$C,3)=0,"",VLOOKUP(Table1346811121415161718192021[[#This Row],[Date]],'DB China Official PMI'!$A:$C,3))</f>
        <v/>
      </c>
    </row>
    <row r="18" spans="1:6" x14ac:dyDescent="0.2">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2">
        <f>IF(VLOOKUP(Table1346811121415161718192021[[#This Row],[Date]],'DB China Official PMI'!$A:$C,3)=0,"",VLOOKUP(Table1346811121415161718192021[[#This Row],[Date]],'DB China Official PMI'!$A:$C,3))</f>
        <v>0.124</v>
      </c>
    </row>
    <row r="19" spans="1:6" x14ac:dyDescent="0.2">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2" t="str">
        <f>IF(VLOOKUP(Table1346811121415161718192021[[#This Row],[Date]],'DB China Official PMI'!$A:$C,3)=0,"",VLOOKUP(Table1346811121415161718192021[[#This Row],[Date]],'DB China Official PMI'!$A:$C,3))</f>
        <v/>
      </c>
    </row>
    <row r="20" spans="1:6" x14ac:dyDescent="0.2">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2" t="str">
        <f>IF(VLOOKUP(Table1346811121415161718192021[[#This Row],[Date]],'DB China Official PMI'!$A:$C,3)=0,"",VLOOKUP(Table1346811121415161718192021[[#This Row],[Date]],'DB China Official PMI'!$A:$C,3))</f>
        <v/>
      </c>
    </row>
    <row r="21" spans="1:6" x14ac:dyDescent="0.2">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2">
        <f>IF(VLOOKUP(Table1346811121415161718192021[[#This Row],[Date]],'DB China Official PMI'!$A:$C,3)=0,"",VLOOKUP(Table1346811121415161718192021[[#This Row],[Date]],'DB China Official PMI'!$A:$C,3))</f>
        <v>0.125</v>
      </c>
    </row>
    <row r="22" spans="1:6" x14ac:dyDescent="0.2">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2" t="str">
        <f>IF(VLOOKUP(Table1346811121415161718192021[[#This Row],[Date]],'DB China Official PMI'!$A:$C,3)=0,"",VLOOKUP(Table1346811121415161718192021[[#This Row],[Date]],'DB China Official PMI'!$A:$C,3))</f>
        <v/>
      </c>
    </row>
    <row r="23" spans="1:6" x14ac:dyDescent="0.2">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2" t="str">
        <f>IF(VLOOKUP(Table1346811121415161718192021[[#This Row],[Date]],'DB China Official PMI'!$A:$C,3)=0,"",VLOOKUP(Table1346811121415161718192021[[#This Row],[Date]],'DB China Official PMI'!$A:$C,3))</f>
        <v/>
      </c>
    </row>
    <row r="24" spans="1:6" x14ac:dyDescent="0.2">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2">
        <f>IF(VLOOKUP(Table1346811121415161718192021[[#This Row],[Date]],'DB China Official PMI'!$A:$C,3)=0,"",VLOOKUP(Table1346811121415161718192021[[#This Row],[Date]],'DB China Official PMI'!$A:$C,3))</f>
        <v>0.13700000000000001</v>
      </c>
    </row>
    <row r="25" spans="1:6" x14ac:dyDescent="0.2">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2" t="str">
        <f>IF(VLOOKUP(Table1346811121415161718192021[[#This Row],[Date]],'DB China Official PMI'!$A:$C,3)=0,"",VLOOKUP(Table1346811121415161718192021[[#This Row],[Date]],'DB China Official PMI'!$A:$C,3))</f>
        <v/>
      </c>
    </row>
    <row r="26" spans="1:6" x14ac:dyDescent="0.2">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2" t="str">
        <f>IF(VLOOKUP(Table1346811121415161718192021[[#This Row],[Date]],'DB China Official PMI'!$A:$C,3)=0,"",VLOOKUP(Table1346811121415161718192021[[#This Row],[Date]],'DB China Official PMI'!$A:$C,3))</f>
        <v/>
      </c>
    </row>
    <row r="27" spans="1:6" x14ac:dyDescent="0.2">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2">
        <f>IF(VLOOKUP(Table1346811121415161718192021[[#This Row],[Date]],'DB China Official PMI'!$A:$C,3)=0,"",VLOOKUP(Table1346811121415161718192021[[#This Row],[Date]],'DB China Official PMI'!$A:$C,3))</f>
        <v>0.122</v>
      </c>
    </row>
    <row r="28" spans="1:6" x14ac:dyDescent="0.2">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2" t="str">
        <f>IF(VLOOKUP(Table1346811121415161718192021[[#This Row],[Date]],'DB China Official PMI'!$A:$C,3)=0,"",VLOOKUP(Table1346811121415161718192021[[#This Row],[Date]],'DB China Official PMI'!$A:$C,3))</f>
        <v/>
      </c>
    </row>
    <row r="29" spans="1:6" x14ac:dyDescent="0.2">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2" t="str">
        <f>IF(VLOOKUP(Table1346811121415161718192021[[#This Row],[Date]],'DB China Official PMI'!$A:$C,3)=0,"",VLOOKUP(Table1346811121415161718192021[[#This Row],[Date]],'DB China Official PMI'!$A:$C,3))</f>
        <v/>
      </c>
    </row>
    <row r="30" spans="1:6" x14ac:dyDescent="0.2">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2">
        <f>IF(VLOOKUP(Table1346811121415161718192021[[#This Row],[Date]],'DB China Official PMI'!$A:$C,3)=0,"",VLOOKUP(Table1346811121415161718192021[[#This Row],[Date]],'DB China Official PMI'!$A:$C,3))</f>
        <v>0.125</v>
      </c>
    </row>
    <row r="31" spans="1:6" x14ac:dyDescent="0.2">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2" t="str">
        <f>IF(VLOOKUP(Table1346811121415161718192021[[#This Row],[Date]],'DB China Official PMI'!$A:$C,3)=0,"",VLOOKUP(Table1346811121415161718192021[[#This Row],[Date]],'DB China Official PMI'!$A:$C,3))</f>
        <v/>
      </c>
    </row>
    <row r="32" spans="1:6" x14ac:dyDescent="0.2">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2" t="str">
        <f>IF(VLOOKUP(Table1346811121415161718192021[[#This Row],[Date]],'DB China Official PMI'!$A:$C,3)=0,"",VLOOKUP(Table1346811121415161718192021[[#This Row],[Date]],'DB China Official PMI'!$A:$C,3))</f>
        <v/>
      </c>
    </row>
    <row r="33" spans="1:6" x14ac:dyDescent="0.2">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2">
        <f>IF(VLOOKUP(Table1346811121415161718192021[[#This Row],[Date]],'DB China Official PMI'!$A:$C,3)=0,"",VLOOKUP(Table1346811121415161718192021[[#This Row],[Date]],'DB China Official PMI'!$A:$C,3))</f>
        <v>0.13800000000000001</v>
      </c>
    </row>
    <row r="34" spans="1:6" x14ac:dyDescent="0.2">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2" t="str">
        <f>IF(VLOOKUP(Table1346811121415161718192021[[#This Row],[Date]],'DB China Official PMI'!$A:$C,3)=0,"",VLOOKUP(Table1346811121415161718192021[[#This Row],[Date]],'DB China Official PMI'!$A:$C,3))</f>
        <v/>
      </c>
    </row>
    <row r="35" spans="1:6" x14ac:dyDescent="0.2">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2" t="str">
        <f>IF(VLOOKUP(Table1346811121415161718192021[[#This Row],[Date]],'DB China Official PMI'!$A:$C,3)=0,"",VLOOKUP(Table1346811121415161718192021[[#This Row],[Date]],'DB China Official PMI'!$A:$C,3))</f>
        <v/>
      </c>
    </row>
    <row r="36" spans="1:6" x14ac:dyDescent="0.2">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2">
        <f>IF(VLOOKUP(Table1346811121415161718192021[[#This Row],[Date]],'DB China Official PMI'!$A:$C,3)=0,"",VLOOKUP(Table1346811121415161718192021[[#This Row],[Date]],'DB China Official PMI'!$A:$C,3))</f>
        <v>0.15</v>
      </c>
    </row>
    <row r="37" spans="1:6" x14ac:dyDescent="0.2">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2" t="str">
        <f>IF(VLOOKUP(Table1346811121415161718192021[[#This Row],[Date]],'DB China Official PMI'!$A:$C,3)=0,"",VLOOKUP(Table1346811121415161718192021[[#This Row],[Date]],'DB China Official PMI'!$A:$C,3))</f>
        <v/>
      </c>
    </row>
    <row r="38" spans="1:6" x14ac:dyDescent="0.2">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2" t="str">
        <f>IF(VLOOKUP(Table1346811121415161718192021[[#This Row],[Date]],'DB China Official PMI'!$A:$C,3)=0,"",VLOOKUP(Table1346811121415161718192021[[#This Row],[Date]],'DB China Official PMI'!$A:$C,3))</f>
        <v/>
      </c>
    </row>
    <row r="39" spans="1:6" x14ac:dyDescent="0.2">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2">
        <f>IF(VLOOKUP(Table1346811121415161718192021[[#This Row],[Date]],'DB China Official PMI'!$A:$C,3)=0,"",VLOOKUP(Table1346811121415161718192021[[#This Row],[Date]],'DB China Official PMI'!$A:$C,3))</f>
        <v>0.14299999999999999</v>
      </c>
    </row>
    <row r="40" spans="1:6" x14ac:dyDescent="0.2">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2" t="str">
        <f>IF(VLOOKUP(Table1346811121415161718192021[[#This Row],[Date]],'DB China Official PMI'!$A:$C,3)=0,"",VLOOKUP(Table1346811121415161718192021[[#This Row],[Date]],'DB China Official PMI'!$A:$C,3))</f>
        <v/>
      </c>
    </row>
    <row r="41" spans="1:6" x14ac:dyDescent="0.2">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2" t="str">
        <f>IF(VLOOKUP(Table1346811121415161718192021[[#This Row],[Date]],'DB China Official PMI'!$A:$C,3)=0,"",VLOOKUP(Table1346811121415161718192021[[#This Row],[Date]],'DB China Official PMI'!$A:$C,3))</f>
        <v/>
      </c>
    </row>
    <row r="42" spans="1:6" x14ac:dyDescent="0.2">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2">
        <f>IF(VLOOKUP(Table1346811121415161718192021[[#This Row],[Date]],'DB China Official PMI'!$A:$C,3)=0,"",VLOOKUP(Table1346811121415161718192021[[#This Row],[Date]],'DB China Official PMI'!$A:$C,3))</f>
        <v>0.13900000000000001</v>
      </c>
    </row>
    <row r="43" spans="1:6" x14ac:dyDescent="0.2">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2" t="str">
        <f>IF(VLOOKUP(Table1346811121415161718192021[[#This Row],[Date]],'DB China Official PMI'!$A:$C,3)=0,"",VLOOKUP(Table1346811121415161718192021[[#This Row],[Date]],'DB China Official PMI'!$A:$C,3))</f>
        <v/>
      </c>
    </row>
    <row r="44" spans="1:6" x14ac:dyDescent="0.2">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2" t="str">
        <f>IF(VLOOKUP(Table1346811121415161718192021[[#This Row],[Date]],'DB China Official PMI'!$A:$C,3)=0,"",VLOOKUP(Table1346811121415161718192021[[#This Row],[Date]],'DB China Official PMI'!$A:$C,3))</f>
        <v/>
      </c>
    </row>
    <row r="45" spans="1:6" x14ac:dyDescent="0.2">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2">
        <f>IF(VLOOKUP(Table1346811121415161718192021[[#This Row],[Date]],'DB China Official PMI'!$A:$C,3)=0,"",VLOOKUP(Table1346811121415161718192021[[#This Row],[Date]],'DB China Official PMI'!$A:$C,3))</f>
        <v>0.115</v>
      </c>
    </row>
    <row r="46" spans="1:6" x14ac:dyDescent="0.2">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2" t="str">
        <f>IF(VLOOKUP(Table1346811121415161718192021[[#This Row],[Date]],'DB China Official PMI'!$A:$C,3)=0,"",VLOOKUP(Table1346811121415161718192021[[#This Row],[Date]],'DB China Official PMI'!$A:$C,3))</f>
        <v/>
      </c>
    </row>
    <row r="47" spans="1:6" x14ac:dyDescent="0.2">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2" t="str">
        <f>IF(VLOOKUP(Table1346811121415161718192021[[#This Row],[Date]],'DB China Official PMI'!$A:$C,3)=0,"",VLOOKUP(Table1346811121415161718192021[[#This Row],[Date]],'DB China Official PMI'!$A:$C,3))</f>
        <v/>
      </c>
    </row>
    <row r="48" spans="1:6" x14ac:dyDescent="0.2">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2">
        <f>IF(VLOOKUP(Table1346811121415161718192021[[#This Row],[Date]],'DB China Official PMI'!$A:$C,3)=0,"",VLOOKUP(Table1346811121415161718192021[[#This Row],[Date]],'DB China Official PMI'!$A:$C,3))</f>
        <v>0.109</v>
      </c>
    </row>
    <row r="49" spans="1:6" x14ac:dyDescent="0.2">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2" t="str">
        <f>IF(VLOOKUP(Table1346811121415161718192021[[#This Row],[Date]],'DB China Official PMI'!$A:$C,3)=0,"",VLOOKUP(Table1346811121415161718192021[[#This Row],[Date]],'DB China Official PMI'!$A:$C,3))</f>
        <v/>
      </c>
    </row>
    <row r="50" spans="1:6" x14ac:dyDescent="0.2">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2" t="str">
        <f>IF(VLOOKUP(Table1346811121415161718192021[[#This Row],[Date]],'DB China Official PMI'!$A:$C,3)=0,"",VLOOKUP(Table1346811121415161718192021[[#This Row],[Date]],'DB China Official PMI'!$A:$C,3))</f>
        <v/>
      </c>
    </row>
    <row r="51" spans="1:6" x14ac:dyDescent="0.2">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2">
        <f>IF(VLOOKUP(Table1346811121415161718192021[[#This Row],[Date]],'DB China Official PMI'!$A:$C,3)=0,"",VLOOKUP(Table1346811121415161718192021[[#This Row],[Date]],'DB China Official PMI'!$A:$C,3))</f>
        <v>9.5000000000000001E-2</v>
      </c>
    </row>
    <row r="52" spans="1:6" x14ac:dyDescent="0.2">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2" t="str">
        <f>IF(VLOOKUP(Table1346811121415161718192021[[#This Row],[Date]],'DB China Official PMI'!$A:$C,3)=0,"",VLOOKUP(Table1346811121415161718192021[[#This Row],[Date]],'DB China Official PMI'!$A:$C,3))</f>
        <v/>
      </c>
    </row>
    <row r="53" spans="1:6" x14ac:dyDescent="0.2">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2" t="str">
        <f>IF(VLOOKUP(Table1346811121415161718192021[[#This Row],[Date]],'DB China Official PMI'!$A:$C,3)=0,"",VLOOKUP(Table1346811121415161718192021[[#This Row],[Date]],'DB China Official PMI'!$A:$C,3))</f>
        <v/>
      </c>
    </row>
    <row r="54" spans="1:6" x14ac:dyDescent="0.2">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2">
        <f>IF(VLOOKUP(Table1346811121415161718192021[[#This Row],[Date]],'DB China Official PMI'!$A:$C,3)=0,"",VLOOKUP(Table1346811121415161718192021[[#This Row],[Date]],'DB China Official PMI'!$A:$C,3))</f>
        <v>7.0999999999999994E-2</v>
      </c>
    </row>
    <row r="55" spans="1:6" x14ac:dyDescent="0.2">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2" t="str">
        <f>IF(VLOOKUP(Table1346811121415161718192021[[#This Row],[Date]],'DB China Official PMI'!$A:$C,3)=0,"",VLOOKUP(Table1346811121415161718192021[[#This Row],[Date]],'DB China Official PMI'!$A:$C,3))</f>
        <v/>
      </c>
    </row>
    <row r="56" spans="1:6" x14ac:dyDescent="0.2">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2" t="str">
        <f>IF(VLOOKUP(Table1346811121415161718192021[[#This Row],[Date]],'DB China Official PMI'!$A:$C,3)=0,"",VLOOKUP(Table1346811121415161718192021[[#This Row],[Date]],'DB China Official PMI'!$A:$C,3))</f>
        <v/>
      </c>
    </row>
    <row r="57" spans="1:6" x14ac:dyDescent="0.2">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2">
        <f>IF(VLOOKUP(Table1346811121415161718192021[[#This Row],[Date]],'DB China Official PMI'!$A:$C,3)=0,"",VLOOKUP(Table1346811121415161718192021[[#This Row],[Date]],'DB China Official PMI'!$A:$C,3))</f>
        <v>6.4000000000000001E-2</v>
      </c>
    </row>
    <row r="58" spans="1:6" x14ac:dyDescent="0.2">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2" t="str">
        <f>IF(VLOOKUP(Table1346811121415161718192021[[#This Row],[Date]],'DB China Official PMI'!$A:$C,3)=0,"",VLOOKUP(Table1346811121415161718192021[[#This Row],[Date]],'DB China Official PMI'!$A:$C,3))</f>
        <v/>
      </c>
    </row>
    <row r="59" spans="1:6" x14ac:dyDescent="0.2">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2" t="str">
        <f>IF(VLOOKUP(Table1346811121415161718192021[[#This Row],[Date]],'DB China Official PMI'!$A:$C,3)=0,"",VLOOKUP(Table1346811121415161718192021[[#This Row],[Date]],'DB China Official PMI'!$A:$C,3))</f>
        <v/>
      </c>
    </row>
    <row r="60" spans="1:6" x14ac:dyDescent="0.2">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2">
        <f>IF(VLOOKUP(Table1346811121415161718192021[[#This Row],[Date]],'DB China Official PMI'!$A:$C,3)=0,"",VLOOKUP(Table1346811121415161718192021[[#This Row],[Date]],'DB China Official PMI'!$A:$C,3))</f>
        <v>8.199999999999999E-2</v>
      </c>
    </row>
    <row r="61" spans="1:6" x14ac:dyDescent="0.2">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2" t="str">
        <f>IF(VLOOKUP(Table1346811121415161718192021[[#This Row],[Date]],'DB China Official PMI'!$A:$C,3)=0,"",VLOOKUP(Table1346811121415161718192021[[#This Row],[Date]],'DB China Official PMI'!$A:$C,3))</f>
        <v/>
      </c>
    </row>
    <row r="62" spans="1:6" x14ac:dyDescent="0.2">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2" t="str">
        <f>IF(VLOOKUP(Table1346811121415161718192021[[#This Row],[Date]],'DB China Official PMI'!$A:$C,3)=0,"",VLOOKUP(Table1346811121415161718192021[[#This Row],[Date]],'DB China Official PMI'!$A:$C,3))</f>
        <v/>
      </c>
    </row>
    <row r="63" spans="1:6" x14ac:dyDescent="0.2">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2">
        <f>IF(VLOOKUP(Table1346811121415161718192021[[#This Row],[Date]],'DB China Official PMI'!$A:$C,3)=0,"",VLOOKUP(Table1346811121415161718192021[[#This Row],[Date]],'DB China Official PMI'!$A:$C,3))</f>
        <v>0.106</v>
      </c>
    </row>
    <row r="64" spans="1:6" x14ac:dyDescent="0.2">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2" t="str">
        <f>IF(VLOOKUP(Table1346811121415161718192021[[#This Row],[Date]],'DB China Official PMI'!$A:$C,3)=0,"",VLOOKUP(Table1346811121415161718192021[[#This Row],[Date]],'DB China Official PMI'!$A:$C,3))</f>
        <v/>
      </c>
    </row>
    <row r="65" spans="1:6" x14ac:dyDescent="0.2">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2" t="str">
        <f>IF(VLOOKUP(Table1346811121415161718192021[[#This Row],[Date]],'DB China Official PMI'!$A:$C,3)=0,"",VLOOKUP(Table1346811121415161718192021[[#This Row],[Date]],'DB China Official PMI'!$A:$C,3))</f>
        <v/>
      </c>
    </row>
    <row r="66" spans="1:6" x14ac:dyDescent="0.2">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2">
        <f>IF(VLOOKUP(Table1346811121415161718192021[[#This Row],[Date]],'DB China Official PMI'!$A:$C,3)=0,"",VLOOKUP(Table1346811121415161718192021[[#This Row],[Date]],'DB China Official PMI'!$A:$C,3))</f>
        <v>0.11899999999999999</v>
      </c>
    </row>
    <row r="67" spans="1:6" x14ac:dyDescent="0.2">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2" t="str">
        <f>IF(VLOOKUP(Table1346811121415161718192021[[#This Row],[Date]],'DB China Official PMI'!$A:$C,3)=0,"",VLOOKUP(Table1346811121415161718192021[[#This Row],[Date]],'DB China Official PMI'!$A:$C,3))</f>
        <v/>
      </c>
    </row>
    <row r="68" spans="1:6" x14ac:dyDescent="0.2">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2" t="str">
        <f>IF(VLOOKUP(Table1346811121415161718192021[[#This Row],[Date]],'DB China Official PMI'!$A:$C,3)=0,"",VLOOKUP(Table1346811121415161718192021[[#This Row],[Date]],'DB China Official PMI'!$A:$C,3))</f>
        <v/>
      </c>
    </row>
    <row r="69" spans="1:6" x14ac:dyDescent="0.2">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2">
        <f>IF(VLOOKUP(Table1346811121415161718192021[[#This Row],[Date]],'DB China Official PMI'!$A:$C,3)=0,"",VLOOKUP(Table1346811121415161718192021[[#This Row],[Date]],'DB China Official PMI'!$A:$C,3))</f>
        <v>0.122</v>
      </c>
    </row>
    <row r="70" spans="1:6" x14ac:dyDescent="0.2">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2" t="str">
        <f>IF(VLOOKUP(Table1346811121415161718192021[[#This Row],[Date]],'DB China Official PMI'!$A:$C,3)=0,"",VLOOKUP(Table1346811121415161718192021[[#This Row],[Date]],'DB China Official PMI'!$A:$C,3))</f>
        <v/>
      </c>
    </row>
    <row r="71" spans="1:6" x14ac:dyDescent="0.2">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2" t="str">
        <f>IF(VLOOKUP(Table1346811121415161718192021[[#This Row],[Date]],'DB China Official PMI'!$A:$C,3)=0,"",VLOOKUP(Table1346811121415161718192021[[#This Row],[Date]],'DB China Official PMI'!$A:$C,3))</f>
        <v/>
      </c>
    </row>
    <row r="72" spans="1:6" x14ac:dyDescent="0.2">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2">
        <f>IF(VLOOKUP(Table1346811121415161718192021[[#This Row],[Date]],'DB China Official PMI'!$A:$C,3)=0,"",VLOOKUP(Table1346811121415161718192021[[#This Row],[Date]],'DB China Official PMI'!$A:$C,3))</f>
        <v>0.108</v>
      </c>
    </row>
    <row r="73" spans="1:6" x14ac:dyDescent="0.2">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2" t="str">
        <f>IF(VLOOKUP(Table1346811121415161718192021[[#This Row],[Date]],'DB China Official PMI'!$A:$C,3)=0,"",VLOOKUP(Table1346811121415161718192021[[#This Row],[Date]],'DB China Official PMI'!$A:$C,3))</f>
        <v/>
      </c>
    </row>
    <row r="74" spans="1:6" x14ac:dyDescent="0.2">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2" t="str">
        <f>IF(VLOOKUP(Table1346811121415161718192021[[#This Row],[Date]],'DB China Official PMI'!$A:$C,3)=0,"",VLOOKUP(Table1346811121415161718192021[[#This Row],[Date]],'DB China Official PMI'!$A:$C,3))</f>
        <v/>
      </c>
    </row>
    <row r="75" spans="1:6" x14ac:dyDescent="0.2">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2">
        <f>IF(VLOOKUP(Table1346811121415161718192021[[#This Row],[Date]],'DB China Official PMI'!$A:$C,3)=0,"",VLOOKUP(Table1346811121415161718192021[[#This Row],[Date]],'DB China Official PMI'!$A:$C,3))</f>
        <v>9.9000000000000005E-2</v>
      </c>
    </row>
    <row r="76" spans="1:6" x14ac:dyDescent="0.2">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2" t="str">
        <f>IF(VLOOKUP(Table1346811121415161718192021[[#This Row],[Date]],'DB China Official PMI'!$A:$C,3)=0,"",VLOOKUP(Table1346811121415161718192021[[#This Row],[Date]],'DB China Official PMI'!$A:$C,3))</f>
        <v/>
      </c>
    </row>
    <row r="77" spans="1:6" x14ac:dyDescent="0.2">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2" t="str">
        <f>IF(VLOOKUP(Table1346811121415161718192021[[#This Row],[Date]],'DB China Official PMI'!$A:$C,3)=0,"",VLOOKUP(Table1346811121415161718192021[[#This Row],[Date]],'DB China Official PMI'!$A:$C,3))</f>
        <v/>
      </c>
    </row>
    <row r="78" spans="1:6" x14ac:dyDescent="0.2">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2">
        <f>IF(VLOOKUP(Table1346811121415161718192021[[#This Row],[Date]],'DB China Official PMI'!$A:$C,3)=0,"",VLOOKUP(Table1346811121415161718192021[[#This Row],[Date]],'DB China Official PMI'!$A:$C,3))</f>
        <v>9.9000000000000005E-2</v>
      </c>
    </row>
    <row r="79" spans="1:6" x14ac:dyDescent="0.2">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2" t="str">
        <f>IF(VLOOKUP(Table1346811121415161718192021[[#This Row],[Date]],'DB China Official PMI'!$A:$C,3)=0,"",VLOOKUP(Table1346811121415161718192021[[#This Row],[Date]],'DB China Official PMI'!$A:$C,3))</f>
        <v/>
      </c>
    </row>
    <row r="80" spans="1:6" x14ac:dyDescent="0.2">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2" t="str">
        <f>IF(VLOOKUP(Table1346811121415161718192021[[#This Row],[Date]],'DB China Official PMI'!$A:$C,3)=0,"",VLOOKUP(Table1346811121415161718192021[[#This Row],[Date]],'DB China Official PMI'!$A:$C,3))</f>
        <v/>
      </c>
    </row>
    <row r="81" spans="1:6" x14ac:dyDescent="0.2">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2">
        <f>IF(VLOOKUP(Table1346811121415161718192021[[#This Row],[Date]],'DB China Official PMI'!$A:$C,3)=0,"",VLOOKUP(Table1346811121415161718192021[[#This Row],[Date]],'DB China Official PMI'!$A:$C,3))</f>
        <v>0.10199999999999999</v>
      </c>
    </row>
    <row r="82" spans="1:6" x14ac:dyDescent="0.2">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2" t="str">
        <f>IF(VLOOKUP(Table1346811121415161718192021[[#This Row],[Date]],'DB China Official PMI'!$A:$C,3)=0,"",VLOOKUP(Table1346811121415161718192021[[#This Row],[Date]],'DB China Official PMI'!$A:$C,3))</f>
        <v/>
      </c>
    </row>
    <row r="83" spans="1:6" x14ac:dyDescent="0.2">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2" t="str">
        <f>IF(VLOOKUP(Table1346811121415161718192021[[#This Row],[Date]],'DB China Official PMI'!$A:$C,3)=0,"",VLOOKUP(Table1346811121415161718192021[[#This Row],[Date]],'DB China Official PMI'!$A:$C,3))</f>
        <v/>
      </c>
    </row>
    <row r="84" spans="1:6" x14ac:dyDescent="0.2">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2">
        <f>IF(VLOOKUP(Table1346811121415161718192021[[#This Row],[Date]],'DB China Official PMI'!$A:$C,3)=0,"",VLOOKUP(Table1346811121415161718192021[[#This Row],[Date]],'DB China Official PMI'!$A:$C,3))</f>
        <v>0.1</v>
      </c>
    </row>
    <row r="85" spans="1:6" x14ac:dyDescent="0.2">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2" t="str">
        <f>IF(VLOOKUP(Table1346811121415161718192021[[#This Row],[Date]],'DB China Official PMI'!$A:$C,3)=0,"",VLOOKUP(Table1346811121415161718192021[[#This Row],[Date]],'DB China Official PMI'!$A:$C,3))</f>
        <v/>
      </c>
    </row>
    <row r="86" spans="1:6" x14ac:dyDescent="0.2">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2" t="str">
        <f>IF(VLOOKUP(Table1346811121415161718192021[[#This Row],[Date]],'DB China Official PMI'!$A:$C,3)=0,"",VLOOKUP(Table1346811121415161718192021[[#This Row],[Date]],'DB China Official PMI'!$A:$C,3))</f>
        <v/>
      </c>
    </row>
    <row r="87" spans="1:6" x14ac:dyDescent="0.2">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2">
        <f>IF(VLOOKUP(Table1346811121415161718192021[[#This Row],[Date]],'DB China Official PMI'!$A:$C,3)=0,"",VLOOKUP(Table1346811121415161718192021[[#This Row],[Date]],'DB China Official PMI'!$A:$C,3))</f>
        <v>9.4E-2</v>
      </c>
    </row>
    <row r="88" spans="1:6" x14ac:dyDescent="0.2">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2" t="str">
        <f>IF(VLOOKUP(Table1346811121415161718192021[[#This Row],[Date]],'DB China Official PMI'!$A:$C,3)=0,"",VLOOKUP(Table1346811121415161718192021[[#This Row],[Date]],'DB China Official PMI'!$A:$C,3))</f>
        <v/>
      </c>
    </row>
    <row r="89" spans="1:6" x14ac:dyDescent="0.2">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2" t="str">
        <f>IF(VLOOKUP(Table1346811121415161718192021[[#This Row],[Date]],'DB China Official PMI'!$A:$C,3)=0,"",VLOOKUP(Table1346811121415161718192021[[#This Row],[Date]],'DB China Official PMI'!$A:$C,3))</f>
        <v/>
      </c>
    </row>
    <row r="90" spans="1:6" x14ac:dyDescent="0.2">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2">
        <f>IF(VLOOKUP(Table1346811121415161718192021[[#This Row],[Date]],'DB China Official PMI'!$A:$C,3)=0,"",VLOOKUP(Table1346811121415161718192021[[#This Row],[Date]],'DB China Official PMI'!$A:$C,3))</f>
        <v>8.8000000000000009E-2</v>
      </c>
    </row>
    <row r="91" spans="1:6" x14ac:dyDescent="0.2">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2" t="str">
        <f>IF(VLOOKUP(Table1346811121415161718192021[[#This Row],[Date]],'DB China Official PMI'!$A:$C,3)=0,"",VLOOKUP(Table1346811121415161718192021[[#This Row],[Date]],'DB China Official PMI'!$A:$C,3))</f>
        <v/>
      </c>
    </row>
    <row r="92" spans="1:6" x14ac:dyDescent="0.2">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2" t="str">
        <f>IF(VLOOKUP(Table1346811121415161718192021[[#This Row],[Date]],'DB China Official PMI'!$A:$C,3)=0,"",VLOOKUP(Table1346811121415161718192021[[#This Row],[Date]],'DB China Official PMI'!$A:$C,3))</f>
        <v/>
      </c>
    </row>
    <row r="93" spans="1:6" x14ac:dyDescent="0.2">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2">
        <f>IF(VLOOKUP(Table1346811121415161718192021[[#This Row],[Date]],'DB China Official PMI'!$A:$C,3)=0,"",VLOOKUP(Table1346811121415161718192021[[#This Row],[Date]],'DB China Official PMI'!$A:$C,3))</f>
        <v>8.1000000000000003E-2</v>
      </c>
    </row>
    <row r="94" spans="1:6" x14ac:dyDescent="0.2">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2" t="str">
        <f>IF(VLOOKUP(Table1346811121415161718192021[[#This Row],[Date]],'DB China Official PMI'!$A:$C,3)=0,"",VLOOKUP(Table1346811121415161718192021[[#This Row],[Date]],'DB China Official PMI'!$A:$C,3))</f>
        <v/>
      </c>
    </row>
    <row r="95" spans="1:6" x14ac:dyDescent="0.2">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2" t="str">
        <f>IF(VLOOKUP(Table1346811121415161718192021[[#This Row],[Date]],'DB China Official PMI'!$A:$C,3)=0,"",VLOOKUP(Table1346811121415161718192021[[#This Row],[Date]],'DB China Official PMI'!$A:$C,3))</f>
        <v/>
      </c>
    </row>
    <row r="96" spans="1:6" x14ac:dyDescent="0.2">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2">
        <f>IF(VLOOKUP(Table1346811121415161718192021[[#This Row],[Date]],'DB China Official PMI'!$A:$C,3)=0,"",VLOOKUP(Table1346811121415161718192021[[#This Row],[Date]],'DB China Official PMI'!$A:$C,3))</f>
        <v>7.6999999999999999E-2</v>
      </c>
    </row>
    <row r="97" spans="1:6" x14ac:dyDescent="0.2">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2" t="str">
        <f>IF(VLOOKUP(Table1346811121415161718192021[[#This Row],[Date]],'DB China Official PMI'!$A:$C,3)=0,"",VLOOKUP(Table1346811121415161718192021[[#This Row],[Date]],'DB China Official PMI'!$A:$C,3))</f>
        <v/>
      </c>
    </row>
    <row r="98" spans="1:6" x14ac:dyDescent="0.2">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2" t="str">
        <f>IF(VLOOKUP(Table1346811121415161718192021[[#This Row],[Date]],'DB China Official PMI'!$A:$C,3)=0,"",VLOOKUP(Table1346811121415161718192021[[#This Row],[Date]],'DB China Official PMI'!$A:$C,3))</f>
        <v/>
      </c>
    </row>
    <row r="99" spans="1:6" x14ac:dyDescent="0.2">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2">
        <f>IF(VLOOKUP(Table1346811121415161718192021[[#This Row],[Date]],'DB China Official PMI'!$A:$C,3)=0,"",VLOOKUP(Table1346811121415161718192021[[#This Row],[Date]],'DB China Official PMI'!$A:$C,3))</f>
        <v>7.4999999999999997E-2</v>
      </c>
    </row>
    <row r="100" spans="1:6" x14ac:dyDescent="0.2">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2" t="str">
        <f>IF(VLOOKUP(Table1346811121415161718192021[[#This Row],[Date]],'DB China Official PMI'!$A:$C,3)=0,"",VLOOKUP(Table1346811121415161718192021[[#This Row],[Date]],'DB China Official PMI'!$A:$C,3))</f>
        <v/>
      </c>
    </row>
    <row r="101" spans="1:6" x14ac:dyDescent="0.2">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2" t="str">
        <f>IF(VLOOKUP(Table1346811121415161718192021[[#This Row],[Date]],'DB China Official PMI'!$A:$C,3)=0,"",VLOOKUP(Table1346811121415161718192021[[#This Row],[Date]],'DB China Official PMI'!$A:$C,3))</f>
        <v/>
      </c>
    </row>
    <row r="102" spans="1:6" x14ac:dyDescent="0.2">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2">
        <f>IF(VLOOKUP(Table1346811121415161718192021[[#This Row],[Date]],'DB China Official PMI'!$A:$C,3)=0,"",VLOOKUP(Table1346811121415161718192021[[#This Row],[Date]],'DB China Official PMI'!$A:$C,3))</f>
        <v>8.1000000000000003E-2</v>
      </c>
    </row>
    <row r="103" spans="1:6" x14ac:dyDescent="0.2">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2" t="str">
        <f>IF(VLOOKUP(Table1346811121415161718192021[[#This Row],[Date]],'DB China Official PMI'!$A:$C,3)=0,"",VLOOKUP(Table1346811121415161718192021[[#This Row],[Date]],'DB China Official PMI'!$A:$C,3))</f>
        <v/>
      </c>
    </row>
    <row r="104" spans="1:6" x14ac:dyDescent="0.2">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2" t="str">
        <f>IF(VLOOKUP(Table1346811121415161718192021[[#This Row],[Date]],'DB China Official PMI'!$A:$C,3)=0,"",VLOOKUP(Table1346811121415161718192021[[#This Row],[Date]],'DB China Official PMI'!$A:$C,3))</f>
        <v/>
      </c>
    </row>
    <row r="105" spans="1:6" x14ac:dyDescent="0.2">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2">
        <f>IF(VLOOKUP(Table1346811121415161718192021[[#This Row],[Date]],'DB China Official PMI'!$A:$C,3)=0,"",VLOOKUP(Table1346811121415161718192021[[#This Row],[Date]],'DB China Official PMI'!$A:$C,3))</f>
        <v>7.9000000000000001E-2</v>
      </c>
    </row>
    <row r="106" spans="1:6" x14ac:dyDescent="0.2">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2" t="str">
        <f>IF(VLOOKUP(Table1346811121415161718192021[[#This Row],[Date]],'DB China Official PMI'!$A:$C,3)=0,"",VLOOKUP(Table1346811121415161718192021[[#This Row],[Date]],'DB China Official PMI'!$A:$C,3))</f>
        <v/>
      </c>
    </row>
    <row r="107" spans="1:6" x14ac:dyDescent="0.2">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2" t="str">
        <f>IF(VLOOKUP(Table1346811121415161718192021[[#This Row],[Date]],'DB China Official PMI'!$A:$C,3)=0,"",VLOOKUP(Table1346811121415161718192021[[#This Row],[Date]],'DB China Official PMI'!$A:$C,3))</f>
        <v/>
      </c>
    </row>
    <row r="108" spans="1:6" x14ac:dyDescent="0.2">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2">
        <f>IF(VLOOKUP(Table1346811121415161718192021[[#This Row],[Date]],'DB China Official PMI'!$A:$C,3)=0,"",VLOOKUP(Table1346811121415161718192021[[#This Row],[Date]],'DB China Official PMI'!$A:$C,3))</f>
        <v>7.5999999999999998E-2</v>
      </c>
    </row>
    <row r="109" spans="1:6" x14ac:dyDescent="0.2">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2" t="str">
        <f>IF(VLOOKUP(Table1346811121415161718192021[[#This Row],[Date]],'DB China Official PMI'!$A:$C,3)=0,"",VLOOKUP(Table1346811121415161718192021[[#This Row],[Date]],'DB China Official PMI'!$A:$C,3))</f>
        <v/>
      </c>
    </row>
    <row r="110" spans="1:6" x14ac:dyDescent="0.2">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2" t="str">
        <f>IF(VLOOKUP(Table1346811121415161718192021[[#This Row],[Date]],'DB China Official PMI'!$A:$C,3)=0,"",VLOOKUP(Table1346811121415161718192021[[#This Row],[Date]],'DB China Official PMI'!$A:$C,3))</f>
        <v/>
      </c>
    </row>
    <row r="111" spans="1:6" x14ac:dyDescent="0.2">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2">
        <f>IF(VLOOKUP(Table1346811121415161718192021[[#This Row],[Date]],'DB China Official PMI'!$A:$C,3)=0,"",VLOOKUP(Table1346811121415161718192021[[#This Row],[Date]],'DB China Official PMI'!$A:$C,3))</f>
        <v>7.9000000000000001E-2</v>
      </c>
    </row>
    <row r="112" spans="1:6" x14ac:dyDescent="0.2">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2" t="str">
        <f>IF(VLOOKUP(Table1346811121415161718192021[[#This Row],[Date]],'DB China Official PMI'!$A:$C,3)=0,"",VLOOKUP(Table1346811121415161718192021[[#This Row],[Date]],'DB China Official PMI'!$A:$C,3))</f>
        <v/>
      </c>
    </row>
    <row r="113" spans="1:6" x14ac:dyDescent="0.2">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2" t="str">
        <f>IF(VLOOKUP(Table1346811121415161718192021[[#This Row],[Date]],'DB China Official PMI'!$A:$C,3)=0,"",VLOOKUP(Table1346811121415161718192021[[#This Row],[Date]],'DB China Official PMI'!$A:$C,3))</f>
        <v/>
      </c>
    </row>
    <row r="114" spans="1:6" x14ac:dyDescent="0.2">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2">
        <f>IF(VLOOKUP(Table1346811121415161718192021[[#This Row],[Date]],'DB China Official PMI'!$A:$C,3)=0,"",VLOOKUP(Table1346811121415161718192021[[#This Row],[Date]],'DB China Official PMI'!$A:$C,3))</f>
        <v>7.6999999999999999E-2</v>
      </c>
    </row>
    <row r="115" spans="1:6" x14ac:dyDescent="0.2">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2" t="str">
        <f>IF(VLOOKUP(Table1346811121415161718192021[[#This Row],[Date]],'DB China Official PMI'!$A:$C,3)=0,"",VLOOKUP(Table1346811121415161718192021[[#This Row],[Date]],'DB China Official PMI'!$A:$C,3))</f>
        <v/>
      </c>
    </row>
    <row r="116" spans="1:6" x14ac:dyDescent="0.2">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2" t="str">
        <f>IF(VLOOKUP(Table1346811121415161718192021[[#This Row],[Date]],'DB China Official PMI'!$A:$C,3)=0,"",VLOOKUP(Table1346811121415161718192021[[#This Row],[Date]],'DB China Official PMI'!$A:$C,3))</f>
        <v/>
      </c>
    </row>
    <row r="117" spans="1:6" x14ac:dyDescent="0.2">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2">
        <f>IF(VLOOKUP(Table1346811121415161718192021[[#This Row],[Date]],'DB China Official PMI'!$A:$C,3)=0,"",VLOOKUP(Table1346811121415161718192021[[#This Row],[Date]],'DB China Official PMI'!$A:$C,3))</f>
        <v>7.4999999999999997E-2</v>
      </c>
    </row>
    <row r="118" spans="1:6" x14ac:dyDescent="0.2">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2" t="str">
        <f>IF(VLOOKUP(Table1346811121415161718192021[[#This Row],[Date]],'DB China Official PMI'!$A:$C,3)=0,"",VLOOKUP(Table1346811121415161718192021[[#This Row],[Date]],'DB China Official PMI'!$A:$C,3))</f>
        <v/>
      </c>
    </row>
    <row r="119" spans="1:6" x14ac:dyDescent="0.2">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2" t="str">
        <f>IF(VLOOKUP(Table1346811121415161718192021[[#This Row],[Date]],'DB China Official PMI'!$A:$C,3)=0,"",VLOOKUP(Table1346811121415161718192021[[#This Row],[Date]],'DB China Official PMI'!$A:$C,3))</f>
        <v/>
      </c>
    </row>
    <row r="120" spans="1:6" x14ac:dyDescent="0.2">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2">
        <f>IF(VLOOKUP(Table1346811121415161718192021[[#This Row],[Date]],'DB China Official PMI'!$A:$C,3)=0,"",VLOOKUP(Table1346811121415161718192021[[#This Row],[Date]],'DB China Official PMI'!$A:$C,3))</f>
        <v>7.5999999999999998E-2</v>
      </c>
    </row>
    <row r="121" spans="1:6" x14ac:dyDescent="0.2">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2" t="str">
        <f>IF(VLOOKUP(Table1346811121415161718192021[[#This Row],[Date]],'DB China Official PMI'!$A:$C,3)=0,"",VLOOKUP(Table1346811121415161718192021[[#This Row],[Date]],'DB China Official PMI'!$A:$C,3))</f>
        <v/>
      </c>
    </row>
    <row r="122" spans="1:6" x14ac:dyDescent="0.2">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2" t="str">
        <f>IF(VLOOKUP(Table1346811121415161718192021[[#This Row],[Date]],'DB China Official PMI'!$A:$C,3)=0,"",VLOOKUP(Table1346811121415161718192021[[#This Row],[Date]],'DB China Official PMI'!$A:$C,3))</f>
        <v/>
      </c>
    </row>
    <row r="123" spans="1:6" x14ac:dyDescent="0.2">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2">
        <f>IF(VLOOKUP(Table1346811121415161718192021[[#This Row],[Date]],'DB China Official PMI'!$A:$C,3)=0,"",VLOOKUP(Table1346811121415161718192021[[#This Row],[Date]],'DB China Official PMI'!$A:$C,3))</f>
        <v>7.2000000000000008E-2</v>
      </c>
    </row>
    <row r="124" spans="1:6" x14ac:dyDescent="0.2">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2" t="str">
        <f>IF(VLOOKUP(Table1346811121415161718192021[[#This Row],[Date]],'DB China Official PMI'!$A:$C,3)=0,"",VLOOKUP(Table1346811121415161718192021[[#This Row],[Date]],'DB China Official PMI'!$A:$C,3))</f>
        <v/>
      </c>
    </row>
    <row r="125" spans="1:6" x14ac:dyDescent="0.2">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2" t="str">
        <f>IF(VLOOKUP(Table1346811121415161718192021[[#This Row],[Date]],'DB China Official PMI'!$A:$C,3)=0,"",VLOOKUP(Table1346811121415161718192021[[#This Row],[Date]],'DB China Official PMI'!$A:$C,3))</f>
        <v/>
      </c>
    </row>
    <row r="126" spans="1:6" x14ac:dyDescent="0.2">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2">
        <f>IF(VLOOKUP(Table1346811121415161718192021[[#This Row],[Date]],'DB China Official PMI'!$A:$C,3)=0,"",VLOOKUP(Table1346811121415161718192021[[#This Row],[Date]],'DB China Official PMI'!$A:$C,3))</f>
        <v>7.2999999999999995E-2</v>
      </c>
    </row>
    <row r="127" spans="1:6" x14ac:dyDescent="0.2">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2" t="str">
        <f>IF(VLOOKUP(Table1346811121415161718192021[[#This Row],[Date]],'DB China Official PMI'!$A:$C,3)=0,"",VLOOKUP(Table1346811121415161718192021[[#This Row],[Date]],'DB China Official PMI'!$A:$C,3))</f>
        <v/>
      </c>
    </row>
    <row r="128" spans="1:6" x14ac:dyDescent="0.2">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2" t="str">
        <f>IF(VLOOKUP(Table1346811121415161718192021[[#This Row],[Date]],'DB China Official PMI'!$A:$C,3)=0,"",VLOOKUP(Table1346811121415161718192021[[#This Row],[Date]],'DB China Official PMI'!$A:$C,3))</f>
        <v/>
      </c>
    </row>
    <row r="129" spans="1:6" x14ac:dyDescent="0.2">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2">
        <f>IF(VLOOKUP(Table1346811121415161718192021[[#This Row],[Date]],'DB China Official PMI'!$A:$C,3)=0,"",VLOOKUP(Table1346811121415161718192021[[#This Row],[Date]],'DB China Official PMI'!$A:$C,3))</f>
        <v>7.0999999999999994E-2</v>
      </c>
    </row>
    <row r="130" spans="1:6" x14ac:dyDescent="0.2">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2" t="str">
        <f>IF(VLOOKUP(Table1346811121415161718192021[[#This Row],[Date]],'DB China Official PMI'!$A:$C,3)=0,"",VLOOKUP(Table1346811121415161718192021[[#This Row],[Date]],'DB China Official PMI'!$A:$C,3))</f>
        <v/>
      </c>
    </row>
    <row r="131" spans="1:6" x14ac:dyDescent="0.2">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2" t="str">
        <f>IF(VLOOKUP(Table1346811121415161718192021[[#This Row],[Date]],'DB China Official PMI'!$A:$C,3)=0,"",VLOOKUP(Table1346811121415161718192021[[#This Row],[Date]],'DB China Official PMI'!$A:$C,3))</f>
        <v/>
      </c>
    </row>
    <row r="132" spans="1:6" x14ac:dyDescent="0.2">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2">
        <f>IF(VLOOKUP(Table1346811121415161718192021[[#This Row],[Date]],'DB China Official PMI'!$A:$C,3)=0,"",VLOOKUP(Table1346811121415161718192021[[#This Row],[Date]],'DB China Official PMI'!$A:$C,3))</f>
        <v>7.0999999999999994E-2</v>
      </c>
    </row>
    <row r="133" spans="1:6" x14ac:dyDescent="0.2">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2" t="str">
        <f>IF(VLOOKUP(Table1346811121415161718192021[[#This Row],[Date]],'DB China Official PMI'!$A:$C,3)=0,"",VLOOKUP(Table1346811121415161718192021[[#This Row],[Date]],'DB China Official PMI'!$A:$C,3))</f>
        <v/>
      </c>
    </row>
    <row r="134" spans="1:6" x14ac:dyDescent="0.2">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2" t="str">
        <f>IF(VLOOKUP(Table1346811121415161718192021[[#This Row],[Date]],'DB China Official PMI'!$A:$C,3)=0,"",VLOOKUP(Table1346811121415161718192021[[#This Row],[Date]],'DB China Official PMI'!$A:$C,3))</f>
        <v/>
      </c>
    </row>
    <row r="135" spans="1:6" x14ac:dyDescent="0.2">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2">
        <f>IF(VLOOKUP(Table1346811121415161718192021[[#This Row],[Date]],'DB China Official PMI'!$A:$C,3)=0,"",VLOOKUP(Table1346811121415161718192021[[#This Row],[Date]],'DB China Official PMI'!$A:$C,3))</f>
        <v>7.0000000000000007E-2</v>
      </c>
    </row>
    <row r="136" spans="1:6" x14ac:dyDescent="0.2">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2" t="str">
        <f>IF(VLOOKUP(Table1346811121415161718192021[[#This Row],[Date]],'DB China Official PMI'!$A:$C,3)=0,"",VLOOKUP(Table1346811121415161718192021[[#This Row],[Date]],'DB China Official PMI'!$A:$C,3))</f>
        <v/>
      </c>
    </row>
    <row r="137" spans="1:6" x14ac:dyDescent="0.2">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2" t="str">
        <f>IF(VLOOKUP(Table1346811121415161718192021[[#This Row],[Date]],'DB China Official PMI'!$A:$C,3)=0,"",VLOOKUP(Table1346811121415161718192021[[#This Row],[Date]],'DB China Official PMI'!$A:$C,3))</f>
        <v/>
      </c>
    </row>
    <row r="138" spans="1:6" x14ac:dyDescent="0.2">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2">
        <f>IF(VLOOKUP(Table1346811121415161718192021[[#This Row],[Date]],'DB China Official PMI'!$A:$C,3)=0,"",VLOOKUP(Table1346811121415161718192021[[#This Row],[Date]],'DB China Official PMI'!$A:$C,3))</f>
        <v>6.9000000000000006E-2</v>
      </c>
    </row>
    <row r="139" spans="1:6" x14ac:dyDescent="0.2">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2" t="str">
        <f>IF(VLOOKUP(Table1346811121415161718192021[[#This Row],[Date]],'DB China Official PMI'!$A:$C,3)=0,"",VLOOKUP(Table1346811121415161718192021[[#This Row],[Date]],'DB China Official PMI'!$A:$C,3))</f>
        <v/>
      </c>
    </row>
    <row r="140" spans="1:6" x14ac:dyDescent="0.2">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2" t="str">
        <f>IF(VLOOKUP(Table1346811121415161718192021[[#This Row],[Date]],'DB China Official PMI'!$A:$C,3)=0,"",VLOOKUP(Table1346811121415161718192021[[#This Row],[Date]],'DB China Official PMI'!$A:$C,3))</f>
        <v/>
      </c>
    </row>
    <row r="141" spans="1:6" x14ac:dyDescent="0.2">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2">
        <f>IF(VLOOKUP(Table1346811121415161718192021[[#This Row],[Date]],'DB China Official PMI'!$A:$C,3)=0,"",VLOOKUP(Table1346811121415161718192021[[#This Row],[Date]],'DB China Official PMI'!$A:$C,3))</f>
        <v>6.9000000000000006E-2</v>
      </c>
    </row>
    <row r="142" spans="1:6" x14ac:dyDescent="0.2">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2" t="str">
        <f>IF(VLOOKUP(Table1346811121415161718192021[[#This Row],[Date]],'DB China Official PMI'!$A:$C,3)=0,"",VLOOKUP(Table1346811121415161718192021[[#This Row],[Date]],'DB China Official PMI'!$A:$C,3))</f>
        <v/>
      </c>
    </row>
    <row r="143" spans="1:6" x14ac:dyDescent="0.2">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2" t="str">
        <f>IF(VLOOKUP(Table1346811121415161718192021[[#This Row],[Date]],'DB China Official PMI'!$A:$C,3)=0,"",VLOOKUP(Table1346811121415161718192021[[#This Row],[Date]],'DB China Official PMI'!$A:$C,3))</f>
        <v/>
      </c>
    </row>
    <row r="144" spans="1:6" x14ac:dyDescent="0.2">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2">
        <f>IF(VLOOKUP(Table1346811121415161718192021[[#This Row],[Date]],'DB China Official PMI'!$A:$C,3)=0,"",VLOOKUP(Table1346811121415161718192021[[#This Row],[Date]],'DB China Official PMI'!$A:$C,3))</f>
        <v>6.8000000000000005E-2</v>
      </c>
    </row>
    <row r="145" spans="1:6" x14ac:dyDescent="0.2">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2" t="str">
        <f>IF(VLOOKUP(Table1346811121415161718192021[[#This Row],[Date]],'DB China Official PMI'!$A:$C,3)=0,"",VLOOKUP(Table1346811121415161718192021[[#This Row],[Date]],'DB China Official PMI'!$A:$C,3))</f>
        <v/>
      </c>
    </row>
    <row r="146" spans="1:6" x14ac:dyDescent="0.2">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2" t="str">
        <f>IF(VLOOKUP(Table1346811121415161718192021[[#This Row],[Date]],'DB China Official PMI'!$A:$C,3)=0,"",VLOOKUP(Table1346811121415161718192021[[#This Row],[Date]],'DB China Official PMI'!$A:$C,3))</f>
        <v/>
      </c>
    </row>
    <row r="147" spans="1:6" x14ac:dyDescent="0.2">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2">
        <f>IF(VLOOKUP(Table1346811121415161718192021[[#This Row],[Date]],'DB China Official PMI'!$A:$C,3)=0,"",VLOOKUP(Table1346811121415161718192021[[#This Row],[Date]],'DB China Official PMI'!$A:$C,3))</f>
        <v>6.8000000000000005E-2</v>
      </c>
    </row>
    <row r="148" spans="1:6" x14ac:dyDescent="0.2">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2" t="str">
        <f>IF(VLOOKUP(Table1346811121415161718192021[[#This Row],[Date]],'DB China Official PMI'!$A:$C,3)=0,"",VLOOKUP(Table1346811121415161718192021[[#This Row],[Date]],'DB China Official PMI'!$A:$C,3))</f>
        <v/>
      </c>
    </row>
    <row r="149" spans="1:6" x14ac:dyDescent="0.2">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2" t="str">
        <f>IF(VLOOKUP(Table1346811121415161718192021[[#This Row],[Date]],'DB China Official PMI'!$A:$C,3)=0,"",VLOOKUP(Table1346811121415161718192021[[#This Row],[Date]],'DB China Official PMI'!$A:$C,3))</f>
        <v/>
      </c>
    </row>
    <row r="150" spans="1:6" x14ac:dyDescent="0.2">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2">
        <f>IF(VLOOKUP(Table1346811121415161718192021[[#This Row],[Date]],'DB China Official PMI'!$A:$C,3)=0,"",VLOOKUP(Table1346811121415161718192021[[#This Row],[Date]],'DB China Official PMI'!$A:$C,3))</f>
        <v>6.9000000000000006E-2</v>
      </c>
    </row>
    <row r="151" spans="1:6" x14ac:dyDescent="0.2">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2" t="str">
        <f>IF(VLOOKUP(Table1346811121415161718192021[[#This Row],[Date]],'DB China Official PMI'!$A:$C,3)=0,"",VLOOKUP(Table1346811121415161718192021[[#This Row],[Date]],'DB China Official PMI'!$A:$C,3))</f>
        <v/>
      </c>
    </row>
    <row r="152" spans="1:6" x14ac:dyDescent="0.2">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2" t="str">
        <f>IF(VLOOKUP(Table1346811121415161718192021[[#This Row],[Date]],'DB China Official PMI'!$A:$C,3)=0,"",VLOOKUP(Table1346811121415161718192021[[#This Row],[Date]],'DB China Official PMI'!$A:$C,3))</f>
        <v/>
      </c>
    </row>
    <row r="153" spans="1:6" x14ac:dyDescent="0.2">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2">
        <f>IF(VLOOKUP(Table1346811121415161718192021[[#This Row],[Date]],'DB China Official PMI'!$A:$C,3)=0,"",VLOOKUP(Table1346811121415161718192021[[#This Row],[Date]],'DB China Official PMI'!$A:$C,3))</f>
        <v>7.0000000000000007E-2</v>
      </c>
    </row>
    <row r="154" spans="1:6" x14ac:dyDescent="0.2">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2" t="str">
        <f>IF(VLOOKUP(Table1346811121415161718192021[[#This Row],[Date]],'DB China Official PMI'!$A:$C,3)=0,"",VLOOKUP(Table1346811121415161718192021[[#This Row],[Date]],'DB China Official PMI'!$A:$C,3))</f>
        <v/>
      </c>
    </row>
    <row r="155" spans="1:6" x14ac:dyDescent="0.2">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2" t="str">
        <f>IF(VLOOKUP(Table1346811121415161718192021[[#This Row],[Date]],'DB China Official PMI'!$A:$C,3)=0,"",VLOOKUP(Table1346811121415161718192021[[#This Row],[Date]],'DB China Official PMI'!$A:$C,3))</f>
        <v/>
      </c>
    </row>
    <row r="156" spans="1:6" x14ac:dyDescent="0.2">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2">
        <f>IF(VLOOKUP(Table1346811121415161718192021[[#This Row],[Date]],'DB China Official PMI'!$A:$C,3)=0,"",VLOOKUP(Table1346811121415161718192021[[#This Row],[Date]],'DB China Official PMI'!$A:$C,3))</f>
        <v>7.0000000000000007E-2</v>
      </c>
    </row>
    <row r="157" spans="1:6" x14ac:dyDescent="0.2">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2" t="str">
        <f>IF(VLOOKUP(Table1346811121415161718192021[[#This Row],[Date]],'DB China Official PMI'!$A:$C,3)=0,"",VLOOKUP(Table1346811121415161718192021[[#This Row],[Date]],'DB China Official PMI'!$A:$C,3))</f>
        <v/>
      </c>
    </row>
    <row r="158" spans="1:6" x14ac:dyDescent="0.2">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2" t="str">
        <f>IF(VLOOKUP(Table1346811121415161718192021[[#This Row],[Date]],'DB China Official PMI'!$A:$C,3)=0,"",VLOOKUP(Table1346811121415161718192021[[#This Row],[Date]],'DB China Official PMI'!$A:$C,3))</f>
        <v/>
      </c>
    </row>
    <row r="159" spans="1:6" x14ac:dyDescent="0.2">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2">
        <f>IF(VLOOKUP(Table1346811121415161718192021[[#This Row],[Date]],'DB China Official PMI'!$A:$C,3)=0,"",VLOOKUP(Table1346811121415161718192021[[#This Row],[Date]],'DB China Official PMI'!$A:$C,3))</f>
        <v>6.9000000000000006E-2</v>
      </c>
    </row>
    <row r="160" spans="1:6" x14ac:dyDescent="0.2">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2" t="str">
        <f>IF(VLOOKUP(Table1346811121415161718192021[[#This Row],[Date]],'DB China Official PMI'!$A:$C,3)=0,"",VLOOKUP(Table1346811121415161718192021[[#This Row],[Date]],'DB China Official PMI'!$A:$C,3))</f>
        <v/>
      </c>
    </row>
    <row r="161" spans="1:6" x14ac:dyDescent="0.2">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2" t="str">
        <f>IF(VLOOKUP(Table1346811121415161718192021[[#This Row],[Date]],'DB China Official PMI'!$A:$C,3)=0,"",VLOOKUP(Table1346811121415161718192021[[#This Row],[Date]],'DB China Official PMI'!$A:$C,3))</f>
        <v/>
      </c>
    </row>
    <row r="162" spans="1:6" x14ac:dyDescent="0.2">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2">
        <f>IF(VLOOKUP(Table1346811121415161718192021[[#This Row],[Date]],'DB China Official PMI'!$A:$C,3)=0,"",VLOOKUP(Table1346811121415161718192021[[#This Row],[Date]],'DB China Official PMI'!$A:$C,3))</f>
        <v>6.8000000000000005E-2</v>
      </c>
    </row>
    <row r="163" spans="1:6" x14ac:dyDescent="0.2">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2" t="str">
        <f>IF(VLOOKUP(Table1346811121415161718192021[[#This Row],[Date]],'DB China Official PMI'!$A:$C,3)=0,"",VLOOKUP(Table1346811121415161718192021[[#This Row],[Date]],'DB China Official PMI'!$A:$C,3))</f>
        <v/>
      </c>
    </row>
    <row r="164" spans="1:6" x14ac:dyDescent="0.2">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2" t="str">
        <f>IF(VLOOKUP(Table1346811121415161718192021[[#This Row],[Date]],'DB China Official PMI'!$A:$C,3)=0,"",VLOOKUP(Table1346811121415161718192021[[#This Row],[Date]],'DB China Official PMI'!$A:$C,3))</f>
        <v/>
      </c>
    </row>
    <row r="165" spans="1:6" x14ac:dyDescent="0.2">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2">
        <f>IF(VLOOKUP(Table1346811121415161718192021[[#This Row],[Date]],'DB China Official PMI'!$A:$C,3)=0,"",VLOOKUP(Table1346811121415161718192021[[#This Row],[Date]],'DB China Official PMI'!$A:$C,3))</f>
        <v>6.9000000000000006E-2</v>
      </c>
    </row>
    <row r="166" spans="1:6" x14ac:dyDescent="0.2">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2" t="str">
        <f>IF(VLOOKUP(Table1346811121415161718192021[[#This Row],[Date]],'DB China Official PMI'!$A:$C,3)=0,"",VLOOKUP(Table1346811121415161718192021[[#This Row],[Date]],'DB China Official PMI'!$A:$C,3))</f>
        <v/>
      </c>
    </row>
    <row r="167" spans="1:6" x14ac:dyDescent="0.2">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2" t="str">
        <f>IF(VLOOKUP(Table1346811121415161718192021[[#This Row],[Date]],'DB China Official PMI'!$A:$C,3)=0,"",VLOOKUP(Table1346811121415161718192021[[#This Row],[Date]],'DB China Official PMI'!$A:$C,3))</f>
        <v/>
      </c>
    </row>
    <row r="168" spans="1:6" x14ac:dyDescent="0.2">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2">
        <f>IF(VLOOKUP(Table1346811121415161718192021[[#This Row],[Date]],'DB China Official PMI'!$A:$C,3)=0,"",VLOOKUP(Table1346811121415161718192021[[#This Row],[Date]],'DB China Official PMI'!$A:$C,3))</f>
        <v>6.9000000000000006E-2</v>
      </c>
    </row>
    <row r="169" spans="1:6" x14ac:dyDescent="0.2">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2" t="str">
        <f>IF(VLOOKUP(Table1346811121415161718192021[[#This Row],[Date]],'DB China Official PMI'!$A:$C,3)=0,"",VLOOKUP(Table1346811121415161718192021[[#This Row],[Date]],'DB China Official PMI'!$A:$C,3))</f>
        <v/>
      </c>
    </row>
    <row r="170" spans="1:6" x14ac:dyDescent="0.2">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2" t="str">
        <f>IF(VLOOKUP(Table1346811121415161718192021[[#This Row],[Date]],'DB China Official PMI'!$A:$C,3)=0,"",VLOOKUP(Table1346811121415161718192021[[#This Row],[Date]],'DB China Official PMI'!$A:$C,3))</f>
        <v/>
      </c>
    </row>
    <row r="171" spans="1:6" x14ac:dyDescent="0.2">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2">
        <f>IF(VLOOKUP(Table1346811121415161718192021[[#This Row],[Date]],'DB China Official PMI'!$A:$C,3)=0,"",VLOOKUP(Table1346811121415161718192021[[#This Row],[Date]],'DB China Official PMI'!$A:$C,3))</f>
        <v>6.7000000000000004E-2</v>
      </c>
    </row>
    <row r="172" spans="1:6" x14ac:dyDescent="0.2">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2" t="str">
        <f>IF(VLOOKUP(Table1346811121415161718192021[[#This Row],[Date]],'DB China Official PMI'!$A:$C,3)=0,"",VLOOKUP(Table1346811121415161718192021[[#This Row],[Date]],'DB China Official PMI'!$A:$C,3))</f>
        <v/>
      </c>
    </row>
    <row r="173" spans="1:6" x14ac:dyDescent="0.2">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2" t="str">
        <f>IF(VLOOKUP(Table1346811121415161718192021[[#This Row],[Date]],'DB China Official PMI'!$A:$C,3)=0,"",VLOOKUP(Table1346811121415161718192021[[#This Row],[Date]],'DB China Official PMI'!$A:$C,3))</f>
        <v/>
      </c>
    </row>
    <row r="174" spans="1:6" x14ac:dyDescent="0.2">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2">
        <f>IF(VLOOKUP(Table1346811121415161718192021[[#This Row],[Date]],'DB China Official PMI'!$A:$C,3)=0,"",VLOOKUP(Table1346811121415161718192021[[#This Row],[Date]],'DB China Official PMI'!$A:$C,3))</f>
        <v>6.5000000000000002E-2</v>
      </c>
    </row>
    <row r="175" spans="1:6" x14ac:dyDescent="0.2">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2" t="str">
        <f>IF(VLOOKUP(Table1346811121415161718192021[[#This Row],[Date]],'DB China Official PMI'!$A:$C,3)=0,"",VLOOKUP(Table1346811121415161718192021[[#This Row],[Date]],'DB China Official PMI'!$A:$C,3))</f>
        <v/>
      </c>
    </row>
    <row r="176" spans="1:6" x14ac:dyDescent="0.2">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2" t="str">
        <f>IF(VLOOKUP(Table1346811121415161718192021[[#This Row],[Date]],'DB China Official PMI'!$A:$C,3)=0,"",VLOOKUP(Table1346811121415161718192021[[#This Row],[Date]],'DB China Official PMI'!$A:$C,3))</f>
        <v/>
      </c>
    </row>
    <row r="177" spans="1:6" x14ac:dyDescent="0.2">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2">
        <f>IF(VLOOKUP(Table1346811121415161718192021[[#This Row],[Date]],'DB China Official PMI'!$A:$C,3)=0,"",VLOOKUP(Table1346811121415161718192021[[#This Row],[Date]],'DB China Official PMI'!$A:$C,3))</f>
        <v>6.3E-2</v>
      </c>
    </row>
    <row r="178" spans="1:6" x14ac:dyDescent="0.2">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2" t="str">
        <f>IF(VLOOKUP(Table1346811121415161718192021[[#This Row],[Date]],'DB China Official PMI'!$A:$C,3)=0,"",VLOOKUP(Table1346811121415161718192021[[#This Row],[Date]],'DB China Official PMI'!$A:$C,3))</f>
        <v/>
      </c>
    </row>
    <row r="179" spans="1:6" x14ac:dyDescent="0.2">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2" t="str">
        <f>IF(VLOOKUP(Table1346811121415161718192021[[#This Row],[Date]],'DB China Official PMI'!$A:$C,3)=0,"",VLOOKUP(Table1346811121415161718192021[[#This Row],[Date]],'DB China Official PMI'!$A:$C,3))</f>
        <v/>
      </c>
    </row>
    <row r="180" spans="1:6" x14ac:dyDescent="0.2">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2">
        <f>IF(VLOOKUP(Table1346811121415161718192021[[#This Row],[Date]],'DB China Official PMI'!$A:$C,3)=0,"",VLOOKUP(Table1346811121415161718192021[[#This Row],[Date]],'DB China Official PMI'!$A:$C,3))</f>
        <v>0.06</v>
      </c>
    </row>
    <row r="181" spans="1:6" x14ac:dyDescent="0.2">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2" t="str">
        <f>IF(VLOOKUP(Table1346811121415161718192021[[#This Row],[Date]],'DB China Official PMI'!$A:$C,3)=0,"",VLOOKUP(Table1346811121415161718192021[[#This Row],[Date]],'DB China Official PMI'!$A:$C,3))</f>
        <v/>
      </c>
    </row>
    <row r="182" spans="1:6" x14ac:dyDescent="0.2">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2" t="str">
        <f>IF(VLOOKUP(Table1346811121415161718192021[[#This Row],[Date]],'DB China Official PMI'!$A:$C,3)=0,"",VLOOKUP(Table1346811121415161718192021[[#This Row],[Date]],'DB China Official PMI'!$A:$C,3))</f>
        <v/>
      </c>
    </row>
    <row r="183" spans="1:6" x14ac:dyDescent="0.2">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2">
        <f>IF(VLOOKUP(Table1346811121415161718192021[[#This Row],[Date]],'DB China Official PMI'!$A:$C,3)=0,"",VLOOKUP(Table1346811121415161718192021[[#This Row],[Date]],'DB China Official PMI'!$A:$C,3))</f>
        <v>5.8999999999999997E-2</v>
      </c>
    </row>
    <row r="184" spans="1:6" x14ac:dyDescent="0.2">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2" t="str">
        <f>IF(VLOOKUP(Table1346811121415161718192021[[#This Row],[Date]],'DB China Official PMI'!$A:$C,3)=0,"",VLOOKUP(Table1346811121415161718192021[[#This Row],[Date]],'DB China Official PMI'!$A:$C,3))</f>
        <v/>
      </c>
    </row>
    <row r="185" spans="1:6" x14ac:dyDescent="0.2">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2" t="str">
        <f>IF(VLOOKUP(Table1346811121415161718192021[[#This Row],[Date]],'DB China Official PMI'!$A:$C,3)=0,"",VLOOKUP(Table1346811121415161718192021[[#This Row],[Date]],'DB China Official PMI'!$A:$C,3))</f>
        <v/>
      </c>
    </row>
    <row r="186" spans="1:6" x14ac:dyDescent="0.2">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2">
        <f>IF(VLOOKUP(Table1346811121415161718192021[[#This Row],[Date]],'DB China Official PMI'!$A:$C,3)=0,"",VLOOKUP(Table1346811121415161718192021[[#This Row],[Date]],'DB China Official PMI'!$A:$C,3))</f>
        <v>5.8000000000000003E-2</v>
      </c>
    </row>
    <row r="187" spans="1:6" x14ac:dyDescent="0.2">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2" t="str">
        <f>IF(VLOOKUP(Table1346811121415161718192021[[#This Row],[Date]],'DB China Official PMI'!$A:$C,3)=0,"",VLOOKUP(Table1346811121415161718192021[[#This Row],[Date]],'DB China Official PMI'!$A:$C,3))</f>
        <v/>
      </c>
    </row>
    <row r="188" spans="1:6" x14ac:dyDescent="0.2">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2" t="str">
        <f>IF(VLOOKUP(Table1346811121415161718192021[[#This Row],[Date]],'DB China Official PMI'!$A:$C,3)=0,"",VLOOKUP(Table1346811121415161718192021[[#This Row],[Date]],'DB China Official PMI'!$A:$C,3))</f>
        <v/>
      </c>
    </row>
    <row r="189" spans="1:6" x14ac:dyDescent="0.2">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2">
        <f>IF(VLOOKUP(Table1346811121415161718192021[[#This Row],[Date]],'DB China Official PMI'!$A:$C,3)=0,"",VLOOKUP(Table1346811121415161718192021[[#This Row],[Date]],'DB China Official PMI'!$A:$C,3))</f>
        <v>-6.9000000000000006E-2</v>
      </c>
    </row>
    <row r="190" spans="1:6" x14ac:dyDescent="0.2">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2" t="str">
        <f>IF(VLOOKUP(Table1346811121415161718192021[[#This Row],[Date]],'DB China Official PMI'!$A:$C,3)=0,"",VLOOKUP(Table1346811121415161718192021[[#This Row],[Date]],'DB China Official PMI'!$A:$C,3))</f>
        <v/>
      </c>
    </row>
    <row r="191" spans="1:6" x14ac:dyDescent="0.2">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2" t="str">
        <f>IF(VLOOKUP(Table1346811121415161718192021[[#This Row],[Date]],'DB China Official PMI'!$A:$C,3)=0,"",VLOOKUP(Table1346811121415161718192021[[#This Row],[Date]],'DB China Official PMI'!$A:$C,3))</f>
        <v/>
      </c>
    </row>
    <row r="192" spans="1:6" x14ac:dyDescent="0.2">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2">
        <f>IF(VLOOKUP(Table1346811121415161718192021[[#This Row],[Date]],'DB China Official PMI'!$A:$C,3)=0,"",VLOOKUP(Table1346811121415161718192021[[#This Row],[Date]],'DB China Official PMI'!$A:$C,3))</f>
        <v>3.1E-2</v>
      </c>
    </row>
    <row r="193" spans="1:6" x14ac:dyDescent="0.2">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2" t="str">
        <f>IF(VLOOKUP(Table1346811121415161718192021[[#This Row],[Date]],'DB China Official PMI'!$A:$C,3)=0,"",VLOOKUP(Table1346811121415161718192021[[#This Row],[Date]],'DB China Official PMI'!$A:$C,3))</f>
        <v/>
      </c>
    </row>
    <row r="194" spans="1:6" x14ac:dyDescent="0.2">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2" t="str">
        <f>IF(VLOOKUP(Table1346811121415161718192021[[#This Row],[Date]],'DB China Official PMI'!$A:$C,3)=0,"",VLOOKUP(Table1346811121415161718192021[[#This Row],[Date]],'DB China Official PMI'!$A:$C,3))</f>
        <v/>
      </c>
    </row>
    <row r="195" spans="1:6" x14ac:dyDescent="0.2">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2">
        <f>IF(VLOOKUP(Table1346811121415161718192021[[#This Row],[Date]],'DB China Official PMI'!$A:$C,3)=0,"",VLOOKUP(Table1346811121415161718192021[[#This Row],[Date]],'DB China Official PMI'!$A:$C,3))</f>
        <v>4.8000000000000001E-2</v>
      </c>
    </row>
    <row r="196" spans="1:6" x14ac:dyDescent="0.2">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2" t="str">
        <f>IF(VLOOKUP(Table1346811121415161718192021[[#This Row],[Date]],'DB China Official PMI'!$A:$C,3)=0,"",VLOOKUP(Table1346811121415161718192021[[#This Row],[Date]],'DB China Official PMI'!$A:$C,3))</f>
        <v/>
      </c>
    </row>
    <row r="197" spans="1:6" x14ac:dyDescent="0.2">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2" t="str">
        <f>IF(VLOOKUP(Table1346811121415161718192021[[#This Row],[Date]],'DB China Official PMI'!$A:$C,3)=0,"",VLOOKUP(Table1346811121415161718192021[[#This Row],[Date]],'DB China Official PMI'!$A:$C,3))</f>
        <v/>
      </c>
    </row>
    <row r="198" spans="1:6" x14ac:dyDescent="0.2">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2">
        <f>IF(VLOOKUP(Table1346811121415161718192021[[#This Row],[Date]],'DB China Official PMI'!$A:$C,3)=0,"",VLOOKUP(Table1346811121415161718192021[[#This Row],[Date]],'DB China Official PMI'!$A:$C,3))</f>
        <v>6.4000000000000001E-2</v>
      </c>
    </row>
    <row r="199" spans="1:6" x14ac:dyDescent="0.2">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2" t="str">
        <f>IF(VLOOKUP(Table1346811121415161718192021[[#This Row],[Date]],'DB China Official PMI'!$A:$C,3)=0,"",VLOOKUP(Table1346811121415161718192021[[#This Row],[Date]],'DB China Official PMI'!$A:$C,3))</f>
        <v/>
      </c>
    </row>
    <row r="200" spans="1:6" x14ac:dyDescent="0.2">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2" t="str">
        <f>IF(VLOOKUP(Table1346811121415161718192021[[#This Row],[Date]],'DB China Official PMI'!$A:$C,3)=0,"",VLOOKUP(Table1346811121415161718192021[[#This Row],[Date]],'DB China Official PMI'!$A:$C,3))</f>
        <v/>
      </c>
    </row>
    <row r="201" spans="1:6" x14ac:dyDescent="0.2">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2">
        <f>IF(VLOOKUP(Table1346811121415161718192021[[#This Row],[Date]],'DB China Official PMI'!$A:$C,3)=0,"",VLOOKUP(Table1346811121415161718192021[[#This Row],[Date]],'DB China Official PMI'!$A:$C,3))</f>
        <v>0.183</v>
      </c>
    </row>
    <row r="202" spans="1:6" x14ac:dyDescent="0.2">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2" t="str">
        <f>IF(VLOOKUP(Table1346811121415161718192021[[#This Row],[Date]],'DB China Official PMI'!$A:$C,3)=0,"",VLOOKUP(Table1346811121415161718192021[[#This Row],[Date]],'DB China Official PMI'!$A:$C,3))</f>
        <v/>
      </c>
    </row>
    <row r="203" spans="1:6" x14ac:dyDescent="0.2">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2" t="str">
        <f>IF(VLOOKUP(Table1346811121415161718192021[[#This Row],[Date]],'DB China Official PMI'!$A:$C,3)=0,"",VLOOKUP(Table1346811121415161718192021[[#This Row],[Date]],'DB China Official PMI'!$A:$C,3))</f>
        <v/>
      </c>
    </row>
    <row r="204" spans="1:6" x14ac:dyDescent="0.2">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2">
        <f>IF(VLOOKUP(Table1346811121415161718192021[[#This Row],[Date]],'DB China Official PMI'!$A:$C,3)=0,"",VLOOKUP(Table1346811121415161718192021[[#This Row],[Date]],'DB China Official PMI'!$A:$C,3))</f>
        <v>7.9000000000000001E-2</v>
      </c>
    </row>
    <row r="205" spans="1:6" x14ac:dyDescent="0.2">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2" t="str">
        <f>IF(VLOOKUP(Table1346811121415161718192021[[#This Row],[Date]],'DB China Official PMI'!$A:$C,3)=0,"",VLOOKUP(Table1346811121415161718192021[[#This Row],[Date]],'DB China Official PMI'!$A:$C,3))</f>
        <v/>
      </c>
    </row>
    <row r="206" spans="1:6" x14ac:dyDescent="0.2">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2" t="str">
        <f>IF(VLOOKUP(Table1346811121415161718192021[[#This Row],[Date]],'DB China Official PMI'!$A:$C,3)=0,"",VLOOKUP(Table1346811121415161718192021[[#This Row],[Date]],'DB China Official PMI'!$A:$C,3))</f>
        <v/>
      </c>
    </row>
    <row r="207" spans="1:6" x14ac:dyDescent="0.2">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2">
        <f>IF(VLOOKUP(Table1346811121415161718192021[[#This Row],[Date]],'DB China Official PMI'!$A:$C,3)=0,"",VLOOKUP(Table1346811121415161718192021[[#This Row],[Date]],'DB China Official PMI'!$A:$C,3))</f>
        <v>4.9000000000000002E-2</v>
      </c>
    </row>
    <row r="208" spans="1:6" x14ac:dyDescent="0.2">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2" t="str">
        <f>IF(VLOOKUP(Table1346811121415161718192021[[#This Row],[Date]],'DB China Official PMI'!$A:$C,3)=0,"",VLOOKUP(Table1346811121415161718192021[[#This Row],[Date]],'DB China Official PMI'!$A:$C,3))</f>
        <v/>
      </c>
    </row>
    <row r="209" spans="1:6" x14ac:dyDescent="0.2">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2" t="str">
        <f>IF(VLOOKUP(Table1346811121415161718192021[[#This Row],[Date]],'DB China Official PMI'!$A:$C,3)=0,"",VLOOKUP(Table1346811121415161718192021[[#This Row],[Date]],'DB China Official PMI'!$A:$C,3))</f>
        <v/>
      </c>
    </row>
    <row r="210" spans="1:6" x14ac:dyDescent="0.2">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2">
        <f>IF(VLOOKUP(Table1346811121415161718192021[[#This Row],[Date]],'DB China Official PMI'!$A:$C,3)=0,"",VLOOKUP(Table1346811121415161718192021[[#This Row],[Date]],'DB China Official PMI'!$A:$C,3))</f>
        <v>0.04</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11"/>
  <sheetViews>
    <sheetView zoomScale="140" zoomScaleNormal="140" workbookViewId="0">
      <pane ySplit="5" topLeftCell="A170" activePane="bottomLeft" state="frozen"/>
      <selection activeCell="P121" sqref="P121"/>
      <selection pane="bottomLeft" activeCell="U202" sqref="U202"/>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50</v>
      </c>
      <c r="K1" s="63" t="s">
        <v>107</v>
      </c>
    </row>
    <row r="2" spans="1:11" x14ac:dyDescent="0.2">
      <c r="K2" s="63" t="str">
        <f>A1&amp;K1</f>
        <v>Euro Area Manufacturing PMI</v>
      </c>
    </row>
    <row r="4" spans="1:11" ht="16" customHeight="1" thickBot="1" x14ac:dyDescent="0.25"/>
    <row r="5" spans="1:11" ht="49" customHeight="1" thickBot="1" x14ac:dyDescent="0.25">
      <c r="A5" s="53" t="s">
        <v>44</v>
      </c>
      <c r="B5" s="54" t="s">
        <v>114</v>
      </c>
      <c r="C5" s="54" t="s">
        <v>104</v>
      </c>
      <c r="D5" s="55" t="s">
        <v>82</v>
      </c>
      <c r="E5" s="55" t="s">
        <v>105</v>
      </c>
      <c r="F5" s="55" t="s">
        <v>115</v>
      </c>
      <c r="G5" s="55" t="s">
        <v>116</v>
      </c>
    </row>
    <row r="6" spans="1:11" x14ac:dyDescent="0.2">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22.17093467712402</v>
      </c>
      <c r="E6" s="24"/>
      <c r="F6" s="24"/>
      <c r="G6" s="52" t="str">
        <f>IF(VLOOKUP(Table13468111214[[#This Row],[Date]],'DB Global PMI'!$A:$F,6)=0,"",VLOOKUP(Table13468111214[[#This Row],[Date]],'DB Global PMI'!$A:$F,6))</f>
        <v/>
      </c>
    </row>
    <row r="7" spans="1:11" x14ac:dyDescent="0.2">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22.077951431274411</v>
      </c>
      <c r="E7" s="24"/>
      <c r="F7" s="24"/>
      <c r="G7" s="52">
        <f>IF(VLOOKUP(Table13468111214[[#This Row],[Date]],'DB Global PMI'!$A:$F,6)=0,"",VLOOKUP(Table13468111214[[#This Row],[Date]],'DB Global PMI'!$A:$F,6))</f>
        <v>2.373109956616418E-3</v>
      </c>
    </row>
    <row r="8" spans="1:11" x14ac:dyDescent="0.2">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23.0388069152832</v>
      </c>
      <c r="E8" s="24"/>
      <c r="F8" s="24"/>
      <c r="G8" s="52" t="str">
        <f>IF(VLOOKUP(Table13468111214[[#This Row],[Date]],'DB Global PMI'!$A:$F,6)=0,"",VLOOKUP(Table13468111214[[#This Row],[Date]],'DB Global PMI'!$A:$F,6))</f>
        <v/>
      </c>
    </row>
    <row r="9" spans="1:11" x14ac:dyDescent="0.2">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22.482194900512699</v>
      </c>
      <c r="E9" s="24"/>
      <c r="F9" s="24"/>
      <c r="G9" s="52" t="str">
        <f>IF(VLOOKUP(Table13468111214[[#This Row],[Date]],'DB Global PMI'!$A:$F,6)=0,"",VLOOKUP(Table13468111214[[#This Row],[Date]],'DB Global PMI'!$A:$F,6))</f>
        <v/>
      </c>
    </row>
    <row r="10" spans="1:11" x14ac:dyDescent="0.2">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21.704805374145511</v>
      </c>
      <c r="E10" s="24"/>
      <c r="F10" s="24"/>
      <c r="G10" s="52">
        <f>IF(VLOOKUP(Table13468111214[[#This Row],[Date]],'DB Global PMI'!$A:$F,6)=0,"",VLOOKUP(Table13468111214[[#This Row],[Date]],'DB Global PMI'!$A:$F,6))</f>
        <v>5.6812296091285899E-3</v>
      </c>
    </row>
    <row r="11" spans="1:11" x14ac:dyDescent="0.2">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21.80119705200195</v>
      </c>
      <c r="E11" s="24"/>
      <c r="F11" s="24"/>
      <c r="G11" s="52" t="str">
        <f>IF(VLOOKUP(Table13468111214[[#This Row],[Date]],'DB Global PMI'!$A:$F,6)=0,"",VLOOKUP(Table13468111214[[#This Row],[Date]],'DB Global PMI'!$A:$F,6))</f>
        <v/>
      </c>
    </row>
    <row r="12" spans="1:11" x14ac:dyDescent="0.2">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22.121488571166989</v>
      </c>
      <c r="E12" s="24"/>
      <c r="F12" s="24"/>
      <c r="G12" s="52" t="str">
        <f>IF(VLOOKUP(Table13468111214[[#This Row],[Date]],'DB Global PMI'!$A:$F,6)=0,"",VLOOKUP(Table13468111214[[#This Row],[Date]],'DB Global PMI'!$A:$F,6))</f>
        <v/>
      </c>
    </row>
    <row r="13" spans="1:11" x14ac:dyDescent="0.2">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23.128988265991211</v>
      </c>
      <c r="E13" s="24"/>
      <c r="F13" s="24"/>
      <c r="G13" s="52">
        <f>IF(VLOOKUP(Table13468111214[[#This Row],[Date]],'DB Global PMI'!$A:$F,6)=0,"",VLOOKUP(Table13468111214[[#This Row],[Date]],'DB Global PMI'!$A:$F,6))</f>
        <v>7.4476391020472602E-3</v>
      </c>
    </row>
    <row r="14" spans="1:11" x14ac:dyDescent="0.2">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23.508354187011719</v>
      </c>
      <c r="E14" s="24"/>
      <c r="F14" s="24"/>
      <c r="G14" s="52" t="str">
        <f>IF(VLOOKUP(Table13468111214[[#This Row],[Date]],'DB Global PMI'!$A:$F,6)=0,"",VLOOKUP(Table13468111214[[#This Row],[Date]],'DB Global PMI'!$A:$F,6))</f>
        <v/>
      </c>
    </row>
    <row r="15" spans="1:11" x14ac:dyDescent="0.2">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23.918817520141602</v>
      </c>
      <c r="E15" s="24"/>
      <c r="F15" s="24"/>
      <c r="G15" s="52" t="str">
        <f>IF(VLOOKUP(Table13468111214[[#This Row],[Date]],'DB Global PMI'!$A:$F,6)=0,"",VLOOKUP(Table13468111214[[#This Row],[Date]],'DB Global PMI'!$A:$F,6))</f>
        <v/>
      </c>
    </row>
    <row r="16" spans="1:11" x14ac:dyDescent="0.2">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23.017036437988281</v>
      </c>
      <c r="E16" s="24"/>
      <c r="F16" s="24"/>
      <c r="G16" s="52">
        <f>IF(VLOOKUP(Table13468111214[[#This Row],[Date]],'DB Global PMI'!$A:$F,6)=0,"",VLOOKUP(Table13468111214[[#This Row],[Date]],'DB Global PMI'!$A:$F,6))</f>
        <v>6.5134387866442054E-3</v>
      </c>
    </row>
    <row r="17" spans="1:7" x14ac:dyDescent="0.2">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23.43994140625</v>
      </c>
      <c r="E17" s="24"/>
      <c r="F17" s="24"/>
      <c r="G17" s="52" t="str">
        <f>IF(VLOOKUP(Table13468111214[[#This Row],[Date]],'DB Global PMI'!$A:$F,6)=0,"",VLOOKUP(Table13468111214[[#This Row],[Date]],'DB Global PMI'!$A:$F,6))</f>
        <v/>
      </c>
    </row>
    <row r="18" spans="1:7" x14ac:dyDescent="0.2">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24.145816802978519</v>
      </c>
      <c r="E18" s="24">
        <f>Table13468111214[[#This Row],[Euro Area PMI]]-B6</f>
        <v>2.2000000000000028</v>
      </c>
      <c r="F18" s="52">
        <f>(Table13468111214[[#This Row],[EZU]]-D6)/D6</f>
        <v>8.9075276014059235E-2</v>
      </c>
      <c r="G18" s="52" t="str">
        <f>IF(VLOOKUP(Table13468111214[[#This Row],[Date]],'DB Global PMI'!$A:$F,6)=0,"",VLOOKUP(Table13468111214[[#This Row],[Date]],'DB Global PMI'!$A:$F,6))</f>
        <v/>
      </c>
    </row>
    <row r="19" spans="1:7" x14ac:dyDescent="0.2">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26.208602905273441</v>
      </c>
      <c r="E19" s="24">
        <f>Table13468111214[[#This Row],[Euro Area PMI]]-B7</f>
        <v>1.6000000000000014</v>
      </c>
      <c r="F19" s="52">
        <f>(Table13468111214[[#This Row],[EZU]]-D7)/D7</f>
        <v>0.187093965074485</v>
      </c>
      <c r="G19" s="52">
        <f>IF(VLOOKUP(Table13468111214[[#This Row],[Date]],'DB Global PMI'!$A:$F,6)=0,"",VLOOKUP(Table13468111214[[#This Row],[Date]],'DB Global PMI'!$A:$F,6))</f>
        <v>8.7610697106711988E-3</v>
      </c>
    </row>
    <row r="20" spans="1:7" x14ac:dyDescent="0.2">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26.39834022521973</v>
      </c>
      <c r="E20" s="24">
        <f>Table13468111214[[#This Row],[Euro Area PMI]]-B8</f>
        <v>2.6000000000000014</v>
      </c>
      <c r="F20" s="52">
        <f>(Table13468111214[[#This Row],[EZU]]-D8)/D8</f>
        <v>0.14582062874566326</v>
      </c>
      <c r="G20" s="52" t="str">
        <f>IF(VLOOKUP(Table13468111214[[#This Row],[Date]],'DB Global PMI'!$A:$F,6)=0,"",VLOOKUP(Table13468111214[[#This Row],[Date]],'DB Global PMI'!$A:$F,6))</f>
        <v/>
      </c>
    </row>
    <row r="21" spans="1:7" x14ac:dyDescent="0.2">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27.558883666992191</v>
      </c>
      <c r="E21" s="24">
        <f>Table13468111214[[#This Row],[Euro Area PMI]]-B9</f>
        <v>5.7000000000000028</v>
      </c>
      <c r="F21" s="52">
        <f>(Table13468111214[[#This Row],[EZU]]-D9)/D9</f>
        <v>0.22580930327063931</v>
      </c>
      <c r="G21" s="52" t="str">
        <f>IF(VLOOKUP(Table13468111214[[#This Row],[Date]],'DB Global PMI'!$A:$F,6)=0,"",VLOOKUP(Table13468111214[[#This Row],[Date]],'DB Global PMI'!$A:$F,6))</f>
        <v/>
      </c>
    </row>
    <row r="22" spans="1:7" x14ac:dyDescent="0.2">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28.79213714599609</v>
      </c>
      <c r="E22" s="24">
        <f>Table13468111214[[#This Row],[Euro Area PMI]]-B10</f>
        <v>7.5</v>
      </c>
      <c r="F22" s="52">
        <f>(Table13468111214[[#This Row],[EZU]]-D10)/D10</f>
        <v>0.32653284144592787</v>
      </c>
      <c r="G22" s="52">
        <f>IF(VLOOKUP(Table13468111214[[#This Row],[Date]],'DB Global PMI'!$A:$F,6)=0,"",VLOOKUP(Table13468111214[[#This Row],[Date]],'DB Global PMI'!$A:$F,6))</f>
        <v>1.0986152377479189E-2</v>
      </c>
    </row>
    <row r="23" spans="1:7" x14ac:dyDescent="0.2">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27.767585754394531</v>
      </c>
      <c r="E23" s="24">
        <f>Table13468111214[[#This Row],[Euro Area PMI]]-B11</f>
        <v>8.2999999999999972</v>
      </c>
      <c r="F23" s="52">
        <f>(Table13468111214[[#This Row],[EZU]]-D11)/D11</f>
        <v>0.27367252762135386</v>
      </c>
      <c r="G23" s="52" t="str">
        <f>IF(VLOOKUP(Table13468111214[[#This Row],[Date]],'DB Global PMI'!$A:$F,6)=0,"",VLOOKUP(Table13468111214[[#This Row],[Date]],'DB Global PMI'!$A:$F,6))</f>
        <v/>
      </c>
    </row>
    <row r="24" spans="1:7" x14ac:dyDescent="0.2">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27.846639633178711</v>
      </c>
      <c r="E24" s="24">
        <f>Table13468111214[[#This Row],[Euro Area PMI]]-B12</f>
        <v>7.8000000000000043</v>
      </c>
      <c r="F24" s="52">
        <f>(Table13468111214[[#This Row],[EZU]]-D12)/D12</f>
        <v>0.25880496439438749</v>
      </c>
      <c r="G24" s="52" t="str">
        <f>IF(VLOOKUP(Table13468111214[[#This Row],[Date]],'DB Global PMI'!$A:$F,6)=0,"",VLOOKUP(Table13468111214[[#This Row],[Date]],'DB Global PMI'!$A:$F,6))</f>
        <v/>
      </c>
    </row>
    <row r="25" spans="1:7" x14ac:dyDescent="0.2">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28.178676605224609</v>
      </c>
      <c r="E25" s="24">
        <f>Table13468111214[[#This Row],[Euro Area PMI]]-B13</f>
        <v>6.6000000000000014</v>
      </c>
      <c r="F25" s="52">
        <f>(Table13468111214[[#This Row],[EZU]]-D13)/D13</f>
        <v>0.21832724722587385</v>
      </c>
      <c r="G25" s="52">
        <f>IF(VLOOKUP(Table13468111214[[#This Row],[Date]],'DB Global PMI'!$A:$F,6)=0,"",VLOOKUP(Table13468111214[[#This Row],[Date]],'DB Global PMI'!$A:$F,6))</f>
        <v>5.7859026324276128E-3</v>
      </c>
    </row>
    <row r="26" spans="1:7" x14ac:dyDescent="0.2">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29.272806167602539</v>
      </c>
      <c r="E26" s="24">
        <f>Table13468111214[[#This Row],[Euro Area PMI]]-B14</f>
        <v>6.1000000000000014</v>
      </c>
      <c r="F26" s="52">
        <f>(Table13468111214[[#This Row],[EZU]]-D14)/D14</f>
        <v>0.24520865794065921</v>
      </c>
      <c r="G26" s="52" t="str">
        <f>IF(VLOOKUP(Table13468111214[[#This Row],[Date]],'DB Global PMI'!$A:$F,6)=0,"",VLOOKUP(Table13468111214[[#This Row],[Date]],'DB Global PMI'!$A:$F,6))</f>
        <v/>
      </c>
    </row>
    <row r="27" spans="1:7" x14ac:dyDescent="0.2">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29.78509521484375</v>
      </c>
      <c r="E27" s="24">
        <f>Table13468111214[[#This Row],[Euro Area PMI]]-B15</f>
        <v>4.8999999999999986</v>
      </c>
      <c r="F27" s="52">
        <f>(Table13468111214[[#This Row],[EZU]]-D15)/D15</f>
        <v>0.24525784728957703</v>
      </c>
      <c r="G27" s="52" t="str">
        <f>IF(VLOOKUP(Table13468111214[[#This Row],[Date]],'DB Global PMI'!$A:$F,6)=0,"",VLOOKUP(Table13468111214[[#This Row],[Date]],'DB Global PMI'!$A:$F,6))</f>
        <v/>
      </c>
    </row>
    <row r="28" spans="1:7" x14ac:dyDescent="0.2">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30.800163269042969</v>
      </c>
      <c r="E28" s="24">
        <f>Table13468111214[[#This Row],[Euro Area PMI]]-B16</f>
        <v>4.2999999999999972</v>
      </c>
      <c r="F28" s="52">
        <f>(Table13468111214[[#This Row],[EZU]]-D16)/D16</f>
        <v>0.338146348771864</v>
      </c>
      <c r="G28" s="52">
        <f>IF(VLOOKUP(Table13468111214[[#This Row],[Date]],'DB Global PMI'!$A:$F,6)=0,"",VLOOKUP(Table13468111214[[#This Row],[Date]],'DB Global PMI'!$A:$F,6))</f>
        <v>1.176764611043488E-2</v>
      </c>
    </row>
    <row r="29" spans="1:7" x14ac:dyDescent="0.2">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32.223167419433587</v>
      </c>
      <c r="E29" s="24">
        <f>Table13468111214[[#This Row],[Euro Area PMI]]-B17</f>
        <v>3.8000000000000043</v>
      </c>
      <c r="F29" s="52">
        <f>(Table13468111214[[#This Row],[EZU]]-D17)/D17</f>
        <v>0.37471194406832592</v>
      </c>
      <c r="G29" s="52" t="str">
        <f>IF(VLOOKUP(Table13468111214[[#This Row],[Date]],'DB Global PMI'!$A:$F,6)=0,"",VLOOKUP(Table13468111214[[#This Row],[Date]],'DB Global PMI'!$A:$F,6))</f>
        <v/>
      </c>
    </row>
    <row r="30" spans="1:7" x14ac:dyDescent="0.2">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32.681686401367188</v>
      </c>
      <c r="E30" s="24">
        <f>Table13468111214[[#This Row],[Euro Area PMI]]-B18</f>
        <v>2.8999999999999986</v>
      </c>
      <c r="F30" s="52">
        <f>(Table13468111214[[#This Row],[EZU]]-D18)/D18</f>
        <v>0.35351339190711173</v>
      </c>
      <c r="G30" s="52" t="str">
        <f>IF(VLOOKUP(Table13468111214[[#This Row],[Date]],'DB Global PMI'!$A:$F,6)=0,"",VLOOKUP(Table13468111214[[#This Row],[Date]],'DB Global PMI'!$A:$F,6))</f>
        <v/>
      </c>
    </row>
    <row r="31" spans="1:7" x14ac:dyDescent="0.2">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33.753486633300781</v>
      </c>
      <c r="E31" s="24">
        <f>Table13468111214[[#This Row],[Euro Area PMI]]-B19</f>
        <v>2</v>
      </c>
      <c r="F31" s="52">
        <f>(Table13468111214[[#This Row],[EZU]]-D19)/D19</f>
        <v>0.28787813510308219</v>
      </c>
      <c r="G31" s="52">
        <f>IF(VLOOKUP(Table13468111214[[#This Row],[Date]],'DB Global PMI'!$A:$F,6)=0,"",VLOOKUP(Table13468111214[[#This Row],[Date]],'DB Global PMI'!$A:$F,6))</f>
        <v>6.2617263751477189E-3</v>
      </c>
    </row>
    <row r="32" spans="1:7" x14ac:dyDescent="0.2">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33.447658538818359</v>
      </c>
      <c r="E32" s="24">
        <f>Table13468111214[[#This Row],[Euro Area PMI]]-B20</f>
        <v>1.1000000000000014</v>
      </c>
      <c r="F32" s="52">
        <f>(Table13468111214[[#This Row],[EZU]]-D20)/D20</f>
        <v>0.26703642173927444</v>
      </c>
      <c r="G32" s="52" t="str">
        <f>IF(VLOOKUP(Table13468111214[[#This Row],[Date]],'DB Global PMI'!$A:$F,6)=0,"",VLOOKUP(Table13468111214[[#This Row],[Date]],'DB Global PMI'!$A:$F,6))</f>
        <v/>
      </c>
    </row>
    <row r="33" spans="1:7" x14ac:dyDescent="0.2">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34.838363647460938</v>
      </c>
      <c r="E33" s="24">
        <f>Table13468111214[[#This Row],[Euro Area PMI]]-B21</f>
        <v>-0.70000000000000284</v>
      </c>
      <c r="F33" s="52">
        <f>(Table13468111214[[#This Row],[EZU]]-D21)/D21</f>
        <v>0.26414277401183417</v>
      </c>
      <c r="G33" s="52" t="str">
        <f>IF(VLOOKUP(Table13468111214[[#This Row],[Date]],'DB Global PMI'!$A:$F,6)=0,"",VLOOKUP(Table13468111214[[#This Row],[Date]],'DB Global PMI'!$A:$F,6))</f>
        <v/>
      </c>
    </row>
    <row r="34" spans="1:7" x14ac:dyDescent="0.2">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37.020999908447273</v>
      </c>
      <c r="E34" s="24">
        <f>Table13468111214[[#This Row],[Euro Area PMI]]-B22</f>
        <v>-1.3000000000000043</v>
      </c>
      <c r="F34" s="52">
        <f>(Table13468111214[[#This Row],[EZU]]-D22)/D22</f>
        <v>0.28580243004279765</v>
      </c>
      <c r="G34" s="52">
        <f>IF(VLOOKUP(Table13468111214[[#This Row],[Date]],'DB Global PMI'!$A:$F,6)=0,"",VLOOKUP(Table13468111214[[#This Row],[Date]],'DB Global PMI'!$A:$F,6))</f>
        <v>7.1875881471832759E-3</v>
      </c>
    </row>
    <row r="35" spans="1:7" x14ac:dyDescent="0.2">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38.421348571777337</v>
      </c>
      <c r="E35" s="24">
        <f>Table13468111214[[#This Row],[Euro Area PMI]]-B23</f>
        <v>-2</v>
      </c>
      <c r="F35" s="52">
        <f>(Table13468111214[[#This Row],[EZU]]-D23)/D23</f>
        <v>0.38367623716428889</v>
      </c>
      <c r="G35" s="52" t="str">
        <f>IF(VLOOKUP(Table13468111214[[#This Row],[Date]],'DB Global PMI'!$A:$F,6)=0,"",VLOOKUP(Table13468111214[[#This Row],[Date]],'DB Global PMI'!$A:$F,6))</f>
        <v/>
      </c>
    </row>
    <row r="36" spans="1:7" x14ac:dyDescent="0.2">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37.986751556396477</v>
      </c>
      <c r="E36" s="24">
        <f>Table13468111214[[#This Row],[Euro Area PMI]]-B24</f>
        <v>-2.1000000000000014</v>
      </c>
      <c r="F36" s="52">
        <f>(Table13468111214[[#This Row],[EZU]]-D24)/D24</f>
        <v>0.36414131316354692</v>
      </c>
      <c r="G36" s="52" t="str">
        <f>IF(VLOOKUP(Table13468111214[[#This Row],[Date]],'DB Global PMI'!$A:$F,6)=0,"",VLOOKUP(Table13468111214[[#This Row],[Date]],'DB Global PMI'!$A:$F,6))</f>
        <v/>
      </c>
    </row>
    <row r="37" spans="1:7" x14ac:dyDescent="0.2">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36.792427062988281</v>
      </c>
      <c r="E37" s="24">
        <f>Table13468111214[[#This Row],[Euro Area PMI]]-B25</f>
        <v>-2.5</v>
      </c>
      <c r="F37" s="52">
        <f>(Table13468111214[[#This Row],[EZU]]-D25)/D25</f>
        <v>0.30568328592715371</v>
      </c>
      <c r="G37" s="52">
        <f>IF(VLOOKUP(Table13468111214[[#This Row],[Date]],'DB Global PMI'!$A:$F,6)=0,"",VLOOKUP(Table13468111214[[#This Row],[Date]],'DB Global PMI'!$A:$F,6))</f>
        <v>4.2925911150494614E-3</v>
      </c>
    </row>
    <row r="38" spans="1:7" x14ac:dyDescent="0.2">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36.782768249511719</v>
      </c>
      <c r="E38" s="24">
        <f>Table13468111214[[#This Row],[Euro Area PMI]]-B26</f>
        <v>-2.2000000000000028</v>
      </c>
      <c r="F38" s="52">
        <f>(Table13468111214[[#This Row],[EZU]]-D26)/D26</f>
        <v>0.25655080824539378</v>
      </c>
      <c r="G38" s="52" t="str">
        <f>IF(VLOOKUP(Table13468111214[[#This Row],[Date]],'DB Global PMI'!$A:$F,6)=0,"",VLOOKUP(Table13468111214[[#This Row],[Date]],'DB Global PMI'!$A:$F,6))</f>
        <v/>
      </c>
    </row>
    <row r="39" spans="1:7" x14ac:dyDescent="0.2">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38.920326232910163</v>
      </c>
      <c r="E39" s="24">
        <f>Table13468111214[[#This Row],[Euro Area PMI]]-B27</f>
        <v>-3.3999999999999986</v>
      </c>
      <c r="F39" s="52">
        <f>(Table13468111214[[#This Row],[EZU]]-D27)/D27</f>
        <v>0.30670477808356189</v>
      </c>
      <c r="G39" s="52" t="str">
        <f>IF(VLOOKUP(Table13468111214[[#This Row],[Date]],'DB Global PMI'!$A:$F,6)=0,"",VLOOKUP(Table13468111214[[#This Row],[Date]],'DB Global PMI'!$A:$F,6))</f>
        <v/>
      </c>
    </row>
    <row r="40" spans="1:7" x14ac:dyDescent="0.2">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40.8486328125</v>
      </c>
      <c r="E40" s="24">
        <f>Table13468111214[[#This Row],[Euro Area PMI]]-B28</f>
        <v>-5.5</v>
      </c>
      <c r="F40" s="52">
        <f>(Table13468111214[[#This Row],[EZU]]-D28)/D28</f>
        <v>0.32624728173297313</v>
      </c>
      <c r="G40" s="52">
        <f>IF(VLOOKUP(Table13468111214[[#This Row],[Date]],'DB Global PMI'!$A:$F,6)=0,"",VLOOKUP(Table13468111214[[#This Row],[Date]],'DB Global PMI'!$A:$F,6))</f>
        <v>5.376043618680066E-3</v>
      </c>
    </row>
    <row r="41" spans="1:7" x14ac:dyDescent="0.2">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39.715484619140618</v>
      </c>
      <c r="E41" s="24">
        <f>Table13468111214[[#This Row],[Euro Area PMI]]-B29</f>
        <v>-3.8000000000000043</v>
      </c>
      <c r="F41" s="52">
        <f>(Table13468111214[[#This Row],[EZU]]-D29)/D29</f>
        <v>0.23251336847750301</v>
      </c>
      <c r="G41" s="52" t="str">
        <f>IF(VLOOKUP(Table13468111214[[#This Row],[Date]],'DB Global PMI'!$A:$F,6)=0,"",VLOOKUP(Table13468111214[[#This Row],[Date]],'DB Global PMI'!$A:$F,6))</f>
        <v/>
      </c>
    </row>
    <row r="42" spans="1:7" x14ac:dyDescent="0.2">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38.411689758300781</v>
      </c>
      <c r="E42" s="24">
        <f>Table13468111214[[#This Row],[Euro Area PMI]]-B30</f>
        <v>-3.8999999999999986</v>
      </c>
      <c r="F42" s="52">
        <f>(Table13468111214[[#This Row],[EZU]]-D30)/D30</f>
        <v>0.17532765251348498</v>
      </c>
      <c r="G42" s="52" t="str">
        <f>IF(VLOOKUP(Table13468111214[[#This Row],[Date]],'DB Global PMI'!$A:$F,6)=0,"",VLOOKUP(Table13468111214[[#This Row],[Date]],'DB Global PMI'!$A:$F,6))</f>
        <v/>
      </c>
    </row>
    <row r="43" spans="1:7" x14ac:dyDescent="0.2">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35.328384399414062</v>
      </c>
      <c r="E43" s="24">
        <f>Table13468111214[[#This Row],[Euro Area PMI]]-B31</f>
        <v>-2.7000000000000028</v>
      </c>
      <c r="F43" s="52">
        <f>(Table13468111214[[#This Row],[EZU]]-D31)/D31</f>
        <v>4.6658817301543781E-2</v>
      </c>
      <c r="G43" s="52">
        <f>IF(VLOOKUP(Table13468111214[[#This Row],[Date]],'DB Global PMI'!$A:$F,6)=0,"",VLOOKUP(Table13468111214[[#This Row],[Date]],'DB Global PMI'!$A:$F,6))</f>
        <v>4.7412884225104994E-3</v>
      </c>
    </row>
    <row r="44" spans="1:7" x14ac:dyDescent="0.2">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35.037837982177727</v>
      </c>
      <c r="E44" s="24">
        <f>Table13468111214[[#This Row],[Euro Area PMI]]-B32</f>
        <v>-3.3000000000000043</v>
      </c>
      <c r="F44" s="52">
        <f>(Table13468111214[[#This Row],[EZU]]-D32)/D32</f>
        <v>4.7542324719497264E-2</v>
      </c>
      <c r="G44" s="52" t="str">
        <f>IF(VLOOKUP(Table13468111214[[#This Row],[Date]],'DB Global PMI'!$A:$F,6)=0,"",VLOOKUP(Table13468111214[[#This Row],[Date]],'DB Global PMI'!$A:$F,6))</f>
        <v/>
      </c>
    </row>
    <row r="45" spans="1:7" x14ac:dyDescent="0.2">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35.922687530517578</v>
      </c>
      <c r="E45" s="24">
        <f>Table13468111214[[#This Row],[Euro Area PMI]]-B33</f>
        <v>-3.3999999999999986</v>
      </c>
      <c r="F45" s="52">
        <f>(Table13468111214[[#This Row],[EZU]]-D33)/D33</f>
        <v>3.1124420596478488E-2</v>
      </c>
      <c r="G45" s="52" t="str">
        <f>IF(VLOOKUP(Table13468111214[[#This Row],[Date]],'DB Global PMI'!$A:$F,6)=0,"",VLOOKUP(Table13468111214[[#This Row],[Date]],'DB Global PMI'!$A:$F,6))</f>
        <v/>
      </c>
    </row>
    <row r="46" spans="1:7" x14ac:dyDescent="0.2">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37.355632781982422</v>
      </c>
      <c r="E46" s="24">
        <f>Table13468111214[[#This Row],[Euro Area PMI]]-B34</f>
        <v>-4.6999999999999957</v>
      </c>
      <c r="F46" s="52">
        <f>(Table13468111214[[#This Row],[EZU]]-D34)/D34</f>
        <v>9.0390014954402735E-3</v>
      </c>
      <c r="G46" s="52">
        <f>IF(VLOOKUP(Table13468111214[[#This Row],[Date]],'DB Global PMI'!$A:$F,6)=0,"",VLOOKUP(Table13468111214[[#This Row],[Date]],'DB Global PMI'!$A:$F,6))</f>
        <v>-3.2590689030498319E-3</v>
      </c>
    </row>
    <row r="47" spans="1:7" x14ac:dyDescent="0.2">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37.798065185546882</v>
      </c>
      <c r="E47" s="24">
        <f>Table13468111214[[#This Row],[Euro Area PMI]]-B35</f>
        <v>-4.3999999999999986</v>
      </c>
      <c r="F47" s="52">
        <f>(Table13468111214[[#This Row],[EZU]]-D35)/D35</f>
        <v>-1.6222319345872507E-2</v>
      </c>
      <c r="G47" s="52" t="str">
        <f>IF(VLOOKUP(Table13468111214[[#This Row],[Date]],'DB Global PMI'!$A:$F,6)=0,"",VLOOKUP(Table13468111214[[#This Row],[Date]],'DB Global PMI'!$A:$F,6))</f>
        <v/>
      </c>
    </row>
    <row r="48" spans="1:7" x14ac:dyDescent="0.2">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32.353538513183587</v>
      </c>
      <c r="E48" s="24">
        <f>Table13468111214[[#This Row],[Euro Area PMI]]-B36</f>
        <v>-6.3999999999999986</v>
      </c>
      <c r="F48" s="52">
        <f>(Table13468111214[[#This Row],[EZU]]-D36)/D36</f>
        <v>-0.14829415026050918</v>
      </c>
      <c r="G48" s="52" t="str">
        <f>IF(VLOOKUP(Table13468111214[[#This Row],[Date]],'DB Global PMI'!$A:$F,6)=0,"",VLOOKUP(Table13468111214[[#This Row],[Date]],'DB Global PMI'!$A:$F,6))</f>
        <v/>
      </c>
    </row>
    <row r="49" spans="1:7" x14ac:dyDescent="0.2">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32.723590850830078</v>
      </c>
      <c r="E49" s="24">
        <f>Table13468111214[[#This Row],[Euro Area PMI]]-B37</f>
        <v>-7.5</v>
      </c>
      <c r="F49" s="52">
        <f>(Table13468111214[[#This Row],[EZU]]-D37)/D37</f>
        <v>-0.11058895911358048</v>
      </c>
      <c r="G49" s="52">
        <f>IF(VLOOKUP(Table13468111214[[#This Row],[Date]],'DB Global PMI'!$A:$F,6)=0,"",VLOOKUP(Table13468111214[[#This Row],[Date]],'DB Global PMI'!$A:$F,6))</f>
        <v>-5.3543585856787894E-3</v>
      </c>
    </row>
    <row r="50" spans="1:7" x14ac:dyDescent="0.2">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31.436552047729489</v>
      </c>
      <c r="E50" s="24">
        <f>Table13468111214[[#This Row],[Euro Area PMI]]-B38</f>
        <v>-6.6999999999999957</v>
      </c>
      <c r="F50" s="52">
        <f>(Table13468111214[[#This Row],[EZU]]-D38)/D38</f>
        <v>-0.14534567288456327</v>
      </c>
      <c r="G50" s="52" t="str">
        <f>IF(VLOOKUP(Table13468111214[[#This Row],[Date]],'DB Global PMI'!$A:$F,6)=0,"",VLOOKUP(Table13468111214[[#This Row],[Date]],'DB Global PMI'!$A:$F,6))</f>
        <v/>
      </c>
    </row>
    <row r="51" spans="1:7" x14ac:dyDescent="0.2">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27.192068099975589</v>
      </c>
      <c r="E51" s="24">
        <f>Table13468111214[[#This Row],[Euro Area PMI]]-B39</f>
        <v>-8.2000000000000028</v>
      </c>
      <c r="F51" s="52">
        <f>(Table13468111214[[#This Row],[EZU]]-D39)/D39</f>
        <v>-0.30134018052031175</v>
      </c>
      <c r="G51" s="52" t="str">
        <f>IF(VLOOKUP(Table13468111214[[#This Row],[Date]],'DB Global PMI'!$A:$F,6)=0,"",VLOOKUP(Table13468111214[[#This Row],[Date]],'DB Global PMI'!$A:$F,6))</f>
        <v/>
      </c>
    </row>
    <row r="52" spans="1:7" x14ac:dyDescent="0.2">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20.510435104370121</v>
      </c>
      <c r="E52" s="24">
        <f>Table13468111214[[#This Row],[Euro Area PMI]]-B40</f>
        <v>-12.600000000000001</v>
      </c>
      <c r="F52" s="52">
        <f>(Table13468111214[[#This Row],[EZU]]-D40)/D40</f>
        <v>-0.49789176057579659</v>
      </c>
      <c r="G52" s="52">
        <f>IF(VLOOKUP(Table13468111214[[#This Row],[Date]],'DB Global PMI'!$A:$F,6)=0,"",VLOOKUP(Table13468111214[[#This Row],[Date]],'DB Global PMI'!$A:$F,6))</f>
        <v>-1.781536400651185E-2</v>
      </c>
    </row>
    <row r="53" spans="1:7" x14ac:dyDescent="0.2">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18.983793258666989</v>
      </c>
      <c r="E53" s="24">
        <f>Table13468111214[[#This Row],[Euro Area PMI]]-B41</f>
        <v>-17.199999999999996</v>
      </c>
      <c r="F53" s="52">
        <f>(Table13468111214[[#This Row],[EZU]]-D41)/D41</f>
        <v>-0.52200524705374307</v>
      </c>
      <c r="G53" s="52" t="str">
        <f>IF(VLOOKUP(Table13468111214[[#This Row],[Date]],'DB Global PMI'!$A:$F,6)=0,"",VLOOKUP(Table13468111214[[#This Row],[Date]],'DB Global PMI'!$A:$F,6))</f>
        <v/>
      </c>
    </row>
    <row r="54" spans="1:7" x14ac:dyDescent="0.2">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20.95541954040527</v>
      </c>
      <c r="E54" s="24">
        <f>Table13468111214[[#This Row],[Euro Area PMI]]-B42</f>
        <v>-18.700000000000003</v>
      </c>
      <c r="F54" s="52">
        <f>(Table13468111214[[#This Row],[EZU]]-D42)/D42</f>
        <v>-0.45445202561345804</v>
      </c>
      <c r="G54" s="52" t="str">
        <f>IF(VLOOKUP(Table13468111214[[#This Row],[Date]],'DB Global PMI'!$A:$F,6)=0,"",VLOOKUP(Table13468111214[[#This Row],[Date]],'DB Global PMI'!$A:$F,6))</f>
        <v/>
      </c>
    </row>
    <row r="55" spans="1:7" x14ac:dyDescent="0.2">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17.6751708984375</v>
      </c>
      <c r="E55" s="24">
        <f>Table13468111214[[#This Row],[Euro Area PMI]]-B43</f>
        <v>-18.399999999999999</v>
      </c>
      <c r="F55" s="52">
        <f>(Table13468111214[[#This Row],[EZU]]-D43)/D43</f>
        <v>-0.49968923858486292</v>
      </c>
      <c r="G55" s="52">
        <f>IF(VLOOKUP(Table13468111214[[#This Row],[Date]],'DB Global PMI'!$A:$F,6)=0,"",VLOOKUP(Table13468111214[[#This Row],[Date]],'DB Global PMI'!$A:$F,6))</f>
        <v>-3.110206545240362E-2</v>
      </c>
    </row>
    <row r="56" spans="1:7" x14ac:dyDescent="0.2">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15.54160690307617</v>
      </c>
      <c r="E56" s="24">
        <f>Table13468111214[[#This Row],[Euro Area PMI]]-B44</f>
        <v>-18.799999999999997</v>
      </c>
      <c r="F56" s="52">
        <f>(Table13468111214[[#This Row],[EZU]]-D44)/D44</f>
        <v>-0.55643362153276887</v>
      </c>
      <c r="G56" s="52" t="str">
        <f>IF(VLOOKUP(Table13468111214[[#This Row],[Date]],'DB Global PMI'!$A:$F,6)=0,"",VLOOKUP(Table13468111214[[#This Row],[Date]],'DB Global PMI'!$A:$F,6))</f>
        <v/>
      </c>
    </row>
    <row r="57" spans="1:7" x14ac:dyDescent="0.2">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17.082511901855469</v>
      </c>
      <c r="E57" s="24">
        <f>Table13468111214[[#This Row],[Euro Area PMI]]-B45</f>
        <v>-18.100000000000001</v>
      </c>
      <c r="F57" s="52">
        <f>(Table13468111214[[#This Row],[EZU]]-D45)/D45</f>
        <v>-0.52446453547376493</v>
      </c>
      <c r="G57" s="52" t="str">
        <f>IF(VLOOKUP(Table13468111214[[#This Row],[Date]],'DB Global PMI'!$A:$F,6)=0,"",VLOOKUP(Table13468111214[[#This Row],[Date]],'DB Global PMI'!$A:$F,6))</f>
        <v/>
      </c>
    </row>
    <row r="58" spans="1:7" x14ac:dyDescent="0.2">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19.58563232421875</v>
      </c>
      <c r="E58" s="24">
        <f>Table13468111214[[#This Row],[Euro Area PMI]]-B46</f>
        <v>-13.900000000000006</v>
      </c>
      <c r="F58" s="52">
        <f>(Table13468111214[[#This Row],[EZU]]-D46)/D46</f>
        <v>-0.47569801752453778</v>
      </c>
      <c r="G58" s="52">
        <f>IF(VLOOKUP(Table13468111214[[#This Row],[Date]],'DB Global PMI'!$A:$F,6)=0,"",VLOOKUP(Table13468111214[[#This Row],[Date]],'DB Global PMI'!$A:$F,6))</f>
        <v>-2.0159114701446339E-4</v>
      </c>
    </row>
    <row r="59" spans="1:7" x14ac:dyDescent="0.2">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22.172407150268551</v>
      </c>
      <c r="E59" s="24">
        <f>Table13468111214[[#This Row],[Euro Area PMI]]-B47</f>
        <v>-9.8999999999999986</v>
      </c>
      <c r="F59" s="52">
        <f>(Table13468111214[[#This Row],[EZU]]-D47)/D47</f>
        <v>-0.41339835672999542</v>
      </c>
      <c r="G59" s="52" t="str">
        <f>IF(VLOOKUP(Table13468111214[[#This Row],[Date]],'DB Global PMI'!$A:$F,6)=0,"",VLOOKUP(Table13468111214[[#This Row],[Date]],'DB Global PMI'!$A:$F,6))</f>
        <v/>
      </c>
    </row>
    <row r="60" spans="1:7" x14ac:dyDescent="0.2">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21.133514404296879</v>
      </c>
      <c r="E60" s="24">
        <f>Table13468111214[[#This Row],[Euro Area PMI]]-B48</f>
        <v>-6.6000000000000014</v>
      </c>
      <c r="F60" s="52">
        <f>(Table13468111214[[#This Row],[EZU]]-D48)/D48</f>
        <v>-0.34679434227309369</v>
      </c>
      <c r="G60" s="52" t="str">
        <f>IF(VLOOKUP(Table13468111214[[#This Row],[Date]],'DB Global PMI'!$A:$F,6)=0,"",VLOOKUP(Table13468111214[[#This Row],[Date]],'DB Global PMI'!$A:$F,6))</f>
        <v/>
      </c>
    </row>
    <row r="61" spans="1:7" x14ac:dyDescent="0.2">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24.010015487670898</v>
      </c>
      <c r="E61" s="24">
        <f>Table13468111214[[#This Row],[Euro Area PMI]]-B49</f>
        <v>-1.1000000000000014</v>
      </c>
      <c r="F61" s="52">
        <f>(Table13468111214[[#This Row],[EZU]]-D49)/D49</f>
        <v>-0.26627809285600296</v>
      </c>
      <c r="G61" s="52">
        <f>IF(VLOOKUP(Table13468111214[[#This Row],[Date]],'DB Global PMI'!$A:$F,6)=0,"",VLOOKUP(Table13468111214[[#This Row],[Date]],'DB Global PMI'!$A:$F,6))</f>
        <v>3.8960216357063521E-3</v>
      </c>
    </row>
    <row r="62" spans="1:7" x14ac:dyDescent="0.2">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25.511980056762699</v>
      </c>
      <c r="E62" s="24">
        <f>Table13468111214[[#This Row],[Euro Area PMI]]-B50</f>
        <v>0.60000000000000142</v>
      </c>
      <c r="F62" s="52">
        <f>(Table13468111214[[#This Row],[EZU]]-D50)/D50</f>
        <v>-0.18846125306527353</v>
      </c>
      <c r="G62" s="52" t="str">
        <f>IF(VLOOKUP(Table13468111214[[#This Row],[Date]],'DB Global PMI'!$A:$F,6)=0,"",VLOOKUP(Table13468111214[[#This Row],[Date]],'DB Global PMI'!$A:$F,6))</f>
        <v/>
      </c>
    </row>
    <row r="63" spans="1:7" x14ac:dyDescent="0.2">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27.185604095458981</v>
      </c>
      <c r="E63" s="24">
        <f>Table13468111214[[#This Row],[Euro Area PMI]]-B51</f>
        <v>4.2999999999999972</v>
      </c>
      <c r="F63" s="52">
        <f>(Table13468111214[[#This Row],[EZU]]-D51)/D51</f>
        <v>-2.3771654634148517E-4</v>
      </c>
      <c r="G63" s="52" t="str">
        <f>IF(VLOOKUP(Table13468111214[[#This Row],[Date]],'DB Global PMI'!$A:$F,6)=0,"",VLOOKUP(Table13468111214[[#This Row],[Date]],'DB Global PMI'!$A:$F,6))</f>
        <v/>
      </c>
    </row>
    <row r="64" spans="1:7" x14ac:dyDescent="0.2">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25.941122055053711</v>
      </c>
      <c r="E64" s="24">
        <f>Table13468111214[[#This Row],[Euro Area PMI]]-B52</f>
        <v>11.800000000000004</v>
      </c>
      <c r="F64" s="52">
        <f>(Table13468111214[[#This Row],[EZU]]-D52)/D52</f>
        <v>0.2647767793832167</v>
      </c>
      <c r="G64" s="52">
        <f>IF(VLOOKUP(Table13468111214[[#This Row],[Date]],'DB Global PMI'!$A:$F,6)=0,"",VLOOKUP(Table13468111214[[#This Row],[Date]],'DB Global PMI'!$A:$F,6))</f>
        <v>4.5674471503817952E-3</v>
      </c>
    </row>
    <row r="65" spans="1:7" x14ac:dyDescent="0.2">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27.207059860229489</v>
      </c>
      <c r="E65" s="24">
        <f>Table13468111214[[#This Row],[Euro Area PMI]]-B53</f>
        <v>15.600000000000001</v>
      </c>
      <c r="F65" s="52">
        <f>(Table13468111214[[#This Row],[EZU]]-D53)/D53</f>
        <v>0.43317299601375475</v>
      </c>
      <c r="G65" s="52" t="str">
        <f>IF(VLOOKUP(Table13468111214[[#This Row],[Date]],'DB Global PMI'!$A:$F,6)=0,"",VLOOKUP(Table13468111214[[#This Row],[Date]],'DB Global PMI'!$A:$F,6))</f>
        <v/>
      </c>
    </row>
    <row r="66" spans="1:7" x14ac:dyDescent="0.2">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26.799385070800781</v>
      </c>
      <c r="E66" s="24">
        <f>Table13468111214[[#This Row],[Euro Area PMI]]-B54</f>
        <v>17.700000000000003</v>
      </c>
      <c r="F66" s="52">
        <f>(Table13468111214[[#This Row],[EZU]]-D54)/D54</f>
        <v>0.27887609308548789</v>
      </c>
      <c r="G66" s="52" t="str">
        <f>IF(VLOOKUP(Table13468111214[[#This Row],[Date]],'DB Global PMI'!$A:$F,6)=0,"",VLOOKUP(Table13468111214[[#This Row],[Date]],'DB Global PMI'!$A:$F,6))</f>
        <v/>
      </c>
    </row>
    <row r="67" spans="1:7" x14ac:dyDescent="0.2">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24.86527061462402</v>
      </c>
      <c r="E67" s="24">
        <f>Table13468111214[[#This Row],[Euro Area PMI]]-B55</f>
        <v>18</v>
      </c>
      <c r="F67" s="52">
        <f>(Table13468111214[[#This Row],[EZU]]-D55)/D55</f>
        <v>0.40679095876929433</v>
      </c>
      <c r="G67" s="52">
        <f>IF(VLOOKUP(Table13468111214[[#This Row],[Date]],'DB Global PMI'!$A:$F,6)=0,"",VLOOKUP(Table13468111214[[#This Row],[Date]],'DB Global PMI'!$A:$F,6))</f>
        <v>4.0082302543928963E-3</v>
      </c>
    </row>
    <row r="68" spans="1:7" x14ac:dyDescent="0.2">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24.122695922851559</v>
      </c>
      <c r="E68" s="24">
        <f>Table13468111214[[#This Row],[Euro Area PMI]]-B56</f>
        <v>20.700000000000003</v>
      </c>
      <c r="F68" s="52">
        <f>(Table13468111214[[#This Row],[EZU]]-D56)/D56</f>
        <v>0.55213653731500079</v>
      </c>
      <c r="G68" s="52" t="str">
        <f>IF(VLOOKUP(Table13468111214[[#This Row],[Date]],'DB Global PMI'!$A:$F,6)=0,"",VLOOKUP(Table13468111214[[#This Row],[Date]],'DB Global PMI'!$A:$F,6))</f>
        <v/>
      </c>
    </row>
    <row r="69" spans="1:7" x14ac:dyDescent="0.2">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25.90341758728027</v>
      </c>
      <c r="E69" s="24">
        <f>Table13468111214[[#This Row],[Euro Area PMI]]-B57</f>
        <v>22.700000000000003</v>
      </c>
      <c r="F69" s="52">
        <f>(Table13468111214[[#This Row],[EZU]]-D57)/D57</f>
        <v>0.51637052771300529</v>
      </c>
      <c r="G69" s="52" t="str">
        <f>IF(VLOOKUP(Table13468111214[[#This Row],[Date]],'DB Global PMI'!$A:$F,6)=0,"",VLOOKUP(Table13468111214[[#This Row],[Date]],'DB Global PMI'!$A:$F,6))</f>
        <v/>
      </c>
    </row>
    <row r="70" spans="1:7" x14ac:dyDescent="0.2">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24.620145797729489</v>
      </c>
      <c r="E70" s="24">
        <f>Table13468111214[[#This Row],[Euro Area PMI]]-B58</f>
        <v>20.800000000000004</v>
      </c>
      <c r="F70" s="52">
        <f>(Table13468111214[[#This Row],[EZU]]-D58)/D58</f>
        <v>0.25705136245641025</v>
      </c>
      <c r="G70" s="52">
        <f>IF(VLOOKUP(Table13468111214[[#This Row],[Date]],'DB Global PMI'!$A:$F,6)=0,"",VLOOKUP(Table13468111214[[#This Row],[Date]],'DB Global PMI'!$A:$F,6))</f>
        <v>9.7059443828972341E-3</v>
      </c>
    </row>
    <row r="71" spans="1:7" x14ac:dyDescent="0.2">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21.51289176940918</v>
      </c>
      <c r="E71" s="24">
        <f>Table13468111214[[#This Row],[Euro Area PMI]]-B59</f>
        <v>15.099999999999994</v>
      </c>
      <c r="F71" s="52">
        <f>(Table13468111214[[#This Row],[EZU]]-D59)/D59</f>
        <v>-2.9744870567712963E-2</v>
      </c>
      <c r="G71" s="52" t="str">
        <f>IF(VLOOKUP(Table13468111214[[#This Row],[Date]],'DB Global PMI'!$A:$F,6)=0,"",VLOOKUP(Table13468111214[[#This Row],[Date]],'DB Global PMI'!$A:$F,6))</f>
        <v/>
      </c>
    </row>
    <row r="72" spans="1:7" x14ac:dyDescent="0.2">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20.5828742980957</v>
      </c>
      <c r="E72" s="24">
        <f>Table13468111214[[#This Row],[Euro Area PMI]]-B60</f>
        <v>13</v>
      </c>
      <c r="F72" s="52">
        <f>(Table13468111214[[#This Row],[EZU]]-D60)/D60</f>
        <v>-2.6055302287499447E-2</v>
      </c>
      <c r="G72" s="52" t="str">
        <f>IF(VLOOKUP(Table13468111214[[#This Row],[Date]],'DB Global PMI'!$A:$F,6)=0,"",VLOOKUP(Table13468111214[[#This Row],[Date]],'DB Global PMI'!$A:$F,6))</f>
        <v/>
      </c>
    </row>
    <row r="73" spans="1:7" x14ac:dyDescent="0.2">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24.168361663818359</v>
      </c>
      <c r="E73" s="24">
        <f>Table13468111214[[#This Row],[Euro Area PMI]]-B61</f>
        <v>10.400000000000006</v>
      </c>
      <c r="F73" s="52">
        <f>(Table13468111214[[#This Row],[EZU]]-D61)/D61</f>
        <v>6.5950051647726523E-3</v>
      </c>
      <c r="G73" s="52">
        <f>IF(VLOOKUP(Table13468111214[[#This Row],[Date]],'DB Global PMI'!$A:$F,6)=0,"",VLOOKUP(Table13468111214[[#This Row],[Date]],'DB Global PMI'!$A:$F,6))</f>
        <v>4.4033576559012163E-3</v>
      </c>
    </row>
    <row r="74" spans="1:7" x14ac:dyDescent="0.2">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22.483049392700199</v>
      </c>
      <c r="E74" s="24">
        <f>Table13468111214[[#This Row],[Euro Area PMI]]-B62</f>
        <v>6.8999999999999986</v>
      </c>
      <c r="F74" s="52">
        <f>(Table13468111214[[#This Row],[EZU]]-D62)/D62</f>
        <v>-0.11872581655062846</v>
      </c>
      <c r="G74" s="52" t="str">
        <f>IF(VLOOKUP(Table13468111214[[#This Row],[Date]],'DB Global PMI'!$A:$F,6)=0,"",VLOOKUP(Table13468111214[[#This Row],[Date]],'DB Global PMI'!$A:$F,6))</f>
        <v/>
      </c>
    </row>
    <row r="75" spans="1:7" x14ac:dyDescent="0.2">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25.48570442199707</v>
      </c>
      <c r="E75" s="24">
        <f>Table13468111214[[#This Row],[Euro Area PMI]]-B63</f>
        <v>4.4000000000000057</v>
      </c>
      <c r="F75" s="52">
        <f>(Table13468111214[[#This Row],[EZU]]-D63)/D63</f>
        <v>-6.2529405912515948E-2</v>
      </c>
      <c r="G75" s="52" t="str">
        <f>IF(VLOOKUP(Table13468111214[[#This Row],[Date]],'DB Global PMI'!$A:$F,6)=0,"",VLOOKUP(Table13468111214[[#This Row],[Date]],'DB Global PMI'!$A:$F,6))</f>
        <v/>
      </c>
    </row>
    <row r="76" spans="1:7" x14ac:dyDescent="0.2">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27.031179428100589</v>
      </c>
      <c r="E76" s="24">
        <f>Table13468111214[[#This Row],[Euro Area PMI]]-B64</f>
        <v>3.8999999999999986</v>
      </c>
      <c r="F76" s="52">
        <f>(Table13468111214[[#This Row],[EZU]]-D64)/D64</f>
        <v>4.2020440393191062E-2</v>
      </c>
      <c r="G76" s="52">
        <f>IF(VLOOKUP(Table13468111214[[#This Row],[Date]],'DB Global PMI'!$A:$F,6)=0,"",VLOOKUP(Table13468111214[[#This Row],[Date]],'DB Global PMI'!$A:$F,6))</f>
        <v>6.2604563058484804E-3</v>
      </c>
    </row>
    <row r="77" spans="1:7" x14ac:dyDescent="0.2">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24.035892486572269</v>
      </c>
      <c r="E77" s="24">
        <f>Table13468111214[[#This Row],[Euro Area PMI]]-B65</f>
        <v>4.0999999999999943</v>
      </c>
      <c r="F77" s="52">
        <f>(Table13468111214[[#This Row],[EZU]]-D65)/D65</f>
        <v>-0.11655678305367874</v>
      </c>
      <c r="G77" s="52" t="str">
        <f>IF(VLOOKUP(Table13468111214[[#This Row],[Date]],'DB Global PMI'!$A:$F,6)=0,"",VLOOKUP(Table13468111214[[#This Row],[Date]],'DB Global PMI'!$A:$F,6))</f>
        <v/>
      </c>
    </row>
    <row r="78" spans="1:7" x14ac:dyDescent="0.2">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25.956697463989261</v>
      </c>
      <c r="E78" s="24">
        <f>Table13468111214[[#This Row],[Euro Area PMI]]-B66</f>
        <v>5.5</v>
      </c>
      <c r="F78" s="52">
        <f>(Table13468111214[[#This Row],[EZU]]-D66)/D66</f>
        <v>-3.1444288911302992E-2</v>
      </c>
      <c r="G78" s="52" t="str">
        <f>IF(VLOOKUP(Table13468111214[[#This Row],[Date]],'DB Global PMI'!$A:$F,6)=0,"",VLOOKUP(Table13468111214[[#This Row],[Date]],'DB Global PMI'!$A:$F,6))</f>
        <v/>
      </c>
    </row>
    <row r="79" spans="1:7" x14ac:dyDescent="0.2">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27.830266952514648</v>
      </c>
      <c r="E79" s="24">
        <f>Table13468111214[[#This Row],[Euro Area PMI]]-B67</f>
        <v>4.8999999999999986</v>
      </c>
      <c r="F79" s="52">
        <f>(Table13468111214[[#This Row],[EZU]]-D67)/D67</f>
        <v>0.11924247211477458</v>
      </c>
      <c r="G79" s="52">
        <f>IF(VLOOKUP(Table13468111214[[#This Row],[Date]],'DB Global PMI'!$A:$F,6)=0,"",VLOOKUP(Table13468111214[[#This Row],[Date]],'DB Global PMI'!$A:$F,6))</f>
        <v>8.4554946357616526E-3</v>
      </c>
    </row>
    <row r="80" spans="1:7" x14ac:dyDescent="0.2">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28.646406173706051</v>
      </c>
      <c r="E80" s="24">
        <f>Table13468111214[[#This Row],[Euro Area PMI]]-B68</f>
        <v>4.7999999999999972</v>
      </c>
      <c r="F80" s="52">
        <f>(Table13468111214[[#This Row],[EZU]]-D68)/D68</f>
        <v>0.18752921586053561</v>
      </c>
      <c r="G80" s="52" t="str">
        <f>IF(VLOOKUP(Table13468111214[[#This Row],[Date]],'DB Global PMI'!$A:$F,6)=0,"",VLOOKUP(Table13468111214[[#This Row],[Date]],'DB Global PMI'!$A:$F,6))</f>
        <v/>
      </c>
    </row>
    <row r="81" spans="1:7" x14ac:dyDescent="0.2">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28.742862701416019</v>
      </c>
      <c r="E81" s="24">
        <f>Table13468111214[[#This Row],[Euro Area PMI]]-B69</f>
        <v>0.89999999999999858</v>
      </c>
      <c r="F81" s="52">
        <f>(Table13468111214[[#This Row],[EZU]]-D69)/D69</f>
        <v>0.10961662122646099</v>
      </c>
      <c r="G81" s="52" t="str">
        <f>IF(VLOOKUP(Table13468111214[[#This Row],[Date]],'DB Global PMI'!$A:$F,6)=0,"",VLOOKUP(Table13468111214[[#This Row],[Date]],'DB Global PMI'!$A:$F,6))</f>
        <v/>
      </c>
    </row>
    <row r="82" spans="1:7" x14ac:dyDescent="0.2">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31.035459518432621</v>
      </c>
      <c r="E82" s="24">
        <f>Table13468111214[[#This Row],[Euro Area PMI]]-B70</f>
        <v>0.39999999999999858</v>
      </c>
      <c r="F82" s="52">
        <f>(Table13468111214[[#This Row],[EZU]]-D70)/D70</f>
        <v>0.26057171933136009</v>
      </c>
      <c r="G82" s="52">
        <f>IF(VLOOKUP(Table13468111214[[#This Row],[Date]],'DB Global PMI'!$A:$F,6)=0,"",VLOOKUP(Table13468111214[[#This Row],[Date]],'DB Global PMI'!$A:$F,6))</f>
        <v>-2.2160407844019398E-5</v>
      </c>
    </row>
    <row r="83" spans="1:7" x14ac:dyDescent="0.2">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29.558986663818359</v>
      </c>
      <c r="E83" s="24">
        <f>Table13468111214[[#This Row],[Euro Area PMI]]-B71</f>
        <v>-1.1999999999999957</v>
      </c>
      <c r="F83" s="52">
        <f>(Table13468111214[[#This Row],[EZU]]-D71)/D71</f>
        <v>0.37401270738741571</v>
      </c>
      <c r="G83" s="52" t="str">
        <f>IF(VLOOKUP(Table13468111214[[#This Row],[Date]],'DB Global PMI'!$A:$F,6)=0,"",VLOOKUP(Table13468111214[[#This Row],[Date]],'DB Global PMI'!$A:$F,6))</f>
        <v/>
      </c>
    </row>
    <row r="84" spans="1:7" x14ac:dyDescent="0.2">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28.80963134765625</v>
      </c>
      <c r="E84" s="24">
        <f>Table13468111214[[#This Row],[Euro Area PMI]]-B72</f>
        <v>-3.6000000000000014</v>
      </c>
      <c r="F84" s="52">
        <f>(Table13468111214[[#This Row],[EZU]]-D72)/D72</f>
        <v>0.39968941802854419</v>
      </c>
      <c r="G84" s="52" t="str">
        <f>IF(VLOOKUP(Table13468111214[[#This Row],[Date]],'DB Global PMI'!$A:$F,6)=0,"",VLOOKUP(Table13468111214[[#This Row],[Date]],'DB Global PMI'!$A:$F,6))</f>
        <v/>
      </c>
    </row>
    <row r="85" spans="1:7" x14ac:dyDescent="0.2">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27.238225936889648</v>
      </c>
      <c r="E85" s="24">
        <f>Table13468111214[[#This Row],[Euro Area PMI]]-B73</f>
        <v>-6.3000000000000043</v>
      </c>
      <c r="F85" s="52">
        <f>(Table13468111214[[#This Row],[EZU]]-D73)/D73</f>
        <v>0.12701995756986206</v>
      </c>
      <c r="G85" s="52">
        <f>IF(VLOOKUP(Table13468111214[[#This Row],[Date]],'DB Global PMI'!$A:$F,6)=0,"",VLOOKUP(Table13468111214[[#This Row],[Date]],'DB Global PMI'!$A:$F,6))</f>
        <v>1.2449307975378151E-3</v>
      </c>
    </row>
    <row r="86" spans="1:7" x14ac:dyDescent="0.2">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23.915012359619141</v>
      </c>
      <c r="E86" s="24">
        <f>Table13468111214[[#This Row],[Euro Area PMI]]-B74</f>
        <v>-6.1000000000000014</v>
      </c>
      <c r="F86" s="52">
        <f>(Table13468111214[[#This Row],[EZU]]-D74)/D74</f>
        <v>6.3690780636894914E-2</v>
      </c>
      <c r="G86" s="52" t="str">
        <f>IF(VLOOKUP(Table13468111214[[#This Row],[Date]],'DB Global PMI'!$A:$F,6)=0,"",VLOOKUP(Table13468111214[[#This Row],[Date]],'DB Global PMI'!$A:$F,6))</f>
        <v/>
      </c>
    </row>
    <row r="87" spans="1:7" x14ac:dyDescent="0.2">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20.728364944458011</v>
      </c>
      <c r="E87" s="24">
        <f>Table13468111214[[#This Row],[Euro Area PMI]]-B75</f>
        <v>-5.2000000000000028</v>
      </c>
      <c r="F87" s="52">
        <f>(Table13468111214[[#This Row],[EZU]]-D75)/D75</f>
        <v>-0.18666697999655574</v>
      </c>
      <c r="G87" s="52" t="str">
        <f>IF(VLOOKUP(Table13468111214[[#This Row],[Date]],'DB Global PMI'!$A:$F,6)=0,"",VLOOKUP(Table13468111214[[#This Row],[Date]],'DB Global PMI'!$A:$F,6))</f>
        <v/>
      </c>
    </row>
    <row r="88" spans="1:7" x14ac:dyDescent="0.2">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23.34596061706543</v>
      </c>
      <c r="E88" s="24">
        <f>Table13468111214[[#This Row],[Euro Area PMI]]-B76</f>
        <v>-7.5</v>
      </c>
      <c r="F88" s="52">
        <f>(Table13468111214[[#This Row],[EZU]]-D76)/D76</f>
        <v>-0.13633215009494354</v>
      </c>
      <c r="G88" s="52">
        <f>IF(VLOOKUP(Table13468111214[[#This Row],[Date]],'DB Global PMI'!$A:$F,6)=0,"",VLOOKUP(Table13468111214[[#This Row],[Date]],'DB Global PMI'!$A:$F,6))</f>
        <v>-4.089599075691828E-3</v>
      </c>
    </row>
    <row r="89" spans="1:7" x14ac:dyDescent="0.2">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22.359617233276371</v>
      </c>
      <c r="E89" s="24">
        <f>Table13468111214[[#This Row],[Euro Area PMI]]-B77</f>
        <v>-8.8999999999999986</v>
      </c>
      <c r="F89" s="52">
        <f>(Table13468111214[[#This Row],[EZU]]-D77)/D77</f>
        <v>-6.9740503883196983E-2</v>
      </c>
      <c r="G89" s="52" t="str">
        <f>IF(VLOOKUP(Table13468111214[[#This Row],[Date]],'DB Global PMI'!$A:$F,6)=0,"",VLOOKUP(Table13468111214[[#This Row],[Date]],'DB Global PMI'!$A:$F,6))</f>
        <v/>
      </c>
    </row>
    <row r="90" spans="1:7" x14ac:dyDescent="0.2">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21.16842079162598</v>
      </c>
      <c r="E90" s="24">
        <f>Table13468111214[[#This Row],[Euro Area PMI]]-B78</f>
        <v>-10.200000000000003</v>
      </c>
      <c r="F90" s="52">
        <f>(Table13468111214[[#This Row],[EZU]]-D78)/D78</f>
        <v>-0.18447172175914306</v>
      </c>
      <c r="G90" s="52" t="str">
        <f>IF(VLOOKUP(Table13468111214[[#This Row],[Date]],'DB Global PMI'!$A:$F,6)=0,"",VLOOKUP(Table13468111214[[#This Row],[Date]],'DB Global PMI'!$A:$F,6))</f>
        <v/>
      </c>
    </row>
    <row r="91" spans="1:7" x14ac:dyDescent="0.2">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22.927595138549801</v>
      </c>
      <c r="E91" s="24">
        <f>Table13468111214[[#This Row],[Euro Area PMI]]-B79</f>
        <v>-8.5</v>
      </c>
      <c r="F91" s="52">
        <f>(Table13468111214[[#This Row],[EZU]]-D79)/D79</f>
        <v>-0.17616330530821081</v>
      </c>
      <c r="G91" s="52">
        <f>IF(VLOOKUP(Table13468111214[[#This Row],[Date]],'DB Global PMI'!$A:$F,6)=0,"",VLOOKUP(Table13468111214[[#This Row],[Date]],'DB Global PMI'!$A:$F,6))</f>
        <v>-2.110929629305632E-3</v>
      </c>
    </row>
    <row r="92" spans="1:7" x14ac:dyDescent="0.2">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24.186422348022461</v>
      </c>
      <c r="E92" s="24">
        <f>Table13468111214[[#This Row],[Euro Area PMI]]-B80</f>
        <v>-10</v>
      </c>
      <c r="F92" s="52">
        <f>(Table13468111214[[#This Row],[EZU]]-D80)/D80</f>
        <v>-0.15569086742117474</v>
      </c>
      <c r="G92" s="52" t="str">
        <f>IF(VLOOKUP(Table13468111214[[#This Row],[Date]],'DB Global PMI'!$A:$F,6)=0,"",VLOOKUP(Table13468111214[[#This Row],[Date]],'DB Global PMI'!$A:$F,6))</f>
        <v/>
      </c>
    </row>
    <row r="93" spans="1:7" x14ac:dyDescent="0.2">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24.21712684631348</v>
      </c>
      <c r="E93" s="24">
        <f>Table13468111214[[#This Row],[Euro Area PMI]]-B81</f>
        <v>-9.7999999999999972</v>
      </c>
      <c r="F93" s="52">
        <f>(Table13468111214[[#This Row],[EZU]]-D81)/D81</f>
        <v>-0.15745598836540309</v>
      </c>
      <c r="G93" s="52" t="str">
        <f>IF(VLOOKUP(Table13468111214[[#This Row],[Date]],'DB Global PMI'!$A:$F,6)=0,"",VLOOKUP(Table13468111214[[#This Row],[Date]],'DB Global PMI'!$A:$F,6))</f>
        <v/>
      </c>
    </row>
    <row r="94" spans="1:7" x14ac:dyDescent="0.2">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22.858510971069339</v>
      </c>
      <c r="E94" s="24">
        <f>Table13468111214[[#This Row],[Euro Area PMI]]-B82</f>
        <v>-12.100000000000001</v>
      </c>
      <c r="F94" s="52">
        <f>(Table13468111214[[#This Row],[EZU]]-D82)/D82</f>
        <v>-0.26347116086703398</v>
      </c>
      <c r="G94" s="52">
        <f>IF(VLOOKUP(Table13468111214[[#This Row],[Date]],'DB Global PMI'!$A:$F,6)=0,"",VLOOKUP(Table13468111214[[#This Row],[Date]],'DB Global PMI'!$A:$F,6))</f>
        <v>-2.649158453816333E-3</v>
      </c>
    </row>
    <row r="95" spans="1:7" x14ac:dyDescent="0.2">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19.911012649536129</v>
      </c>
      <c r="E95" s="24">
        <f>Table13468111214[[#This Row],[Euro Area PMI]]-B83</f>
        <v>-9.5</v>
      </c>
      <c r="F95" s="52">
        <f>(Table13468111214[[#This Row],[EZU]]-D83)/D83</f>
        <v>-0.32639731950255996</v>
      </c>
      <c r="G95" s="52" t="str">
        <f>IF(VLOOKUP(Table13468111214[[#This Row],[Date]],'DB Global PMI'!$A:$F,6)=0,"",VLOOKUP(Table13468111214[[#This Row],[Date]],'DB Global PMI'!$A:$F,6))</f>
        <v/>
      </c>
    </row>
    <row r="96" spans="1:7" x14ac:dyDescent="0.2">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21.0700569152832</v>
      </c>
      <c r="E96" s="24">
        <f>Table13468111214[[#This Row],[Euro Area PMI]]-B84</f>
        <v>-6.8999999999999986</v>
      </c>
      <c r="F96" s="52">
        <f>(Table13468111214[[#This Row],[EZU]]-D84)/D84</f>
        <v>-0.2686453824756313</v>
      </c>
      <c r="G96" s="52" t="str">
        <f>IF(VLOOKUP(Table13468111214[[#This Row],[Date]],'DB Global PMI'!$A:$F,6)=0,"",VLOOKUP(Table13468111214[[#This Row],[Date]],'DB Global PMI'!$A:$F,6))</f>
        <v/>
      </c>
    </row>
    <row r="97" spans="1:7" x14ac:dyDescent="0.2">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21.476421356201168</v>
      </c>
      <c r="E97" s="24">
        <f>Table13468111214[[#This Row],[Euro Area PMI]]-B85</f>
        <v>-6.3999999999999986</v>
      </c>
      <c r="F97" s="52">
        <f>(Table13468111214[[#This Row],[EZU]]-D85)/D85</f>
        <v>-0.21153376853685152</v>
      </c>
      <c r="G97" s="52">
        <f>IF(VLOOKUP(Table13468111214[[#This Row],[Date]],'DB Global PMI'!$A:$F,6)=0,"",VLOOKUP(Table13468111214[[#This Row],[Date]],'DB Global PMI'!$A:$F,6))</f>
        <v>-1.1569393991966491E-3</v>
      </c>
    </row>
    <row r="98" spans="1:7" x14ac:dyDescent="0.2">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22.898696899414059</v>
      </c>
      <c r="E98" s="24">
        <f>Table13468111214[[#This Row],[Euro Area PMI]]-B86</f>
        <v>-3.8999999999999986</v>
      </c>
      <c r="F98" s="52">
        <f>(Table13468111214[[#This Row],[EZU]]-D86)/D86</f>
        <v>-4.2496965710172314E-2</v>
      </c>
      <c r="G98" s="52" t="str">
        <f>IF(VLOOKUP(Table13468111214[[#This Row],[Date]],'DB Global PMI'!$A:$F,6)=0,"",VLOOKUP(Table13468111214[[#This Row],[Date]],'DB Global PMI'!$A:$F,6))</f>
        <v/>
      </c>
    </row>
    <row r="99" spans="1:7" x14ac:dyDescent="0.2">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23.744161605834961</v>
      </c>
      <c r="E99" s="24">
        <f>Table13468111214[[#This Row],[Euro Area PMI]]-B87</f>
        <v>-2.3999999999999986</v>
      </c>
      <c r="F99" s="52">
        <f>(Table13468111214[[#This Row],[EZU]]-D87)/D87</f>
        <v>0.14549129511458456</v>
      </c>
      <c r="G99" s="52" t="str">
        <f>IF(VLOOKUP(Table13468111214[[#This Row],[Date]],'DB Global PMI'!$A:$F,6)=0,"",VLOOKUP(Table13468111214[[#This Row],[Date]],'DB Global PMI'!$A:$F,6))</f>
        <v/>
      </c>
    </row>
    <row r="100" spans="1:7" x14ac:dyDescent="0.2">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24.352581024169918</v>
      </c>
      <c r="E100" s="24">
        <f>Table13468111214[[#This Row],[Euro Area PMI]]-B88</f>
        <v>-1.7000000000000028</v>
      </c>
      <c r="F100" s="52">
        <f>(Table13468111214[[#This Row],[EZU]]-D88)/D88</f>
        <v>4.3117540700752716E-2</v>
      </c>
      <c r="G100" s="52">
        <f>IF(VLOOKUP(Table13468111214[[#This Row],[Date]],'DB Global PMI'!$A:$F,6)=0,"",VLOOKUP(Table13468111214[[#This Row],[Date]],'DB Global PMI'!$A:$F,6))</f>
        <v>-4.1719625763579323E-3</v>
      </c>
    </row>
    <row r="101" spans="1:7" x14ac:dyDescent="0.2">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25.182243347167969</v>
      </c>
      <c r="E101" s="24">
        <f>Table13468111214[[#This Row],[Euro Area PMI]]-B89</f>
        <v>-0.19999999999999574</v>
      </c>
      <c r="F101" s="52">
        <f>(Table13468111214[[#This Row],[EZU]]-D89)/D89</f>
        <v>0.12623767591561746</v>
      </c>
      <c r="G101" s="52" t="str">
        <f>IF(VLOOKUP(Table13468111214[[#This Row],[Date]],'DB Global PMI'!$A:$F,6)=0,"",VLOOKUP(Table13468111214[[#This Row],[Date]],'DB Global PMI'!$A:$F,6))</f>
        <v/>
      </c>
    </row>
    <row r="102" spans="1:7" x14ac:dyDescent="0.2">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26.438591003417969</v>
      </c>
      <c r="E102" s="24">
        <f>Table13468111214[[#This Row],[Euro Area PMI]]-B90</f>
        <v>-0.79999999999999716</v>
      </c>
      <c r="F102" s="52">
        <f>(Table13468111214[[#This Row],[EZU]]-D90)/D90</f>
        <v>0.24896378731647362</v>
      </c>
      <c r="G102" s="52" t="str">
        <f>IF(VLOOKUP(Table13468111214[[#This Row],[Date]],'DB Global PMI'!$A:$F,6)=0,"",VLOOKUP(Table13468111214[[#This Row],[Date]],'DB Global PMI'!$A:$F,6))</f>
        <v/>
      </c>
    </row>
    <row r="103" spans="1:7" x14ac:dyDescent="0.2">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27.536397933959961</v>
      </c>
      <c r="E103" s="24">
        <f>Table13468111214[[#This Row],[Euro Area PMI]]-B91</f>
        <v>-0.89999999999999858</v>
      </c>
      <c r="F103" s="52">
        <f>(Table13468111214[[#This Row],[EZU]]-D91)/D91</f>
        <v>0.20101553466726438</v>
      </c>
      <c r="G103" s="52">
        <f>IF(VLOOKUP(Table13468111214[[#This Row],[Date]],'DB Global PMI'!$A:$F,6)=0,"",VLOOKUP(Table13468111214[[#This Row],[Date]],'DB Global PMI'!$A:$F,6))</f>
        <v>-3.7847985896594799E-3</v>
      </c>
    </row>
    <row r="104" spans="1:7" x14ac:dyDescent="0.2">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26.267440795898441</v>
      </c>
      <c r="E104" s="24">
        <f>Table13468111214[[#This Row],[Euro Area PMI]]-B92</f>
        <v>-1.1000000000000014</v>
      </c>
      <c r="F104" s="52">
        <f>(Table13468111214[[#This Row],[EZU]]-D92)/D92</f>
        <v>8.6040771881506856E-2</v>
      </c>
      <c r="G104" s="52" t="str">
        <f>IF(VLOOKUP(Table13468111214[[#This Row],[Date]],'DB Global PMI'!$A:$F,6)=0,"",VLOOKUP(Table13468111214[[#This Row],[Date]],'DB Global PMI'!$A:$F,6))</f>
        <v/>
      </c>
    </row>
    <row r="105" spans="1:7" x14ac:dyDescent="0.2">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25.894681930541989</v>
      </c>
      <c r="E105" s="24">
        <f>Table13468111214[[#This Row],[Euro Area PMI]]-B93</f>
        <v>-0.90000000000000568</v>
      </c>
      <c r="F105" s="52">
        <f>(Table13468111214[[#This Row],[EZU]]-D93)/D93</f>
        <v>6.9271433183407519E-2</v>
      </c>
      <c r="G105" s="52" t="str">
        <f>IF(VLOOKUP(Table13468111214[[#This Row],[Date]],'DB Global PMI'!$A:$F,6)=0,"",VLOOKUP(Table13468111214[[#This Row],[Date]],'DB Global PMI'!$A:$F,6))</f>
        <v/>
      </c>
    </row>
    <row r="106" spans="1:7" x14ac:dyDescent="0.2">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27.38570404052734</v>
      </c>
      <c r="E106" s="24">
        <f>Table13468111214[[#This Row],[Euro Area PMI]]-B94</f>
        <v>0.80000000000000426</v>
      </c>
      <c r="F106" s="52">
        <f>(Table13468111214[[#This Row],[EZU]]-D94)/D94</f>
        <v>0.19805284233902201</v>
      </c>
      <c r="G106" s="52">
        <f>IF(VLOOKUP(Table13468111214[[#This Row],[Date]],'DB Global PMI'!$A:$F,6)=0,"",VLOOKUP(Table13468111214[[#This Row],[Date]],'DB Global PMI'!$A:$F,6))</f>
        <v>5.3637178024913152E-3</v>
      </c>
    </row>
    <row r="107" spans="1:7" x14ac:dyDescent="0.2">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27.74260330200195</v>
      </c>
      <c r="E107" s="24">
        <f>Table13468111214[[#This Row],[Euro Area PMI]]-B95</f>
        <v>3.1999999999999957</v>
      </c>
      <c r="F107" s="52">
        <f>(Table13468111214[[#This Row],[EZU]]-D95)/D95</f>
        <v>0.39332960057399563</v>
      </c>
      <c r="G107" s="52" t="str">
        <f>IF(VLOOKUP(Table13468111214[[#This Row],[Date]],'DB Global PMI'!$A:$F,6)=0,"",VLOOKUP(Table13468111214[[#This Row],[Date]],'DB Global PMI'!$A:$F,6))</f>
        <v/>
      </c>
    </row>
    <row r="108" spans="1:7" x14ac:dyDescent="0.2">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25.75984954833984</v>
      </c>
      <c r="E108" s="24">
        <f>Table13468111214[[#This Row],[Euro Area PMI]]-B96</f>
        <v>3.6999999999999957</v>
      </c>
      <c r="F108" s="52">
        <f>(Table13468111214[[#This Row],[EZU]]-D96)/D96</f>
        <v>0.22258091906979577</v>
      </c>
      <c r="G108" s="52" t="str">
        <f>IF(VLOOKUP(Table13468111214[[#This Row],[Date]],'DB Global PMI'!$A:$F,6)=0,"",VLOOKUP(Table13468111214[[#This Row],[Date]],'DB Global PMI'!$A:$F,6))</f>
        <v/>
      </c>
    </row>
    <row r="109" spans="1:7" x14ac:dyDescent="0.2">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28.698677062988281</v>
      </c>
      <c r="E109" s="24">
        <f>Table13468111214[[#This Row],[Euro Area PMI]]-B97</f>
        <v>6.2999999999999972</v>
      </c>
      <c r="F109" s="52">
        <f>(Table13468111214[[#This Row],[EZU]]-D97)/D97</f>
        <v>0.33628767041775964</v>
      </c>
      <c r="G109" s="52">
        <f>IF(VLOOKUP(Table13468111214[[#This Row],[Date]],'DB Global PMI'!$A:$F,6)=0,"",VLOOKUP(Table13468111214[[#This Row],[Date]],'DB Global PMI'!$A:$F,6))</f>
        <v>3.1309192847020751E-3</v>
      </c>
    </row>
    <row r="110" spans="1:7" x14ac:dyDescent="0.2">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28.178657531738281</v>
      </c>
      <c r="E110" s="24">
        <f>Table13468111214[[#This Row],[Euro Area PMI]]-B98</f>
        <v>6.2999999999999972</v>
      </c>
      <c r="F110" s="52">
        <f>(Table13468111214[[#This Row],[EZU]]-D98)/D98</f>
        <v>0.2305790873392157</v>
      </c>
      <c r="G110" s="52" t="str">
        <f>IF(VLOOKUP(Table13468111214[[#This Row],[Date]],'DB Global PMI'!$A:$F,6)=0,"",VLOOKUP(Table13468111214[[#This Row],[Date]],'DB Global PMI'!$A:$F,6))</f>
        <v/>
      </c>
    </row>
    <row r="111" spans="1:7" x14ac:dyDescent="0.2">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30.65688323974609</v>
      </c>
      <c r="E111" s="24">
        <f>Table13468111214[[#This Row],[Euro Area PMI]]-B99</f>
        <v>5</v>
      </c>
      <c r="F111" s="52">
        <f>(Table13468111214[[#This Row],[EZU]]-D99)/D99</f>
        <v>0.29113353205161713</v>
      </c>
      <c r="G111" s="52" t="str">
        <f>IF(VLOOKUP(Table13468111214[[#This Row],[Date]],'DB Global PMI'!$A:$F,6)=0,"",VLOOKUP(Table13468111214[[#This Row],[Date]],'DB Global PMI'!$A:$F,6))</f>
        <v/>
      </c>
    </row>
    <row r="112" spans="1:7" x14ac:dyDescent="0.2">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32.322574615478523</v>
      </c>
      <c r="E112" s="24">
        <f>Table13468111214[[#This Row],[Euro Area PMI]]-B100</f>
        <v>5.8999999999999986</v>
      </c>
      <c r="F112" s="52">
        <f>(Table13468111214[[#This Row],[EZU]]-D100)/D100</f>
        <v>0.3272751082687454</v>
      </c>
      <c r="G112" s="52">
        <f>IF(VLOOKUP(Table13468111214[[#This Row],[Date]],'DB Global PMI'!$A:$F,6)=0,"",VLOOKUP(Table13468111214[[#This Row],[Date]],'DB Global PMI'!$A:$F,6))</f>
        <v>2.7480226624383209E-3</v>
      </c>
    </row>
    <row r="113" spans="1:7" x14ac:dyDescent="0.2">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32.793838500976562</v>
      </c>
      <c r="E113" s="24">
        <f>Table13468111214[[#This Row],[Euro Area PMI]]-B101</f>
        <v>5.3999999999999986</v>
      </c>
      <c r="F113" s="52">
        <f>(Table13468111214[[#This Row],[EZU]]-D101)/D101</f>
        <v>0.30226040821198741</v>
      </c>
      <c r="G113" s="52" t="str">
        <f>IF(VLOOKUP(Table13468111214[[#This Row],[Date]],'DB Global PMI'!$A:$F,6)=0,"",VLOOKUP(Table13468111214[[#This Row],[Date]],'DB Global PMI'!$A:$F,6))</f>
        <v/>
      </c>
    </row>
    <row r="114" spans="1:7" x14ac:dyDescent="0.2">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33.622634887695312</v>
      </c>
      <c r="E114" s="24">
        <f>Table13468111214[[#This Row],[Euro Area PMI]]-B102</f>
        <v>6.6000000000000014</v>
      </c>
      <c r="F114" s="52">
        <f>(Table13468111214[[#This Row],[EZU]]-D102)/D102</f>
        <v>0.27172567113537155</v>
      </c>
      <c r="G114" s="52" t="str">
        <f>IF(VLOOKUP(Table13468111214[[#This Row],[Date]],'DB Global PMI'!$A:$F,6)=0,"",VLOOKUP(Table13468111214[[#This Row],[Date]],'DB Global PMI'!$A:$F,6))</f>
        <v/>
      </c>
    </row>
    <row r="115" spans="1:7" x14ac:dyDescent="0.2">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32.011016845703118</v>
      </c>
      <c r="E115" s="24">
        <f>Table13468111214[[#This Row],[Euro Area PMI]]-B103</f>
        <v>6.1000000000000014</v>
      </c>
      <c r="F115" s="52">
        <f>(Table13468111214[[#This Row],[EZU]]-D103)/D103</f>
        <v>0.16249833847094139</v>
      </c>
      <c r="G115" s="52">
        <f>IF(VLOOKUP(Table13468111214[[#This Row],[Date]],'DB Global PMI'!$A:$F,6)=0,"",VLOOKUP(Table13468111214[[#This Row],[Date]],'DB Global PMI'!$A:$F,6))</f>
        <v>4.0031985751650644E-3</v>
      </c>
    </row>
    <row r="116" spans="1:7" x14ac:dyDescent="0.2">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34.244537353515618</v>
      </c>
      <c r="E116" s="24">
        <f>Table13468111214[[#This Row],[Euro Area PMI]]-B104</f>
        <v>5.3000000000000043</v>
      </c>
      <c r="F116" s="52">
        <f>(Table13468111214[[#This Row],[EZU]]-D104)/D104</f>
        <v>0.30368761919367376</v>
      </c>
      <c r="G116" s="52" t="str">
        <f>IF(VLOOKUP(Table13468111214[[#This Row],[Date]],'DB Global PMI'!$A:$F,6)=0,"",VLOOKUP(Table13468111214[[#This Row],[Date]],'DB Global PMI'!$A:$F,6))</f>
        <v/>
      </c>
    </row>
    <row r="117" spans="1:7" x14ac:dyDescent="0.2">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34.456478118896477</v>
      </c>
      <c r="E117" s="24">
        <f>Table13468111214[[#This Row],[Euro Area PMI]]-B105</f>
        <v>6.2000000000000028</v>
      </c>
      <c r="F117" s="52">
        <f>(Table13468111214[[#This Row],[EZU]]-D105)/D105</f>
        <v>0.33063917183149916</v>
      </c>
      <c r="G117" s="52" t="str">
        <f>IF(VLOOKUP(Table13468111214[[#This Row],[Date]],'DB Global PMI'!$A:$F,6)=0,"",VLOOKUP(Table13468111214[[#This Row],[Date]],'DB Global PMI'!$A:$F,6))</f>
        <v/>
      </c>
    </row>
    <row r="118" spans="1:7" x14ac:dyDescent="0.2">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35.092300415039062</v>
      </c>
      <c r="E118" s="24">
        <f>Table13468111214[[#This Row],[Euro Area PMI]]-B106</f>
        <v>7.2999999999999972</v>
      </c>
      <c r="F118" s="52">
        <f>(Table13468111214[[#This Row],[EZU]]-D106)/D106</f>
        <v>0.2814094668921765</v>
      </c>
      <c r="G118" s="52">
        <f>IF(VLOOKUP(Table13468111214[[#This Row],[Date]],'DB Global PMI'!$A:$F,6)=0,"",VLOOKUP(Table13468111214[[#This Row],[Date]],'DB Global PMI'!$A:$F,6))</f>
        <v>2.260536398467356E-3</v>
      </c>
    </row>
    <row r="119" spans="1:7" x14ac:dyDescent="0.2">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35.385757446289062</v>
      </c>
      <c r="E119" s="24">
        <f>Table13468111214[[#This Row],[Euro Area PMI]]-B107</f>
        <v>3.9000000000000057</v>
      </c>
      <c r="F119" s="52">
        <f>(Table13468111214[[#This Row],[EZU]]-D107)/D107</f>
        <v>0.27550241270023751</v>
      </c>
      <c r="G119" s="52" t="str">
        <f>IF(VLOOKUP(Table13468111214[[#This Row],[Date]],'DB Global PMI'!$A:$F,6)=0,"",VLOOKUP(Table13468111214[[#This Row],[Date]],'DB Global PMI'!$A:$F,6))</f>
        <v/>
      </c>
    </row>
    <row r="120" spans="1:7" x14ac:dyDescent="0.2">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34.497234344482422</v>
      </c>
      <c r="E120" s="24">
        <f>Table13468111214[[#This Row],[Euro Area PMI]]-B108</f>
        <v>3</v>
      </c>
      <c r="F120" s="52">
        <f>(Table13468111214[[#This Row],[EZU]]-D108)/D108</f>
        <v>0.33918617341869084</v>
      </c>
      <c r="G120" s="52" t="str">
        <f>IF(VLOOKUP(Table13468111214[[#This Row],[Date]],'DB Global PMI'!$A:$F,6)=0,"",VLOOKUP(Table13468111214[[#This Row],[Date]],'DB Global PMI'!$A:$F,6))</f>
        <v/>
      </c>
    </row>
    <row r="121" spans="1:7" x14ac:dyDescent="0.2">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33.067115783691413</v>
      </c>
      <c r="E121" s="24">
        <f>Table13468111214[[#This Row],[Euro Area PMI]]-B109</f>
        <v>1.5</v>
      </c>
      <c r="F121" s="52">
        <f>(Table13468111214[[#This Row],[EZU]]-D109)/D109</f>
        <v>0.15221742490482115</v>
      </c>
      <c r="G121" s="52">
        <f>IF(VLOOKUP(Table13468111214[[#This Row],[Date]],'DB Global PMI'!$A:$F,6)=0,"",VLOOKUP(Table13468111214[[#This Row],[Date]],'DB Global PMI'!$A:$F,6))</f>
        <v>4.4991229264996838E-3</v>
      </c>
    </row>
    <row r="122" spans="1:7" x14ac:dyDescent="0.2">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33.125274658203118</v>
      </c>
      <c r="E122" s="24">
        <f>Table13468111214[[#This Row],[Euro Area PMI]]-B110</f>
        <v>-0.69999999999999574</v>
      </c>
      <c r="F122" s="52">
        <f>(Table13468111214[[#This Row],[EZU]]-D110)/D110</f>
        <v>0.17554481156149282</v>
      </c>
      <c r="G122" s="52" t="str">
        <f>IF(VLOOKUP(Table13468111214[[#This Row],[Date]],'DB Global PMI'!$A:$F,6)=0,"",VLOOKUP(Table13468111214[[#This Row],[Date]],'DB Global PMI'!$A:$F,6))</f>
        <v/>
      </c>
    </row>
    <row r="123" spans="1:7" x14ac:dyDescent="0.2">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31.987043380737301</v>
      </c>
      <c r="E123" s="24">
        <f>Table13468111214[[#This Row],[Euro Area PMI]]-B111</f>
        <v>-0.80000000000000426</v>
      </c>
      <c r="F123" s="52">
        <f>(Table13468111214[[#This Row],[EZU]]-D111)/D111</f>
        <v>4.3388629254610026E-2</v>
      </c>
      <c r="G123" s="52" t="str">
        <f>IF(VLOOKUP(Table13468111214[[#This Row],[Date]],'DB Global PMI'!$A:$F,6)=0,"",VLOOKUP(Table13468111214[[#This Row],[Date]],'DB Global PMI'!$A:$F,6))</f>
        <v/>
      </c>
    </row>
    <row r="124" spans="1:7" x14ac:dyDescent="0.2">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31.073127746582031</v>
      </c>
      <c r="E124" s="24">
        <f>Table13468111214[[#This Row],[Euro Area PMI]]-B112</f>
        <v>-0.69999999999999574</v>
      </c>
      <c r="F124" s="52">
        <f>(Table13468111214[[#This Row],[EZU]]-D112)/D112</f>
        <v>-3.8655549063166546E-2</v>
      </c>
      <c r="G124" s="52">
        <f>IF(VLOOKUP(Table13468111214[[#This Row],[Date]],'DB Global PMI'!$A:$F,6)=0,"",VLOOKUP(Table13468111214[[#This Row],[Date]],'DB Global PMI'!$A:$F,6))</f>
        <v>4.1628189328946196E-3</v>
      </c>
    </row>
    <row r="125" spans="1:7" x14ac:dyDescent="0.2">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32.27783203125</v>
      </c>
      <c r="E125" s="24">
        <f>Table13468111214[[#This Row],[Euro Area PMI]]-B113</f>
        <v>-1.5</v>
      </c>
      <c r="F125" s="52">
        <f>(Table13468111214[[#This Row],[EZU]]-D113)/D113</f>
        <v>-1.5734860367480202E-2</v>
      </c>
      <c r="G125" s="52" t="str">
        <f>IF(VLOOKUP(Table13468111214[[#This Row],[Date]],'DB Global PMI'!$A:$F,6)=0,"",VLOOKUP(Table13468111214[[#This Row],[Date]],'DB Global PMI'!$A:$F,6))</f>
        <v/>
      </c>
    </row>
    <row r="126" spans="1:7" x14ac:dyDescent="0.2">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30.184137344360352</v>
      </c>
      <c r="E126" s="24">
        <f>Table13468111214[[#This Row],[Euro Area PMI]]-B114</f>
        <v>-2.1000000000000014</v>
      </c>
      <c r="F126" s="52">
        <f>(Table13468111214[[#This Row],[EZU]]-D114)/D114</f>
        <v>-0.10226734325908909</v>
      </c>
      <c r="G126" s="52" t="str">
        <f>IF(VLOOKUP(Table13468111214[[#This Row],[Date]],'DB Global PMI'!$A:$F,6)=0,"",VLOOKUP(Table13468111214[[#This Row],[Date]],'DB Global PMI'!$A:$F,6))</f>
        <v/>
      </c>
    </row>
    <row r="127" spans="1:7" x14ac:dyDescent="0.2">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30.69611930847168</v>
      </c>
      <c r="E127" s="24">
        <f>Table13468111214[[#This Row],[Euro Area PMI]]-B115</f>
        <v>-3</v>
      </c>
      <c r="F127" s="52">
        <f>(Table13468111214[[#This Row],[EZU]]-D115)/D115</f>
        <v>-4.1076406400002839E-2</v>
      </c>
      <c r="G127" s="52">
        <f>IF(VLOOKUP(Table13468111214[[#This Row],[Date]],'DB Global PMI'!$A:$F,6)=0,"",VLOOKUP(Table13468111214[[#This Row],[Date]],'DB Global PMI'!$A:$F,6))</f>
        <v>6.5129881593109879E-3</v>
      </c>
    </row>
    <row r="128" spans="1:7" x14ac:dyDescent="0.2">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32.604160308837891</v>
      </c>
      <c r="E128" s="24">
        <f>Table13468111214[[#This Row],[Euro Area PMI]]-B116</f>
        <v>-2.2000000000000028</v>
      </c>
      <c r="F128" s="52">
        <f>(Table13468111214[[#This Row],[EZU]]-D116)/D116</f>
        <v>-4.7901860309680099E-2</v>
      </c>
      <c r="G128" s="52" t="str">
        <f>IF(VLOOKUP(Table13468111214[[#This Row],[Date]],'DB Global PMI'!$A:$F,6)=0,"",VLOOKUP(Table13468111214[[#This Row],[Date]],'DB Global PMI'!$A:$F,6))</f>
        <v/>
      </c>
    </row>
    <row r="129" spans="1:7" x14ac:dyDescent="0.2">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32.286155700683587</v>
      </c>
      <c r="E129" s="24">
        <f>Table13468111214[[#This Row],[Euro Area PMI]]-B117</f>
        <v>-0.79999999999999716</v>
      </c>
      <c r="F129" s="52">
        <f>(Table13468111214[[#This Row],[EZU]]-D117)/D117</f>
        <v>-6.2987354967733958E-2</v>
      </c>
      <c r="G129" s="52" t="str">
        <f>IF(VLOOKUP(Table13468111214[[#This Row],[Date]],'DB Global PMI'!$A:$F,6)=0,"",VLOOKUP(Table13468111214[[#This Row],[Date]],'DB Global PMI'!$A:$F,6))</f>
        <v/>
      </c>
    </row>
    <row r="130" spans="1:7" x14ac:dyDescent="0.2">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33.005855560302727</v>
      </c>
      <c r="E130" s="24">
        <f>Table13468111214[[#This Row],[Euro Area PMI]]-B118</f>
        <v>-2</v>
      </c>
      <c r="F130" s="52">
        <f>(Table13468111214[[#This Row],[EZU]]-D118)/D118</f>
        <v>-5.9455915686911595E-2</v>
      </c>
      <c r="G130" s="52">
        <f>IF(VLOOKUP(Table13468111214[[#This Row],[Date]],'DB Global PMI'!$A:$F,6)=0,"",VLOOKUP(Table13468111214[[#This Row],[Date]],'DB Global PMI'!$A:$F,6))</f>
        <v>4.4246764953906181E-3</v>
      </c>
    </row>
    <row r="131" spans="1:7" x14ac:dyDescent="0.2">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32.796638488769531</v>
      </c>
      <c r="E131" s="24">
        <f>Table13468111214[[#This Row],[Euro Area PMI]]-B119</f>
        <v>0</v>
      </c>
      <c r="F131" s="52">
        <f>(Table13468111214[[#This Row],[EZU]]-D119)/D119</f>
        <v>-7.3168391589454429E-2</v>
      </c>
      <c r="G131" s="52" t="str">
        <f>IF(VLOOKUP(Table13468111214[[#This Row],[Date]],'DB Global PMI'!$A:$F,6)=0,"",VLOOKUP(Table13468111214[[#This Row],[Date]],'DB Global PMI'!$A:$F,6))</f>
        <v/>
      </c>
    </row>
    <row r="132" spans="1:7" x14ac:dyDescent="0.2">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31.415815353393551</v>
      </c>
      <c r="E132" s="24">
        <f>Table13468111214[[#This Row],[Euro Area PMI]]-B120</f>
        <v>0.70000000000000284</v>
      </c>
      <c r="F132" s="52">
        <f>(Table13468111214[[#This Row],[EZU]]-D120)/D120</f>
        <v>-8.9323653030223882E-2</v>
      </c>
      <c r="G132" s="52" t="str">
        <f>IF(VLOOKUP(Table13468111214[[#This Row],[Date]],'DB Global PMI'!$A:$F,6)=0,"",VLOOKUP(Table13468111214[[#This Row],[Date]],'DB Global PMI'!$A:$F,6))</f>
        <v/>
      </c>
    </row>
    <row r="133" spans="1:7" x14ac:dyDescent="0.2">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32.946598052978523</v>
      </c>
      <c r="E133" s="24">
        <f>Table13468111214[[#This Row],[Euro Area PMI]]-B121</f>
        <v>0.60000000000000142</v>
      </c>
      <c r="F133" s="52">
        <f>(Table13468111214[[#This Row],[EZU]]-D121)/D121</f>
        <v>-3.644639934769562E-3</v>
      </c>
      <c r="G133" s="52">
        <f>IF(VLOOKUP(Table13468111214[[#This Row],[Date]],'DB Global PMI'!$A:$F,6)=0,"",VLOOKUP(Table13468111214[[#This Row],[Date]],'DB Global PMI'!$A:$F,6))</f>
        <v>4.45933382839703E-3</v>
      </c>
    </row>
    <row r="134" spans="1:7" x14ac:dyDescent="0.2">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30.672946929931641</v>
      </c>
      <c r="E134" s="24">
        <f>Table13468111214[[#This Row],[Euro Area PMI]]-B122</f>
        <v>1.5999999999999943</v>
      </c>
      <c r="F134" s="52">
        <f>(Table13468111214[[#This Row],[EZU]]-D122)/D122</f>
        <v>-7.4031921352361821E-2</v>
      </c>
      <c r="G134" s="52" t="str">
        <f>IF(VLOOKUP(Table13468111214[[#This Row],[Date]],'DB Global PMI'!$A:$F,6)=0,"",VLOOKUP(Table13468111214[[#This Row],[Date]],'DB Global PMI'!$A:$F,6))</f>
        <v/>
      </c>
    </row>
    <row r="135" spans="1:7" x14ac:dyDescent="0.2">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29.24233245849609</v>
      </c>
      <c r="E135" s="24">
        <f>Table13468111214[[#This Row],[Euro Area PMI]]-B123</f>
        <v>1.7000000000000028</v>
      </c>
      <c r="F135" s="52">
        <f>(Table13468111214[[#This Row],[EZU]]-D123)/D123</f>
        <v>-8.5806959073125355E-2</v>
      </c>
      <c r="G135" s="52" t="str">
        <f>IF(VLOOKUP(Table13468111214[[#This Row],[Date]],'DB Global PMI'!$A:$F,6)=0,"",VLOOKUP(Table13468111214[[#This Row],[Date]],'DB Global PMI'!$A:$F,6))</f>
        <v/>
      </c>
    </row>
    <row r="136" spans="1:7" x14ac:dyDescent="0.2">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31.379730224609379</v>
      </c>
      <c r="E136" s="24">
        <f>Table13468111214[[#This Row],[Euro Area PMI]]-B124</f>
        <v>1.6999999999999957</v>
      </c>
      <c r="F136" s="52">
        <f>(Table13468111214[[#This Row],[EZU]]-D124)/D124</f>
        <v>9.8671263648723879E-3</v>
      </c>
      <c r="G136" s="52">
        <f>IF(VLOOKUP(Table13468111214[[#This Row],[Date]],'DB Global PMI'!$A:$F,6)=0,"",VLOOKUP(Table13468111214[[#This Row],[Date]],'DB Global PMI'!$A:$F,6))</f>
        <v>4.6112060984272582E-3</v>
      </c>
    </row>
    <row r="137" spans="1:7" x14ac:dyDescent="0.2">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31.132780075073239</v>
      </c>
      <c r="E137" s="24">
        <f>Table13468111214[[#This Row],[Euro Area PMI]]-B125</f>
        <v>2.6999999999999957</v>
      </c>
      <c r="F137" s="52">
        <f>(Table13468111214[[#This Row],[EZU]]-D125)/D125</f>
        <v>-3.5474871889418461E-2</v>
      </c>
      <c r="G137" s="52" t="str">
        <f>IF(VLOOKUP(Table13468111214[[#This Row],[Date]],'DB Global PMI'!$A:$F,6)=0,"",VLOOKUP(Table13468111214[[#This Row],[Date]],'DB Global PMI'!$A:$F,6))</f>
        <v/>
      </c>
    </row>
    <row r="138" spans="1:7" x14ac:dyDescent="0.2">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29.838420867919918</v>
      </c>
      <c r="E138" s="24">
        <f>Table13468111214[[#This Row],[Euro Area PMI]]-B126</f>
        <v>2.6000000000000014</v>
      </c>
      <c r="F138" s="52">
        <f>(Table13468111214[[#This Row],[EZU]]-D126)/D126</f>
        <v>-1.1453581478783836E-2</v>
      </c>
      <c r="G138" s="52" t="str">
        <f>IF(VLOOKUP(Table13468111214[[#This Row],[Date]],'DB Global PMI'!$A:$F,6)=0,"",VLOOKUP(Table13468111214[[#This Row],[Date]],'DB Global PMI'!$A:$F,6))</f>
        <v/>
      </c>
    </row>
    <row r="139" spans="1:7" x14ac:dyDescent="0.2">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28.333881378173832</v>
      </c>
      <c r="E139" s="24">
        <f>Table13468111214[[#This Row],[Euro Area PMI]]-B127</f>
        <v>1.2999999999999972</v>
      </c>
      <c r="F139" s="52">
        <f>(Table13468111214[[#This Row],[EZU]]-D127)/D127</f>
        <v>-7.6955588638395245E-2</v>
      </c>
      <c r="G139" s="52">
        <f>IF(VLOOKUP(Table13468111214[[#This Row],[Date]],'DB Global PMI'!$A:$F,6)=0,"",VLOOKUP(Table13468111214[[#This Row],[Date]],'DB Global PMI'!$A:$F,6))</f>
        <v>5.5173861483811589E-3</v>
      </c>
    </row>
    <row r="140" spans="1:7" x14ac:dyDescent="0.2">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27.139078140258789</v>
      </c>
      <c r="E140" s="24">
        <f>Table13468111214[[#This Row],[Euro Area PMI]]-B128</f>
        <v>0.20000000000000284</v>
      </c>
      <c r="F140" s="52">
        <f>(Table13468111214[[#This Row],[EZU]]-D128)/D128</f>
        <v>-0.16761916629080312</v>
      </c>
      <c r="G140" s="52" t="str">
        <f>IF(VLOOKUP(Table13468111214[[#This Row],[Date]],'DB Global PMI'!$A:$F,6)=0,"",VLOOKUP(Table13468111214[[#This Row],[Date]],'DB Global PMI'!$A:$F,6))</f>
        <v/>
      </c>
    </row>
    <row r="141" spans="1:7" x14ac:dyDescent="0.2">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29.349466323852539</v>
      </c>
      <c r="E141" s="24">
        <f>Table13468111214[[#This Row],[Euro Area PMI]]-B129</f>
        <v>-0.60000000000000142</v>
      </c>
      <c r="F141" s="52">
        <f>(Table13468111214[[#This Row],[EZU]]-D129)/D129</f>
        <v>-9.0958161883883559E-2</v>
      </c>
      <c r="G141" s="52" t="str">
        <f>IF(VLOOKUP(Table13468111214[[#This Row],[Date]],'DB Global PMI'!$A:$F,6)=0,"",VLOOKUP(Table13468111214[[#This Row],[Date]],'DB Global PMI'!$A:$F,6))</f>
        <v/>
      </c>
    </row>
    <row r="142" spans="1:7" x14ac:dyDescent="0.2">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30.100481033325199</v>
      </c>
      <c r="E142" s="24">
        <f>Table13468111214[[#This Row],[Euro Area PMI]]-B130</f>
        <v>-0.29999999999999716</v>
      </c>
      <c r="F142" s="52">
        <f>(Table13468111214[[#This Row],[EZU]]-D130)/D130</f>
        <v>-8.802603288587138E-2</v>
      </c>
      <c r="G142" s="52">
        <f>IF(VLOOKUP(Table13468111214[[#This Row],[Date]],'DB Global PMI'!$A:$F,6)=0,"",VLOOKUP(Table13468111214[[#This Row],[Date]],'DB Global PMI'!$A:$F,6))</f>
        <v>2.5132904280461212E-3</v>
      </c>
    </row>
    <row r="143" spans="1:7" x14ac:dyDescent="0.2">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29.00809478759766</v>
      </c>
      <c r="E143" s="24">
        <f>Table13468111214[[#This Row],[Euro Area PMI]]-B131</f>
        <v>-0.70000000000000284</v>
      </c>
      <c r="F143" s="52">
        <f>(Table13468111214[[#This Row],[EZU]]-D131)/D131</f>
        <v>-0.11551621982445466</v>
      </c>
      <c r="G143" s="52" t="str">
        <f>IF(VLOOKUP(Table13468111214[[#This Row],[Date]],'DB Global PMI'!$A:$F,6)=0,"",VLOOKUP(Table13468111214[[#This Row],[Date]],'DB Global PMI'!$A:$F,6))</f>
        <v/>
      </c>
    </row>
    <row r="144" spans="1:7" x14ac:dyDescent="0.2">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27.540191650390621</v>
      </c>
      <c r="E144" s="24">
        <f>Table13468111214[[#This Row],[Euro Area PMI]]-B132</f>
        <v>0.29999999999999716</v>
      </c>
      <c r="F144" s="52">
        <f>(Table13468111214[[#This Row],[EZU]]-D132)/D132</f>
        <v>-0.12336537057550165</v>
      </c>
      <c r="G144" s="52" t="str">
        <f>IF(VLOOKUP(Table13468111214[[#This Row],[Date]],'DB Global PMI'!$A:$F,6)=0,"",VLOOKUP(Table13468111214[[#This Row],[Date]],'DB Global PMI'!$A:$F,6))</f>
        <v/>
      </c>
    </row>
    <row r="145" spans="1:7" x14ac:dyDescent="0.2">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29.590147018432621</v>
      </c>
      <c r="E145" s="24">
        <f>Table13468111214[[#This Row],[Euro Area PMI]]-B133</f>
        <v>-0.39999999999999858</v>
      </c>
      <c r="F145" s="52">
        <f>(Table13468111214[[#This Row],[EZU]]-D133)/D133</f>
        <v>-0.10187549649735274</v>
      </c>
      <c r="G145" s="52">
        <f>IF(VLOOKUP(Table13468111214[[#This Row],[Date]],'DB Global PMI'!$A:$F,6)=0,"",VLOOKUP(Table13468111214[[#This Row],[Date]],'DB Global PMI'!$A:$F,6))</f>
        <v>4.555557172284219E-3</v>
      </c>
    </row>
    <row r="146" spans="1:7" x14ac:dyDescent="0.2">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29.922525405883789</v>
      </c>
      <c r="E146" s="24">
        <f>Table13468111214[[#This Row],[Euro Area PMI]]-B134</f>
        <v>-0.59999999999999432</v>
      </c>
      <c r="F146" s="52">
        <f>(Table13468111214[[#This Row],[EZU]]-D134)/D134</f>
        <v>-2.4465256819375458E-2</v>
      </c>
      <c r="G146" s="52" t="str">
        <f>IF(VLOOKUP(Table13468111214[[#This Row],[Date]],'DB Global PMI'!$A:$F,6)=0,"",VLOOKUP(Table13468111214[[#This Row],[Date]],'DB Global PMI'!$A:$F,6))</f>
        <v/>
      </c>
    </row>
    <row r="147" spans="1:7" x14ac:dyDescent="0.2">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30.16743087768555</v>
      </c>
      <c r="E147" s="24">
        <f>Table13468111214[[#This Row],[Euro Area PMI]]-B135</f>
        <v>0.60000000000000142</v>
      </c>
      <c r="F147" s="52">
        <f>(Table13468111214[[#This Row],[EZU]]-D135)/D135</f>
        <v>3.1635589278059845E-2</v>
      </c>
      <c r="G147" s="52" t="str">
        <f>IF(VLOOKUP(Table13468111214[[#This Row],[Date]],'DB Global PMI'!$A:$F,6)=0,"",VLOOKUP(Table13468111214[[#This Row],[Date]],'DB Global PMI'!$A:$F,6))</f>
        <v/>
      </c>
    </row>
    <row r="148" spans="1:7" x14ac:dyDescent="0.2">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29.861297607421879</v>
      </c>
      <c r="E148" s="24">
        <f>Table13468111214[[#This Row],[Euro Area PMI]]-B136</f>
        <v>1.2000000000000028</v>
      </c>
      <c r="F148" s="52">
        <f>(Table13468111214[[#This Row],[EZU]]-D136)/D136</f>
        <v>-4.8388963395124336E-2</v>
      </c>
      <c r="G148" s="52">
        <f>IF(VLOOKUP(Table13468111214[[#This Row],[Date]],'DB Global PMI'!$A:$F,6)=0,"",VLOOKUP(Table13468111214[[#This Row],[Date]],'DB Global PMI'!$A:$F,6))</f>
        <v>7.4787095575190006E-3</v>
      </c>
    </row>
    <row r="149" spans="1:7" x14ac:dyDescent="0.2">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28.6717414855957</v>
      </c>
      <c r="E149" s="24">
        <f>Table13468111214[[#This Row],[Euro Area PMI]]-B137</f>
        <v>0.90000000000000568</v>
      </c>
      <c r="F149" s="52">
        <f>(Table13468111214[[#This Row],[EZU]]-D137)/D137</f>
        <v>-7.9049753460597422E-2</v>
      </c>
      <c r="G149" s="52" t="str">
        <f>IF(VLOOKUP(Table13468111214[[#This Row],[Date]],'DB Global PMI'!$A:$F,6)=0,"",VLOOKUP(Table13468111214[[#This Row],[Date]],'DB Global PMI'!$A:$F,6))</f>
        <v/>
      </c>
    </row>
    <row r="150" spans="1:7" x14ac:dyDescent="0.2">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30.26364707946777</v>
      </c>
      <c r="E150" s="24">
        <f>Table13468111214[[#This Row],[Euro Area PMI]]-B138</f>
        <v>1.6999999999999957</v>
      </c>
      <c r="F150" s="52">
        <f>(Table13468111214[[#This Row],[EZU]]-D138)/D138</f>
        <v>1.4250962322373554E-2</v>
      </c>
      <c r="G150" s="52" t="str">
        <f>IF(VLOOKUP(Table13468111214[[#This Row],[Date]],'DB Global PMI'!$A:$F,6)=0,"",VLOOKUP(Table13468111214[[#This Row],[Date]],'DB Global PMI'!$A:$F,6))</f>
        <v/>
      </c>
    </row>
    <row r="151" spans="1:7" x14ac:dyDescent="0.2">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31.112882614135739</v>
      </c>
      <c r="E151" s="24">
        <f>Table13468111214[[#This Row],[Euro Area PMI]]-B139</f>
        <v>2.9000000000000057</v>
      </c>
      <c r="F151" s="52">
        <f>(Table13468111214[[#This Row],[EZU]]-D139)/D139</f>
        <v>9.8080499415891129E-2</v>
      </c>
      <c r="G151" s="52">
        <f>IF(VLOOKUP(Table13468111214[[#This Row],[Date]],'DB Global PMI'!$A:$F,6)=0,"",VLOOKUP(Table13468111214[[#This Row],[Date]],'DB Global PMI'!$A:$F,6))</f>
        <v>7.0433016748831824E-3</v>
      </c>
    </row>
    <row r="152" spans="1:7" x14ac:dyDescent="0.2">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31.174518585205082</v>
      </c>
      <c r="E152" s="24">
        <f>Table13468111214[[#This Row],[Euro Area PMI]]-B140</f>
        <v>4.1999999999999957</v>
      </c>
      <c r="F152" s="52">
        <f>(Table13468111214[[#This Row],[EZU]]-D140)/D140</f>
        <v>0.14869482390265937</v>
      </c>
      <c r="G152" s="52" t="str">
        <f>IF(VLOOKUP(Table13468111214[[#This Row],[Date]],'DB Global PMI'!$A:$F,6)=0,"",VLOOKUP(Table13468111214[[#This Row],[Date]],'DB Global PMI'!$A:$F,6))</f>
        <v/>
      </c>
    </row>
    <row r="153" spans="1:7" x14ac:dyDescent="0.2">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33.102565765380859</v>
      </c>
      <c r="E153" s="24">
        <f>Table13468111214[[#This Row],[Euro Area PMI]]-B141</f>
        <v>4.6000000000000014</v>
      </c>
      <c r="F153" s="52">
        <f>(Table13468111214[[#This Row],[EZU]]-D141)/D141</f>
        <v>0.12787624143196591</v>
      </c>
      <c r="G153" s="52" t="str">
        <f>IF(VLOOKUP(Table13468111214[[#This Row],[Date]],'DB Global PMI'!$A:$F,6)=0,"",VLOOKUP(Table13468111214[[#This Row],[Date]],'DB Global PMI'!$A:$F,6))</f>
        <v/>
      </c>
    </row>
    <row r="154" spans="1:7" x14ac:dyDescent="0.2">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34.546405792236328</v>
      </c>
      <c r="E154" s="24">
        <f>Table13468111214[[#This Row],[Euro Area PMI]]-B142</f>
        <v>5</v>
      </c>
      <c r="F154" s="52">
        <f>(Table13468111214[[#This Row],[EZU]]-D142)/D142</f>
        <v>0.14770278102828008</v>
      </c>
      <c r="G154" s="52">
        <f>IF(VLOOKUP(Table13468111214[[#This Row],[Date]],'DB Global PMI'!$A:$F,6)=0,"",VLOOKUP(Table13468111214[[#This Row],[Date]],'DB Global PMI'!$A:$F,6))</f>
        <v>8.0867386940671766E-3</v>
      </c>
    </row>
    <row r="155" spans="1:7" x14ac:dyDescent="0.2">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36.254356384277337</v>
      </c>
      <c r="E155" s="24">
        <f>Table13468111214[[#This Row],[Euro Area PMI]]-B143</f>
        <v>5.5</v>
      </c>
      <c r="F155" s="52">
        <f>(Table13468111214[[#This Row],[EZU]]-D143)/D143</f>
        <v>0.24980136233482655</v>
      </c>
      <c r="G155" s="52" t="str">
        <f>IF(VLOOKUP(Table13468111214[[#This Row],[Date]],'DB Global PMI'!$A:$F,6)=0,"",VLOOKUP(Table13468111214[[#This Row],[Date]],'DB Global PMI'!$A:$F,6))</f>
        <v/>
      </c>
    </row>
    <row r="156" spans="1:7" x14ac:dyDescent="0.2">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35.506023406982422</v>
      </c>
      <c r="E156" s="24">
        <f>Table13468111214[[#This Row],[Euro Area PMI]]-B144</f>
        <v>4.6000000000000014</v>
      </c>
      <c r="F156" s="52">
        <f>(Table13468111214[[#This Row],[EZU]]-D144)/D144</f>
        <v>0.2892438751957202</v>
      </c>
      <c r="G156" s="52" t="str">
        <f>IF(VLOOKUP(Table13468111214[[#This Row],[Date]],'DB Global PMI'!$A:$F,6)=0,"",VLOOKUP(Table13468111214[[#This Row],[Date]],'DB Global PMI'!$A:$F,6))</f>
        <v/>
      </c>
    </row>
    <row r="157" spans="1:7" x14ac:dyDescent="0.2">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37.222629547119141</v>
      </c>
      <c r="E157" s="24">
        <f>Table13468111214[[#This Row],[Euro Area PMI]]-B145</f>
        <v>4.6000000000000014</v>
      </c>
      <c r="F157" s="52">
        <f>(Table13468111214[[#This Row],[EZU]]-D145)/D145</f>
        <v>0.25794000022818442</v>
      </c>
      <c r="G157" s="52">
        <f>IF(VLOOKUP(Table13468111214[[#This Row],[Date]],'DB Global PMI'!$A:$F,6)=0,"",VLOOKUP(Table13468111214[[#This Row],[Date]],'DB Global PMI'!$A:$F,6))</f>
        <v>7.0365273665044768E-3</v>
      </c>
    </row>
    <row r="158" spans="1:7" x14ac:dyDescent="0.2">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37.401454925537109</v>
      </c>
      <c r="E158" s="24">
        <f>Table13468111214[[#This Row],[Euro Area PMI]]-B146</f>
        <v>5.6999999999999957</v>
      </c>
      <c r="F158" s="52">
        <f>(Table13468111214[[#This Row],[EZU]]-D146)/D146</f>
        <v>0.24994312539484745</v>
      </c>
      <c r="G158" s="52" t="str">
        <f>IF(VLOOKUP(Table13468111214[[#This Row],[Date]],'DB Global PMI'!$A:$F,6)=0,"",VLOOKUP(Table13468111214[[#This Row],[Date]],'DB Global PMI'!$A:$F,6))</f>
        <v/>
      </c>
    </row>
    <row r="159" spans="1:7" x14ac:dyDescent="0.2">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38.73370361328125</v>
      </c>
      <c r="E159" s="24">
        <f>Table13468111214[[#This Row],[Euro Area PMI]]-B147</f>
        <v>5.5</v>
      </c>
      <c r="F159" s="52">
        <f>(Table13468111214[[#This Row],[EZU]]-D147)/D147</f>
        <v>0.28395764857563849</v>
      </c>
      <c r="G159" s="52" t="str">
        <f>IF(VLOOKUP(Table13468111214[[#This Row],[Date]],'DB Global PMI'!$A:$F,6)=0,"",VLOOKUP(Table13468111214[[#This Row],[Date]],'DB Global PMI'!$A:$F,6))</f>
        <v/>
      </c>
    </row>
    <row r="160" spans="1:7" x14ac:dyDescent="0.2">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39.189716339111328</v>
      </c>
      <c r="E160" s="24">
        <f>Table13468111214[[#This Row],[Euro Area PMI]]-B148</f>
        <v>5</v>
      </c>
      <c r="F160" s="52">
        <f>(Table13468111214[[#This Row],[EZU]]-D148)/D148</f>
        <v>0.31239160649773362</v>
      </c>
      <c r="G160" s="52">
        <f>IF(VLOOKUP(Table13468111214[[#This Row],[Date]],'DB Global PMI'!$A:$F,6)=0,"",VLOOKUP(Table13468111214[[#This Row],[Date]],'DB Global PMI'!$A:$F,6))</f>
        <v>8.521343915844401E-3</v>
      </c>
    </row>
    <row r="161" spans="1:7" x14ac:dyDescent="0.2">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39.091354370117188</v>
      </c>
      <c r="E161" s="24">
        <f>Table13468111214[[#This Row],[Euro Area PMI]]-B149</f>
        <v>6.3999999999999986</v>
      </c>
      <c r="F161" s="52">
        <f>(Table13468111214[[#This Row],[EZU]]-D149)/D149</f>
        <v>0.36341053401852702</v>
      </c>
      <c r="G161" s="52" t="str">
        <f>IF(VLOOKUP(Table13468111214[[#This Row],[Date]],'DB Global PMI'!$A:$F,6)=0,"",VLOOKUP(Table13468111214[[#This Row],[Date]],'DB Global PMI'!$A:$F,6))</f>
        <v/>
      </c>
    </row>
    <row r="162" spans="1:7" x14ac:dyDescent="0.2">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38.787357330322273</v>
      </c>
      <c r="E162" s="24">
        <f>Table13468111214[[#This Row],[Euro Area PMI]]-B150</f>
        <v>5.7000000000000028</v>
      </c>
      <c r="F162" s="52">
        <f>(Table13468111214[[#This Row],[EZU]]-D150)/D150</f>
        <v>0.28164848170719564</v>
      </c>
      <c r="G162" s="52" t="str">
        <f>IF(VLOOKUP(Table13468111214[[#This Row],[Date]],'DB Global PMI'!$A:$F,6)=0,"",VLOOKUP(Table13468111214[[#This Row],[Date]],'DB Global PMI'!$A:$F,6))</f>
        <v/>
      </c>
    </row>
    <row r="163" spans="1:7" x14ac:dyDescent="0.2">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41.687213897705078</v>
      </c>
      <c r="E163" s="24">
        <f>Table13468111214[[#This Row],[Euro Area PMI]]-B151</f>
        <v>4.3999999999999986</v>
      </c>
      <c r="F163" s="52">
        <f>(Table13468111214[[#This Row],[EZU]]-D151)/D151</f>
        <v>0.33986986724158524</v>
      </c>
      <c r="G163" s="52">
        <f>IF(VLOOKUP(Table13468111214[[#This Row],[Date]],'DB Global PMI'!$A:$F,6)=0,"",VLOOKUP(Table13468111214[[#This Row],[Date]],'DB Global PMI'!$A:$F,6))</f>
        <v>7.0677258514830171E-4</v>
      </c>
    </row>
    <row r="164" spans="1:7" x14ac:dyDescent="0.2">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39.190650939941413</v>
      </c>
      <c r="E164" s="24">
        <f>Table13468111214[[#This Row],[Euro Area PMI]]-B152</f>
        <v>3.2000000000000028</v>
      </c>
      <c r="F164" s="52">
        <f>(Table13468111214[[#This Row],[EZU]]-D152)/D152</f>
        <v>0.25713732620527641</v>
      </c>
      <c r="G164" s="52" t="str">
        <f>IF(VLOOKUP(Table13468111214[[#This Row],[Date]],'DB Global PMI'!$A:$F,6)=0,"",VLOOKUP(Table13468111214[[#This Row],[Date]],'DB Global PMI'!$A:$F,6))</f>
        <v/>
      </c>
    </row>
    <row r="165" spans="1:7" x14ac:dyDescent="0.2">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38.930217742919922</v>
      </c>
      <c r="E165" s="24">
        <f>Table13468111214[[#This Row],[Euro Area PMI]]-B153</f>
        <v>0.39999999999999858</v>
      </c>
      <c r="F165" s="52">
        <f>(Table13468111214[[#This Row],[EZU]]-D153)/D153</f>
        <v>0.17604834679110298</v>
      </c>
      <c r="G165" s="52" t="str">
        <f>IF(VLOOKUP(Table13468111214[[#This Row],[Date]],'DB Global PMI'!$A:$F,6)=0,"",VLOOKUP(Table13468111214[[#This Row],[Date]],'DB Global PMI'!$A:$F,6))</f>
        <v/>
      </c>
    </row>
    <row r="166" spans="1:7" x14ac:dyDescent="0.2">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39.810310363769531</v>
      </c>
      <c r="E166" s="24">
        <f>Table13468111214[[#This Row],[Euro Area PMI]]-B154</f>
        <v>-0.5</v>
      </c>
      <c r="F166" s="52">
        <f>(Table13468111214[[#This Row],[EZU]]-D154)/D154</f>
        <v>0.1523719892364655</v>
      </c>
      <c r="G166" s="52">
        <f>IF(VLOOKUP(Table13468111214[[#This Row],[Date]],'DB Global PMI'!$A:$F,6)=0,"",VLOOKUP(Table13468111214[[#This Row],[Date]],'DB Global PMI'!$A:$F,6))</f>
        <v>4.9253728161147443E-3</v>
      </c>
    </row>
    <row r="167" spans="1:7" x14ac:dyDescent="0.2">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38.382411956787109</v>
      </c>
      <c r="E167" s="24">
        <f>Table13468111214[[#This Row],[Euro Area PMI]]-B155</f>
        <v>-1.5</v>
      </c>
      <c r="F167" s="52">
        <f>(Table13468111214[[#This Row],[EZU]]-D155)/D155</f>
        <v>5.8697927221586545E-2</v>
      </c>
      <c r="G167" s="52" t="str">
        <f>IF(VLOOKUP(Table13468111214[[#This Row],[Date]],'DB Global PMI'!$A:$F,6)=0,"",VLOOKUP(Table13468111214[[#This Row],[Date]],'DB Global PMI'!$A:$F,6))</f>
        <v/>
      </c>
    </row>
    <row r="168" spans="1:7" x14ac:dyDescent="0.2">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36.82879638671875</v>
      </c>
      <c r="E168" s="24">
        <f>Table13468111214[[#This Row],[Euro Area PMI]]-B156</f>
        <v>-2.5</v>
      </c>
      <c r="F168" s="52">
        <f>(Table13468111214[[#This Row],[EZU]]-D156)/D156</f>
        <v>3.7254889531678693E-2</v>
      </c>
      <c r="G168" s="52" t="str">
        <f>IF(VLOOKUP(Table13468111214[[#This Row],[Date]],'DB Global PMI'!$A:$F,6)=0,"",VLOOKUP(Table13468111214[[#This Row],[Date]],'DB Global PMI'!$A:$F,6))</f>
        <v/>
      </c>
    </row>
    <row r="169" spans="1:7" x14ac:dyDescent="0.2">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39.162887573242188</v>
      </c>
      <c r="E169" s="24">
        <f>Table13468111214[[#This Row],[Euro Area PMI]]-B157</f>
        <v>-1.5</v>
      </c>
      <c r="F169" s="52">
        <f>(Table13468111214[[#This Row],[EZU]]-D157)/D157</f>
        <v>5.2125764614961594E-2</v>
      </c>
      <c r="G169" s="52">
        <f>IF(VLOOKUP(Table13468111214[[#This Row],[Date]],'DB Global PMI'!$A:$F,6)=0,"",VLOOKUP(Table13468111214[[#This Row],[Date]],'DB Global PMI'!$A:$F,6))</f>
        <v>5.9631597957856446E-4</v>
      </c>
    </row>
    <row r="170" spans="1:7" x14ac:dyDescent="0.2">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37.920932769775391</v>
      </c>
      <c r="E170" s="24">
        <f>Table13468111214[[#This Row],[Euro Area PMI]]-B158</f>
        <v>-2.7999999999999972</v>
      </c>
      <c r="F170" s="52">
        <f>(Table13468111214[[#This Row],[EZU]]-D158)/D158</f>
        <v>1.3889241615667474E-2</v>
      </c>
      <c r="G170" s="52" t="str">
        <f>IF(VLOOKUP(Table13468111214[[#This Row],[Date]],'DB Global PMI'!$A:$F,6)=0,"",VLOOKUP(Table13468111214[[#This Row],[Date]],'DB Global PMI'!$A:$F,6))</f>
        <v/>
      </c>
    </row>
    <row r="171" spans="1:7" x14ac:dyDescent="0.2">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37.727745056152337</v>
      </c>
      <c r="E171" s="24">
        <f>Table13468111214[[#This Row],[Euro Area PMI]]-B159</f>
        <v>-4.8999999999999986</v>
      </c>
      <c r="F171" s="52">
        <f>(Table13468111214[[#This Row],[EZU]]-D159)/D159</f>
        <v>-2.5971143043083133E-2</v>
      </c>
      <c r="G171" s="52" t="str">
        <f>IF(VLOOKUP(Table13468111214[[#This Row],[Date]],'DB Global PMI'!$A:$F,6)=0,"",VLOOKUP(Table13468111214[[#This Row],[Date]],'DB Global PMI'!$A:$F,6))</f>
        <v/>
      </c>
    </row>
    <row r="172" spans="1:7" x14ac:dyDescent="0.2">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34.379070281982422</v>
      </c>
      <c r="E172" s="24">
        <f>Table13468111214[[#This Row],[Euro Area PMI]]-B160</f>
        <v>-6.5</v>
      </c>
      <c r="F172" s="52">
        <f>(Table13468111214[[#This Row],[EZU]]-D160)/D160</f>
        <v>-0.12275276543218769</v>
      </c>
      <c r="G172" s="52">
        <f>IF(VLOOKUP(Table13468111214[[#This Row],[Date]],'DB Global PMI'!$A:$F,6)=0,"",VLOOKUP(Table13468111214[[#This Row],[Date]],'DB Global PMI'!$A:$F,6))</f>
        <v>5.7849827167639374E-3</v>
      </c>
    </row>
    <row r="173" spans="1:7" x14ac:dyDescent="0.2">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34.259479522705078</v>
      </c>
      <c r="E173" s="24">
        <f>Table13468111214[[#This Row],[Euro Area PMI]]-B161</f>
        <v>-8.3000000000000043</v>
      </c>
      <c r="F173" s="52">
        <f>(Table13468111214[[#This Row],[EZU]]-D161)/D161</f>
        <v>-0.12360469278357276</v>
      </c>
      <c r="G173" s="52" t="str">
        <f>IF(VLOOKUP(Table13468111214[[#This Row],[Date]],'DB Global PMI'!$A:$F,6)=0,"",VLOOKUP(Table13468111214[[#This Row],[Date]],'DB Global PMI'!$A:$F,6))</f>
        <v/>
      </c>
    </row>
    <row r="174" spans="1:7" x14ac:dyDescent="0.2">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32.253959655761719</v>
      </c>
      <c r="E174" s="24">
        <f>Table13468111214[[#This Row],[Euro Area PMI]]-B162</f>
        <v>-9.2000000000000028</v>
      </c>
      <c r="F174" s="52">
        <f>(Table13468111214[[#This Row],[EZU]]-D162)/D162</f>
        <v>-0.16844142329472461</v>
      </c>
      <c r="G174" s="52" t="str">
        <f>IF(VLOOKUP(Table13468111214[[#This Row],[Date]],'DB Global PMI'!$A:$F,6)=0,"",VLOOKUP(Table13468111214[[#This Row],[Date]],'DB Global PMI'!$A:$F,6))</f>
        <v/>
      </c>
    </row>
    <row r="175" spans="1:7" x14ac:dyDescent="0.2">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34.547416687011719</v>
      </c>
      <c r="E175" s="24">
        <f>Table13468111214[[#This Row],[Euro Area PMI]]-B163</f>
        <v>-9.1000000000000014</v>
      </c>
      <c r="F175" s="52">
        <f>(Table13468111214[[#This Row],[EZU]]-D163)/D163</f>
        <v>-0.17127067374215699</v>
      </c>
      <c r="G175" s="52">
        <f>IF(VLOOKUP(Table13468111214[[#This Row],[Date]],'DB Global PMI'!$A:$F,6)=0,"",VLOOKUP(Table13468111214[[#This Row],[Date]],'DB Global PMI'!$A:$F,6))</f>
        <v>7.2247969332850624E-3</v>
      </c>
    </row>
    <row r="176" spans="1:7" x14ac:dyDescent="0.2">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35.629627227783203</v>
      </c>
      <c r="E176" s="24">
        <f>Table13468111214[[#This Row],[Euro Area PMI]]-B164</f>
        <v>-9.3000000000000043</v>
      </c>
      <c r="F176" s="52">
        <f>(Table13468111214[[#This Row],[EZU]]-D164)/D164</f>
        <v>-9.08641124031183E-2</v>
      </c>
      <c r="G176" s="52" t="str">
        <f>IF(VLOOKUP(Table13468111214[[#This Row],[Date]],'DB Global PMI'!$A:$F,6)=0,"",VLOOKUP(Table13468111214[[#This Row],[Date]],'DB Global PMI'!$A:$F,6))</f>
        <v/>
      </c>
    </row>
    <row r="177" spans="1:7" x14ac:dyDescent="0.2">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35.703620910644531</v>
      </c>
      <c r="E177" s="24">
        <f>Table13468111214[[#This Row],[Euro Area PMI]]-B165</f>
        <v>-9.1000000000000014</v>
      </c>
      <c r="F177" s="52">
        <f>(Table13468111214[[#This Row],[EZU]]-D165)/D165</f>
        <v>-8.2881551127779104E-2</v>
      </c>
      <c r="G177" s="52" t="str">
        <f>IF(VLOOKUP(Table13468111214[[#This Row],[Date]],'DB Global PMI'!$A:$F,6)=0,"",VLOOKUP(Table13468111214[[#This Row],[Date]],'DB Global PMI'!$A:$F,6))</f>
        <v/>
      </c>
    </row>
    <row r="178" spans="1:7" x14ac:dyDescent="0.2">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37.488803863525391</v>
      </c>
      <c r="E178" s="24">
        <f>Table13468111214[[#This Row],[Euro Area PMI]]-B166</f>
        <v>-8.3000000000000043</v>
      </c>
      <c r="F178" s="52">
        <f>(Table13468111214[[#This Row],[EZU]]-D166)/D166</f>
        <v>-5.8314202502598209E-2</v>
      </c>
      <c r="G178" s="52">
        <f>IF(VLOOKUP(Table13468111214[[#This Row],[Date]],'DB Global PMI'!$A:$F,6)=0,"",VLOOKUP(Table13468111214[[#This Row],[Date]],'DB Global PMI'!$A:$F,6))</f>
        <v>1.8576872668102989E-3</v>
      </c>
    </row>
    <row r="179" spans="1:7" x14ac:dyDescent="0.2">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35.074642181396477</v>
      </c>
      <c r="E179" s="24">
        <f>Table13468111214[[#This Row],[Euro Area PMI]]-B167</f>
        <v>-7.7999999999999972</v>
      </c>
      <c r="F179" s="52">
        <f>(Table13468111214[[#This Row],[EZU]]-D167)/D167</f>
        <v>-8.6179309917122693E-2</v>
      </c>
      <c r="G179" s="52" t="str">
        <f>IF(VLOOKUP(Table13468111214[[#This Row],[Date]],'DB Global PMI'!$A:$F,6)=0,"",VLOOKUP(Table13468111214[[#This Row],[Date]],'DB Global PMI'!$A:$F,6))</f>
        <v/>
      </c>
    </row>
    <row r="180" spans="1:7" x14ac:dyDescent="0.2">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36.591590881347663</v>
      </c>
      <c r="E180" s="24">
        <f>Table13468111214[[#This Row],[Euro Area PMI]]-B168</f>
        <v>-7.2999999999999972</v>
      </c>
      <c r="F180" s="52">
        <f>(Table13468111214[[#This Row],[EZU]]-D168)/D168</f>
        <v>-6.4407618125860884E-3</v>
      </c>
      <c r="G180" s="52" t="str">
        <f>IF(VLOOKUP(Table13468111214[[#This Row],[Date]],'DB Global PMI'!$A:$F,6)=0,"",VLOOKUP(Table13468111214[[#This Row],[Date]],'DB Global PMI'!$A:$F,6))</f>
        <v/>
      </c>
    </row>
    <row r="181" spans="1:7" x14ac:dyDescent="0.2">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36.554458618164062</v>
      </c>
      <c r="E181" s="24">
        <f>Table13468111214[[#This Row],[Euro Area PMI]]-B169</f>
        <v>-8.6000000000000014</v>
      </c>
      <c r="F181" s="52">
        <f>(Table13468111214[[#This Row],[EZU]]-D169)/D169</f>
        <v>-6.6604612599105661E-2</v>
      </c>
      <c r="G181" s="52">
        <f>IF(VLOOKUP(Table13468111214[[#This Row],[Date]],'DB Global PMI'!$A:$F,6)=0,"",VLOOKUP(Table13468111214[[#This Row],[Date]],'DB Global PMI'!$A:$F,6))</f>
        <v>2.4825826201012109E-3</v>
      </c>
    </row>
    <row r="182" spans="1:7" x14ac:dyDescent="0.2">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36.003623962402337</v>
      </c>
      <c r="E182" s="24">
        <f>Table13468111214[[#This Row],[Euro Area PMI]]-B170</f>
        <v>-7.6000000000000014</v>
      </c>
      <c r="F182" s="52">
        <f>(Table13468111214[[#This Row],[EZU]]-D170)/D170</f>
        <v>-5.0560697412518063E-2</v>
      </c>
      <c r="G182" s="52" t="str">
        <f>IF(VLOOKUP(Table13468111214[[#This Row],[Date]],'DB Global PMI'!$A:$F,6)=0,"",VLOOKUP(Table13468111214[[#This Row],[Date]],'DB Global PMI'!$A:$F,6))</f>
        <v/>
      </c>
    </row>
    <row r="183" spans="1:7" x14ac:dyDescent="0.2">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36.934345245361328</v>
      </c>
      <c r="E183" s="24">
        <f>Table13468111214[[#This Row],[Euro Area PMI]]-B171</f>
        <v>-7.5</v>
      </c>
      <c r="F183" s="52">
        <f>(Table13468111214[[#This Row],[EZU]]-D171)/D171</f>
        <v>-2.1029611221400769E-2</v>
      </c>
      <c r="G183" s="52" t="str">
        <f>IF(VLOOKUP(Table13468111214[[#This Row],[Date]],'DB Global PMI'!$A:$F,6)=0,"",VLOOKUP(Table13468111214[[#This Row],[Date]],'DB Global PMI'!$A:$F,6))</f>
        <v/>
      </c>
    </row>
    <row r="184" spans="1:7" x14ac:dyDescent="0.2">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38.387401580810547</v>
      </c>
      <c r="E184" s="24">
        <f>Table13468111214[[#This Row],[Euro Area PMI]]-B172</f>
        <v>-6.1000000000000014</v>
      </c>
      <c r="F184" s="52">
        <f>(Table13468111214[[#This Row],[EZU]]-D172)/D172</f>
        <v>0.11659219594803394</v>
      </c>
      <c r="G184" s="52">
        <f>IF(VLOOKUP(Table13468111214[[#This Row],[Date]],'DB Global PMI'!$A:$F,6)=0,"",VLOOKUP(Table13468111214[[#This Row],[Date]],'DB Global PMI'!$A:$F,6))</f>
        <v>-7.2863676452459514E-5</v>
      </c>
    </row>
    <row r="185" spans="1:7" x14ac:dyDescent="0.2">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38.738792419433587</v>
      </c>
      <c r="E185" s="24">
        <f>Table13468111214[[#This Row],[Euro Area PMI]]-B173</f>
        <v>-4.8999999999999986</v>
      </c>
      <c r="F185" s="52">
        <f>(Table13468111214[[#This Row],[EZU]]-D173)/D173</f>
        <v>0.13074667096912243</v>
      </c>
      <c r="G185" s="52" t="str">
        <f>IF(VLOOKUP(Table13468111214[[#This Row],[Date]],'DB Global PMI'!$A:$F,6)=0,"",VLOOKUP(Table13468111214[[#This Row],[Date]],'DB Global PMI'!$A:$F,6))</f>
        <v/>
      </c>
    </row>
    <row r="186" spans="1:7" x14ac:dyDescent="0.2">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39.811969757080078</v>
      </c>
      <c r="E186" s="24">
        <f>Table13468111214[[#This Row],[Euro Area PMI]]-B174</f>
        <v>-5.1000000000000014</v>
      </c>
      <c r="F186" s="52">
        <f>(Table13468111214[[#This Row],[EZU]]-D174)/D174</f>
        <v>0.23432813155293405</v>
      </c>
      <c r="G186" s="52" t="str">
        <f>IF(VLOOKUP(Table13468111214[[#This Row],[Date]],'DB Global PMI'!$A:$F,6)=0,"",VLOOKUP(Table13468111214[[#This Row],[Date]],'DB Global PMI'!$A:$F,6))</f>
        <v/>
      </c>
    </row>
    <row r="187" spans="1:7" x14ac:dyDescent="0.2">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38.602436065673828</v>
      </c>
      <c r="E187" s="24">
        <f>Table13468111214[[#This Row],[Euro Area PMI]]-B175</f>
        <v>-2.6000000000000014</v>
      </c>
      <c r="F187" s="52">
        <f>(Table13468111214[[#This Row],[EZU]]-D175)/D175</f>
        <v>0.11737547311856215</v>
      </c>
      <c r="G187" s="52">
        <f>IF(VLOOKUP(Table13468111214[[#This Row],[Date]],'DB Global PMI'!$A:$F,6)=0,"",VLOOKUP(Table13468111214[[#This Row],[Date]],'DB Global PMI'!$A:$F,6))</f>
        <v>-3.4664684689794341E-2</v>
      </c>
    </row>
    <row r="188" spans="1:7" x14ac:dyDescent="0.2">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35.751121520996087</v>
      </c>
      <c r="E188" s="24">
        <f>Table13468111214[[#This Row],[Euro Area PMI]]-B176</f>
        <v>-9.9999999999994316E-2</v>
      </c>
      <c r="F188" s="52">
        <f>(Table13468111214[[#This Row],[EZU]]-D176)/D176</f>
        <v>3.4099232202503913E-3</v>
      </c>
      <c r="G188" s="52" t="str">
        <f>IF(VLOOKUP(Table13468111214[[#This Row],[Date]],'DB Global PMI'!$A:$F,6)=0,"",VLOOKUP(Table13468111214[[#This Row],[Date]],'DB Global PMI'!$A:$F,6))</f>
        <v/>
      </c>
    </row>
    <row r="189" spans="1:7" x14ac:dyDescent="0.2">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29.09487152099609</v>
      </c>
      <c r="E189" s="24">
        <f>Table13468111214[[#This Row],[Euro Area PMI]]-B177</f>
        <v>-3</v>
      </c>
      <c r="F189" s="52">
        <f>(Table13468111214[[#This Row],[EZU]]-D177)/D177</f>
        <v>-0.18510025653107176</v>
      </c>
      <c r="G189" s="52" t="str">
        <f>IF(VLOOKUP(Table13468111214[[#This Row],[Date]],'DB Global PMI'!$A:$F,6)=0,"",VLOOKUP(Table13468111214[[#This Row],[Date]],'DB Global PMI'!$A:$F,6))</f>
        <v/>
      </c>
    </row>
    <row r="190" spans="1:7" x14ac:dyDescent="0.2">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30.88767051696777</v>
      </c>
      <c r="E190" s="24">
        <f>Table13468111214[[#This Row],[Euro Area PMI]]-B178</f>
        <v>-14.5</v>
      </c>
      <c r="F190" s="52">
        <f>(Table13468111214[[#This Row],[EZU]]-D178)/D178</f>
        <v>-0.1760827944948164</v>
      </c>
      <c r="G190" s="52">
        <f>IF(VLOOKUP(Table13468111214[[#This Row],[Date]],'DB Global PMI'!$A:$F,6)=0,"",VLOOKUP(Table13468111214[[#This Row],[Date]],'DB Global PMI'!$A:$F,6))</f>
        <v>-0.1168268012845826</v>
      </c>
    </row>
    <row r="191" spans="1:7" x14ac:dyDescent="0.2">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33.166816711425781</v>
      </c>
      <c r="E191" s="24">
        <f>Table13468111214[[#This Row],[Euro Area PMI]]-B179</f>
        <v>-8.3000000000000043</v>
      </c>
      <c r="F191" s="52">
        <f>(Table13468111214[[#This Row],[EZU]]-D179)/D179</f>
        <v>-5.4393298158365903E-2</v>
      </c>
      <c r="G191" s="52" t="str">
        <f>IF(VLOOKUP(Table13468111214[[#This Row],[Date]],'DB Global PMI'!$A:$F,6)=0,"",VLOOKUP(Table13468111214[[#This Row],[Date]],'DB Global PMI'!$A:$F,6))</f>
        <v/>
      </c>
    </row>
    <row r="192" spans="1:7" x14ac:dyDescent="0.2">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34.787971496582031</v>
      </c>
      <c r="E192" s="24">
        <f>Table13468111214[[#This Row],[Euro Area PMI]]-B180</f>
        <v>-0.20000000000000284</v>
      </c>
      <c r="F192" s="52">
        <f>(Table13468111214[[#This Row],[EZU]]-D180)/D180</f>
        <v>-4.9290543027059694E-2</v>
      </c>
      <c r="G192" s="52" t="str">
        <f>IF(VLOOKUP(Table13468111214[[#This Row],[Date]],'DB Global PMI'!$A:$F,6)=0,"",VLOOKUP(Table13468111214[[#This Row],[Date]],'DB Global PMI'!$A:$F,6))</f>
        <v/>
      </c>
    </row>
    <row r="193" spans="1:7" x14ac:dyDescent="0.2">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36.242023468017578</v>
      </c>
      <c r="E193" s="24">
        <f>Table13468111214[[#This Row],[Euro Area PMI]]-B181</f>
        <v>5.2999999999999972</v>
      </c>
      <c r="F193" s="52">
        <f>(Table13468111214[[#This Row],[EZU]]-D181)/D181</f>
        <v>-8.5471146874333426E-3</v>
      </c>
      <c r="G193" s="52">
        <f>IF(VLOOKUP(Table13468111214[[#This Row],[Date]],'DB Global PMI'!$A:$F,6)=0,"",VLOOKUP(Table13468111214[[#This Row],[Date]],'DB Global PMI'!$A:$F,6))</f>
        <v>0.12553372432302221</v>
      </c>
    </row>
    <row r="194" spans="1:7" x14ac:dyDescent="0.2">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37.896823883056641</v>
      </c>
      <c r="E194" s="24">
        <f>Table13468111214[[#This Row],[Euro Area PMI]]-B182</f>
        <v>4.7000000000000028</v>
      </c>
      <c r="F194" s="52">
        <f>(Table13468111214[[#This Row],[EZU]]-D182)/D182</f>
        <v>5.2583593324697656E-2</v>
      </c>
      <c r="G194" s="52" t="str">
        <f>IF(VLOOKUP(Table13468111214[[#This Row],[Date]],'DB Global PMI'!$A:$F,6)=0,"",VLOOKUP(Table13468111214[[#This Row],[Date]],'DB Global PMI'!$A:$F,6))</f>
        <v/>
      </c>
    </row>
    <row r="195" spans="1:7" x14ac:dyDescent="0.2">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36.4825439453125</v>
      </c>
      <c r="E195" s="24">
        <f>Table13468111214[[#This Row],[Euro Area PMI]]-B183</f>
        <v>8</v>
      </c>
      <c r="F195" s="52">
        <f>(Table13468111214[[#This Row],[EZU]]-D183)/D183</f>
        <v>-1.2232552033816572E-2</v>
      </c>
      <c r="G195" s="52" t="str">
        <f>IF(VLOOKUP(Table13468111214[[#This Row],[Date]],'DB Global PMI'!$A:$F,6)=0,"",VLOOKUP(Table13468111214[[#This Row],[Date]],'DB Global PMI'!$A:$F,6))</f>
        <v/>
      </c>
    </row>
    <row r="196" spans="1:7" x14ac:dyDescent="0.2">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34.519878387451172</v>
      </c>
      <c r="E196" s="24">
        <f>Table13468111214[[#This Row],[Euro Area PMI]]-B184</f>
        <v>8.8999999999999986</v>
      </c>
      <c r="F196" s="52">
        <f>(Table13468111214[[#This Row],[EZU]]-D184)/D184</f>
        <v>-0.10074980420901186</v>
      </c>
      <c r="G196" s="52">
        <f>IF(VLOOKUP(Table13468111214[[#This Row],[Date]],'DB Global PMI'!$A:$F,6)=0,"",VLOOKUP(Table13468111214[[#This Row],[Date]],'DB Global PMI'!$A:$F,6))</f>
        <v>-3.4961034564899118E-3</v>
      </c>
    </row>
    <row r="197" spans="1:7" x14ac:dyDescent="0.2">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41.312252044677727</v>
      </c>
      <c r="E197" s="24">
        <f>Table13468111214[[#This Row],[Euro Area PMI]]-B185</f>
        <v>6.8999999999999986</v>
      </c>
      <c r="F197" s="52">
        <f>(Table13468111214[[#This Row],[EZU]]-D185)/D185</f>
        <v>6.6431075015986982E-2</v>
      </c>
      <c r="G197" s="52" t="str">
        <f>IF(VLOOKUP(Table13468111214[[#This Row],[Date]],'DB Global PMI'!$A:$F,6)=0,"",VLOOKUP(Table13468111214[[#This Row],[Date]],'DB Global PMI'!$A:$F,6))</f>
        <v/>
      </c>
    </row>
    <row r="198" spans="1:7" x14ac:dyDescent="0.2">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42.409034729003913</v>
      </c>
      <c r="E198" s="24">
        <f>Table13468111214[[#This Row],[Euro Area PMI]]-B186</f>
        <v>8.9000000000000057</v>
      </c>
      <c r="F198" s="52">
        <f>(Table13468111214[[#This Row],[EZU]]-D186)/D186</f>
        <v>6.5233269988154222E-2</v>
      </c>
      <c r="G198" s="52" t="str">
        <f>IF(VLOOKUP(Table13468111214[[#This Row],[Date]],'DB Global PMI'!$A:$F,6)=0,"",VLOOKUP(Table13468111214[[#This Row],[Date]],'DB Global PMI'!$A:$F,6))</f>
        <v/>
      </c>
    </row>
    <row r="199" spans="1:7" x14ac:dyDescent="0.2">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42.26904296875</v>
      </c>
      <c r="E199" s="24">
        <f>Table13468111214[[#This Row],[Euro Area PMI]]-B187</f>
        <v>6.8999999999999986</v>
      </c>
      <c r="F199" s="52">
        <f>(Table13468111214[[#This Row],[EZU]]-D187)/D187</f>
        <v>9.4983821664472695E-2</v>
      </c>
      <c r="G199" s="52">
        <f>IF(VLOOKUP(Table13468111214[[#This Row],[Date]],'DB Global PMI'!$A:$F,6)=0,"",VLOOKUP(Table13468111214[[#This Row],[Date]],'DB Global PMI'!$A:$F,6))</f>
        <v>-2.0572904402936252E-3</v>
      </c>
    </row>
    <row r="200" spans="1:7" x14ac:dyDescent="0.2">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43.703704833984382</v>
      </c>
      <c r="E200" s="24">
        <f>Table13468111214[[#This Row],[Euro Area PMI]]-B188</f>
        <v>8.6999999999999957</v>
      </c>
      <c r="F200" s="52">
        <f>(Table13468111214[[#This Row],[EZU]]-D188)/D188</f>
        <v>0.22244290457623447</v>
      </c>
      <c r="G200" s="52" t="str">
        <f>IF(VLOOKUP(Table13468111214[[#This Row],[Date]],'DB Global PMI'!$A:$F,6)=0,"",VLOOKUP(Table13468111214[[#This Row],[Date]],'DB Global PMI'!$A:$F,6))</f>
        <v/>
      </c>
    </row>
    <row r="201" spans="1:7" x14ac:dyDescent="0.2">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45.314048767089837</v>
      </c>
      <c r="E201" s="24">
        <f>Table13468111214[[#This Row],[Euro Area PMI]]-B189</f>
        <v>18</v>
      </c>
      <c r="F201" s="52">
        <f>(Table13468111214[[#This Row],[EZU]]-D189)/D189</f>
        <v>0.55745828725826485</v>
      </c>
      <c r="G201" s="52" t="str">
        <f>IF(VLOOKUP(Table13468111214[[#This Row],[Date]],'DB Global PMI'!$A:$F,6)=0,"",VLOOKUP(Table13468111214[[#This Row],[Date]],'DB Global PMI'!$A:$F,6))</f>
        <v/>
      </c>
    </row>
    <row r="202" spans="1:7" x14ac:dyDescent="0.2">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47.422134399414062</v>
      </c>
      <c r="E202" s="24">
        <f>Table13468111214[[#This Row],[Euro Area PMI]]-B190</f>
        <v>29.5</v>
      </c>
      <c r="F202" s="52">
        <f>(Table13468111214[[#This Row],[EZU]]-D190)/D190</f>
        <v>0.53530951365734381</v>
      </c>
      <c r="G202" s="52">
        <f>IF(VLOOKUP(Table13468111214[[#This Row],[Date]],'DB Global PMI'!$A:$F,6)=0,"",VLOOKUP(Table13468111214[[#This Row],[Date]],'DB Global PMI'!$A:$F,6))</f>
        <v>2.2001877452358699E-2</v>
      </c>
    </row>
    <row r="203" spans="1:7" x14ac:dyDescent="0.2">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49.500938415527337</v>
      </c>
      <c r="E203" s="24">
        <f>Table13468111214[[#This Row],[Euro Area PMI]]-B191</f>
        <v>23.700000000000003</v>
      </c>
      <c r="F203" s="52">
        <f>(Table13468111214[[#This Row],[EZU]]-D191)/D191</f>
        <v>0.49248385355217228</v>
      </c>
      <c r="G203" s="52" t="str">
        <f>IF(VLOOKUP(Table13468111214[[#This Row],[Date]],'DB Global PMI'!$A:$F,6)=0,"",VLOOKUP(Table13468111214[[#This Row],[Date]],'DB Global PMI'!$A:$F,6))</f>
        <v/>
      </c>
    </row>
    <row r="204" spans="1:7" x14ac:dyDescent="0.2">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48.163864135742188</v>
      </c>
      <c r="E204" s="24">
        <f>Table13468111214[[#This Row],[Euro Area PMI]]-B192</f>
        <v>16</v>
      </c>
      <c r="F204" s="52">
        <f>(Table13468111214[[#This Row],[EZU]]-D192)/D192</f>
        <v>0.38449763132852849</v>
      </c>
      <c r="G204" s="52" t="str">
        <f>IF(VLOOKUP(Table13468111214[[#This Row],[Date]],'DB Global PMI'!$A:$F,6)=0,"",VLOOKUP(Table13468111214[[#This Row],[Date]],'DB Global PMI'!$A:$F,6))</f>
        <v/>
      </c>
    </row>
    <row r="205" spans="1:7" x14ac:dyDescent="0.2">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49.115421295166023</v>
      </c>
      <c r="E205" s="24">
        <f>Table13468111214[[#This Row],[Euro Area PMI]]-B193</f>
        <v>11</v>
      </c>
      <c r="F205" s="52">
        <f>(Table13468111214[[#This Row],[EZU]]-D193)/D193</f>
        <v>0.35520637633571439</v>
      </c>
      <c r="G205" s="52">
        <f>IF(VLOOKUP(Table13468111214[[#This Row],[Date]],'DB Global PMI'!$A:$F,6)=0,"",VLOOKUP(Table13468111214[[#This Row],[Date]],'DB Global PMI'!$A:$F,6))</f>
        <v>2.264902081004062E-2</v>
      </c>
    </row>
    <row r="206" spans="1:7" x14ac:dyDescent="0.2">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50.080982208251953</v>
      </c>
      <c r="E206" s="24">
        <f>Table13468111214[[#This Row],[Euro Area PMI]]-B194</f>
        <v>9.6999999999999957</v>
      </c>
      <c r="F206" s="52">
        <f>(Table13468111214[[#This Row],[EZU]]-D194)/D194</f>
        <v>0.32150869325602638</v>
      </c>
      <c r="G206" s="52" t="str">
        <f>IF(VLOOKUP(Table13468111214[[#This Row],[Date]],'DB Global PMI'!$A:$F,6)=0,"",VLOOKUP(Table13468111214[[#This Row],[Date]],'DB Global PMI'!$A:$F,6))</f>
        <v/>
      </c>
    </row>
    <row r="207" spans="1:7" x14ac:dyDescent="0.2">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47.410911560058587</v>
      </c>
      <c r="E207" s="24">
        <f>Table13468111214[[#This Row],[Euro Area PMI]]-B195</f>
        <v>4.8999999999999986</v>
      </c>
      <c r="F207" s="52">
        <f>(Table13468111214[[#This Row],[EZU]]-D195)/D195</f>
        <v>0.29955059140414547</v>
      </c>
      <c r="G207" s="52" t="str">
        <f>IF(VLOOKUP(Table13468111214[[#This Row],[Date]],'DB Global PMI'!$A:$F,6)=0,"",VLOOKUP(Table13468111214[[#This Row],[Date]],'DB Global PMI'!$A:$F,6))</f>
        <v/>
      </c>
    </row>
    <row r="208" spans="1:7" x14ac:dyDescent="0.2">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49.578495025634773</v>
      </c>
      <c r="E208" s="24">
        <f>Table13468111214[[#This Row],[Euro Area PMI]]-B196</f>
        <v>3.5</v>
      </c>
      <c r="F208" s="52">
        <f>(Table13468111214[[#This Row],[EZU]]-D196)/D196</f>
        <v>0.43623029227292354</v>
      </c>
      <c r="G208" s="52">
        <f>IF(VLOOKUP(Table13468111214[[#This Row],[Date]],'DB Global PMI'!$A:$F,6)=0,"",VLOOKUP(Table13468111214[[#This Row],[Date]],'DB Global PMI'!$A:$F,6))</f>
        <v>2.8971438915172602E-3</v>
      </c>
    </row>
    <row r="209" spans="1:7" x14ac:dyDescent="0.2">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46.898574829101562</v>
      </c>
      <c r="E209" s="24">
        <f>Table13468111214[[#This Row],[Euro Area PMI]]-B197</f>
        <v>4.6000000000000014</v>
      </c>
      <c r="F209" s="52">
        <f>(Table13468111214[[#This Row],[EZU]]-D197)/D197</f>
        <v>0.13522193799511162</v>
      </c>
      <c r="G209" s="52" t="str">
        <f>IF(VLOOKUP(Table13468111214[[#This Row],[Date]],'DB Global PMI'!$A:$F,6)=0,"",VLOOKUP(Table13468111214[[#This Row],[Date]],'DB Global PMI'!$A:$F,6))</f>
        <v/>
      </c>
    </row>
    <row r="210" spans="1:7" x14ac:dyDescent="0.2">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48.287796020507812</v>
      </c>
      <c r="E210" s="24">
        <f>Table13468111214[[#This Row],[Euro Area PMI]]-B198</f>
        <v>2.7999999999999972</v>
      </c>
      <c r="F210" s="52">
        <f>(Table13468111214[[#This Row],[EZU]]-D198)/D198</f>
        <v>0.13862049275748695</v>
      </c>
      <c r="G210" s="52" t="str">
        <f>IF(VLOOKUP(Table13468111214[[#This Row],[Date]],'DB Global PMI'!$A:$F,6)=0,"",VLOOKUP(Table13468111214[[#This Row],[Date]],'DB Global PMI'!$A:$F,6))</f>
        <v/>
      </c>
    </row>
    <row r="211" spans="1:7" x14ac:dyDescent="0.2">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47.380001068115227</v>
      </c>
      <c r="E211" s="24">
        <f>Table13468111214[[#This Row],[Euro Area PMI]]-B199</f>
        <v>4.2000000000000028</v>
      </c>
      <c r="F211" s="52">
        <f>(Table13468111214[[#This Row],[EZU]]-D199)/D199</f>
        <v>0.12091492355632037</v>
      </c>
      <c r="G211" s="52"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73"/>
  <sheetViews>
    <sheetView zoomScale="150" zoomScaleNormal="150" workbookViewId="0">
      <pane ySplit="5" topLeftCell="A136" activePane="bottomLeft" state="frozen"/>
      <selection activeCell="B327" sqref="B327"/>
      <selection pane="bottomLeft" activeCell="B327" sqref="B327"/>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55</v>
      </c>
      <c r="K1" s="63" t="s">
        <v>107</v>
      </c>
    </row>
    <row r="2" spans="1:11" x14ac:dyDescent="0.2">
      <c r="K2" s="63" t="str">
        <f>A1&amp;K1</f>
        <v>Japan Manufacturing PMI</v>
      </c>
    </row>
    <row r="4" spans="1:11" ht="16" customHeight="1" thickBot="1" x14ac:dyDescent="0.25"/>
    <row r="5" spans="1:11" ht="16" customHeight="1" thickBot="1" x14ac:dyDescent="0.25">
      <c r="A5" s="21" t="s">
        <v>44</v>
      </c>
      <c r="B5" s="22" t="s">
        <v>103</v>
      </c>
      <c r="C5" s="22" t="s">
        <v>104</v>
      </c>
    </row>
    <row r="6" spans="1:11" x14ac:dyDescent="0.2">
      <c r="A6" s="17">
        <v>39479</v>
      </c>
      <c r="B6" s="18">
        <f>IF(VLOOKUP(A6,'DB Country PMI'!$A:$AZ,MATCH($A$1,'DB Country PMI'!$A$1:$AZ$1,),)=0,#N/A,VLOOKUP(A6,'DB Country PMI'!$A:$AZ,MATCH($A$1,'DB Country PMI'!$A$1:$AZ$1,),))</f>
        <v>50.8</v>
      </c>
      <c r="C6" s="18"/>
    </row>
    <row r="7" spans="1:11" x14ac:dyDescent="0.2">
      <c r="A7" s="10">
        <v>39508</v>
      </c>
      <c r="B7" s="18">
        <f>IF(VLOOKUP(A7,'DB Country PMI'!$A:$AZ,MATCH($A$1,'DB Country PMI'!$A$1:$AZ$1,),)=0,#N/A,VLOOKUP(A7,'DB Country PMI'!$A:$AZ,MATCH($A$1,'DB Country PMI'!$A$1:$AZ$1,),))</f>
        <v>49.5</v>
      </c>
      <c r="C7" s="24">
        <f>Table1346811121415161718192022[[#This Row],[PMI]]-B6</f>
        <v>-1.2999999999999972</v>
      </c>
    </row>
    <row r="8" spans="1:11" x14ac:dyDescent="0.2">
      <c r="A8" s="10">
        <v>39539</v>
      </c>
      <c r="B8" s="18">
        <f>IF(VLOOKUP(A8,'DB Country PMI'!$A:$AZ,MATCH($A$1,'DB Country PMI'!$A$1:$AZ$1,),)=0,#N/A,VLOOKUP(A8,'DB Country PMI'!$A:$AZ,MATCH($A$1,'DB Country PMI'!$A$1:$AZ$1,),))</f>
        <v>48.6</v>
      </c>
      <c r="C8" s="24">
        <f>Table1346811121415161718192022[[#This Row],[PMI]]-B7</f>
        <v>-0.89999999999999858</v>
      </c>
    </row>
    <row r="9" spans="1:11" x14ac:dyDescent="0.2">
      <c r="A9" s="10">
        <v>39569</v>
      </c>
      <c r="B9" s="18">
        <f>IF(VLOOKUP(A9,'DB Country PMI'!$A:$AZ,MATCH($A$1,'DB Country PMI'!$A$1:$AZ$1,),)=0,#N/A,VLOOKUP(A9,'DB Country PMI'!$A:$AZ,MATCH($A$1,'DB Country PMI'!$A$1:$AZ$1,),))</f>
        <v>47.7</v>
      </c>
      <c r="C9" s="24">
        <f>Table1346811121415161718192022[[#This Row],[PMI]]-B8</f>
        <v>-0.89999999999999858</v>
      </c>
    </row>
    <row r="10" spans="1:11" x14ac:dyDescent="0.2">
      <c r="A10" s="10">
        <v>39600</v>
      </c>
      <c r="B10" s="18">
        <f>IF(VLOOKUP(A10,'DB Country PMI'!$A:$AZ,MATCH($A$1,'DB Country PMI'!$A$1:$AZ$1,),)=0,#N/A,VLOOKUP(A10,'DB Country PMI'!$A:$AZ,MATCH($A$1,'DB Country PMI'!$A$1:$AZ$1,),))</f>
        <v>46.5</v>
      </c>
      <c r="C10" s="24">
        <f>Table1346811121415161718192022[[#This Row],[PMI]]-B9</f>
        <v>-1.2000000000000028</v>
      </c>
    </row>
    <row r="11" spans="1:11" x14ac:dyDescent="0.2">
      <c r="A11" s="10">
        <v>39630</v>
      </c>
      <c r="B11" s="18">
        <f>IF(VLOOKUP(A11,'DB Country PMI'!$A:$AZ,MATCH($A$1,'DB Country PMI'!$A$1:$AZ$1,),)=0,#N/A,VLOOKUP(A11,'DB Country PMI'!$A:$AZ,MATCH($A$1,'DB Country PMI'!$A$1:$AZ$1,),))</f>
        <v>47</v>
      </c>
      <c r="C11" s="24">
        <f>Table1346811121415161718192022[[#This Row],[PMI]]-B10</f>
        <v>0.5</v>
      </c>
    </row>
    <row r="12" spans="1:11" x14ac:dyDescent="0.2">
      <c r="A12" s="10">
        <v>39661</v>
      </c>
      <c r="B12" s="18">
        <f>IF(VLOOKUP(A12,'DB Country PMI'!$A:$AZ,MATCH($A$1,'DB Country PMI'!$A$1:$AZ$1,),)=0,#N/A,VLOOKUP(A12,'DB Country PMI'!$A:$AZ,MATCH($A$1,'DB Country PMI'!$A$1:$AZ$1,),))</f>
        <v>46.9</v>
      </c>
      <c r="C12" s="24">
        <f>Table1346811121415161718192022[[#This Row],[PMI]]-B11</f>
        <v>-0.10000000000000142</v>
      </c>
    </row>
    <row r="13" spans="1:11" x14ac:dyDescent="0.2">
      <c r="A13" s="10">
        <v>39692</v>
      </c>
      <c r="B13" s="18">
        <f>IF(VLOOKUP(A13,'DB Country PMI'!$A:$AZ,MATCH($A$1,'DB Country PMI'!$A$1:$AZ$1,),)=0,#N/A,VLOOKUP(A13,'DB Country PMI'!$A:$AZ,MATCH($A$1,'DB Country PMI'!$A$1:$AZ$1,),))</f>
        <v>44.3</v>
      </c>
      <c r="C13" s="24">
        <f>Table1346811121415161718192022[[#This Row],[PMI]]-B12</f>
        <v>-2.6000000000000014</v>
      </c>
    </row>
    <row r="14" spans="1:11" x14ac:dyDescent="0.2">
      <c r="A14" s="10">
        <v>39722</v>
      </c>
      <c r="B14" s="18">
        <f>IF(VLOOKUP(A14,'DB Country PMI'!$A:$AZ,MATCH($A$1,'DB Country PMI'!$A$1:$AZ$1,),)=0,#N/A,VLOOKUP(A14,'DB Country PMI'!$A:$AZ,MATCH($A$1,'DB Country PMI'!$A$1:$AZ$1,),))</f>
        <v>42.2</v>
      </c>
      <c r="C14" s="24">
        <f>Table1346811121415161718192022[[#This Row],[PMI]]-B13</f>
        <v>-2.0999999999999943</v>
      </c>
    </row>
    <row r="15" spans="1:11" x14ac:dyDescent="0.2">
      <c r="A15" s="10">
        <v>39753</v>
      </c>
      <c r="B15" s="18">
        <f>IF(VLOOKUP(A15,'DB Country PMI'!$A:$AZ,MATCH($A$1,'DB Country PMI'!$A$1:$AZ$1,),)=0,#N/A,VLOOKUP(A15,'DB Country PMI'!$A:$AZ,MATCH($A$1,'DB Country PMI'!$A$1:$AZ$1,),))</f>
        <v>36.700000000000003</v>
      </c>
      <c r="C15" s="24">
        <f>Table1346811121415161718192022[[#This Row],[PMI]]-B14</f>
        <v>-5.5</v>
      </c>
    </row>
    <row r="16" spans="1:11" x14ac:dyDescent="0.2">
      <c r="A16" s="10">
        <v>39783</v>
      </c>
      <c r="B16" s="18">
        <f>IF(VLOOKUP(A16,'DB Country PMI'!$A:$AZ,MATCH($A$1,'DB Country PMI'!$A$1:$AZ$1,),)=0,#N/A,VLOOKUP(A16,'DB Country PMI'!$A:$AZ,MATCH($A$1,'DB Country PMI'!$A$1:$AZ$1,),))</f>
        <v>30.8</v>
      </c>
      <c r="C16" s="24">
        <f>Table1346811121415161718192022[[#This Row],[PMI]]-B15</f>
        <v>-5.9000000000000021</v>
      </c>
    </row>
    <row r="17" spans="1:3" x14ac:dyDescent="0.2">
      <c r="A17" s="10">
        <v>39814</v>
      </c>
      <c r="B17" s="18">
        <f>IF(VLOOKUP(A17,'DB Country PMI'!$A:$AZ,MATCH($A$1,'DB Country PMI'!$A$1:$AZ$1,),)=0,#N/A,VLOOKUP(A17,'DB Country PMI'!$A:$AZ,MATCH($A$1,'DB Country PMI'!$A$1:$AZ$1,),))</f>
        <v>29.6</v>
      </c>
      <c r="C17" s="24">
        <f>Table1346811121415161718192022[[#This Row],[PMI]]-B16</f>
        <v>-1.1999999999999993</v>
      </c>
    </row>
    <row r="18" spans="1:3" x14ac:dyDescent="0.2">
      <c r="A18" s="10">
        <v>39845</v>
      </c>
      <c r="B18" s="18">
        <f>IF(VLOOKUP(A18,'DB Country PMI'!$A:$AZ,MATCH($A$1,'DB Country PMI'!$A$1:$AZ$1,),)=0,#N/A,VLOOKUP(A18,'DB Country PMI'!$A:$AZ,MATCH($A$1,'DB Country PMI'!$A$1:$AZ$1,),))</f>
        <v>31.6</v>
      </c>
      <c r="C18" s="24">
        <f>Table1346811121415161718192022[[#This Row],[PMI]]-B17</f>
        <v>2</v>
      </c>
    </row>
    <row r="19" spans="1:3" x14ac:dyDescent="0.2">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2">
      <c r="A20" s="10">
        <v>39904</v>
      </c>
      <c r="B20" s="18">
        <f>IF(VLOOKUP(A20,'DB Country PMI'!$A:$AZ,MATCH($A$1,'DB Country PMI'!$A$1:$AZ$1,),)=0,#N/A,VLOOKUP(A20,'DB Country PMI'!$A:$AZ,MATCH($A$1,'DB Country PMI'!$A$1:$AZ$1,),))</f>
        <v>41.4</v>
      </c>
      <c r="C20" s="24">
        <f>Table1346811121415161718192022[[#This Row],[PMI]]-B19</f>
        <v>7.6000000000000014</v>
      </c>
    </row>
    <row r="21" spans="1:3" x14ac:dyDescent="0.2">
      <c r="A21" s="10">
        <v>39934</v>
      </c>
      <c r="B21" s="18">
        <f>IF(VLOOKUP(A21,'DB Country PMI'!$A:$AZ,MATCH($A$1,'DB Country PMI'!$A$1:$AZ$1,),)=0,#N/A,VLOOKUP(A21,'DB Country PMI'!$A:$AZ,MATCH($A$1,'DB Country PMI'!$A$1:$AZ$1,),))</f>
        <v>46.6</v>
      </c>
      <c r="C21" s="24">
        <f>Table1346811121415161718192022[[#This Row],[PMI]]-B20</f>
        <v>5.2000000000000028</v>
      </c>
    </row>
    <row r="22" spans="1:3" x14ac:dyDescent="0.2">
      <c r="A22" s="10">
        <v>39965</v>
      </c>
      <c r="B22" s="18">
        <f>IF(VLOOKUP(A22,'DB Country PMI'!$A:$AZ,MATCH($A$1,'DB Country PMI'!$A$1:$AZ$1,),)=0,#N/A,VLOOKUP(A22,'DB Country PMI'!$A:$AZ,MATCH($A$1,'DB Country PMI'!$A$1:$AZ$1,),))</f>
        <v>48.2</v>
      </c>
      <c r="C22" s="24">
        <f>Table1346811121415161718192022[[#This Row],[PMI]]-B21</f>
        <v>1.6000000000000014</v>
      </c>
    </row>
    <row r="23" spans="1:3" x14ac:dyDescent="0.2">
      <c r="A23" s="10">
        <v>39995</v>
      </c>
      <c r="B23" s="18">
        <f>IF(VLOOKUP(A23,'DB Country PMI'!$A:$AZ,MATCH($A$1,'DB Country PMI'!$A$1:$AZ$1,),)=0,#N/A,VLOOKUP(A23,'DB Country PMI'!$A:$AZ,MATCH($A$1,'DB Country PMI'!$A$1:$AZ$1,),))</f>
        <v>50.4</v>
      </c>
      <c r="C23" s="24">
        <f>Table1346811121415161718192022[[#This Row],[PMI]]-B22</f>
        <v>2.1999999999999957</v>
      </c>
    </row>
    <row r="24" spans="1:3" x14ac:dyDescent="0.2">
      <c r="A24" s="10">
        <v>40026</v>
      </c>
      <c r="B24" s="18">
        <f>IF(VLOOKUP(A24,'DB Country PMI'!$A:$AZ,MATCH($A$1,'DB Country PMI'!$A$1:$AZ$1,),)=0,#N/A,VLOOKUP(A24,'DB Country PMI'!$A:$AZ,MATCH($A$1,'DB Country PMI'!$A$1:$AZ$1,),))</f>
        <v>53.6</v>
      </c>
      <c r="C24" s="24">
        <f>Table1346811121415161718192022[[#This Row],[PMI]]-B23</f>
        <v>3.2000000000000028</v>
      </c>
    </row>
    <row r="25" spans="1:3" x14ac:dyDescent="0.2">
      <c r="A25" s="10">
        <v>40057</v>
      </c>
      <c r="B25" s="18">
        <f>IF(VLOOKUP(A25,'DB Country PMI'!$A:$AZ,MATCH($A$1,'DB Country PMI'!$A$1:$AZ$1,),)=0,#N/A,VLOOKUP(A25,'DB Country PMI'!$A:$AZ,MATCH($A$1,'DB Country PMI'!$A$1:$AZ$1,),))</f>
        <v>54.5</v>
      </c>
      <c r="C25" s="24">
        <f>Table1346811121415161718192022[[#This Row],[PMI]]-B24</f>
        <v>0.89999999999999858</v>
      </c>
    </row>
    <row r="26" spans="1:3" x14ac:dyDescent="0.2">
      <c r="A26" s="10">
        <v>40087</v>
      </c>
      <c r="B26" s="18">
        <f>IF(VLOOKUP(A26,'DB Country PMI'!$A:$AZ,MATCH($A$1,'DB Country PMI'!$A$1:$AZ$1,),)=0,#N/A,VLOOKUP(A26,'DB Country PMI'!$A:$AZ,MATCH($A$1,'DB Country PMI'!$A$1:$AZ$1,),))</f>
        <v>54.3</v>
      </c>
      <c r="C26" s="24">
        <f>Table1346811121415161718192022[[#This Row],[PMI]]-B25</f>
        <v>-0.20000000000000284</v>
      </c>
    </row>
    <row r="27" spans="1:3" x14ac:dyDescent="0.2">
      <c r="A27" s="10">
        <v>40118</v>
      </c>
      <c r="B27" s="18">
        <f>IF(VLOOKUP(A27,'DB Country PMI'!$A:$AZ,MATCH($A$1,'DB Country PMI'!$A$1:$AZ$1,),)=0,#N/A,VLOOKUP(A27,'DB Country PMI'!$A:$AZ,MATCH($A$1,'DB Country PMI'!$A$1:$AZ$1,),))</f>
        <v>52.3</v>
      </c>
      <c r="C27" s="24">
        <f>Table1346811121415161718192022[[#This Row],[PMI]]-B26</f>
        <v>-2</v>
      </c>
    </row>
    <row r="28" spans="1:3" x14ac:dyDescent="0.2">
      <c r="A28" s="10">
        <v>40148</v>
      </c>
      <c r="B28" s="18">
        <f>IF(VLOOKUP(A28,'DB Country PMI'!$A:$AZ,MATCH($A$1,'DB Country PMI'!$A$1:$AZ$1,),)=0,#N/A,VLOOKUP(A28,'DB Country PMI'!$A:$AZ,MATCH($A$1,'DB Country PMI'!$A$1:$AZ$1,),))</f>
        <v>53.8</v>
      </c>
      <c r="C28" s="24">
        <f>Table1346811121415161718192022[[#This Row],[PMI]]-B27</f>
        <v>1.5</v>
      </c>
    </row>
    <row r="29" spans="1:3" x14ac:dyDescent="0.2">
      <c r="A29" s="10">
        <v>40179</v>
      </c>
      <c r="B29" s="18">
        <f>IF(VLOOKUP(A29,'DB Country PMI'!$A:$AZ,MATCH($A$1,'DB Country PMI'!$A$1:$AZ$1,),)=0,#N/A,VLOOKUP(A29,'DB Country PMI'!$A:$AZ,MATCH($A$1,'DB Country PMI'!$A$1:$AZ$1,),))</f>
        <v>52.5</v>
      </c>
      <c r="C29" s="24">
        <f>Table1346811121415161718192022[[#This Row],[PMI]]-B28</f>
        <v>-1.2999999999999972</v>
      </c>
    </row>
    <row r="30" spans="1:3" x14ac:dyDescent="0.2">
      <c r="A30" s="10">
        <v>40210</v>
      </c>
      <c r="B30" s="18">
        <f>IF(VLOOKUP(A30,'DB Country PMI'!$A:$AZ,MATCH($A$1,'DB Country PMI'!$A$1:$AZ$1,),)=0,#N/A,VLOOKUP(A30,'DB Country PMI'!$A:$AZ,MATCH($A$1,'DB Country PMI'!$A$1:$AZ$1,),))</f>
        <v>52.5</v>
      </c>
      <c r="C30" s="24">
        <f>Table1346811121415161718192022[[#This Row],[PMI]]-B29</f>
        <v>0</v>
      </c>
    </row>
    <row r="31" spans="1:3" x14ac:dyDescent="0.2">
      <c r="A31" s="10">
        <v>40238</v>
      </c>
      <c r="B31" s="18">
        <f>IF(VLOOKUP(A31,'DB Country PMI'!$A:$AZ,MATCH($A$1,'DB Country PMI'!$A$1:$AZ$1,),)=0,#N/A,VLOOKUP(A31,'DB Country PMI'!$A:$AZ,MATCH($A$1,'DB Country PMI'!$A$1:$AZ$1,),))</f>
        <v>52.4</v>
      </c>
      <c r="C31" s="24">
        <f>Table1346811121415161718192022[[#This Row],[PMI]]-B30</f>
        <v>-0.10000000000000142</v>
      </c>
    </row>
    <row r="32" spans="1:3" x14ac:dyDescent="0.2">
      <c r="A32" s="10">
        <v>40269</v>
      </c>
      <c r="B32" s="18">
        <f>IF(VLOOKUP(A32,'DB Country PMI'!$A:$AZ,MATCH($A$1,'DB Country PMI'!$A$1:$AZ$1,),)=0,#N/A,VLOOKUP(A32,'DB Country PMI'!$A:$AZ,MATCH($A$1,'DB Country PMI'!$A$1:$AZ$1,),))</f>
        <v>53.5</v>
      </c>
      <c r="C32" s="24">
        <f>Table1346811121415161718192022[[#This Row],[PMI]]-B31</f>
        <v>1.1000000000000014</v>
      </c>
    </row>
    <row r="33" spans="1:3" x14ac:dyDescent="0.2">
      <c r="A33" s="10">
        <v>40299</v>
      </c>
      <c r="B33" s="18">
        <f>IF(VLOOKUP(A33,'DB Country PMI'!$A:$AZ,MATCH($A$1,'DB Country PMI'!$A$1:$AZ$1,),)=0,#N/A,VLOOKUP(A33,'DB Country PMI'!$A:$AZ,MATCH($A$1,'DB Country PMI'!$A$1:$AZ$1,),))</f>
        <v>54.7</v>
      </c>
      <c r="C33" s="24">
        <f>Table1346811121415161718192022[[#This Row],[PMI]]-B32</f>
        <v>1.2000000000000028</v>
      </c>
    </row>
    <row r="34" spans="1:3" x14ac:dyDescent="0.2">
      <c r="A34" s="10">
        <v>40330</v>
      </c>
      <c r="B34" s="18">
        <f>IF(VLOOKUP(A34,'DB Country PMI'!$A:$AZ,MATCH($A$1,'DB Country PMI'!$A$1:$AZ$1,),)=0,#N/A,VLOOKUP(A34,'DB Country PMI'!$A:$AZ,MATCH($A$1,'DB Country PMI'!$A$1:$AZ$1,),))</f>
        <v>53.9</v>
      </c>
      <c r="C34" s="24">
        <f>Table1346811121415161718192022[[#This Row],[PMI]]-B33</f>
        <v>-0.80000000000000426</v>
      </c>
    </row>
    <row r="35" spans="1:3" x14ac:dyDescent="0.2">
      <c r="A35" s="10">
        <v>40360</v>
      </c>
      <c r="B35" s="18">
        <f>IF(VLOOKUP(A35,'DB Country PMI'!$A:$AZ,MATCH($A$1,'DB Country PMI'!$A$1:$AZ$1,),)=0,#N/A,VLOOKUP(A35,'DB Country PMI'!$A:$AZ,MATCH($A$1,'DB Country PMI'!$A$1:$AZ$1,),))</f>
        <v>52.8</v>
      </c>
      <c r="C35" s="24">
        <f>Table1346811121415161718192022[[#This Row],[PMI]]-B34</f>
        <v>-1.1000000000000014</v>
      </c>
    </row>
    <row r="36" spans="1:3" x14ac:dyDescent="0.2">
      <c r="A36" s="10">
        <v>40391</v>
      </c>
      <c r="B36" s="18">
        <f>IF(VLOOKUP(A36,'DB Country PMI'!$A:$AZ,MATCH($A$1,'DB Country PMI'!$A$1:$AZ$1,),)=0,#N/A,VLOOKUP(A36,'DB Country PMI'!$A:$AZ,MATCH($A$1,'DB Country PMI'!$A$1:$AZ$1,),))</f>
        <v>50.1</v>
      </c>
      <c r="C36" s="24">
        <f>Table1346811121415161718192022[[#This Row],[PMI]]-B35</f>
        <v>-2.6999999999999957</v>
      </c>
    </row>
    <row r="37" spans="1:3" x14ac:dyDescent="0.2">
      <c r="A37" s="10">
        <v>40422</v>
      </c>
      <c r="B37" s="18">
        <f>IF(VLOOKUP(A37,'DB Country PMI'!$A:$AZ,MATCH($A$1,'DB Country PMI'!$A$1:$AZ$1,),)=0,#N/A,VLOOKUP(A37,'DB Country PMI'!$A:$AZ,MATCH($A$1,'DB Country PMI'!$A$1:$AZ$1,),))</f>
        <v>49.5</v>
      </c>
      <c r="C37" s="24">
        <f>Table1346811121415161718192022[[#This Row],[PMI]]-B36</f>
        <v>-0.60000000000000142</v>
      </c>
    </row>
    <row r="38" spans="1:3" x14ac:dyDescent="0.2">
      <c r="A38" s="10">
        <v>40452</v>
      </c>
      <c r="B38" s="18">
        <f>IF(VLOOKUP(A38,'DB Country PMI'!$A:$AZ,MATCH($A$1,'DB Country PMI'!$A$1:$AZ$1,),)=0,#N/A,VLOOKUP(A38,'DB Country PMI'!$A:$AZ,MATCH($A$1,'DB Country PMI'!$A$1:$AZ$1,),))</f>
        <v>47.2</v>
      </c>
      <c r="C38" s="24">
        <f>Table1346811121415161718192022[[#This Row],[PMI]]-B37</f>
        <v>-2.2999999999999972</v>
      </c>
    </row>
    <row r="39" spans="1:3" x14ac:dyDescent="0.2">
      <c r="A39" s="10">
        <v>40483</v>
      </c>
      <c r="B39" s="18">
        <f>IF(VLOOKUP(A39,'DB Country PMI'!$A:$AZ,MATCH($A$1,'DB Country PMI'!$A$1:$AZ$1,),)=0,#N/A,VLOOKUP(A39,'DB Country PMI'!$A:$AZ,MATCH($A$1,'DB Country PMI'!$A$1:$AZ$1,),))</f>
        <v>47.3</v>
      </c>
      <c r="C39" s="24">
        <f>Table1346811121415161718192022[[#This Row],[PMI]]-B38</f>
        <v>9.9999999999994316E-2</v>
      </c>
    </row>
    <row r="40" spans="1:3" x14ac:dyDescent="0.2">
      <c r="A40" s="10">
        <v>40513</v>
      </c>
      <c r="B40" s="18">
        <f>IF(VLOOKUP(A40,'DB Country PMI'!$A:$AZ,MATCH($A$1,'DB Country PMI'!$A$1:$AZ$1,),)=0,#N/A,VLOOKUP(A40,'DB Country PMI'!$A:$AZ,MATCH($A$1,'DB Country PMI'!$A$1:$AZ$1,),))</f>
        <v>48.3</v>
      </c>
      <c r="C40" s="24">
        <f>Table1346811121415161718192022[[#This Row],[PMI]]-B39</f>
        <v>1</v>
      </c>
    </row>
    <row r="41" spans="1:3" x14ac:dyDescent="0.2">
      <c r="A41" s="10">
        <v>40544</v>
      </c>
      <c r="B41" s="18">
        <f>IF(VLOOKUP(A41,'DB Country PMI'!$A:$AZ,MATCH($A$1,'DB Country PMI'!$A$1:$AZ$1,),)=0,#N/A,VLOOKUP(A41,'DB Country PMI'!$A:$AZ,MATCH($A$1,'DB Country PMI'!$A$1:$AZ$1,),))</f>
        <v>51.4</v>
      </c>
      <c r="C41" s="24">
        <f>Table1346811121415161718192022[[#This Row],[PMI]]-B40</f>
        <v>3.1000000000000014</v>
      </c>
    </row>
    <row r="42" spans="1:3" x14ac:dyDescent="0.2">
      <c r="A42" s="10">
        <v>40575</v>
      </c>
      <c r="B42" s="18">
        <f>IF(VLOOKUP(A42,'DB Country PMI'!$A:$AZ,MATCH($A$1,'DB Country PMI'!$A$1:$AZ$1,),)=0,#N/A,VLOOKUP(A42,'DB Country PMI'!$A:$AZ,MATCH($A$1,'DB Country PMI'!$A$1:$AZ$1,),))</f>
        <v>52.9</v>
      </c>
      <c r="C42" s="24">
        <f>Table1346811121415161718192022[[#This Row],[PMI]]-B41</f>
        <v>1.5</v>
      </c>
    </row>
    <row r="43" spans="1:3" x14ac:dyDescent="0.2">
      <c r="A43" s="10">
        <v>40603</v>
      </c>
      <c r="B43" s="18">
        <f>IF(VLOOKUP(A43,'DB Country PMI'!$A:$AZ,MATCH($A$1,'DB Country PMI'!$A$1:$AZ$1,),)=0,#N/A,VLOOKUP(A43,'DB Country PMI'!$A:$AZ,MATCH($A$1,'DB Country PMI'!$A$1:$AZ$1,),))</f>
        <v>46.4</v>
      </c>
      <c r="C43" s="24">
        <f>Table1346811121415161718192022[[#This Row],[PMI]]-B42</f>
        <v>-6.5</v>
      </c>
    </row>
    <row r="44" spans="1:3" x14ac:dyDescent="0.2">
      <c r="A44" s="10">
        <v>40634</v>
      </c>
      <c r="B44" s="18">
        <f>IF(VLOOKUP(A44,'DB Country PMI'!$A:$AZ,MATCH($A$1,'DB Country PMI'!$A$1:$AZ$1,),)=0,#N/A,VLOOKUP(A44,'DB Country PMI'!$A:$AZ,MATCH($A$1,'DB Country PMI'!$A$1:$AZ$1,),))</f>
        <v>45.7</v>
      </c>
      <c r="C44" s="24">
        <f>Table1346811121415161718192022[[#This Row],[PMI]]-B43</f>
        <v>-0.69999999999999574</v>
      </c>
    </row>
    <row r="45" spans="1:3" x14ac:dyDescent="0.2">
      <c r="A45" s="10">
        <v>40664</v>
      </c>
      <c r="B45" s="18">
        <f>IF(VLOOKUP(A45,'DB Country PMI'!$A:$AZ,MATCH($A$1,'DB Country PMI'!$A$1:$AZ$1,),)=0,#N/A,VLOOKUP(A45,'DB Country PMI'!$A:$AZ,MATCH($A$1,'DB Country PMI'!$A$1:$AZ$1,),))</f>
        <v>51.3</v>
      </c>
      <c r="C45" s="24">
        <f>Table1346811121415161718192022[[#This Row],[PMI]]-B44</f>
        <v>5.5999999999999943</v>
      </c>
    </row>
    <row r="46" spans="1:3" x14ac:dyDescent="0.2">
      <c r="A46" s="10">
        <v>40695</v>
      </c>
      <c r="B46" s="18">
        <f>IF(VLOOKUP(A46,'DB Country PMI'!$A:$AZ,MATCH($A$1,'DB Country PMI'!$A$1:$AZ$1,),)=0,#N/A,VLOOKUP(A46,'DB Country PMI'!$A:$AZ,MATCH($A$1,'DB Country PMI'!$A$1:$AZ$1,),))</f>
        <v>50.7</v>
      </c>
      <c r="C46" s="24">
        <f>Table1346811121415161718192022[[#This Row],[PMI]]-B45</f>
        <v>-0.59999999999999432</v>
      </c>
    </row>
    <row r="47" spans="1:3" x14ac:dyDescent="0.2">
      <c r="A47" s="10">
        <v>40725</v>
      </c>
      <c r="B47" s="18">
        <f>IF(VLOOKUP(A47,'DB Country PMI'!$A:$AZ,MATCH($A$1,'DB Country PMI'!$A$1:$AZ$1,),)=0,#N/A,VLOOKUP(A47,'DB Country PMI'!$A:$AZ,MATCH($A$1,'DB Country PMI'!$A$1:$AZ$1,),))</f>
        <v>52.1</v>
      </c>
      <c r="C47" s="24">
        <f>Table1346811121415161718192022[[#This Row],[PMI]]-B46</f>
        <v>1.3999999999999986</v>
      </c>
    </row>
    <row r="48" spans="1:3" x14ac:dyDescent="0.2">
      <c r="A48" s="10">
        <v>40756</v>
      </c>
      <c r="B48" s="18">
        <f>IF(VLOOKUP(A48,'DB Country PMI'!$A:$AZ,MATCH($A$1,'DB Country PMI'!$A$1:$AZ$1,),)=0,#N/A,VLOOKUP(A48,'DB Country PMI'!$A:$AZ,MATCH($A$1,'DB Country PMI'!$A$1:$AZ$1,),))</f>
        <v>51.9</v>
      </c>
      <c r="C48" s="24">
        <f>Table1346811121415161718192022[[#This Row],[PMI]]-B47</f>
        <v>-0.20000000000000284</v>
      </c>
    </row>
    <row r="49" spans="1:3" x14ac:dyDescent="0.2">
      <c r="A49" s="10">
        <v>40787</v>
      </c>
      <c r="B49" s="18">
        <f>IF(VLOOKUP(A49,'DB Country PMI'!$A:$AZ,MATCH($A$1,'DB Country PMI'!$A$1:$AZ$1,),)=0,#N/A,VLOOKUP(A49,'DB Country PMI'!$A:$AZ,MATCH($A$1,'DB Country PMI'!$A$1:$AZ$1,),))</f>
        <v>49.3</v>
      </c>
      <c r="C49" s="24">
        <f>Table1346811121415161718192022[[#This Row],[PMI]]-B48</f>
        <v>-2.6000000000000014</v>
      </c>
    </row>
    <row r="50" spans="1:3" x14ac:dyDescent="0.2">
      <c r="A50" s="10">
        <v>40817</v>
      </c>
      <c r="B50" s="18">
        <f>IF(VLOOKUP(A50,'DB Country PMI'!$A:$AZ,MATCH($A$1,'DB Country PMI'!$A$1:$AZ$1,),)=0,#N/A,VLOOKUP(A50,'DB Country PMI'!$A:$AZ,MATCH($A$1,'DB Country PMI'!$A$1:$AZ$1,),))</f>
        <v>50.6</v>
      </c>
      <c r="C50" s="24">
        <f>Table1346811121415161718192022[[#This Row],[PMI]]-B49</f>
        <v>1.3000000000000043</v>
      </c>
    </row>
    <row r="51" spans="1:3" x14ac:dyDescent="0.2">
      <c r="A51" s="10">
        <v>40848</v>
      </c>
      <c r="B51" s="18">
        <f>IF(VLOOKUP(A51,'DB Country PMI'!$A:$AZ,MATCH($A$1,'DB Country PMI'!$A$1:$AZ$1,),)=0,#N/A,VLOOKUP(A51,'DB Country PMI'!$A:$AZ,MATCH($A$1,'DB Country PMI'!$A$1:$AZ$1,),))</f>
        <v>49.1</v>
      </c>
      <c r="C51" s="24">
        <f>Table1346811121415161718192022[[#This Row],[PMI]]-B50</f>
        <v>-1.5</v>
      </c>
    </row>
    <row r="52" spans="1:3" x14ac:dyDescent="0.2">
      <c r="A52" s="10">
        <v>40878</v>
      </c>
      <c r="B52" s="18">
        <f>IF(VLOOKUP(A52,'DB Country PMI'!$A:$AZ,MATCH($A$1,'DB Country PMI'!$A$1:$AZ$1,),)=0,#N/A,VLOOKUP(A52,'DB Country PMI'!$A:$AZ,MATCH($A$1,'DB Country PMI'!$A$1:$AZ$1,),))</f>
        <v>50.2</v>
      </c>
      <c r="C52" s="24">
        <f>Table1346811121415161718192022[[#This Row],[PMI]]-B51</f>
        <v>1.1000000000000014</v>
      </c>
    </row>
    <row r="53" spans="1:3" x14ac:dyDescent="0.2">
      <c r="A53" s="10">
        <v>40909</v>
      </c>
      <c r="B53" s="18">
        <f>IF(VLOOKUP(A53,'DB Country PMI'!$A:$AZ,MATCH($A$1,'DB Country PMI'!$A$1:$AZ$1,),)=0,#N/A,VLOOKUP(A53,'DB Country PMI'!$A:$AZ,MATCH($A$1,'DB Country PMI'!$A$1:$AZ$1,),))</f>
        <v>50.7</v>
      </c>
      <c r="C53" s="24">
        <f>Table1346811121415161718192022[[#This Row],[PMI]]-B52</f>
        <v>0.5</v>
      </c>
    </row>
    <row r="54" spans="1:3" x14ac:dyDescent="0.2">
      <c r="A54" s="10">
        <v>40940</v>
      </c>
      <c r="B54" s="18">
        <f>IF(VLOOKUP(A54,'DB Country PMI'!$A:$AZ,MATCH($A$1,'DB Country PMI'!$A$1:$AZ$1,),)=0,#N/A,VLOOKUP(A54,'DB Country PMI'!$A:$AZ,MATCH($A$1,'DB Country PMI'!$A$1:$AZ$1,),))</f>
        <v>50.5</v>
      </c>
      <c r="C54" s="24">
        <f>Table1346811121415161718192022[[#This Row],[PMI]]-B53</f>
        <v>-0.20000000000000284</v>
      </c>
    </row>
    <row r="55" spans="1:3" x14ac:dyDescent="0.2">
      <c r="A55" s="10">
        <v>40969</v>
      </c>
      <c r="B55" s="18">
        <f>IF(VLOOKUP(A55,'DB Country PMI'!$A:$AZ,MATCH($A$1,'DB Country PMI'!$A$1:$AZ$1,),)=0,#N/A,VLOOKUP(A55,'DB Country PMI'!$A:$AZ,MATCH($A$1,'DB Country PMI'!$A$1:$AZ$1,),))</f>
        <v>51.1</v>
      </c>
      <c r="C55" s="24">
        <f>Table1346811121415161718192022[[#This Row],[PMI]]-B54</f>
        <v>0.60000000000000142</v>
      </c>
    </row>
    <row r="56" spans="1:3" x14ac:dyDescent="0.2">
      <c r="A56" s="10">
        <v>41000</v>
      </c>
      <c r="B56" s="18">
        <f>IF(VLOOKUP(A56,'DB Country PMI'!$A:$AZ,MATCH($A$1,'DB Country PMI'!$A$1:$AZ$1,),)=0,#N/A,VLOOKUP(A56,'DB Country PMI'!$A:$AZ,MATCH($A$1,'DB Country PMI'!$A$1:$AZ$1,),))</f>
        <v>50.7</v>
      </c>
      <c r="C56" s="24">
        <f>Table1346811121415161718192022[[#This Row],[PMI]]-B55</f>
        <v>-0.39999999999999858</v>
      </c>
    </row>
    <row r="57" spans="1:3" x14ac:dyDescent="0.2">
      <c r="A57" s="10">
        <v>41030</v>
      </c>
      <c r="B57" s="18">
        <f>IF(VLOOKUP(A57,'DB Country PMI'!$A:$AZ,MATCH($A$1,'DB Country PMI'!$A$1:$AZ$1,),)=0,#N/A,VLOOKUP(A57,'DB Country PMI'!$A:$AZ,MATCH($A$1,'DB Country PMI'!$A$1:$AZ$1,),))</f>
        <v>50.7</v>
      </c>
      <c r="C57" s="24">
        <f>Table1346811121415161718192022[[#This Row],[PMI]]-B56</f>
        <v>0</v>
      </c>
    </row>
    <row r="58" spans="1:3" x14ac:dyDescent="0.2">
      <c r="A58" s="10">
        <v>41061</v>
      </c>
      <c r="B58" s="18">
        <f>IF(VLOOKUP(A58,'DB Country PMI'!$A:$AZ,MATCH($A$1,'DB Country PMI'!$A$1:$AZ$1,),)=0,#N/A,VLOOKUP(A58,'DB Country PMI'!$A:$AZ,MATCH($A$1,'DB Country PMI'!$A$1:$AZ$1,),))</f>
        <v>52.6</v>
      </c>
      <c r="C58" s="24">
        <f>Table1346811121415161718192022[[#This Row],[PMI]]-B57</f>
        <v>1.8999999999999986</v>
      </c>
    </row>
    <row r="59" spans="1:3" x14ac:dyDescent="0.2">
      <c r="A59" s="10">
        <v>41091</v>
      </c>
      <c r="B59" s="18">
        <f>IF(VLOOKUP(A59,'DB Country PMI'!$A:$AZ,MATCH($A$1,'DB Country PMI'!$A$1:$AZ$1,),)=0,#N/A,VLOOKUP(A59,'DB Country PMI'!$A:$AZ,MATCH($A$1,'DB Country PMI'!$A$1:$AZ$1,),))</f>
        <v>52</v>
      </c>
      <c r="C59" s="24">
        <f>Table1346811121415161718192022[[#This Row],[PMI]]-B58</f>
        <v>-0.60000000000000142</v>
      </c>
    </row>
    <row r="60" spans="1:3" x14ac:dyDescent="0.2">
      <c r="A60" s="10">
        <v>41122</v>
      </c>
      <c r="B60" s="18">
        <f>IF(VLOOKUP(A60,'DB Country PMI'!$A:$AZ,MATCH($A$1,'DB Country PMI'!$A$1:$AZ$1,),)=0,#N/A,VLOOKUP(A60,'DB Country PMI'!$A:$AZ,MATCH($A$1,'DB Country PMI'!$A$1:$AZ$1,),))</f>
        <v>52.1</v>
      </c>
      <c r="C60" s="24">
        <f>Table1346811121415161718192022[[#This Row],[PMI]]-B59</f>
        <v>0.10000000000000142</v>
      </c>
    </row>
    <row r="61" spans="1:3" x14ac:dyDescent="0.2">
      <c r="A61" s="10">
        <v>41153</v>
      </c>
      <c r="B61" s="18">
        <f>IF(VLOOKUP(A61,'DB Country PMI'!$A:$AZ,MATCH($A$1,'DB Country PMI'!$A$1:$AZ$1,),)=0,#N/A,VLOOKUP(A61,'DB Country PMI'!$A:$AZ,MATCH($A$1,'DB Country PMI'!$A$1:$AZ$1,),))</f>
        <v>48</v>
      </c>
      <c r="C61" s="24">
        <f>Table1346811121415161718192022[[#This Row],[PMI]]-B60</f>
        <v>-4.1000000000000014</v>
      </c>
    </row>
    <row r="62" spans="1:3" x14ac:dyDescent="0.2">
      <c r="A62" s="10">
        <v>41183</v>
      </c>
      <c r="B62" s="18">
        <f>IF(VLOOKUP(A62,'DB Country PMI'!$A:$AZ,MATCH($A$1,'DB Country PMI'!$A$1:$AZ$1,),)=0,#N/A,VLOOKUP(A62,'DB Country PMI'!$A:$AZ,MATCH($A$1,'DB Country PMI'!$A$1:$AZ$1,),))</f>
        <v>46.9</v>
      </c>
      <c r="C62" s="24">
        <f>Table1346811121415161718192022[[#This Row],[PMI]]-B61</f>
        <v>-1.1000000000000014</v>
      </c>
    </row>
    <row r="63" spans="1:3" x14ac:dyDescent="0.2">
      <c r="A63" s="10">
        <v>41214</v>
      </c>
      <c r="B63" s="18">
        <f>IF(VLOOKUP(A63,'DB Country PMI'!$A:$AZ,MATCH($A$1,'DB Country PMI'!$A$1:$AZ$1,),)=0,#N/A,VLOOKUP(A63,'DB Country PMI'!$A:$AZ,MATCH($A$1,'DB Country PMI'!$A$1:$AZ$1,),))</f>
        <v>46.5</v>
      </c>
      <c r="C63" s="24">
        <f>Table1346811121415161718192022[[#This Row],[PMI]]-B62</f>
        <v>-0.39999999999999858</v>
      </c>
    </row>
    <row r="64" spans="1:3" x14ac:dyDescent="0.2">
      <c r="A64" s="10">
        <v>41244</v>
      </c>
      <c r="B64" s="18">
        <f>IF(VLOOKUP(A64,'DB Country PMI'!$A:$AZ,MATCH($A$1,'DB Country PMI'!$A$1:$AZ$1,),)=0,#N/A,VLOOKUP(A64,'DB Country PMI'!$A:$AZ,MATCH($A$1,'DB Country PMI'!$A$1:$AZ$1,),))</f>
        <v>45</v>
      </c>
      <c r="C64" s="24">
        <f>Table1346811121415161718192022[[#This Row],[PMI]]-B63</f>
        <v>-1.5</v>
      </c>
    </row>
    <row r="65" spans="1:3" x14ac:dyDescent="0.2">
      <c r="A65" s="10">
        <v>41275</v>
      </c>
      <c r="B65" s="18">
        <f>IF(VLOOKUP(A65,'DB Country PMI'!$A:$AZ,MATCH($A$1,'DB Country PMI'!$A$1:$AZ$1,),)=0,#N/A,VLOOKUP(A65,'DB Country PMI'!$A:$AZ,MATCH($A$1,'DB Country PMI'!$A$1:$AZ$1,),))</f>
        <v>47.7</v>
      </c>
      <c r="C65" s="24">
        <f>Table1346811121415161718192022[[#This Row],[PMI]]-B64</f>
        <v>2.7000000000000028</v>
      </c>
    </row>
    <row r="66" spans="1:3" x14ac:dyDescent="0.2">
      <c r="A66" s="10">
        <v>41306</v>
      </c>
      <c r="B66" s="18">
        <f>IF(VLOOKUP(A66,'DB Country PMI'!$A:$AZ,MATCH($A$1,'DB Country PMI'!$A$1:$AZ$1,),)=0,#N/A,VLOOKUP(A66,'DB Country PMI'!$A:$AZ,MATCH($A$1,'DB Country PMI'!$A$1:$AZ$1,),))</f>
        <v>48.5</v>
      </c>
      <c r="C66" s="24">
        <f>Table1346811121415161718192022[[#This Row],[PMI]]-B65</f>
        <v>0.79999999999999716</v>
      </c>
    </row>
    <row r="67" spans="1:3" x14ac:dyDescent="0.2">
      <c r="A67" s="10">
        <v>41334</v>
      </c>
      <c r="B67" s="18">
        <f>IF(VLOOKUP(A67,'DB Country PMI'!$A:$AZ,MATCH($A$1,'DB Country PMI'!$A$1:$AZ$1,),)=0,#N/A,VLOOKUP(A67,'DB Country PMI'!$A:$AZ,MATCH($A$1,'DB Country PMI'!$A$1:$AZ$1,),))</f>
        <v>50.4</v>
      </c>
      <c r="C67" s="24">
        <f>Table1346811121415161718192022[[#This Row],[PMI]]-B66</f>
        <v>1.8999999999999986</v>
      </c>
    </row>
    <row r="68" spans="1:3" x14ac:dyDescent="0.2">
      <c r="A68" s="10">
        <v>41365</v>
      </c>
      <c r="B68" s="18">
        <f>IF(VLOOKUP(A68,'DB Country PMI'!$A:$AZ,MATCH($A$1,'DB Country PMI'!$A$1:$AZ$1,),)=0,#N/A,VLOOKUP(A68,'DB Country PMI'!$A:$AZ,MATCH($A$1,'DB Country PMI'!$A$1:$AZ$1,),))</f>
        <v>51.1</v>
      </c>
      <c r="C68" s="24">
        <f>Table1346811121415161718192022[[#This Row],[PMI]]-B67</f>
        <v>0.70000000000000284</v>
      </c>
    </row>
    <row r="69" spans="1:3" x14ac:dyDescent="0.2">
      <c r="A69" s="10">
        <v>41395</v>
      </c>
      <c r="B69" s="18">
        <f>IF(VLOOKUP(A69,'DB Country PMI'!$A:$AZ,MATCH($A$1,'DB Country PMI'!$A$1:$AZ$1,),)=0,#N/A,VLOOKUP(A69,'DB Country PMI'!$A:$AZ,MATCH($A$1,'DB Country PMI'!$A$1:$AZ$1,),))</f>
        <v>51.5</v>
      </c>
      <c r="C69" s="24">
        <f>Table1346811121415161718192022[[#This Row],[PMI]]-B68</f>
        <v>0.39999999999999858</v>
      </c>
    </row>
    <row r="70" spans="1:3" x14ac:dyDescent="0.2">
      <c r="A70" s="10">
        <v>41426</v>
      </c>
      <c r="B70" s="18">
        <f>IF(VLOOKUP(A70,'DB Country PMI'!$A:$AZ,MATCH($A$1,'DB Country PMI'!$A$1:$AZ$1,),)=0,#N/A,VLOOKUP(A70,'DB Country PMI'!$A:$AZ,MATCH($A$1,'DB Country PMI'!$A$1:$AZ$1,),))</f>
        <v>52.3</v>
      </c>
      <c r="C70" s="24">
        <f>Table1346811121415161718192022[[#This Row],[PMI]]-B69</f>
        <v>0.79999999999999716</v>
      </c>
    </row>
    <row r="71" spans="1:3" x14ac:dyDescent="0.2">
      <c r="A71" s="10">
        <v>41456</v>
      </c>
      <c r="B71" s="18">
        <f>IF(VLOOKUP(A71,'DB Country PMI'!$A:$AZ,MATCH($A$1,'DB Country PMI'!$A$1:$AZ$1,),)=0,#N/A,VLOOKUP(A71,'DB Country PMI'!$A:$AZ,MATCH($A$1,'DB Country PMI'!$A$1:$AZ$1,),))</f>
        <v>50.7</v>
      </c>
      <c r="C71" s="24">
        <f>Table1346811121415161718192022[[#This Row],[PMI]]-B70</f>
        <v>-1.5999999999999943</v>
      </c>
    </row>
    <row r="72" spans="1:3" x14ac:dyDescent="0.2">
      <c r="A72" s="10">
        <v>41487</v>
      </c>
      <c r="B72" s="18">
        <f>IF(VLOOKUP(A72,'DB Country PMI'!$A:$AZ,MATCH($A$1,'DB Country PMI'!$A$1:$AZ$1,),)=0,#N/A,VLOOKUP(A72,'DB Country PMI'!$A:$AZ,MATCH($A$1,'DB Country PMI'!$A$1:$AZ$1,),))</f>
        <v>52.2</v>
      </c>
      <c r="C72" s="24">
        <f>Table1346811121415161718192022[[#This Row],[PMI]]-B71</f>
        <v>1.5</v>
      </c>
    </row>
    <row r="73" spans="1:3" x14ac:dyDescent="0.2">
      <c r="A73" s="10">
        <v>41518</v>
      </c>
      <c r="B73" s="18">
        <f>IF(VLOOKUP(A73,'DB Country PMI'!$A:$AZ,MATCH($A$1,'DB Country PMI'!$A$1:$AZ$1,),)=0,#N/A,VLOOKUP(A73,'DB Country PMI'!$A:$AZ,MATCH($A$1,'DB Country PMI'!$A$1:$AZ$1,),))</f>
        <v>52.5</v>
      </c>
      <c r="C73" s="24">
        <f>Table1346811121415161718192022[[#This Row],[PMI]]-B72</f>
        <v>0.29999999999999716</v>
      </c>
    </row>
    <row r="74" spans="1:3" x14ac:dyDescent="0.2">
      <c r="A74" s="10">
        <v>41548</v>
      </c>
      <c r="B74" s="18">
        <f>IF(VLOOKUP(A74,'DB Country PMI'!$A:$AZ,MATCH($A$1,'DB Country PMI'!$A$1:$AZ$1,),)=0,#N/A,VLOOKUP(A74,'DB Country PMI'!$A:$AZ,MATCH($A$1,'DB Country PMI'!$A$1:$AZ$1,),))</f>
        <v>54.2</v>
      </c>
      <c r="C74" s="24">
        <f>Table1346811121415161718192022[[#This Row],[PMI]]-B73</f>
        <v>1.7000000000000028</v>
      </c>
    </row>
    <row r="75" spans="1:3" x14ac:dyDescent="0.2">
      <c r="A75" s="10">
        <v>41579</v>
      </c>
      <c r="B75" s="18">
        <f>IF(VLOOKUP(A75,'DB Country PMI'!$A:$AZ,MATCH($A$1,'DB Country PMI'!$A$1:$AZ$1,),)=0,#N/A,VLOOKUP(A75,'DB Country PMI'!$A:$AZ,MATCH($A$1,'DB Country PMI'!$A$1:$AZ$1,),))</f>
        <v>55.1</v>
      </c>
      <c r="C75" s="24">
        <f>Table1346811121415161718192022[[#This Row],[PMI]]-B74</f>
        <v>0.89999999999999858</v>
      </c>
    </row>
    <row r="76" spans="1:3" x14ac:dyDescent="0.2">
      <c r="A76" s="10">
        <v>41609</v>
      </c>
      <c r="B76" s="18">
        <f>IF(VLOOKUP(A76,'DB Country PMI'!$A:$AZ,MATCH($A$1,'DB Country PMI'!$A$1:$AZ$1,),)=0,#N/A,VLOOKUP(A76,'DB Country PMI'!$A:$AZ,MATCH($A$1,'DB Country PMI'!$A$1:$AZ$1,),))</f>
        <v>55.2</v>
      </c>
      <c r="C76" s="24">
        <f>Table1346811121415161718192022[[#This Row],[PMI]]-B75</f>
        <v>0.10000000000000142</v>
      </c>
    </row>
    <row r="77" spans="1:3" x14ac:dyDescent="0.2">
      <c r="A77" s="10">
        <v>41640</v>
      </c>
      <c r="B77" s="18">
        <f>IF(VLOOKUP(A77,'DB Country PMI'!$A:$AZ,MATCH($A$1,'DB Country PMI'!$A$1:$AZ$1,),)=0,#N/A,VLOOKUP(A77,'DB Country PMI'!$A:$AZ,MATCH($A$1,'DB Country PMI'!$A$1:$AZ$1,),))</f>
        <v>56.6</v>
      </c>
      <c r="C77" s="24">
        <f>Table1346811121415161718192022[[#This Row],[PMI]]-B76</f>
        <v>1.3999999999999986</v>
      </c>
    </row>
    <row r="78" spans="1:3" x14ac:dyDescent="0.2">
      <c r="A78" s="10">
        <v>41671</v>
      </c>
      <c r="B78" s="18">
        <f>IF(VLOOKUP(A78,'DB Country PMI'!$A:$AZ,MATCH($A$1,'DB Country PMI'!$A$1:$AZ$1,),)=0,#N/A,VLOOKUP(A78,'DB Country PMI'!$A:$AZ,MATCH($A$1,'DB Country PMI'!$A$1:$AZ$1,),))</f>
        <v>55.5</v>
      </c>
      <c r="C78" s="24">
        <f>Table1346811121415161718192022[[#This Row],[PMI]]-B77</f>
        <v>-1.1000000000000014</v>
      </c>
    </row>
    <row r="79" spans="1:3" x14ac:dyDescent="0.2">
      <c r="A79" s="10">
        <v>41699</v>
      </c>
      <c r="B79" s="18">
        <f>IF(VLOOKUP(A79,'DB Country PMI'!$A:$AZ,MATCH($A$1,'DB Country PMI'!$A$1:$AZ$1,),)=0,#N/A,VLOOKUP(A79,'DB Country PMI'!$A:$AZ,MATCH($A$1,'DB Country PMI'!$A$1:$AZ$1,),))</f>
        <v>53.9</v>
      </c>
      <c r="C79" s="24">
        <f>Table1346811121415161718192022[[#This Row],[PMI]]-B78</f>
        <v>-1.6000000000000014</v>
      </c>
    </row>
    <row r="80" spans="1:3" x14ac:dyDescent="0.2">
      <c r="A80" s="10">
        <v>41730</v>
      </c>
      <c r="B80" s="18">
        <f>IF(VLOOKUP(A80,'DB Country PMI'!$A:$AZ,MATCH($A$1,'DB Country PMI'!$A$1:$AZ$1,),)=0,#N/A,VLOOKUP(A80,'DB Country PMI'!$A:$AZ,MATCH($A$1,'DB Country PMI'!$A$1:$AZ$1,),))</f>
        <v>49.4</v>
      </c>
      <c r="C80" s="24">
        <f>Table1346811121415161718192022[[#This Row],[PMI]]-B79</f>
        <v>-4.5</v>
      </c>
    </row>
    <row r="81" spans="1:3" x14ac:dyDescent="0.2">
      <c r="A81" s="10">
        <v>41760</v>
      </c>
      <c r="B81" s="18">
        <f>IF(VLOOKUP(A81,'DB Country PMI'!$A:$AZ,MATCH($A$1,'DB Country PMI'!$A$1:$AZ$1,),)=0,#N/A,VLOOKUP(A81,'DB Country PMI'!$A:$AZ,MATCH($A$1,'DB Country PMI'!$A$1:$AZ$1,),))</f>
        <v>49.9</v>
      </c>
      <c r="C81" s="24">
        <f>Table1346811121415161718192022[[#This Row],[PMI]]-B80</f>
        <v>0.5</v>
      </c>
    </row>
    <row r="82" spans="1:3" x14ac:dyDescent="0.2">
      <c r="A82" s="10">
        <v>41791</v>
      </c>
      <c r="B82" s="18">
        <f>IF(VLOOKUP(A82,'DB Country PMI'!$A:$AZ,MATCH($A$1,'DB Country PMI'!$A$1:$AZ$1,),)=0,#N/A,VLOOKUP(A82,'DB Country PMI'!$A:$AZ,MATCH($A$1,'DB Country PMI'!$A$1:$AZ$1,),))</f>
        <v>51.5</v>
      </c>
      <c r="C82" s="24">
        <f>Table1346811121415161718192022[[#This Row],[PMI]]-B81</f>
        <v>1.6000000000000014</v>
      </c>
    </row>
    <row r="83" spans="1:3" x14ac:dyDescent="0.2">
      <c r="A83" s="10">
        <v>41821</v>
      </c>
      <c r="B83" s="18">
        <f>IF(VLOOKUP(A83,'DB Country PMI'!$A:$AZ,MATCH($A$1,'DB Country PMI'!$A$1:$AZ$1,),)=0,#N/A,VLOOKUP(A83,'DB Country PMI'!$A:$AZ,MATCH($A$1,'DB Country PMI'!$A$1:$AZ$1,),))</f>
        <v>50.5</v>
      </c>
      <c r="C83" s="24">
        <f>Table1346811121415161718192022[[#This Row],[PMI]]-B82</f>
        <v>-1</v>
      </c>
    </row>
    <row r="84" spans="1:3" x14ac:dyDescent="0.2">
      <c r="A84" s="10">
        <v>41852</v>
      </c>
      <c r="B84" s="18">
        <f>IF(VLOOKUP(A84,'DB Country PMI'!$A:$AZ,MATCH($A$1,'DB Country PMI'!$A$1:$AZ$1,),)=0,#N/A,VLOOKUP(A84,'DB Country PMI'!$A:$AZ,MATCH($A$1,'DB Country PMI'!$A$1:$AZ$1,),))</f>
        <v>52.2</v>
      </c>
      <c r="C84" s="24">
        <f>Table1346811121415161718192022[[#This Row],[PMI]]-B83</f>
        <v>1.7000000000000028</v>
      </c>
    </row>
    <row r="85" spans="1:3" x14ac:dyDescent="0.2">
      <c r="A85" s="10">
        <v>41883</v>
      </c>
      <c r="B85" s="18">
        <f>IF(VLOOKUP(A85,'DB Country PMI'!$A:$AZ,MATCH($A$1,'DB Country PMI'!$A$1:$AZ$1,),)=0,#N/A,VLOOKUP(A85,'DB Country PMI'!$A:$AZ,MATCH($A$1,'DB Country PMI'!$A$1:$AZ$1,),))</f>
        <v>51.7</v>
      </c>
      <c r="C85" s="24">
        <f>Table1346811121415161718192022[[#This Row],[PMI]]-B84</f>
        <v>-0.5</v>
      </c>
    </row>
    <row r="86" spans="1:3" x14ac:dyDescent="0.2">
      <c r="A86" s="10">
        <v>41913</v>
      </c>
      <c r="B86" s="18">
        <f>IF(VLOOKUP(A86,'DB Country PMI'!$A:$AZ,MATCH($A$1,'DB Country PMI'!$A$1:$AZ$1,),)=0,#N/A,VLOOKUP(A86,'DB Country PMI'!$A:$AZ,MATCH($A$1,'DB Country PMI'!$A$1:$AZ$1,),))</f>
        <v>52.4</v>
      </c>
      <c r="C86" s="24">
        <f>Table1346811121415161718192022[[#This Row],[PMI]]-B85</f>
        <v>0.69999999999999574</v>
      </c>
    </row>
    <row r="87" spans="1:3" x14ac:dyDescent="0.2">
      <c r="A87" s="10">
        <v>41944</v>
      </c>
      <c r="B87" s="18">
        <f>IF(VLOOKUP(A87,'DB Country PMI'!$A:$AZ,MATCH($A$1,'DB Country PMI'!$A$1:$AZ$1,),)=0,#N/A,VLOOKUP(A87,'DB Country PMI'!$A:$AZ,MATCH($A$1,'DB Country PMI'!$A$1:$AZ$1,),))</f>
        <v>52</v>
      </c>
      <c r="C87" s="24">
        <f>Table1346811121415161718192022[[#This Row],[PMI]]-B86</f>
        <v>-0.39999999999999858</v>
      </c>
    </row>
    <row r="88" spans="1:3" x14ac:dyDescent="0.2">
      <c r="A88" s="10">
        <v>41974</v>
      </c>
      <c r="B88" s="18">
        <f>IF(VLOOKUP(A88,'DB Country PMI'!$A:$AZ,MATCH($A$1,'DB Country PMI'!$A$1:$AZ$1,),)=0,#N/A,VLOOKUP(A88,'DB Country PMI'!$A:$AZ,MATCH($A$1,'DB Country PMI'!$A$1:$AZ$1,),))</f>
        <v>52</v>
      </c>
      <c r="C88" s="24">
        <f>Table1346811121415161718192022[[#This Row],[PMI]]-B87</f>
        <v>0</v>
      </c>
    </row>
    <row r="89" spans="1:3" x14ac:dyDescent="0.2">
      <c r="A89" s="10">
        <v>42005</v>
      </c>
      <c r="B89" s="18">
        <f>IF(VLOOKUP(A89,'DB Country PMI'!$A:$AZ,MATCH($A$1,'DB Country PMI'!$A$1:$AZ$1,),)=0,#N/A,VLOOKUP(A89,'DB Country PMI'!$A:$AZ,MATCH($A$1,'DB Country PMI'!$A$1:$AZ$1,),))</f>
        <v>52.2</v>
      </c>
      <c r="C89" s="24">
        <f>Table1346811121415161718192022[[#This Row],[PMI]]-B88</f>
        <v>0.20000000000000284</v>
      </c>
    </row>
    <row r="90" spans="1:3" x14ac:dyDescent="0.2">
      <c r="A90" s="10">
        <v>42036</v>
      </c>
      <c r="B90" s="18">
        <f>IF(VLOOKUP(A90,'DB Country PMI'!$A:$AZ,MATCH($A$1,'DB Country PMI'!$A$1:$AZ$1,),)=0,#N/A,VLOOKUP(A90,'DB Country PMI'!$A:$AZ,MATCH($A$1,'DB Country PMI'!$A$1:$AZ$1,),))</f>
        <v>51.6</v>
      </c>
      <c r="C90" s="24">
        <f>Table1346811121415161718192022[[#This Row],[PMI]]-B89</f>
        <v>-0.60000000000000142</v>
      </c>
    </row>
    <row r="91" spans="1:3" x14ac:dyDescent="0.2">
      <c r="A91" s="10">
        <v>42064</v>
      </c>
      <c r="B91" s="18">
        <f>IF(VLOOKUP(A91,'DB Country PMI'!$A:$AZ,MATCH($A$1,'DB Country PMI'!$A$1:$AZ$1,),)=0,#N/A,VLOOKUP(A91,'DB Country PMI'!$A:$AZ,MATCH($A$1,'DB Country PMI'!$A$1:$AZ$1,),))</f>
        <v>50.3</v>
      </c>
      <c r="C91" s="24">
        <f>Table1346811121415161718192022[[#This Row],[PMI]]-B90</f>
        <v>-1.3000000000000043</v>
      </c>
    </row>
    <row r="92" spans="1:3" x14ac:dyDescent="0.2">
      <c r="A92" s="10">
        <v>42095</v>
      </c>
      <c r="B92" s="18">
        <f>IF(VLOOKUP(A92,'DB Country PMI'!$A:$AZ,MATCH($A$1,'DB Country PMI'!$A$1:$AZ$1,),)=0,#N/A,VLOOKUP(A92,'DB Country PMI'!$A:$AZ,MATCH($A$1,'DB Country PMI'!$A$1:$AZ$1,),))</f>
        <v>49.9</v>
      </c>
      <c r="C92" s="24">
        <f>Table1346811121415161718192022[[#This Row],[PMI]]-B91</f>
        <v>-0.39999999999999858</v>
      </c>
    </row>
    <row r="93" spans="1:3" x14ac:dyDescent="0.2">
      <c r="A93" s="10">
        <v>42125</v>
      </c>
      <c r="B93" s="18">
        <f>IF(VLOOKUP(A93,'DB Country PMI'!$A:$AZ,MATCH($A$1,'DB Country PMI'!$A$1:$AZ$1,),)=0,#N/A,VLOOKUP(A93,'DB Country PMI'!$A:$AZ,MATCH($A$1,'DB Country PMI'!$A$1:$AZ$1,),))</f>
        <v>50.9</v>
      </c>
      <c r="C93" s="24">
        <f>Table1346811121415161718192022[[#This Row],[PMI]]-B92</f>
        <v>1</v>
      </c>
    </row>
    <row r="94" spans="1:3" x14ac:dyDescent="0.2">
      <c r="A94" s="10">
        <v>42156</v>
      </c>
      <c r="B94" s="18">
        <f>IF(VLOOKUP(A94,'DB Country PMI'!$A:$AZ,MATCH($A$1,'DB Country PMI'!$A$1:$AZ$1,),)=0,#N/A,VLOOKUP(A94,'DB Country PMI'!$A:$AZ,MATCH($A$1,'DB Country PMI'!$A$1:$AZ$1,),))</f>
        <v>50.1</v>
      </c>
      <c r="C94" s="24">
        <f>Table1346811121415161718192022[[#This Row],[PMI]]-B93</f>
        <v>-0.79999999999999716</v>
      </c>
    </row>
    <row r="95" spans="1:3" x14ac:dyDescent="0.2">
      <c r="A95" s="10">
        <v>42186</v>
      </c>
      <c r="B95" s="18">
        <f>IF(VLOOKUP(A95,'DB Country PMI'!$A:$AZ,MATCH($A$1,'DB Country PMI'!$A$1:$AZ$1,),)=0,#N/A,VLOOKUP(A95,'DB Country PMI'!$A:$AZ,MATCH($A$1,'DB Country PMI'!$A$1:$AZ$1,),))</f>
        <v>51.2</v>
      </c>
      <c r="C95" s="24">
        <f>Table1346811121415161718192022[[#This Row],[PMI]]-B94</f>
        <v>1.1000000000000014</v>
      </c>
    </row>
    <row r="96" spans="1:3" x14ac:dyDescent="0.2">
      <c r="A96" s="10">
        <v>42217</v>
      </c>
      <c r="B96" s="18">
        <f>IF(VLOOKUP(A96,'DB Country PMI'!$A:$AZ,MATCH($A$1,'DB Country PMI'!$A$1:$AZ$1,),)=0,#N/A,VLOOKUP(A96,'DB Country PMI'!$A:$AZ,MATCH($A$1,'DB Country PMI'!$A$1:$AZ$1,),))</f>
        <v>51.7</v>
      </c>
      <c r="C96" s="24">
        <f>Table1346811121415161718192022[[#This Row],[PMI]]-B95</f>
        <v>0.5</v>
      </c>
    </row>
    <row r="97" spans="1:3" x14ac:dyDescent="0.2">
      <c r="A97" s="10">
        <v>42248</v>
      </c>
      <c r="B97" s="18">
        <f>IF(VLOOKUP(A97,'DB Country PMI'!$A:$AZ,MATCH($A$1,'DB Country PMI'!$A$1:$AZ$1,),)=0,#N/A,VLOOKUP(A97,'DB Country PMI'!$A:$AZ,MATCH($A$1,'DB Country PMI'!$A$1:$AZ$1,),))</f>
        <v>51</v>
      </c>
      <c r="C97" s="24">
        <f>Table1346811121415161718192022[[#This Row],[PMI]]-B96</f>
        <v>-0.70000000000000284</v>
      </c>
    </row>
    <row r="98" spans="1:3" x14ac:dyDescent="0.2">
      <c r="A98" s="10">
        <v>42278</v>
      </c>
      <c r="B98" s="18">
        <f>IF(VLOOKUP(A98,'DB Country PMI'!$A:$AZ,MATCH($A$1,'DB Country PMI'!$A$1:$AZ$1,),)=0,#N/A,VLOOKUP(A98,'DB Country PMI'!$A:$AZ,MATCH($A$1,'DB Country PMI'!$A$1:$AZ$1,),))</f>
        <v>52.4</v>
      </c>
      <c r="C98" s="24">
        <f>Table1346811121415161718192022[[#This Row],[PMI]]-B97</f>
        <v>1.3999999999999986</v>
      </c>
    </row>
    <row r="99" spans="1:3" x14ac:dyDescent="0.2">
      <c r="A99" s="10">
        <v>42309</v>
      </c>
      <c r="B99" s="18">
        <f>IF(VLOOKUP(A99,'DB Country PMI'!$A:$AZ,MATCH($A$1,'DB Country PMI'!$A$1:$AZ$1,),)=0,#N/A,VLOOKUP(A99,'DB Country PMI'!$A:$AZ,MATCH($A$1,'DB Country PMI'!$A$1:$AZ$1,),))</f>
        <v>52.6</v>
      </c>
      <c r="C99" s="24">
        <f>Table1346811121415161718192022[[#This Row],[PMI]]-B98</f>
        <v>0.20000000000000284</v>
      </c>
    </row>
    <row r="100" spans="1:3" x14ac:dyDescent="0.2">
      <c r="A100" s="10">
        <v>42339</v>
      </c>
      <c r="B100" s="18">
        <f>IF(VLOOKUP(A100,'DB Country PMI'!$A:$AZ,MATCH($A$1,'DB Country PMI'!$A$1:$AZ$1,),)=0,#N/A,VLOOKUP(A100,'DB Country PMI'!$A:$AZ,MATCH($A$1,'DB Country PMI'!$A$1:$AZ$1,),))</f>
        <v>52.6</v>
      </c>
      <c r="C100" s="24">
        <f>Table1346811121415161718192022[[#This Row],[PMI]]-B99</f>
        <v>0</v>
      </c>
    </row>
    <row r="101" spans="1:3" x14ac:dyDescent="0.2">
      <c r="A101" s="10">
        <v>42370</v>
      </c>
      <c r="B101" s="18">
        <f>IF(VLOOKUP(A101,'DB Country PMI'!$A:$AZ,MATCH($A$1,'DB Country PMI'!$A$1:$AZ$1,),)=0,#N/A,VLOOKUP(A101,'DB Country PMI'!$A:$AZ,MATCH($A$1,'DB Country PMI'!$A$1:$AZ$1,),))</f>
        <v>52.3</v>
      </c>
      <c r="C101" s="24">
        <f>Table1346811121415161718192022[[#This Row],[PMI]]-B100</f>
        <v>-0.30000000000000426</v>
      </c>
    </row>
    <row r="102" spans="1:3" x14ac:dyDescent="0.2">
      <c r="A102" s="10">
        <v>42401</v>
      </c>
      <c r="B102" s="18">
        <f>IF(VLOOKUP(A102,'DB Country PMI'!$A:$AZ,MATCH($A$1,'DB Country PMI'!$A$1:$AZ$1,),)=0,#N/A,VLOOKUP(A102,'DB Country PMI'!$A:$AZ,MATCH($A$1,'DB Country PMI'!$A$1:$AZ$1,),))</f>
        <v>50.1</v>
      </c>
      <c r="C102" s="24">
        <f>Table1346811121415161718192022[[#This Row],[PMI]]-B101</f>
        <v>-2.1999999999999957</v>
      </c>
    </row>
    <row r="103" spans="1:3" x14ac:dyDescent="0.2">
      <c r="A103" s="10">
        <v>42430</v>
      </c>
      <c r="B103" s="18">
        <f>IF(VLOOKUP(A103,'DB Country PMI'!$A:$AZ,MATCH($A$1,'DB Country PMI'!$A$1:$AZ$1,),)=0,#N/A,VLOOKUP(A103,'DB Country PMI'!$A:$AZ,MATCH($A$1,'DB Country PMI'!$A$1:$AZ$1,),))</f>
        <v>49.1</v>
      </c>
      <c r="C103" s="24">
        <f>Table1346811121415161718192022[[#This Row],[PMI]]-B102</f>
        <v>-1</v>
      </c>
    </row>
    <row r="104" spans="1:3" x14ac:dyDescent="0.2">
      <c r="A104" s="10">
        <v>42461</v>
      </c>
      <c r="B104" s="18">
        <f>IF(VLOOKUP(A104,'DB Country PMI'!$A:$AZ,MATCH($A$1,'DB Country PMI'!$A$1:$AZ$1,),)=0,#N/A,VLOOKUP(A104,'DB Country PMI'!$A:$AZ,MATCH($A$1,'DB Country PMI'!$A$1:$AZ$1,),))</f>
        <v>48.2</v>
      </c>
      <c r="C104" s="24">
        <f>Table1346811121415161718192022[[#This Row],[PMI]]-B103</f>
        <v>-0.89999999999999858</v>
      </c>
    </row>
    <row r="105" spans="1:3" x14ac:dyDescent="0.2">
      <c r="A105" s="10">
        <v>42491</v>
      </c>
      <c r="B105" s="18">
        <f>IF(VLOOKUP(A105,'DB Country PMI'!$A:$AZ,MATCH($A$1,'DB Country PMI'!$A$1:$AZ$1,),)=0,#N/A,VLOOKUP(A105,'DB Country PMI'!$A:$AZ,MATCH($A$1,'DB Country PMI'!$A$1:$AZ$1,),))</f>
        <v>47.7</v>
      </c>
      <c r="C105" s="24">
        <f>Table1346811121415161718192022[[#This Row],[PMI]]-B104</f>
        <v>-0.5</v>
      </c>
    </row>
    <row r="106" spans="1:3" x14ac:dyDescent="0.2">
      <c r="A106" s="10">
        <v>42522</v>
      </c>
      <c r="B106" s="18">
        <f>IF(VLOOKUP(A106,'DB Country PMI'!$A:$AZ,MATCH($A$1,'DB Country PMI'!$A$1:$AZ$1,),)=0,#N/A,VLOOKUP(A106,'DB Country PMI'!$A:$AZ,MATCH($A$1,'DB Country PMI'!$A$1:$AZ$1,),))</f>
        <v>48.1</v>
      </c>
      <c r="C106" s="24">
        <f>Table1346811121415161718192022[[#This Row],[PMI]]-B105</f>
        <v>0.39999999999999858</v>
      </c>
    </row>
    <row r="107" spans="1:3" x14ac:dyDescent="0.2">
      <c r="A107" s="10">
        <v>42552</v>
      </c>
      <c r="B107" s="18">
        <f>IF(VLOOKUP(A107,'DB Country PMI'!$A:$AZ,MATCH($A$1,'DB Country PMI'!$A$1:$AZ$1,),)=0,#N/A,VLOOKUP(A107,'DB Country PMI'!$A:$AZ,MATCH($A$1,'DB Country PMI'!$A$1:$AZ$1,),))</f>
        <v>49.3</v>
      </c>
      <c r="C107" s="24">
        <f>Table1346811121415161718192022[[#This Row],[PMI]]-B106</f>
        <v>1.1999999999999957</v>
      </c>
    </row>
    <row r="108" spans="1:3" x14ac:dyDescent="0.2">
      <c r="A108" s="10">
        <v>42583</v>
      </c>
      <c r="B108" s="18">
        <f>IF(VLOOKUP(A108,'DB Country PMI'!$A:$AZ,MATCH($A$1,'DB Country PMI'!$A$1:$AZ$1,),)=0,#N/A,VLOOKUP(A108,'DB Country PMI'!$A:$AZ,MATCH($A$1,'DB Country PMI'!$A$1:$AZ$1,),))</f>
        <v>49.5</v>
      </c>
      <c r="C108" s="24">
        <f>Table1346811121415161718192022[[#This Row],[PMI]]-B107</f>
        <v>0.20000000000000284</v>
      </c>
    </row>
    <row r="109" spans="1:3" x14ac:dyDescent="0.2">
      <c r="A109" s="10">
        <v>42614</v>
      </c>
      <c r="B109" s="18">
        <f>IF(VLOOKUP(A109,'DB Country PMI'!$A:$AZ,MATCH($A$1,'DB Country PMI'!$A$1:$AZ$1,),)=0,#N/A,VLOOKUP(A109,'DB Country PMI'!$A:$AZ,MATCH($A$1,'DB Country PMI'!$A$1:$AZ$1,),))</f>
        <v>50.4</v>
      </c>
      <c r="C109" s="24">
        <f>Table1346811121415161718192022[[#This Row],[PMI]]-B108</f>
        <v>0.89999999999999858</v>
      </c>
    </row>
    <row r="110" spans="1:3" x14ac:dyDescent="0.2">
      <c r="A110" s="10">
        <v>42644</v>
      </c>
      <c r="B110" s="18">
        <f>IF(VLOOKUP(A110,'DB Country PMI'!$A:$AZ,MATCH($A$1,'DB Country PMI'!$A$1:$AZ$1,),)=0,#N/A,VLOOKUP(A110,'DB Country PMI'!$A:$AZ,MATCH($A$1,'DB Country PMI'!$A$1:$AZ$1,),))</f>
        <v>51.4</v>
      </c>
      <c r="C110" s="24">
        <f>Table1346811121415161718192022[[#This Row],[PMI]]-B109</f>
        <v>1</v>
      </c>
    </row>
    <row r="111" spans="1:3" x14ac:dyDescent="0.2">
      <c r="A111" s="10">
        <v>42675</v>
      </c>
      <c r="B111" s="18">
        <f>IF(VLOOKUP(A111,'DB Country PMI'!$A:$AZ,MATCH($A$1,'DB Country PMI'!$A$1:$AZ$1,),)=0,#N/A,VLOOKUP(A111,'DB Country PMI'!$A:$AZ,MATCH($A$1,'DB Country PMI'!$A$1:$AZ$1,),))</f>
        <v>51.3</v>
      </c>
      <c r="C111" s="24">
        <f>Table1346811121415161718192022[[#This Row],[PMI]]-B110</f>
        <v>-0.10000000000000142</v>
      </c>
    </row>
    <row r="112" spans="1:3" x14ac:dyDescent="0.2">
      <c r="A112" s="10">
        <v>42705</v>
      </c>
      <c r="B112" s="18">
        <f>IF(VLOOKUP(A112,'DB Country PMI'!$A:$AZ,MATCH($A$1,'DB Country PMI'!$A$1:$AZ$1,),)=0,#N/A,VLOOKUP(A112,'DB Country PMI'!$A:$AZ,MATCH($A$1,'DB Country PMI'!$A$1:$AZ$1,),))</f>
        <v>52.4</v>
      </c>
      <c r="C112" s="24">
        <f>Table1346811121415161718192022[[#This Row],[PMI]]-B111</f>
        <v>1.1000000000000014</v>
      </c>
    </row>
    <row r="113" spans="1:3" x14ac:dyDescent="0.2">
      <c r="A113" s="10">
        <v>42736</v>
      </c>
      <c r="B113" s="18">
        <f>IF(VLOOKUP(A113,'DB Country PMI'!$A:$AZ,MATCH($A$1,'DB Country PMI'!$A$1:$AZ$1,),)=0,#N/A,VLOOKUP(A113,'DB Country PMI'!$A:$AZ,MATCH($A$1,'DB Country PMI'!$A$1:$AZ$1,),))</f>
        <v>52.7</v>
      </c>
      <c r="C113" s="24">
        <f>Table1346811121415161718192022[[#This Row],[PMI]]-B112</f>
        <v>0.30000000000000426</v>
      </c>
    </row>
    <row r="114" spans="1:3" x14ac:dyDescent="0.2">
      <c r="A114" s="10">
        <v>42767</v>
      </c>
      <c r="B114" s="18">
        <f>IF(VLOOKUP(A114,'DB Country PMI'!$A:$AZ,MATCH($A$1,'DB Country PMI'!$A$1:$AZ$1,),)=0,#N/A,VLOOKUP(A114,'DB Country PMI'!$A:$AZ,MATCH($A$1,'DB Country PMI'!$A$1:$AZ$1,),))</f>
        <v>53.3</v>
      </c>
      <c r="C114" s="24">
        <f>Table1346811121415161718192022[[#This Row],[PMI]]-B113</f>
        <v>0.59999999999999432</v>
      </c>
    </row>
    <row r="115" spans="1:3" x14ac:dyDescent="0.2">
      <c r="A115" s="10">
        <v>42795</v>
      </c>
      <c r="B115" s="18">
        <f>IF(VLOOKUP(A115,'DB Country PMI'!$A:$AZ,MATCH($A$1,'DB Country PMI'!$A$1:$AZ$1,),)=0,#N/A,VLOOKUP(A115,'DB Country PMI'!$A:$AZ,MATCH($A$1,'DB Country PMI'!$A$1:$AZ$1,),))</f>
        <v>52.4</v>
      </c>
      <c r="C115" s="24">
        <f>Table1346811121415161718192022[[#This Row],[PMI]]-B114</f>
        <v>-0.89999999999999858</v>
      </c>
    </row>
    <row r="116" spans="1:3" x14ac:dyDescent="0.2">
      <c r="A116" s="10">
        <v>42826</v>
      </c>
      <c r="B116" s="18">
        <f>IF(VLOOKUP(A116,'DB Country PMI'!$A:$AZ,MATCH($A$1,'DB Country PMI'!$A$1:$AZ$1,),)=0,#N/A,VLOOKUP(A116,'DB Country PMI'!$A:$AZ,MATCH($A$1,'DB Country PMI'!$A$1:$AZ$1,),))</f>
        <v>52.7</v>
      </c>
      <c r="C116" s="24">
        <f>Table1346811121415161718192022[[#This Row],[PMI]]-B115</f>
        <v>0.30000000000000426</v>
      </c>
    </row>
    <row r="117" spans="1:3" x14ac:dyDescent="0.2">
      <c r="A117" s="10">
        <v>42856</v>
      </c>
      <c r="B117" s="18">
        <f>IF(VLOOKUP(A117,'DB Country PMI'!$A:$AZ,MATCH($A$1,'DB Country PMI'!$A$1:$AZ$1,),)=0,#N/A,VLOOKUP(A117,'DB Country PMI'!$A:$AZ,MATCH($A$1,'DB Country PMI'!$A$1:$AZ$1,),))</f>
        <v>53.1</v>
      </c>
      <c r="C117" s="24">
        <f>Table1346811121415161718192022[[#This Row],[PMI]]-B116</f>
        <v>0.39999999999999858</v>
      </c>
    </row>
    <row r="118" spans="1:3" x14ac:dyDescent="0.2">
      <c r="A118" s="10">
        <v>42887</v>
      </c>
      <c r="B118" s="18">
        <f>IF(VLOOKUP(A118,'DB Country PMI'!$A:$AZ,MATCH($A$1,'DB Country PMI'!$A$1:$AZ$1,),)=0,#N/A,VLOOKUP(A118,'DB Country PMI'!$A:$AZ,MATCH($A$1,'DB Country PMI'!$A$1:$AZ$1,),))</f>
        <v>52.4</v>
      </c>
      <c r="C118" s="24">
        <f>Table1346811121415161718192022[[#This Row],[PMI]]-B117</f>
        <v>-0.70000000000000284</v>
      </c>
    </row>
    <row r="119" spans="1:3" x14ac:dyDescent="0.2">
      <c r="A119" s="10">
        <v>42917</v>
      </c>
      <c r="B119" s="18">
        <f>IF(VLOOKUP(A119,'DB Country PMI'!$A:$AZ,MATCH($A$1,'DB Country PMI'!$A$1:$AZ$1,),)=0,#N/A,VLOOKUP(A119,'DB Country PMI'!$A:$AZ,MATCH($A$1,'DB Country PMI'!$A$1:$AZ$1,),))</f>
        <v>52.1</v>
      </c>
      <c r="C119" s="24">
        <f>Table1346811121415161718192022[[#This Row],[PMI]]-B118</f>
        <v>-0.29999999999999716</v>
      </c>
    </row>
    <row r="120" spans="1:3" x14ac:dyDescent="0.2">
      <c r="A120" s="10">
        <v>42948</v>
      </c>
      <c r="B120" s="18">
        <f>IF(VLOOKUP(A120,'DB Country PMI'!$A:$AZ,MATCH($A$1,'DB Country PMI'!$A$1:$AZ$1,),)=0,#N/A,VLOOKUP(A120,'DB Country PMI'!$A:$AZ,MATCH($A$1,'DB Country PMI'!$A$1:$AZ$1,),))</f>
        <v>52.2</v>
      </c>
      <c r="C120" s="24">
        <f>Table1346811121415161718192022[[#This Row],[PMI]]-B119</f>
        <v>0.10000000000000142</v>
      </c>
    </row>
    <row r="121" spans="1:3" x14ac:dyDescent="0.2">
      <c r="A121" s="10">
        <v>42979</v>
      </c>
      <c r="B121" s="18">
        <f>IF(VLOOKUP(A121,'DB Country PMI'!$A:$AZ,MATCH($A$1,'DB Country PMI'!$A$1:$AZ$1,),)=0,#N/A,VLOOKUP(A121,'DB Country PMI'!$A:$AZ,MATCH($A$1,'DB Country PMI'!$A$1:$AZ$1,),))</f>
        <v>52.9</v>
      </c>
      <c r="C121" s="24">
        <f>Table1346811121415161718192022[[#This Row],[PMI]]-B120</f>
        <v>0.69999999999999574</v>
      </c>
    </row>
    <row r="122" spans="1:3" x14ac:dyDescent="0.2">
      <c r="A122" s="10">
        <v>43009</v>
      </c>
      <c r="B122" s="18">
        <f>IF(VLOOKUP(A122,'DB Country PMI'!$A:$AZ,MATCH($A$1,'DB Country PMI'!$A$1:$AZ$1,),)=0,#N/A,VLOOKUP(A122,'DB Country PMI'!$A:$AZ,MATCH($A$1,'DB Country PMI'!$A$1:$AZ$1,),))</f>
        <v>52.8</v>
      </c>
      <c r="C122" s="24">
        <f>Table1346811121415161718192022[[#This Row],[PMI]]-B121</f>
        <v>-0.10000000000000142</v>
      </c>
    </row>
    <row r="123" spans="1:3" x14ac:dyDescent="0.2">
      <c r="A123" s="10">
        <v>43040</v>
      </c>
      <c r="B123" s="18">
        <f>IF(VLOOKUP(A123,'DB Country PMI'!$A:$AZ,MATCH($A$1,'DB Country PMI'!$A$1:$AZ$1,),)=0,#N/A,VLOOKUP(A123,'DB Country PMI'!$A:$AZ,MATCH($A$1,'DB Country PMI'!$A$1:$AZ$1,),))</f>
        <v>53.6</v>
      </c>
      <c r="C123" s="24">
        <f>Table1346811121415161718192022[[#This Row],[PMI]]-B122</f>
        <v>0.80000000000000426</v>
      </c>
    </row>
    <row r="124" spans="1:3" x14ac:dyDescent="0.2">
      <c r="A124" s="10">
        <v>43070</v>
      </c>
      <c r="B124" s="18">
        <f>IF(VLOOKUP(A124,'DB Country PMI'!$A:$AZ,MATCH($A$1,'DB Country PMI'!$A$1:$AZ$1,),)=0,#N/A,VLOOKUP(A124,'DB Country PMI'!$A:$AZ,MATCH($A$1,'DB Country PMI'!$A$1:$AZ$1,),))</f>
        <v>54</v>
      </c>
      <c r="C124" s="24">
        <f>Table1346811121415161718192022[[#This Row],[PMI]]-B123</f>
        <v>0.39999999999999858</v>
      </c>
    </row>
    <row r="125" spans="1:3" x14ac:dyDescent="0.2">
      <c r="A125" s="10">
        <v>43101</v>
      </c>
      <c r="B125" s="18">
        <f>IF(VLOOKUP(A125,'DB Country PMI'!$A:$AZ,MATCH($A$1,'DB Country PMI'!$A$1:$AZ$1,),)=0,#N/A,VLOOKUP(A125,'DB Country PMI'!$A:$AZ,MATCH($A$1,'DB Country PMI'!$A$1:$AZ$1,),))</f>
        <v>54.8</v>
      </c>
      <c r="C125" s="24">
        <f>Table1346811121415161718192022[[#This Row],[PMI]]-B124</f>
        <v>0.79999999999999716</v>
      </c>
    </row>
    <row r="126" spans="1:3" x14ac:dyDescent="0.2">
      <c r="A126" s="10">
        <v>43132</v>
      </c>
      <c r="B126" s="18">
        <f>IF(VLOOKUP(A126,'DB Country PMI'!$A:$AZ,MATCH($A$1,'DB Country PMI'!$A$1:$AZ$1,),)=0,#N/A,VLOOKUP(A126,'DB Country PMI'!$A:$AZ,MATCH($A$1,'DB Country PMI'!$A$1:$AZ$1,),))</f>
        <v>54.1</v>
      </c>
      <c r="C126" s="24">
        <f>Table1346811121415161718192022[[#This Row],[PMI]]-B125</f>
        <v>-0.69999999999999574</v>
      </c>
    </row>
    <row r="127" spans="1:3" x14ac:dyDescent="0.2">
      <c r="A127" s="10">
        <v>43160</v>
      </c>
      <c r="B127" s="18">
        <f>IF(VLOOKUP(A127,'DB Country PMI'!$A:$AZ,MATCH($A$1,'DB Country PMI'!$A$1:$AZ$1,),)=0,#N/A,VLOOKUP(A127,'DB Country PMI'!$A:$AZ,MATCH($A$1,'DB Country PMI'!$A$1:$AZ$1,),))</f>
        <v>53.2</v>
      </c>
      <c r="C127" s="24">
        <f>Table1346811121415161718192022[[#This Row],[PMI]]-B126</f>
        <v>-0.89999999999999858</v>
      </c>
    </row>
    <row r="128" spans="1:3" x14ac:dyDescent="0.2">
      <c r="A128" s="10">
        <v>43191</v>
      </c>
      <c r="B128" s="18">
        <f>IF(VLOOKUP(A128,'DB Country PMI'!$A:$AZ,MATCH($A$1,'DB Country PMI'!$A$1:$AZ$1,),)=0,#N/A,VLOOKUP(A128,'DB Country PMI'!$A:$AZ,MATCH($A$1,'DB Country PMI'!$A$1:$AZ$1,),))</f>
        <v>53.8</v>
      </c>
      <c r="C128" s="24">
        <f>Table1346811121415161718192022[[#This Row],[PMI]]-B127</f>
        <v>0.59999999999999432</v>
      </c>
    </row>
    <row r="129" spans="1:3" x14ac:dyDescent="0.2">
      <c r="A129" s="10">
        <v>43221</v>
      </c>
      <c r="B129" s="18">
        <f>IF(VLOOKUP(A129,'DB Country PMI'!$A:$AZ,MATCH($A$1,'DB Country PMI'!$A$1:$AZ$1,),)=0,#N/A,VLOOKUP(A129,'DB Country PMI'!$A:$AZ,MATCH($A$1,'DB Country PMI'!$A$1:$AZ$1,),))</f>
        <v>52.8</v>
      </c>
      <c r="C129" s="24">
        <f>Table1346811121415161718192022[[#This Row],[PMI]]-B128</f>
        <v>-1</v>
      </c>
    </row>
    <row r="130" spans="1:3" x14ac:dyDescent="0.2">
      <c r="A130" s="10">
        <v>43252</v>
      </c>
      <c r="B130" s="18">
        <f>IF(VLOOKUP(A130,'DB Country PMI'!$A:$AZ,MATCH($A$1,'DB Country PMI'!$A$1:$AZ$1,),)=0,#N/A,VLOOKUP(A130,'DB Country PMI'!$A:$AZ,MATCH($A$1,'DB Country PMI'!$A$1:$AZ$1,),))</f>
        <v>53</v>
      </c>
      <c r="C130" s="24">
        <f>Table1346811121415161718192022[[#This Row],[PMI]]-B129</f>
        <v>0.20000000000000284</v>
      </c>
    </row>
    <row r="131" spans="1:3" x14ac:dyDescent="0.2">
      <c r="A131" s="10">
        <v>43282</v>
      </c>
      <c r="B131" s="18">
        <f>IF(VLOOKUP(A131,'DB Country PMI'!$A:$AZ,MATCH($A$1,'DB Country PMI'!$A$1:$AZ$1,),)=0,#N/A,VLOOKUP(A131,'DB Country PMI'!$A:$AZ,MATCH($A$1,'DB Country PMI'!$A$1:$AZ$1,),))</f>
        <v>52.3</v>
      </c>
      <c r="C131" s="24">
        <f>Table1346811121415161718192022[[#This Row],[PMI]]-B130</f>
        <v>-0.70000000000000284</v>
      </c>
    </row>
    <row r="132" spans="1:3" x14ac:dyDescent="0.2">
      <c r="A132" s="10">
        <v>43313</v>
      </c>
      <c r="B132" s="18">
        <f>IF(VLOOKUP(A132,'DB Country PMI'!$A:$AZ,MATCH($A$1,'DB Country PMI'!$A$1:$AZ$1,),)=0,#N/A,VLOOKUP(A132,'DB Country PMI'!$A:$AZ,MATCH($A$1,'DB Country PMI'!$A$1:$AZ$1,),))</f>
        <v>52.5</v>
      </c>
      <c r="C132" s="24">
        <f>Table1346811121415161718192022[[#This Row],[PMI]]-B131</f>
        <v>0.20000000000000284</v>
      </c>
    </row>
    <row r="133" spans="1:3" x14ac:dyDescent="0.2">
      <c r="A133" s="10">
        <v>43344</v>
      </c>
      <c r="B133" s="18">
        <f>IF(VLOOKUP(A133,'DB Country PMI'!$A:$AZ,MATCH($A$1,'DB Country PMI'!$A$1:$AZ$1,),)=0,#N/A,VLOOKUP(A133,'DB Country PMI'!$A:$AZ,MATCH($A$1,'DB Country PMI'!$A$1:$AZ$1,),))</f>
        <v>52.5</v>
      </c>
      <c r="C133" s="24">
        <f>Table1346811121415161718192022[[#This Row],[PMI]]-B132</f>
        <v>0</v>
      </c>
    </row>
    <row r="134" spans="1:3" x14ac:dyDescent="0.2">
      <c r="A134" s="10">
        <v>43374</v>
      </c>
      <c r="B134" s="18">
        <f>IF(VLOOKUP(A134,'DB Country PMI'!$A:$AZ,MATCH($A$1,'DB Country PMI'!$A$1:$AZ$1,),)=0,#N/A,VLOOKUP(A134,'DB Country PMI'!$A:$AZ,MATCH($A$1,'DB Country PMI'!$A$1:$AZ$1,),))</f>
        <v>52.9</v>
      </c>
      <c r="C134" s="24">
        <f>Table1346811121415161718192022[[#This Row],[PMI]]-B133</f>
        <v>0.39999999999999858</v>
      </c>
    </row>
    <row r="135" spans="1:3" x14ac:dyDescent="0.2">
      <c r="A135" s="10">
        <v>43405</v>
      </c>
      <c r="B135" s="18">
        <f>IF(VLOOKUP(A135,'DB Country PMI'!$A:$AZ,MATCH($A$1,'DB Country PMI'!$A$1:$AZ$1,),)=0,#N/A,VLOOKUP(A135,'DB Country PMI'!$A:$AZ,MATCH($A$1,'DB Country PMI'!$A$1:$AZ$1,),))</f>
        <v>52.2</v>
      </c>
      <c r="C135" s="24">
        <f>Table1346811121415161718192022[[#This Row],[PMI]]-B134</f>
        <v>-0.69999999999999574</v>
      </c>
    </row>
    <row r="136" spans="1:3" x14ac:dyDescent="0.2">
      <c r="A136" s="10">
        <v>43435</v>
      </c>
      <c r="B136" s="18">
        <f>IF(VLOOKUP(A136,'DB Country PMI'!$A:$AZ,MATCH($A$1,'DB Country PMI'!$A$1:$AZ$1,),)=0,#N/A,VLOOKUP(A136,'DB Country PMI'!$A:$AZ,MATCH($A$1,'DB Country PMI'!$A$1:$AZ$1,),))</f>
        <v>52.4</v>
      </c>
      <c r="C136" s="24">
        <f>Table1346811121415161718192022[[#This Row],[PMI]]-B135</f>
        <v>0.19999999999999574</v>
      </c>
    </row>
    <row r="137" spans="1:3" x14ac:dyDescent="0.2">
      <c r="A137" s="10">
        <v>43466</v>
      </c>
      <c r="B137" s="18">
        <f>IF(VLOOKUP(A137,'DB Country PMI'!$A:$AZ,MATCH($A$1,'DB Country PMI'!$A$1:$AZ$1,),)=0,#N/A,VLOOKUP(A137,'DB Country PMI'!$A:$AZ,MATCH($A$1,'DB Country PMI'!$A$1:$AZ$1,),))</f>
        <v>50.3</v>
      </c>
      <c r="C137" s="24">
        <f>Table1346811121415161718192022[[#This Row],[PMI]]-B136</f>
        <v>-2.1000000000000014</v>
      </c>
    </row>
    <row r="138" spans="1:3" x14ac:dyDescent="0.2">
      <c r="A138" s="10">
        <v>43497</v>
      </c>
      <c r="B138" s="18">
        <f>IF(VLOOKUP(A138,'DB Country PMI'!$A:$AZ,MATCH($A$1,'DB Country PMI'!$A$1:$AZ$1,),)=0,#N/A,VLOOKUP(A138,'DB Country PMI'!$A:$AZ,MATCH($A$1,'DB Country PMI'!$A$1:$AZ$1,),))</f>
        <v>48.9</v>
      </c>
      <c r="C138" s="24">
        <f>Table1346811121415161718192022[[#This Row],[PMI]]-B137</f>
        <v>-1.3999999999999986</v>
      </c>
    </row>
    <row r="139" spans="1:3" x14ac:dyDescent="0.2">
      <c r="A139" s="10">
        <v>43525</v>
      </c>
      <c r="B139" s="18">
        <f>IF(VLOOKUP(A139,'DB Country PMI'!$A:$AZ,MATCH($A$1,'DB Country PMI'!$A$1:$AZ$1,),)=0,#N/A,VLOOKUP(A139,'DB Country PMI'!$A:$AZ,MATCH($A$1,'DB Country PMI'!$A$1:$AZ$1,),))</f>
        <v>49.2</v>
      </c>
      <c r="C139" s="24">
        <f>Table1346811121415161718192022[[#This Row],[PMI]]-B138</f>
        <v>0.30000000000000426</v>
      </c>
    </row>
    <row r="140" spans="1:3" x14ac:dyDescent="0.2">
      <c r="A140" s="10">
        <v>43556</v>
      </c>
      <c r="B140" s="18">
        <f>IF(VLOOKUP(A140,'DB Country PMI'!$A:$AZ,MATCH($A$1,'DB Country PMI'!$A$1:$AZ$1,),)=0,#N/A,VLOOKUP(A140,'DB Country PMI'!$A:$AZ,MATCH($A$1,'DB Country PMI'!$A$1:$AZ$1,),))</f>
        <v>49.5</v>
      </c>
      <c r="C140" s="24">
        <f>Table1346811121415161718192022[[#This Row],[PMI]]-B139</f>
        <v>0.29999999999999716</v>
      </c>
    </row>
    <row r="141" spans="1:3" x14ac:dyDescent="0.2">
      <c r="A141" s="10">
        <v>43586</v>
      </c>
      <c r="B141" s="18">
        <f>IF(VLOOKUP(A141,'DB Country PMI'!$A:$AZ,MATCH($A$1,'DB Country PMI'!$A$1:$AZ$1,),)=0,#N/A,VLOOKUP(A141,'DB Country PMI'!$A:$AZ,MATCH($A$1,'DB Country PMI'!$A$1:$AZ$1,),))</f>
        <v>49.8</v>
      </c>
      <c r="C141" s="24">
        <f>Table1346811121415161718192022[[#This Row],[PMI]]-B140</f>
        <v>0.29999999999999716</v>
      </c>
    </row>
    <row r="142" spans="1:3" x14ac:dyDescent="0.2">
      <c r="A142" s="10">
        <v>43617</v>
      </c>
      <c r="B142" s="18">
        <f>IF(VLOOKUP(A142,'DB Country PMI'!$A:$AZ,MATCH($A$1,'DB Country PMI'!$A$1:$AZ$1,),)=0,#N/A,VLOOKUP(A142,'DB Country PMI'!$A:$AZ,MATCH($A$1,'DB Country PMI'!$A$1:$AZ$1,),))</f>
        <v>49.3</v>
      </c>
      <c r="C142" s="24">
        <f>Table1346811121415161718192022[[#This Row],[PMI]]-B141</f>
        <v>-0.5</v>
      </c>
    </row>
    <row r="143" spans="1:3" x14ac:dyDescent="0.2">
      <c r="A143" s="10">
        <v>43647</v>
      </c>
      <c r="B143" s="18">
        <f>IF(VLOOKUP(A143,'DB Country PMI'!$A:$AZ,MATCH($A$1,'DB Country PMI'!$A$1:$AZ$1,),)=0,#N/A,VLOOKUP(A143,'DB Country PMI'!$A:$AZ,MATCH($A$1,'DB Country PMI'!$A$1:$AZ$1,),))</f>
        <v>49.4</v>
      </c>
      <c r="C143" s="24">
        <f>Table1346811121415161718192022[[#This Row],[PMI]]-B142</f>
        <v>0.10000000000000142</v>
      </c>
    </row>
    <row r="144" spans="1:3" x14ac:dyDescent="0.2">
      <c r="A144" s="10">
        <v>43678</v>
      </c>
      <c r="B144" s="18">
        <f>IF(VLOOKUP(A144,'DB Country PMI'!$A:$AZ,MATCH($A$1,'DB Country PMI'!$A$1:$AZ$1,),)=0,#N/A,VLOOKUP(A144,'DB Country PMI'!$A:$AZ,MATCH($A$1,'DB Country PMI'!$A$1:$AZ$1,),))</f>
        <v>49.3</v>
      </c>
      <c r="C144" s="24">
        <f>Table1346811121415161718192022[[#This Row],[PMI]]-B143</f>
        <v>-0.10000000000000142</v>
      </c>
    </row>
    <row r="145" spans="1:3" x14ac:dyDescent="0.2">
      <c r="A145" s="10">
        <v>43709</v>
      </c>
      <c r="B145" s="18">
        <f>IF(VLOOKUP(A145,'DB Country PMI'!$A:$AZ,MATCH($A$1,'DB Country PMI'!$A$1:$AZ$1,),)=0,#N/A,VLOOKUP(A145,'DB Country PMI'!$A:$AZ,MATCH($A$1,'DB Country PMI'!$A$1:$AZ$1,),))</f>
        <v>48.9</v>
      </c>
      <c r="C145" s="24">
        <f>Table1346811121415161718192022[[#This Row],[PMI]]-B144</f>
        <v>-0.39999999999999858</v>
      </c>
    </row>
    <row r="146" spans="1:3" x14ac:dyDescent="0.2">
      <c r="A146" s="10">
        <v>43739</v>
      </c>
      <c r="B146" s="18">
        <f>IF(VLOOKUP(A146,'DB Country PMI'!$A:$AZ,MATCH($A$1,'DB Country PMI'!$A$1:$AZ$1,),)=0,#N/A,VLOOKUP(A146,'DB Country PMI'!$A:$AZ,MATCH($A$1,'DB Country PMI'!$A$1:$AZ$1,),))</f>
        <v>48.4</v>
      </c>
      <c r="C146" s="24">
        <f>Table1346811121415161718192022[[#This Row],[PMI]]-B145</f>
        <v>-0.5</v>
      </c>
    </row>
    <row r="147" spans="1:3" x14ac:dyDescent="0.2">
      <c r="A147" s="10">
        <v>43770</v>
      </c>
      <c r="B147" s="18">
        <f>IF(VLOOKUP(A147,'DB Country PMI'!$A:$AZ,MATCH($A$1,'DB Country PMI'!$A$1:$AZ$1,),)=0,#N/A,VLOOKUP(A147,'DB Country PMI'!$A:$AZ,MATCH($A$1,'DB Country PMI'!$A$1:$AZ$1,),))</f>
        <v>48.9</v>
      </c>
      <c r="C147" s="24">
        <f>Table1346811121415161718192022[[#This Row],[PMI]]-B146</f>
        <v>0.5</v>
      </c>
    </row>
    <row r="148" spans="1:3" x14ac:dyDescent="0.2">
      <c r="A148" s="10">
        <v>43800</v>
      </c>
      <c r="B148" s="18">
        <f>IF(VLOOKUP(A148,'DB Country PMI'!$A:$AZ,MATCH($A$1,'DB Country PMI'!$A$1:$AZ$1,),)=0,#N/A,VLOOKUP(A148,'DB Country PMI'!$A:$AZ,MATCH($A$1,'DB Country PMI'!$A$1:$AZ$1,),))</f>
        <v>48.4</v>
      </c>
      <c r="C148" s="24">
        <f>Table1346811121415161718192022[[#This Row],[PMI]]-B147</f>
        <v>-0.5</v>
      </c>
    </row>
    <row r="149" spans="1:3" x14ac:dyDescent="0.2">
      <c r="A149" s="10">
        <v>43831</v>
      </c>
      <c r="B149" s="18">
        <f>IF(VLOOKUP(A149,'DB Country PMI'!$A:$AZ,MATCH($A$1,'DB Country PMI'!$A$1:$AZ$1,),)=0,#N/A,VLOOKUP(A149,'DB Country PMI'!$A:$AZ,MATCH($A$1,'DB Country PMI'!$A$1:$AZ$1,),))</f>
        <v>48.8</v>
      </c>
      <c r="C149" s="24">
        <f>Table1346811121415161718192022[[#This Row],[PMI]]-B148</f>
        <v>0.39999999999999858</v>
      </c>
    </row>
    <row r="150" spans="1:3" x14ac:dyDescent="0.2">
      <c r="A150" s="10">
        <v>43862</v>
      </c>
      <c r="B150" s="18">
        <f>IF(VLOOKUP(A150,'DB Country PMI'!$A:$AZ,MATCH($A$1,'DB Country PMI'!$A$1:$AZ$1,),)=0,#N/A,VLOOKUP(A150,'DB Country PMI'!$A:$AZ,MATCH($A$1,'DB Country PMI'!$A$1:$AZ$1,),))</f>
        <v>47.8</v>
      </c>
      <c r="C150" s="24">
        <f>Table1346811121415161718192022[[#This Row],[PMI]]-B149</f>
        <v>-1</v>
      </c>
    </row>
    <row r="151" spans="1:3" x14ac:dyDescent="0.2">
      <c r="A151" s="10">
        <v>43891</v>
      </c>
      <c r="B151" s="18">
        <f>IF(VLOOKUP(A151,'DB Country PMI'!$A:$AZ,MATCH($A$1,'DB Country PMI'!$A$1:$AZ$1,),)=0,#N/A,VLOOKUP(A151,'DB Country PMI'!$A:$AZ,MATCH($A$1,'DB Country PMI'!$A$1:$AZ$1,),))</f>
        <v>44.2</v>
      </c>
      <c r="C151" s="24">
        <f>Table1346811121415161718192022[[#This Row],[PMI]]-B150</f>
        <v>-3.5999999999999943</v>
      </c>
    </row>
    <row r="152" spans="1:3" x14ac:dyDescent="0.2">
      <c r="A152" s="10">
        <v>43922</v>
      </c>
      <c r="B152" s="18">
        <f>IF(VLOOKUP(A152,'DB Country PMI'!$A:$AZ,MATCH($A$1,'DB Country PMI'!$A$1:$AZ$1,),)=0,#N/A,VLOOKUP(A152,'DB Country PMI'!$A:$AZ,MATCH($A$1,'DB Country PMI'!$A$1:$AZ$1,),))</f>
        <v>41.9</v>
      </c>
      <c r="C152" s="24">
        <f>Table1346811121415161718192022[[#This Row],[PMI]]-B151</f>
        <v>-2.3000000000000043</v>
      </c>
    </row>
    <row r="153" spans="1:3" x14ac:dyDescent="0.2">
      <c r="A153" s="10">
        <v>43952</v>
      </c>
      <c r="B153" s="18">
        <f>IF(VLOOKUP(A153,'DB Country PMI'!$A:$AZ,MATCH($A$1,'DB Country PMI'!$A$1:$AZ$1,),)=0,#N/A,VLOOKUP(A153,'DB Country PMI'!$A:$AZ,MATCH($A$1,'DB Country PMI'!$A$1:$AZ$1,),))</f>
        <v>38.4</v>
      </c>
      <c r="C153" s="24">
        <f>Table1346811121415161718192022[[#This Row],[PMI]]-B152</f>
        <v>-3.5</v>
      </c>
    </row>
    <row r="154" spans="1:3" x14ac:dyDescent="0.2">
      <c r="A154" s="10">
        <v>43983</v>
      </c>
      <c r="B154" s="18">
        <f>IF(VLOOKUP(A154,'DB Country PMI'!$A:$AZ,MATCH($A$1,'DB Country PMI'!$A$1:$AZ$1,),)=0,#N/A,VLOOKUP(A154,'DB Country PMI'!$A:$AZ,MATCH($A$1,'DB Country PMI'!$A$1:$AZ$1,),))</f>
        <v>40.1</v>
      </c>
      <c r="C154" s="24">
        <f>Table1346811121415161718192022[[#This Row],[PMI]]-B153</f>
        <v>1.7000000000000028</v>
      </c>
    </row>
    <row r="155" spans="1:3" x14ac:dyDescent="0.2">
      <c r="A155" s="10">
        <v>44013</v>
      </c>
      <c r="B155" s="18">
        <f>IF(VLOOKUP(A155,'DB Country PMI'!$A:$AZ,MATCH($A$1,'DB Country PMI'!$A$1:$AZ$1,),)=0,#N/A,VLOOKUP(A155,'DB Country PMI'!$A:$AZ,MATCH($A$1,'DB Country PMI'!$A$1:$AZ$1,),))</f>
        <v>45.2</v>
      </c>
      <c r="C155" s="24">
        <f>Table1346811121415161718192022[[#This Row],[PMI]]-B154</f>
        <v>5.1000000000000014</v>
      </c>
    </row>
    <row r="156" spans="1:3" x14ac:dyDescent="0.2">
      <c r="A156" s="10">
        <v>44044</v>
      </c>
      <c r="B156" s="18">
        <f>IF(VLOOKUP(A156,'DB Country PMI'!$A:$AZ,MATCH($A$1,'DB Country PMI'!$A$1:$AZ$1,),)=0,#N/A,VLOOKUP(A156,'DB Country PMI'!$A:$AZ,MATCH($A$1,'DB Country PMI'!$A$1:$AZ$1,),))</f>
        <v>47.2</v>
      </c>
      <c r="C156" s="24">
        <f>Table1346811121415161718192022[[#This Row],[PMI]]-B155</f>
        <v>2</v>
      </c>
    </row>
    <row r="157" spans="1:3" x14ac:dyDescent="0.2">
      <c r="A157" s="10">
        <v>44075</v>
      </c>
      <c r="B157" s="18">
        <f>IF(VLOOKUP(A157,'DB Country PMI'!$A:$AZ,MATCH($A$1,'DB Country PMI'!$A$1:$AZ$1,),)=0,#N/A,VLOOKUP(A157,'DB Country PMI'!$A:$AZ,MATCH($A$1,'DB Country PMI'!$A$1:$AZ$1,),))</f>
        <v>47.7</v>
      </c>
      <c r="C157" s="24">
        <f>Table1346811121415161718192022[[#This Row],[PMI]]-B156</f>
        <v>0.5</v>
      </c>
    </row>
    <row r="158" spans="1:3" x14ac:dyDescent="0.2">
      <c r="A158" s="10">
        <v>44105</v>
      </c>
      <c r="B158" s="18">
        <f>IF(VLOOKUP(A158,'DB Country PMI'!$A:$AZ,MATCH($A$1,'DB Country PMI'!$A$1:$AZ$1,),)=0,#N/A,VLOOKUP(A158,'DB Country PMI'!$A:$AZ,MATCH($A$1,'DB Country PMI'!$A$1:$AZ$1,),))</f>
        <v>48.7</v>
      </c>
      <c r="C158" s="24">
        <f>Table1346811121415161718192022[[#This Row],[PMI]]-B157</f>
        <v>1</v>
      </c>
    </row>
    <row r="159" spans="1:3" x14ac:dyDescent="0.2">
      <c r="A159" s="10">
        <v>44136</v>
      </c>
      <c r="B159" s="18">
        <f>IF(VLOOKUP(A159,'DB Country PMI'!$A:$AZ,MATCH($A$1,'DB Country PMI'!$A$1:$AZ$1,),)=0,#N/A,VLOOKUP(A159,'DB Country PMI'!$A:$AZ,MATCH($A$1,'DB Country PMI'!$A$1:$AZ$1,),))</f>
        <v>49</v>
      </c>
      <c r="C159" s="24">
        <f>Table1346811121415161718192022[[#This Row],[PMI]]-B158</f>
        <v>0.29999999999999716</v>
      </c>
    </row>
    <row r="160" spans="1:3" x14ac:dyDescent="0.2">
      <c r="A160" s="10">
        <v>44166</v>
      </c>
      <c r="B160" s="18">
        <f>IF(VLOOKUP(A160,'DB Country PMI'!$A:$AZ,MATCH($A$1,'DB Country PMI'!$A$1:$AZ$1,),)=0,#N/A,VLOOKUP(A160,'DB Country PMI'!$A:$AZ,MATCH($A$1,'DB Country PMI'!$A$1:$AZ$1,),))</f>
        <v>50</v>
      </c>
      <c r="C160" s="24">
        <f>Table1346811121415161718192022[[#This Row],[PMI]]-B159</f>
        <v>1</v>
      </c>
    </row>
    <row r="161" spans="1:3" x14ac:dyDescent="0.2">
      <c r="A161" s="10">
        <v>44197</v>
      </c>
      <c r="B161" s="18">
        <f>IF(VLOOKUP(A161,'DB Country PMI'!$A:$AZ,MATCH($A$1,'DB Country PMI'!$A$1:$AZ$1,),)=0,#N/A,VLOOKUP(A161,'DB Country PMI'!$A:$AZ,MATCH($A$1,'DB Country PMI'!$A$1:$AZ$1,),))</f>
        <v>49.8</v>
      </c>
      <c r="C161" s="24">
        <f>Table1346811121415161718192022[[#This Row],[PMI]]-B160</f>
        <v>-0.20000000000000284</v>
      </c>
    </row>
    <row r="162" spans="1:3" x14ac:dyDescent="0.2">
      <c r="A162" s="10">
        <v>44228</v>
      </c>
      <c r="B162" s="18">
        <f>IF(VLOOKUP(A162,'DB Country PMI'!$A:$AZ,MATCH($A$1,'DB Country PMI'!$A$1:$AZ$1,),)=0,#N/A,VLOOKUP(A162,'DB Country PMI'!$A:$AZ,MATCH($A$1,'DB Country PMI'!$A$1:$AZ$1,),))</f>
        <v>51.4</v>
      </c>
      <c r="C162" s="24">
        <f>Table1346811121415161718192022[[#This Row],[PMI]]-B161</f>
        <v>1.6000000000000014</v>
      </c>
    </row>
    <row r="163" spans="1:3" x14ac:dyDescent="0.2">
      <c r="A163" s="10">
        <v>44256</v>
      </c>
      <c r="B163" s="18">
        <f>IF(VLOOKUP(A163,'DB Country PMI'!$A:$AZ,MATCH($A$1,'DB Country PMI'!$A$1:$AZ$1,),)=0,#N/A,VLOOKUP(A163,'DB Country PMI'!$A:$AZ,MATCH($A$1,'DB Country PMI'!$A$1:$AZ$1,),))</f>
        <v>52.7</v>
      </c>
      <c r="C163" s="24">
        <f>Table1346811121415161718192022[[#This Row],[PMI]]-B162</f>
        <v>1.3000000000000043</v>
      </c>
    </row>
    <row r="164" spans="1:3" x14ac:dyDescent="0.2">
      <c r="A164" s="10">
        <v>44287</v>
      </c>
      <c r="B164" s="18">
        <f>IF(VLOOKUP(A164,'DB Country PMI'!$A:$AZ,MATCH($A$1,'DB Country PMI'!$A$1:$AZ$1,),)=0,#N/A,VLOOKUP(A164,'DB Country PMI'!$A:$AZ,MATCH($A$1,'DB Country PMI'!$A$1:$AZ$1,),))</f>
        <v>53.6</v>
      </c>
      <c r="C164" s="24">
        <f>Table1346811121415161718192022[[#This Row],[PMI]]-B163</f>
        <v>0.89999999999999858</v>
      </c>
    </row>
    <row r="165" spans="1:3" x14ac:dyDescent="0.2">
      <c r="A165" s="10">
        <v>44317</v>
      </c>
      <c r="B165" s="18">
        <f>IF(VLOOKUP(A165,'DB Country PMI'!$A:$AZ,MATCH($A$1,'DB Country PMI'!$A$1:$AZ$1,),)=0,#N/A,VLOOKUP(A165,'DB Country PMI'!$A:$AZ,MATCH($A$1,'DB Country PMI'!$A$1:$AZ$1,),))</f>
        <v>53</v>
      </c>
      <c r="C165" s="24">
        <f>Table1346811121415161718192022[[#This Row],[PMI]]-B164</f>
        <v>-0.60000000000000142</v>
      </c>
    </row>
    <row r="166" spans="1:3" x14ac:dyDescent="0.2">
      <c r="A166" s="10">
        <v>44348</v>
      </c>
      <c r="B166" s="18">
        <f>IF(VLOOKUP(A166,'DB Country PMI'!$A:$AZ,MATCH($A$1,'DB Country PMI'!$A$1:$AZ$1,),)=0,#N/A,VLOOKUP(A166,'DB Country PMI'!$A:$AZ,MATCH($A$1,'DB Country PMI'!$A$1:$AZ$1,),))</f>
        <v>52.4</v>
      </c>
      <c r="C166" s="24">
        <f>Table1346811121415161718192022[[#This Row],[PMI]]-B165</f>
        <v>-0.60000000000000142</v>
      </c>
    </row>
    <row r="167" spans="1:3" x14ac:dyDescent="0.2">
      <c r="A167" s="10">
        <v>44378</v>
      </c>
      <c r="B167" s="18">
        <f>IF(VLOOKUP(A167,'DB Country PMI'!$A:$AZ,MATCH($A$1,'DB Country PMI'!$A$1:$AZ$1,),)=0,#N/A,VLOOKUP(A167,'DB Country PMI'!$A:$AZ,MATCH($A$1,'DB Country PMI'!$A$1:$AZ$1,),))</f>
        <v>53</v>
      </c>
      <c r="C167" s="24">
        <f>Table1346811121415161718192022[[#This Row],[PMI]]-B166</f>
        <v>0.60000000000000142</v>
      </c>
    </row>
    <row r="168" spans="1:3" x14ac:dyDescent="0.2">
      <c r="A168" s="10">
        <v>44409</v>
      </c>
      <c r="B168" s="18">
        <f>IF(VLOOKUP(A168,'DB Country PMI'!$A:$AZ,MATCH($A$1,'DB Country PMI'!$A$1:$AZ$1,),)=0,#N/A,VLOOKUP(A168,'DB Country PMI'!$A:$AZ,MATCH($A$1,'DB Country PMI'!$A$1:$AZ$1,),))</f>
        <v>52.7</v>
      </c>
      <c r="C168" s="24">
        <f>Table1346811121415161718192022[[#This Row],[PMI]]-B167</f>
        <v>-0.29999999999999716</v>
      </c>
    </row>
    <row r="169" spans="1:3" x14ac:dyDescent="0.2">
      <c r="A169" s="10">
        <v>44440</v>
      </c>
      <c r="B169" s="18">
        <f>IF(VLOOKUP(A169,'DB Country PMI'!$A:$AZ,MATCH($A$1,'DB Country PMI'!$A$1:$AZ$1,),)=0,#N/A,VLOOKUP(A169,'DB Country PMI'!$A:$AZ,MATCH($A$1,'DB Country PMI'!$A$1:$AZ$1,),))</f>
        <v>51.5</v>
      </c>
      <c r="C169" s="24">
        <f>Table1346811121415161718192022[[#This Row],[PMI]]-B168</f>
        <v>-1.2000000000000028</v>
      </c>
    </row>
    <row r="170" spans="1:3" x14ac:dyDescent="0.2">
      <c r="A170" s="10">
        <v>44470</v>
      </c>
      <c r="B170" s="18">
        <f>IF(VLOOKUP(A170,'DB Country PMI'!$A:$AZ,MATCH($A$1,'DB Country PMI'!$A$1:$AZ$1,),)=0,#N/A,VLOOKUP(A170,'DB Country PMI'!$A:$AZ,MATCH($A$1,'DB Country PMI'!$A$1:$AZ$1,),))</f>
        <v>53.2</v>
      </c>
      <c r="C170" s="24">
        <f>Table1346811121415161718192022[[#This Row],[PMI]]-B169</f>
        <v>1.7000000000000028</v>
      </c>
    </row>
    <row r="171" spans="1:3" x14ac:dyDescent="0.2">
      <c r="A171" s="10">
        <v>44501</v>
      </c>
      <c r="B171" s="18">
        <f>IF(VLOOKUP(A171,'DB Country PMI'!$A:$AZ,MATCH($A$1,'DB Country PMI'!$A$1:$AZ$1,),)=0,#N/A,VLOOKUP(A171,'DB Country PMI'!$A:$AZ,MATCH($A$1,'DB Country PMI'!$A$1:$AZ$1,),))</f>
        <v>54.5</v>
      </c>
      <c r="C171" s="24">
        <f>Table1346811121415161718192022[[#This Row],[PMI]]-B170</f>
        <v>1.2999999999999972</v>
      </c>
    </row>
    <row r="172" spans="1:3" x14ac:dyDescent="0.2">
      <c r="A172" s="10">
        <v>44531</v>
      </c>
      <c r="B172" s="18">
        <f>IF(VLOOKUP(A172,'DB Country PMI'!$A:$AZ,MATCH($A$1,'DB Country PMI'!$A$1:$AZ$1,),)=0,#N/A,VLOOKUP(A172,'DB Country PMI'!$A:$AZ,MATCH($A$1,'DB Country PMI'!$A$1:$AZ$1,),))</f>
        <v>54.3</v>
      </c>
      <c r="C172" s="24">
        <f>Table1346811121415161718192022[[#This Row],[PMI]]-B171</f>
        <v>-0.20000000000000284</v>
      </c>
    </row>
    <row r="173" spans="1:3" x14ac:dyDescent="0.2">
      <c r="A173" s="10">
        <v>44562</v>
      </c>
      <c r="B173" s="18">
        <f>IF(VLOOKUP(A173,'DB Country PMI'!$A:$AZ,MATCH($A$1,'DB Country PMI'!$A$1:$AZ$1,),)=0,#N/A,VLOOKUP(A173,'DB Country PMI'!$A:$AZ,MATCH($A$1,'DB Country PMI'!$A$1:$AZ$1,),))</f>
        <v>55.4</v>
      </c>
      <c r="C173" s="24">
        <f>Table1346811121415161718192022[[#This Row],[PMI]]-B172</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74"/>
  <sheetViews>
    <sheetView zoomScale="150" zoomScaleNormal="150" workbookViewId="0">
      <pane ySplit="5" topLeftCell="A141" activePane="bottomLeft" state="frozen"/>
      <selection pane="bottomLeft" activeCell="U162" sqref="U162"/>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24</v>
      </c>
      <c r="K1" s="63" t="s">
        <v>107</v>
      </c>
    </row>
    <row r="2" spans="1:11" x14ac:dyDescent="0.2">
      <c r="K2" s="63" t="str">
        <f>A1&amp;K1</f>
        <v>Germany Manufacturing PMI</v>
      </c>
    </row>
    <row r="4" spans="1:11" ht="16" customHeight="1" thickBot="1" x14ac:dyDescent="0.25"/>
    <row r="5" spans="1:11" ht="16" customHeight="1" thickBot="1" x14ac:dyDescent="0.25">
      <c r="A5" s="21" t="s">
        <v>44</v>
      </c>
      <c r="B5" s="22" t="s">
        <v>103</v>
      </c>
      <c r="C5" s="22" t="s">
        <v>104</v>
      </c>
    </row>
    <row r="6" spans="1:11" x14ac:dyDescent="0.2">
      <c r="A6" s="17">
        <v>39478</v>
      </c>
      <c r="B6" s="18">
        <f>IF(VLOOKUP(A6,'DB Country PMI'!$A:$AZ,MATCH($A$1,'DB Country PMI'!$A$1:$AZ$1,),)=0,#N/A,VLOOKUP(A6,'DB Country PMI'!$A:$AZ,MATCH($A$1,'DB Country PMI'!$A$1:$AZ$1,),))</f>
        <v>54.4</v>
      </c>
      <c r="C6" s="18"/>
    </row>
    <row r="7" spans="1:11" x14ac:dyDescent="0.2">
      <c r="A7" s="10">
        <v>39479</v>
      </c>
      <c r="B7" s="18">
        <f>IF(VLOOKUP(A7,'DB Country PMI'!$A:$AZ,MATCH($A$1,'DB Country PMI'!$A$1:$AZ$1,),)=0,#N/A,VLOOKUP(A7,'DB Country PMI'!$A:$AZ,MATCH($A$1,'DB Country PMI'!$A$1:$AZ$1,),))</f>
        <v>54.3</v>
      </c>
      <c r="C7" s="24">
        <f>Table1346811121415[[#This Row],[PMI]]-B6</f>
        <v>-0.10000000000000142</v>
      </c>
    </row>
    <row r="8" spans="1:11" x14ac:dyDescent="0.2">
      <c r="A8" s="10">
        <v>39508</v>
      </c>
      <c r="B8" s="18">
        <f>IF(VLOOKUP(A8,'DB Country PMI'!$A:$AZ,MATCH($A$1,'DB Country PMI'!$A$1:$AZ$1,),)=0,#N/A,VLOOKUP(A8,'DB Country PMI'!$A:$AZ,MATCH($A$1,'DB Country PMI'!$A$1:$AZ$1,),))</f>
        <v>54.9</v>
      </c>
      <c r="C8" s="24">
        <f>Table1346811121415[[#This Row],[PMI]]-B7</f>
        <v>0.60000000000000142</v>
      </c>
    </row>
    <row r="9" spans="1:11" x14ac:dyDescent="0.2">
      <c r="A9" s="10">
        <v>39539</v>
      </c>
      <c r="B9" s="18">
        <f>IF(VLOOKUP(A9,'DB Country PMI'!$A:$AZ,MATCH($A$1,'DB Country PMI'!$A$1:$AZ$1,),)=0,#N/A,VLOOKUP(A9,'DB Country PMI'!$A:$AZ,MATCH($A$1,'DB Country PMI'!$A$1:$AZ$1,),))</f>
        <v>53.6</v>
      </c>
      <c r="C9" s="24">
        <f>Table1346811121415[[#This Row],[PMI]]-B8</f>
        <v>-1.2999999999999972</v>
      </c>
    </row>
    <row r="10" spans="1:11" x14ac:dyDescent="0.2">
      <c r="A10" s="10">
        <v>39569</v>
      </c>
      <c r="B10" s="18">
        <f>IF(VLOOKUP(A10,'DB Country PMI'!$A:$AZ,MATCH($A$1,'DB Country PMI'!$A$1:$AZ$1,),)=0,#N/A,VLOOKUP(A10,'DB Country PMI'!$A:$AZ,MATCH($A$1,'DB Country PMI'!$A$1:$AZ$1,),))</f>
        <v>53.5</v>
      </c>
      <c r="C10" s="24">
        <f>Table1346811121415[[#This Row],[PMI]]-B9</f>
        <v>-0.10000000000000142</v>
      </c>
    </row>
    <row r="11" spans="1:11" x14ac:dyDescent="0.2">
      <c r="A11" s="10">
        <v>39600</v>
      </c>
      <c r="B11" s="18">
        <f>IF(VLOOKUP(A11,'DB Country PMI'!$A:$AZ,MATCH($A$1,'DB Country PMI'!$A$1:$AZ$1,),)=0,#N/A,VLOOKUP(A11,'DB Country PMI'!$A:$AZ,MATCH($A$1,'DB Country PMI'!$A$1:$AZ$1,),))</f>
        <v>52.3</v>
      </c>
      <c r="C11" s="24">
        <f>Table1346811121415[[#This Row],[PMI]]-B10</f>
        <v>-1.2000000000000028</v>
      </c>
    </row>
    <row r="12" spans="1:11" x14ac:dyDescent="0.2">
      <c r="A12" s="10">
        <v>39630</v>
      </c>
      <c r="B12" s="18">
        <f>IF(VLOOKUP(A12,'DB Country PMI'!$A:$AZ,MATCH($A$1,'DB Country PMI'!$A$1:$AZ$1,),)=0,#N/A,VLOOKUP(A12,'DB Country PMI'!$A:$AZ,MATCH($A$1,'DB Country PMI'!$A$1:$AZ$1,),))</f>
        <v>50.9</v>
      </c>
      <c r="C12" s="24">
        <f>Table1346811121415[[#This Row],[PMI]]-B11</f>
        <v>-1.3999999999999986</v>
      </c>
    </row>
    <row r="13" spans="1:11" x14ac:dyDescent="0.2">
      <c r="A13" s="10">
        <v>39661</v>
      </c>
      <c r="B13" s="18">
        <f>IF(VLOOKUP(A13,'DB Country PMI'!$A:$AZ,MATCH($A$1,'DB Country PMI'!$A$1:$AZ$1,),)=0,#N/A,VLOOKUP(A13,'DB Country PMI'!$A:$AZ,MATCH($A$1,'DB Country PMI'!$A$1:$AZ$1,),))</f>
        <v>49.9</v>
      </c>
      <c r="C13" s="24">
        <f>Table1346811121415[[#This Row],[PMI]]-B12</f>
        <v>-1</v>
      </c>
    </row>
    <row r="14" spans="1:11" x14ac:dyDescent="0.2">
      <c r="A14" s="10">
        <v>39692</v>
      </c>
      <c r="B14" s="18">
        <f>IF(VLOOKUP(A14,'DB Country PMI'!$A:$AZ,MATCH($A$1,'DB Country PMI'!$A$1:$AZ$1,),)=0,#N/A,VLOOKUP(A14,'DB Country PMI'!$A:$AZ,MATCH($A$1,'DB Country PMI'!$A$1:$AZ$1,),))</f>
        <v>48.1</v>
      </c>
      <c r="C14" s="24">
        <f>Table1346811121415[[#This Row],[PMI]]-B13</f>
        <v>-1.7999999999999972</v>
      </c>
    </row>
    <row r="15" spans="1:11" x14ac:dyDescent="0.2">
      <c r="A15" s="10">
        <v>39722</v>
      </c>
      <c r="B15" s="18">
        <f>IF(VLOOKUP(A15,'DB Country PMI'!$A:$AZ,MATCH($A$1,'DB Country PMI'!$A$1:$AZ$1,),)=0,#N/A,VLOOKUP(A15,'DB Country PMI'!$A:$AZ,MATCH($A$1,'DB Country PMI'!$A$1:$AZ$1,),))</f>
        <v>43.3</v>
      </c>
      <c r="C15" s="24">
        <f>Table1346811121415[[#This Row],[PMI]]-B14</f>
        <v>-4.8000000000000043</v>
      </c>
    </row>
    <row r="16" spans="1:11" x14ac:dyDescent="0.2">
      <c r="A16" s="10">
        <v>39753</v>
      </c>
      <c r="B16" s="18">
        <f>IF(VLOOKUP(A16,'DB Country PMI'!$A:$AZ,MATCH($A$1,'DB Country PMI'!$A$1:$AZ$1,),)=0,#N/A,VLOOKUP(A16,'DB Country PMI'!$A:$AZ,MATCH($A$1,'DB Country PMI'!$A$1:$AZ$1,),))</f>
        <v>36.700000000000003</v>
      </c>
      <c r="C16" s="24">
        <f>Table1346811121415[[#This Row],[PMI]]-B15</f>
        <v>-6.5999999999999943</v>
      </c>
    </row>
    <row r="17" spans="1:3" x14ac:dyDescent="0.2">
      <c r="A17" s="10">
        <v>39783</v>
      </c>
      <c r="B17" s="18">
        <f>IF(VLOOKUP(A17,'DB Country PMI'!$A:$AZ,MATCH($A$1,'DB Country PMI'!$A$1:$AZ$1,),)=0,#N/A,VLOOKUP(A17,'DB Country PMI'!$A:$AZ,MATCH($A$1,'DB Country PMI'!$A$1:$AZ$1,),))</f>
        <v>33.5</v>
      </c>
      <c r="C17" s="24">
        <f>Table1346811121415[[#This Row],[PMI]]-B16</f>
        <v>-3.2000000000000028</v>
      </c>
    </row>
    <row r="18" spans="1:3" x14ac:dyDescent="0.2">
      <c r="A18" s="10">
        <v>39814</v>
      </c>
      <c r="B18" s="18">
        <f>IF(VLOOKUP(A18,'DB Country PMI'!$A:$AZ,MATCH($A$1,'DB Country PMI'!$A$1:$AZ$1,),)=0,#N/A,VLOOKUP(A18,'DB Country PMI'!$A:$AZ,MATCH($A$1,'DB Country PMI'!$A$1:$AZ$1,),))</f>
        <v>32</v>
      </c>
      <c r="C18" s="24">
        <f>Table1346811121415[[#This Row],[PMI]]-B17</f>
        <v>-1.5</v>
      </c>
    </row>
    <row r="19" spans="1:3" x14ac:dyDescent="0.2">
      <c r="A19" s="10">
        <v>39845</v>
      </c>
      <c r="B19" s="18">
        <f>IF(VLOOKUP(A19,'DB Country PMI'!$A:$AZ,MATCH($A$1,'DB Country PMI'!$A$1:$AZ$1,),)=0,#N/A,VLOOKUP(A19,'DB Country PMI'!$A:$AZ,MATCH($A$1,'DB Country PMI'!$A$1:$AZ$1,),))</f>
        <v>32.200000000000003</v>
      </c>
      <c r="C19" s="24">
        <f>Table1346811121415[[#This Row],[PMI]]-B18</f>
        <v>0.20000000000000284</v>
      </c>
    </row>
    <row r="20" spans="1:3" x14ac:dyDescent="0.2">
      <c r="A20" s="10">
        <v>39873</v>
      </c>
      <c r="B20" s="18">
        <f>IF(VLOOKUP(A20,'DB Country PMI'!$A:$AZ,MATCH($A$1,'DB Country PMI'!$A$1:$AZ$1,),)=0,#N/A,VLOOKUP(A20,'DB Country PMI'!$A:$AZ,MATCH($A$1,'DB Country PMI'!$A$1:$AZ$1,),))</f>
        <v>32.4</v>
      </c>
      <c r="C20" s="24">
        <f>Table1346811121415[[#This Row],[PMI]]-B19</f>
        <v>0.19999999999999574</v>
      </c>
    </row>
    <row r="21" spans="1:3" x14ac:dyDescent="0.2">
      <c r="A21" s="10">
        <v>39904</v>
      </c>
      <c r="B21" s="18">
        <f>IF(VLOOKUP(A21,'DB Country PMI'!$A:$AZ,MATCH($A$1,'DB Country PMI'!$A$1:$AZ$1,),)=0,#N/A,VLOOKUP(A21,'DB Country PMI'!$A:$AZ,MATCH($A$1,'DB Country PMI'!$A$1:$AZ$1,),))</f>
        <v>35</v>
      </c>
      <c r="C21" s="24">
        <f>Table1346811121415[[#This Row],[PMI]]-B20</f>
        <v>2.6000000000000014</v>
      </c>
    </row>
    <row r="22" spans="1:3" x14ac:dyDescent="0.2">
      <c r="A22" s="10">
        <v>39934</v>
      </c>
      <c r="B22" s="18">
        <f>IF(VLOOKUP(A22,'DB Country PMI'!$A:$AZ,MATCH($A$1,'DB Country PMI'!$A$1:$AZ$1,),)=0,#N/A,VLOOKUP(A22,'DB Country PMI'!$A:$AZ,MATCH($A$1,'DB Country PMI'!$A$1:$AZ$1,),))</f>
        <v>39.6</v>
      </c>
      <c r="C22" s="24">
        <f>Table1346811121415[[#This Row],[PMI]]-B21</f>
        <v>4.6000000000000014</v>
      </c>
    </row>
    <row r="23" spans="1:3" x14ac:dyDescent="0.2">
      <c r="A23" s="10">
        <v>39965</v>
      </c>
      <c r="B23" s="18">
        <f>IF(VLOOKUP(A23,'DB Country PMI'!$A:$AZ,MATCH($A$1,'DB Country PMI'!$A$1:$AZ$1,),)=0,#N/A,VLOOKUP(A23,'DB Country PMI'!$A:$AZ,MATCH($A$1,'DB Country PMI'!$A$1:$AZ$1,),))</f>
        <v>40.9</v>
      </c>
      <c r="C23" s="24">
        <f>Table1346811121415[[#This Row],[PMI]]-B22</f>
        <v>1.2999999999999972</v>
      </c>
    </row>
    <row r="24" spans="1:3" x14ac:dyDescent="0.2">
      <c r="A24" s="10">
        <v>39995</v>
      </c>
      <c r="B24" s="18">
        <f>IF(VLOOKUP(A24,'DB Country PMI'!$A:$AZ,MATCH($A$1,'DB Country PMI'!$A$1:$AZ$1,),)=0,#N/A,VLOOKUP(A24,'DB Country PMI'!$A:$AZ,MATCH($A$1,'DB Country PMI'!$A$1:$AZ$1,),))</f>
        <v>45.2</v>
      </c>
      <c r="C24" s="24">
        <f>Table1346811121415[[#This Row],[PMI]]-B23</f>
        <v>4.3000000000000043</v>
      </c>
    </row>
    <row r="25" spans="1:3" x14ac:dyDescent="0.2">
      <c r="A25" s="10">
        <v>40026</v>
      </c>
      <c r="B25" s="18">
        <f>IF(VLOOKUP(A25,'DB Country PMI'!$A:$AZ,MATCH($A$1,'DB Country PMI'!$A$1:$AZ$1,),)=0,#N/A,VLOOKUP(A25,'DB Country PMI'!$A:$AZ,MATCH($A$1,'DB Country PMI'!$A$1:$AZ$1,),))</f>
        <v>49</v>
      </c>
      <c r="C25" s="24">
        <f>Table1346811121415[[#This Row],[PMI]]-B24</f>
        <v>3.7999999999999972</v>
      </c>
    </row>
    <row r="26" spans="1:3" x14ac:dyDescent="0.2">
      <c r="A26" s="10">
        <v>40057</v>
      </c>
      <c r="B26" s="18">
        <f>IF(VLOOKUP(A26,'DB Country PMI'!$A:$AZ,MATCH($A$1,'DB Country PMI'!$A$1:$AZ$1,),)=0,#N/A,VLOOKUP(A26,'DB Country PMI'!$A:$AZ,MATCH($A$1,'DB Country PMI'!$A$1:$AZ$1,),))</f>
        <v>49.6</v>
      </c>
      <c r="C26" s="24">
        <f>Table1346811121415[[#This Row],[PMI]]-B25</f>
        <v>0.60000000000000142</v>
      </c>
    </row>
    <row r="27" spans="1:3" x14ac:dyDescent="0.2">
      <c r="A27" s="10">
        <v>40087</v>
      </c>
      <c r="B27" s="18">
        <f>IF(VLOOKUP(A27,'DB Country PMI'!$A:$AZ,MATCH($A$1,'DB Country PMI'!$A$1:$AZ$1,),)=0,#N/A,VLOOKUP(A27,'DB Country PMI'!$A:$AZ,MATCH($A$1,'DB Country PMI'!$A$1:$AZ$1,),))</f>
        <v>51.1</v>
      </c>
      <c r="C27" s="24">
        <f>Table1346811121415[[#This Row],[PMI]]-B26</f>
        <v>1.5</v>
      </c>
    </row>
    <row r="28" spans="1:3" x14ac:dyDescent="0.2">
      <c r="A28" s="10">
        <v>40118</v>
      </c>
      <c r="B28" s="18">
        <f>IF(VLOOKUP(A28,'DB Country PMI'!$A:$AZ,MATCH($A$1,'DB Country PMI'!$A$1:$AZ$1,),)=0,#N/A,VLOOKUP(A28,'DB Country PMI'!$A:$AZ,MATCH($A$1,'DB Country PMI'!$A$1:$AZ$1,),))</f>
        <v>52.4</v>
      </c>
      <c r="C28" s="24">
        <f>Table1346811121415[[#This Row],[PMI]]-B27</f>
        <v>1.2999999999999972</v>
      </c>
    </row>
    <row r="29" spans="1:3" x14ac:dyDescent="0.2">
      <c r="A29" s="10">
        <v>40148</v>
      </c>
      <c r="B29" s="18">
        <f>IF(VLOOKUP(A29,'DB Country PMI'!$A:$AZ,MATCH($A$1,'DB Country PMI'!$A$1:$AZ$1,),)=0,#N/A,VLOOKUP(A29,'DB Country PMI'!$A:$AZ,MATCH($A$1,'DB Country PMI'!$A$1:$AZ$1,),))</f>
        <v>53.1</v>
      </c>
      <c r="C29" s="24">
        <f>Table1346811121415[[#This Row],[PMI]]-B28</f>
        <v>0.70000000000000284</v>
      </c>
    </row>
    <row r="30" spans="1:3" x14ac:dyDescent="0.2">
      <c r="A30" s="10">
        <v>40179</v>
      </c>
      <c r="B30" s="18">
        <f>IF(VLOOKUP(A30,'DB Country PMI'!$A:$AZ,MATCH($A$1,'DB Country PMI'!$A$1:$AZ$1,),)=0,#N/A,VLOOKUP(A30,'DB Country PMI'!$A:$AZ,MATCH($A$1,'DB Country PMI'!$A$1:$AZ$1,),))</f>
        <v>53.4</v>
      </c>
      <c r="C30" s="24">
        <f>Table1346811121415[[#This Row],[PMI]]-B29</f>
        <v>0.29999999999999716</v>
      </c>
    </row>
    <row r="31" spans="1:3" x14ac:dyDescent="0.2">
      <c r="A31" s="10">
        <v>40210</v>
      </c>
      <c r="B31" s="18">
        <f>IF(VLOOKUP(A31,'DB Country PMI'!$A:$AZ,MATCH($A$1,'DB Country PMI'!$A$1:$AZ$1,),)=0,#N/A,VLOOKUP(A31,'DB Country PMI'!$A:$AZ,MATCH($A$1,'DB Country PMI'!$A$1:$AZ$1,),))</f>
        <v>57.2</v>
      </c>
      <c r="C31" s="24">
        <f>Table1346811121415[[#This Row],[PMI]]-B30</f>
        <v>3.8000000000000043</v>
      </c>
    </row>
    <row r="32" spans="1:3" x14ac:dyDescent="0.2">
      <c r="A32" s="10">
        <v>40238</v>
      </c>
      <c r="B32" s="18">
        <f>IF(VLOOKUP(A32,'DB Country PMI'!$A:$AZ,MATCH($A$1,'DB Country PMI'!$A$1:$AZ$1,),)=0,#N/A,VLOOKUP(A32,'DB Country PMI'!$A:$AZ,MATCH($A$1,'DB Country PMI'!$A$1:$AZ$1,),))</f>
        <v>59.6</v>
      </c>
      <c r="C32" s="24">
        <f>Table1346811121415[[#This Row],[PMI]]-B31</f>
        <v>2.3999999999999986</v>
      </c>
    </row>
    <row r="33" spans="1:3" x14ac:dyDescent="0.2">
      <c r="A33" s="10">
        <v>40269</v>
      </c>
      <c r="B33" s="18">
        <f>IF(VLOOKUP(A33,'DB Country PMI'!$A:$AZ,MATCH($A$1,'DB Country PMI'!$A$1:$AZ$1,),)=0,#N/A,VLOOKUP(A33,'DB Country PMI'!$A:$AZ,MATCH($A$1,'DB Country PMI'!$A$1:$AZ$1,),))</f>
        <v>61.5</v>
      </c>
      <c r="C33" s="24">
        <f>Table1346811121415[[#This Row],[PMI]]-B32</f>
        <v>1.8999999999999986</v>
      </c>
    </row>
    <row r="34" spans="1:3" x14ac:dyDescent="0.2">
      <c r="A34" s="10">
        <v>40299</v>
      </c>
      <c r="B34" s="18">
        <f>IF(VLOOKUP(A34,'DB Country PMI'!$A:$AZ,MATCH($A$1,'DB Country PMI'!$A$1:$AZ$1,),)=0,#N/A,VLOOKUP(A34,'DB Country PMI'!$A:$AZ,MATCH($A$1,'DB Country PMI'!$A$1:$AZ$1,),))</f>
        <v>58.4</v>
      </c>
      <c r="C34" s="24">
        <f>Table1346811121415[[#This Row],[PMI]]-B33</f>
        <v>-3.1000000000000014</v>
      </c>
    </row>
    <row r="35" spans="1:3" x14ac:dyDescent="0.2">
      <c r="A35" s="10">
        <v>40330</v>
      </c>
      <c r="B35" s="18">
        <f>IF(VLOOKUP(A35,'DB Country PMI'!$A:$AZ,MATCH($A$1,'DB Country PMI'!$A$1:$AZ$1,),)=0,#N/A,VLOOKUP(A35,'DB Country PMI'!$A:$AZ,MATCH($A$1,'DB Country PMI'!$A$1:$AZ$1,),))</f>
        <v>58.1</v>
      </c>
      <c r="C35" s="24">
        <f>Table1346811121415[[#This Row],[PMI]]-B34</f>
        <v>-0.29999999999999716</v>
      </c>
    </row>
    <row r="36" spans="1:3" x14ac:dyDescent="0.2">
      <c r="A36" s="10">
        <v>40360</v>
      </c>
      <c r="B36" s="18">
        <f>IF(VLOOKUP(A36,'DB Country PMI'!$A:$AZ,MATCH($A$1,'DB Country PMI'!$A$1:$AZ$1,),)=0,#N/A,VLOOKUP(A36,'DB Country PMI'!$A:$AZ,MATCH($A$1,'DB Country PMI'!$A$1:$AZ$1,),))</f>
        <v>61.2</v>
      </c>
      <c r="C36" s="24">
        <f>Table1346811121415[[#This Row],[PMI]]-B35</f>
        <v>3.1000000000000014</v>
      </c>
    </row>
    <row r="37" spans="1:3" x14ac:dyDescent="0.2">
      <c r="A37" s="10">
        <v>40391</v>
      </c>
      <c r="B37" s="18">
        <f>IF(VLOOKUP(A37,'DB Country PMI'!$A:$AZ,MATCH($A$1,'DB Country PMI'!$A$1:$AZ$1,),)=0,#N/A,VLOOKUP(A37,'DB Country PMI'!$A:$AZ,MATCH($A$1,'DB Country PMI'!$A$1:$AZ$1,),))</f>
        <v>58.2</v>
      </c>
      <c r="C37" s="24">
        <f>Table1346811121415[[#This Row],[PMI]]-B36</f>
        <v>-3</v>
      </c>
    </row>
    <row r="38" spans="1:3" x14ac:dyDescent="0.2">
      <c r="A38" s="10">
        <v>40422</v>
      </c>
      <c r="B38" s="18">
        <f>IF(VLOOKUP(A38,'DB Country PMI'!$A:$AZ,MATCH($A$1,'DB Country PMI'!$A$1:$AZ$1,),)=0,#N/A,VLOOKUP(A38,'DB Country PMI'!$A:$AZ,MATCH($A$1,'DB Country PMI'!$A$1:$AZ$1,),))</f>
        <v>55.3</v>
      </c>
      <c r="C38" s="24">
        <f>Table1346811121415[[#This Row],[PMI]]-B37</f>
        <v>-2.9000000000000057</v>
      </c>
    </row>
    <row r="39" spans="1:3" x14ac:dyDescent="0.2">
      <c r="A39" s="10">
        <v>40452</v>
      </c>
      <c r="B39" s="18">
        <f>IF(VLOOKUP(A39,'DB Country PMI'!$A:$AZ,MATCH($A$1,'DB Country PMI'!$A$1:$AZ$1,),)=0,#N/A,VLOOKUP(A39,'DB Country PMI'!$A:$AZ,MATCH($A$1,'DB Country PMI'!$A$1:$AZ$1,),))</f>
        <v>56.6</v>
      </c>
      <c r="C39" s="24">
        <f>Table1346811121415[[#This Row],[PMI]]-B38</f>
        <v>1.3000000000000043</v>
      </c>
    </row>
    <row r="40" spans="1:3" x14ac:dyDescent="0.2">
      <c r="A40" s="10">
        <v>40483</v>
      </c>
      <c r="B40" s="18">
        <f>IF(VLOOKUP(A40,'DB Country PMI'!$A:$AZ,MATCH($A$1,'DB Country PMI'!$A$1:$AZ$1,),)=0,#N/A,VLOOKUP(A40,'DB Country PMI'!$A:$AZ,MATCH($A$1,'DB Country PMI'!$A$1:$AZ$1,),))</f>
        <v>58.1</v>
      </c>
      <c r="C40" s="24">
        <f>Table1346811121415[[#This Row],[PMI]]-B39</f>
        <v>1.5</v>
      </c>
    </row>
    <row r="41" spans="1:3" x14ac:dyDescent="0.2">
      <c r="A41" s="10">
        <v>40513</v>
      </c>
      <c r="B41" s="18">
        <f>IF(VLOOKUP(A41,'DB Country PMI'!$A:$AZ,MATCH($A$1,'DB Country PMI'!$A$1:$AZ$1,),)=0,#N/A,VLOOKUP(A41,'DB Country PMI'!$A:$AZ,MATCH($A$1,'DB Country PMI'!$A$1:$AZ$1,),))</f>
        <v>60.9</v>
      </c>
      <c r="C41" s="24">
        <f>Table1346811121415[[#This Row],[PMI]]-B40</f>
        <v>2.7999999999999972</v>
      </c>
    </row>
    <row r="42" spans="1:3" x14ac:dyDescent="0.2">
      <c r="A42" s="10">
        <v>40544</v>
      </c>
      <c r="B42" s="18">
        <f>IF(VLOOKUP(A42,'DB Country PMI'!$A:$AZ,MATCH($A$1,'DB Country PMI'!$A$1:$AZ$1,),)=0,#N/A,VLOOKUP(A42,'DB Country PMI'!$A:$AZ,MATCH($A$1,'DB Country PMI'!$A$1:$AZ$1,),))</f>
        <v>60.5</v>
      </c>
      <c r="C42" s="24">
        <f>Table1346811121415[[#This Row],[PMI]]-B41</f>
        <v>-0.39999999999999858</v>
      </c>
    </row>
    <row r="43" spans="1:3" x14ac:dyDescent="0.2">
      <c r="A43" s="10">
        <v>40575</v>
      </c>
      <c r="B43" s="18">
        <f>IF(VLOOKUP(A43,'DB Country PMI'!$A:$AZ,MATCH($A$1,'DB Country PMI'!$A$1:$AZ$1,),)=0,#N/A,VLOOKUP(A43,'DB Country PMI'!$A:$AZ,MATCH($A$1,'DB Country PMI'!$A$1:$AZ$1,),))</f>
        <v>62.7</v>
      </c>
      <c r="C43" s="24">
        <f>Table1346811121415[[#This Row],[PMI]]-B42</f>
        <v>2.2000000000000028</v>
      </c>
    </row>
    <row r="44" spans="1:3" x14ac:dyDescent="0.2">
      <c r="A44" s="10">
        <v>40603</v>
      </c>
      <c r="B44" s="18">
        <f>IF(VLOOKUP(A44,'DB Country PMI'!$A:$AZ,MATCH($A$1,'DB Country PMI'!$A$1:$AZ$1,),)=0,#N/A,VLOOKUP(A44,'DB Country PMI'!$A:$AZ,MATCH($A$1,'DB Country PMI'!$A$1:$AZ$1,),))</f>
        <v>60.9</v>
      </c>
      <c r="C44" s="24">
        <f>Table1346811121415[[#This Row],[PMI]]-B43</f>
        <v>-1.8000000000000043</v>
      </c>
    </row>
    <row r="45" spans="1:3" x14ac:dyDescent="0.2">
      <c r="A45" s="10">
        <v>40634</v>
      </c>
      <c r="B45" s="18">
        <f>IF(VLOOKUP(A45,'DB Country PMI'!$A:$AZ,MATCH($A$1,'DB Country PMI'!$A$1:$AZ$1,),)=0,#N/A,VLOOKUP(A45,'DB Country PMI'!$A:$AZ,MATCH($A$1,'DB Country PMI'!$A$1:$AZ$1,),))</f>
        <v>62</v>
      </c>
      <c r="C45" s="24">
        <f>Table1346811121415[[#This Row],[PMI]]-B44</f>
        <v>1.1000000000000014</v>
      </c>
    </row>
    <row r="46" spans="1:3" x14ac:dyDescent="0.2">
      <c r="A46" s="10">
        <v>40664</v>
      </c>
      <c r="B46" s="18">
        <f>IF(VLOOKUP(A46,'DB Country PMI'!$A:$AZ,MATCH($A$1,'DB Country PMI'!$A$1:$AZ$1,),)=0,#N/A,VLOOKUP(A46,'DB Country PMI'!$A:$AZ,MATCH($A$1,'DB Country PMI'!$A$1:$AZ$1,),))</f>
        <v>57.7</v>
      </c>
      <c r="C46" s="24">
        <f>Table1346811121415[[#This Row],[PMI]]-B45</f>
        <v>-4.2999999999999972</v>
      </c>
    </row>
    <row r="47" spans="1:3" x14ac:dyDescent="0.2">
      <c r="A47" s="10">
        <v>40695</v>
      </c>
      <c r="B47" s="18">
        <f>IF(VLOOKUP(A47,'DB Country PMI'!$A:$AZ,MATCH($A$1,'DB Country PMI'!$A$1:$AZ$1,),)=0,#N/A,VLOOKUP(A47,'DB Country PMI'!$A:$AZ,MATCH($A$1,'DB Country PMI'!$A$1:$AZ$1,),))</f>
        <v>54.9</v>
      </c>
      <c r="C47" s="24">
        <f>Table1346811121415[[#This Row],[PMI]]-B46</f>
        <v>-2.8000000000000043</v>
      </c>
    </row>
    <row r="48" spans="1:3" x14ac:dyDescent="0.2">
      <c r="A48" s="10">
        <v>40725</v>
      </c>
      <c r="B48" s="18">
        <f>IF(VLOOKUP(A48,'DB Country PMI'!$A:$AZ,MATCH($A$1,'DB Country PMI'!$A$1:$AZ$1,),)=0,#N/A,VLOOKUP(A48,'DB Country PMI'!$A:$AZ,MATCH($A$1,'DB Country PMI'!$A$1:$AZ$1,),))</f>
        <v>52</v>
      </c>
      <c r="C48" s="24">
        <f>Table1346811121415[[#This Row],[PMI]]-B47</f>
        <v>-2.8999999999999986</v>
      </c>
    </row>
    <row r="49" spans="1:3" x14ac:dyDescent="0.2">
      <c r="A49" s="10">
        <v>40756</v>
      </c>
      <c r="B49" s="18">
        <f>IF(VLOOKUP(A49,'DB Country PMI'!$A:$AZ,MATCH($A$1,'DB Country PMI'!$A$1:$AZ$1,),)=0,#N/A,VLOOKUP(A49,'DB Country PMI'!$A:$AZ,MATCH($A$1,'DB Country PMI'!$A$1:$AZ$1,),))</f>
        <v>50.9</v>
      </c>
      <c r="C49" s="24">
        <f>Table1346811121415[[#This Row],[PMI]]-B48</f>
        <v>-1.1000000000000014</v>
      </c>
    </row>
    <row r="50" spans="1:3" x14ac:dyDescent="0.2">
      <c r="A50" s="10">
        <v>40787</v>
      </c>
      <c r="B50" s="18">
        <f>IF(VLOOKUP(A50,'DB Country PMI'!$A:$AZ,MATCH($A$1,'DB Country PMI'!$A$1:$AZ$1,),)=0,#N/A,VLOOKUP(A50,'DB Country PMI'!$A:$AZ,MATCH($A$1,'DB Country PMI'!$A$1:$AZ$1,),))</f>
        <v>50.3</v>
      </c>
      <c r="C50" s="24">
        <f>Table1346811121415[[#This Row],[PMI]]-B49</f>
        <v>-0.60000000000000142</v>
      </c>
    </row>
    <row r="51" spans="1:3" x14ac:dyDescent="0.2">
      <c r="A51" s="10">
        <v>40817</v>
      </c>
      <c r="B51" s="18">
        <f>IF(VLOOKUP(A51,'DB Country PMI'!$A:$AZ,MATCH($A$1,'DB Country PMI'!$A$1:$AZ$1,),)=0,#N/A,VLOOKUP(A51,'DB Country PMI'!$A:$AZ,MATCH($A$1,'DB Country PMI'!$A$1:$AZ$1,),))</f>
        <v>49.1</v>
      </c>
      <c r="C51" s="24">
        <f>Table1346811121415[[#This Row],[PMI]]-B50</f>
        <v>-1.1999999999999957</v>
      </c>
    </row>
    <row r="52" spans="1:3" x14ac:dyDescent="0.2">
      <c r="A52" s="10">
        <v>40848</v>
      </c>
      <c r="B52" s="18">
        <f>IF(VLOOKUP(A52,'DB Country PMI'!$A:$AZ,MATCH($A$1,'DB Country PMI'!$A$1:$AZ$1,),)=0,#N/A,VLOOKUP(A52,'DB Country PMI'!$A:$AZ,MATCH($A$1,'DB Country PMI'!$A$1:$AZ$1,),))</f>
        <v>47.9</v>
      </c>
      <c r="C52" s="24">
        <f>Table1346811121415[[#This Row],[PMI]]-B51</f>
        <v>-1.2000000000000028</v>
      </c>
    </row>
    <row r="53" spans="1:3" x14ac:dyDescent="0.2">
      <c r="A53" s="10">
        <v>40878</v>
      </c>
      <c r="B53" s="18">
        <f>IF(VLOOKUP(A53,'DB Country PMI'!$A:$AZ,MATCH($A$1,'DB Country PMI'!$A$1:$AZ$1,),)=0,#N/A,VLOOKUP(A53,'DB Country PMI'!$A:$AZ,MATCH($A$1,'DB Country PMI'!$A$1:$AZ$1,),))</f>
        <v>48.4</v>
      </c>
      <c r="C53" s="24">
        <f>Table1346811121415[[#This Row],[PMI]]-B52</f>
        <v>0.5</v>
      </c>
    </row>
    <row r="54" spans="1:3" x14ac:dyDescent="0.2">
      <c r="A54" s="10">
        <v>40909</v>
      </c>
      <c r="B54" s="18">
        <f>IF(VLOOKUP(A54,'DB Country PMI'!$A:$AZ,MATCH($A$1,'DB Country PMI'!$A$1:$AZ$1,),)=0,#N/A,VLOOKUP(A54,'DB Country PMI'!$A:$AZ,MATCH($A$1,'DB Country PMI'!$A$1:$AZ$1,),))</f>
        <v>51</v>
      </c>
      <c r="C54" s="24">
        <f>Table1346811121415[[#This Row],[PMI]]-B53</f>
        <v>2.6000000000000014</v>
      </c>
    </row>
    <row r="55" spans="1:3" x14ac:dyDescent="0.2">
      <c r="A55" s="10">
        <v>40940</v>
      </c>
      <c r="B55" s="18">
        <f>IF(VLOOKUP(A55,'DB Country PMI'!$A:$AZ,MATCH($A$1,'DB Country PMI'!$A$1:$AZ$1,),)=0,#N/A,VLOOKUP(A55,'DB Country PMI'!$A:$AZ,MATCH($A$1,'DB Country PMI'!$A$1:$AZ$1,),))</f>
        <v>50.2</v>
      </c>
      <c r="C55" s="24">
        <f>Table1346811121415[[#This Row],[PMI]]-B54</f>
        <v>-0.79999999999999716</v>
      </c>
    </row>
    <row r="56" spans="1:3" x14ac:dyDescent="0.2">
      <c r="A56" s="10">
        <v>40969</v>
      </c>
      <c r="B56" s="18">
        <f>IF(VLOOKUP(A56,'DB Country PMI'!$A:$AZ,MATCH($A$1,'DB Country PMI'!$A$1:$AZ$1,),)=0,#N/A,VLOOKUP(A56,'DB Country PMI'!$A:$AZ,MATCH($A$1,'DB Country PMI'!$A$1:$AZ$1,),))</f>
        <v>48.4</v>
      </c>
      <c r="C56" s="24">
        <f>Table1346811121415[[#This Row],[PMI]]-B55</f>
        <v>-1.8000000000000043</v>
      </c>
    </row>
    <row r="57" spans="1:3" x14ac:dyDescent="0.2">
      <c r="A57" s="10">
        <v>41000</v>
      </c>
      <c r="B57" s="18">
        <f>IF(VLOOKUP(A57,'DB Country PMI'!$A:$AZ,MATCH($A$1,'DB Country PMI'!$A$1:$AZ$1,),)=0,#N/A,VLOOKUP(A57,'DB Country PMI'!$A:$AZ,MATCH($A$1,'DB Country PMI'!$A$1:$AZ$1,),))</f>
        <v>46.2</v>
      </c>
      <c r="C57" s="24">
        <f>Table1346811121415[[#This Row],[PMI]]-B56</f>
        <v>-2.1999999999999957</v>
      </c>
    </row>
    <row r="58" spans="1:3" x14ac:dyDescent="0.2">
      <c r="A58" s="10">
        <v>41030</v>
      </c>
      <c r="B58" s="18">
        <f>IF(VLOOKUP(A58,'DB Country PMI'!$A:$AZ,MATCH($A$1,'DB Country PMI'!$A$1:$AZ$1,),)=0,#N/A,VLOOKUP(A58,'DB Country PMI'!$A:$AZ,MATCH($A$1,'DB Country PMI'!$A$1:$AZ$1,),))</f>
        <v>45.2</v>
      </c>
      <c r="C58" s="24">
        <f>Table1346811121415[[#This Row],[PMI]]-B57</f>
        <v>-1</v>
      </c>
    </row>
    <row r="59" spans="1:3" x14ac:dyDescent="0.2">
      <c r="A59" s="10">
        <v>41061</v>
      </c>
      <c r="B59" s="18">
        <f>IF(VLOOKUP(A59,'DB Country PMI'!$A:$AZ,MATCH($A$1,'DB Country PMI'!$A$1:$AZ$1,),)=0,#N/A,VLOOKUP(A59,'DB Country PMI'!$A:$AZ,MATCH($A$1,'DB Country PMI'!$A$1:$AZ$1,),))</f>
        <v>45</v>
      </c>
      <c r="C59" s="24">
        <f>Table1346811121415[[#This Row],[PMI]]-B58</f>
        <v>-0.20000000000000284</v>
      </c>
    </row>
    <row r="60" spans="1:3" x14ac:dyDescent="0.2">
      <c r="A60" s="10">
        <v>41091</v>
      </c>
      <c r="B60" s="18">
        <f>IF(VLOOKUP(A60,'DB Country PMI'!$A:$AZ,MATCH($A$1,'DB Country PMI'!$A$1:$AZ$1,),)=0,#N/A,VLOOKUP(A60,'DB Country PMI'!$A:$AZ,MATCH($A$1,'DB Country PMI'!$A$1:$AZ$1,),))</f>
        <v>43</v>
      </c>
      <c r="C60" s="24">
        <f>Table1346811121415[[#This Row],[PMI]]-B59</f>
        <v>-2</v>
      </c>
    </row>
    <row r="61" spans="1:3" x14ac:dyDescent="0.2">
      <c r="A61" s="10">
        <v>41122</v>
      </c>
      <c r="B61" s="18">
        <f>IF(VLOOKUP(A61,'DB Country PMI'!$A:$AZ,MATCH($A$1,'DB Country PMI'!$A$1:$AZ$1,),)=0,#N/A,VLOOKUP(A61,'DB Country PMI'!$A:$AZ,MATCH($A$1,'DB Country PMI'!$A$1:$AZ$1,),))</f>
        <v>44.7</v>
      </c>
      <c r="C61" s="24">
        <f>Table1346811121415[[#This Row],[PMI]]-B60</f>
        <v>1.7000000000000028</v>
      </c>
    </row>
    <row r="62" spans="1:3" x14ac:dyDescent="0.2">
      <c r="A62" s="10">
        <v>41153</v>
      </c>
      <c r="B62" s="18">
        <f>IF(VLOOKUP(A62,'DB Country PMI'!$A:$AZ,MATCH($A$1,'DB Country PMI'!$A$1:$AZ$1,),)=0,#N/A,VLOOKUP(A62,'DB Country PMI'!$A:$AZ,MATCH($A$1,'DB Country PMI'!$A$1:$AZ$1,),))</f>
        <v>47.4</v>
      </c>
      <c r="C62" s="24">
        <f>Table1346811121415[[#This Row],[PMI]]-B61</f>
        <v>2.6999999999999957</v>
      </c>
    </row>
    <row r="63" spans="1:3" x14ac:dyDescent="0.2">
      <c r="A63" s="10">
        <v>41183</v>
      </c>
      <c r="B63" s="18">
        <f>IF(VLOOKUP(A63,'DB Country PMI'!$A:$AZ,MATCH($A$1,'DB Country PMI'!$A$1:$AZ$1,),)=0,#N/A,VLOOKUP(A63,'DB Country PMI'!$A:$AZ,MATCH($A$1,'DB Country PMI'!$A$1:$AZ$1,),))</f>
        <v>46</v>
      </c>
      <c r="C63" s="24">
        <f>Table1346811121415[[#This Row],[PMI]]-B62</f>
        <v>-1.3999999999999986</v>
      </c>
    </row>
    <row r="64" spans="1:3" x14ac:dyDescent="0.2">
      <c r="A64" s="10">
        <v>41214</v>
      </c>
      <c r="B64" s="18">
        <f>IF(VLOOKUP(A64,'DB Country PMI'!$A:$AZ,MATCH($A$1,'DB Country PMI'!$A$1:$AZ$1,),)=0,#N/A,VLOOKUP(A64,'DB Country PMI'!$A:$AZ,MATCH($A$1,'DB Country PMI'!$A$1:$AZ$1,),))</f>
        <v>46.8</v>
      </c>
      <c r="C64" s="24">
        <f>Table1346811121415[[#This Row],[PMI]]-B63</f>
        <v>0.79999999999999716</v>
      </c>
    </row>
    <row r="65" spans="1:3" x14ac:dyDescent="0.2">
      <c r="A65" s="10">
        <v>41244</v>
      </c>
      <c r="B65" s="18">
        <f>IF(VLOOKUP(A65,'DB Country PMI'!$A:$AZ,MATCH($A$1,'DB Country PMI'!$A$1:$AZ$1,),)=0,#N/A,VLOOKUP(A65,'DB Country PMI'!$A:$AZ,MATCH($A$1,'DB Country PMI'!$A$1:$AZ$1,),))</f>
        <v>46</v>
      </c>
      <c r="C65" s="24">
        <f>Table1346811121415[[#This Row],[PMI]]-B64</f>
        <v>-0.79999999999999716</v>
      </c>
    </row>
    <row r="66" spans="1:3" x14ac:dyDescent="0.2">
      <c r="A66" s="10">
        <v>41275</v>
      </c>
      <c r="B66" s="18">
        <f>IF(VLOOKUP(A66,'DB Country PMI'!$A:$AZ,MATCH($A$1,'DB Country PMI'!$A$1:$AZ$1,),)=0,#N/A,VLOOKUP(A66,'DB Country PMI'!$A:$AZ,MATCH($A$1,'DB Country PMI'!$A$1:$AZ$1,),))</f>
        <v>49.8</v>
      </c>
      <c r="C66" s="24">
        <f>Table1346811121415[[#This Row],[PMI]]-B65</f>
        <v>3.7999999999999972</v>
      </c>
    </row>
    <row r="67" spans="1:3" x14ac:dyDescent="0.2">
      <c r="A67" s="10">
        <v>41306</v>
      </c>
      <c r="B67" s="18">
        <f>IF(VLOOKUP(A67,'DB Country PMI'!$A:$AZ,MATCH($A$1,'DB Country PMI'!$A$1:$AZ$1,),)=0,#N/A,VLOOKUP(A67,'DB Country PMI'!$A:$AZ,MATCH($A$1,'DB Country PMI'!$A$1:$AZ$1,),))</f>
        <v>50.3</v>
      </c>
      <c r="C67" s="24">
        <f>Table1346811121415[[#This Row],[PMI]]-B66</f>
        <v>0.5</v>
      </c>
    </row>
    <row r="68" spans="1:3" x14ac:dyDescent="0.2">
      <c r="A68" s="10">
        <v>41334</v>
      </c>
      <c r="B68" s="18">
        <f>IF(VLOOKUP(A68,'DB Country PMI'!$A:$AZ,MATCH($A$1,'DB Country PMI'!$A$1:$AZ$1,),)=0,#N/A,VLOOKUP(A68,'DB Country PMI'!$A:$AZ,MATCH($A$1,'DB Country PMI'!$A$1:$AZ$1,),))</f>
        <v>49</v>
      </c>
      <c r="C68" s="24">
        <f>Table1346811121415[[#This Row],[PMI]]-B67</f>
        <v>-1.2999999999999972</v>
      </c>
    </row>
    <row r="69" spans="1:3" x14ac:dyDescent="0.2">
      <c r="A69" s="10">
        <v>41365</v>
      </c>
      <c r="B69" s="18">
        <f>IF(VLOOKUP(A69,'DB Country PMI'!$A:$AZ,MATCH($A$1,'DB Country PMI'!$A$1:$AZ$1,),)=0,#N/A,VLOOKUP(A69,'DB Country PMI'!$A:$AZ,MATCH($A$1,'DB Country PMI'!$A$1:$AZ$1,),))</f>
        <v>48.1</v>
      </c>
      <c r="C69" s="24">
        <f>Table1346811121415[[#This Row],[PMI]]-B68</f>
        <v>-0.89999999999999858</v>
      </c>
    </row>
    <row r="70" spans="1:3" x14ac:dyDescent="0.2">
      <c r="A70" s="10">
        <v>41395</v>
      </c>
      <c r="B70" s="18">
        <f>IF(VLOOKUP(A70,'DB Country PMI'!$A:$AZ,MATCH($A$1,'DB Country PMI'!$A$1:$AZ$1,),)=0,#N/A,VLOOKUP(A70,'DB Country PMI'!$A:$AZ,MATCH($A$1,'DB Country PMI'!$A$1:$AZ$1,),))</f>
        <v>49.4</v>
      </c>
      <c r="C70" s="24">
        <f>Table1346811121415[[#This Row],[PMI]]-B69</f>
        <v>1.2999999999999972</v>
      </c>
    </row>
    <row r="71" spans="1:3" x14ac:dyDescent="0.2">
      <c r="A71" s="10">
        <v>41426</v>
      </c>
      <c r="B71" s="18">
        <f>IF(VLOOKUP(A71,'DB Country PMI'!$A:$AZ,MATCH($A$1,'DB Country PMI'!$A$1:$AZ$1,),)=0,#N/A,VLOOKUP(A71,'DB Country PMI'!$A:$AZ,MATCH($A$1,'DB Country PMI'!$A$1:$AZ$1,),))</f>
        <v>48.6</v>
      </c>
      <c r="C71" s="24">
        <f>Table1346811121415[[#This Row],[PMI]]-B70</f>
        <v>-0.79999999999999716</v>
      </c>
    </row>
    <row r="72" spans="1:3" x14ac:dyDescent="0.2">
      <c r="A72" s="10">
        <v>41456</v>
      </c>
      <c r="B72" s="18">
        <f>IF(VLOOKUP(A72,'DB Country PMI'!$A:$AZ,MATCH($A$1,'DB Country PMI'!$A$1:$AZ$1,),)=0,#N/A,VLOOKUP(A72,'DB Country PMI'!$A:$AZ,MATCH($A$1,'DB Country PMI'!$A$1:$AZ$1,),))</f>
        <v>50.7</v>
      </c>
      <c r="C72" s="24">
        <f>Table1346811121415[[#This Row],[PMI]]-B71</f>
        <v>2.1000000000000014</v>
      </c>
    </row>
    <row r="73" spans="1:3" x14ac:dyDescent="0.2">
      <c r="A73" s="10">
        <v>41487</v>
      </c>
      <c r="B73" s="18">
        <f>IF(VLOOKUP(A73,'DB Country PMI'!$A:$AZ,MATCH($A$1,'DB Country PMI'!$A$1:$AZ$1,),)=0,#N/A,VLOOKUP(A73,'DB Country PMI'!$A:$AZ,MATCH($A$1,'DB Country PMI'!$A$1:$AZ$1,),))</f>
        <v>51.8</v>
      </c>
      <c r="C73" s="24">
        <f>Table1346811121415[[#This Row],[PMI]]-B72</f>
        <v>1.0999999999999943</v>
      </c>
    </row>
    <row r="74" spans="1:3" x14ac:dyDescent="0.2">
      <c r="A74" s="10">
        <v>41518</v>
      </c>
      <c r="B74" s="18">
        <f>IF(VLOOKUP(A74,'DB Country PMI'!$A:$AZ,MATCH($A$1,'DB Country PMI'!$A$1:$AZ$1,),)=0,#N/A,VLOOKUP(A74,'DB Country PMI'!$A:$AZ,MATCH($A$1,'DB Country PMI'!$A$1:$AZ$1,),))</f>
        <v>51.1</v>
      </c>
      <c r="C74" s="24">
        <f>Table1346811121415[[#This Row],[PMI]]-B73</f>
        <v>-0.69999999999999574</v>
      </c>
    </row>
    <row r="75" spans="1:3" x14ac:dyDescent="0.2">
      <c r="A75" s="10">
        <v>41548</v>
      </c>
      <c r="B75" s="18">
        <f>IF(VLOOKUP(A75,'DB Country PMI'!$A:$AZ,MATCH($A$1,'DB Country PMI'!$A$1:$AZ$1,),)=0,#N/A,VLOOKUP(A75,'DB Country PMI'!$A:$AZ,MATCH($A$1,'DB Country PMI'!$A$1:$AZ$1,),))</f>
        <v>51.7</v>
      </c>
      <c r="C75" s="24">
        <f>Table1346811121415[[#This Row],[PMI]]-B74</f>
        <v>0.60000000000000142</v>
      </c>
    </row>
    <row r="76" spans="1:3" x14ac:dyDescent="0.2">
      <c r="A76" s="10">
        <v>41579</v>
      </c>
      <c r="B76" s="18">
        <f>IF(VLOOKUP(A76,'DB Country PMI'!$A:$AZ,MATCH($A$1,'DB Country PMI'!$A$1:$AZ$1,),)=0,#N/A,VLOOKUP(A76,'DB Country PMI'!$A:$AZ,MATCH($A$1,'DB Country PMI'!$A$1:$AZ$1,),))</f>
        <v>52.7</v>
      </c>
      <c r="C76" s="24">
        <f>Table1346811121415[[#This Row],[PMI]]-B75</f>
        <v>1</v>
      </c>
    </row>
    <row r="77" spans="1:3" x14ac:dyDescent="0.2">
      <c r="A77" s="10">
        <v>41609</v>
      </c>
      <c r="B77" s="18">
        <f>IF(VLOOKUP(A77,'DB Country PMI'!$A:$AZ,MATCH($A$1,'DB Country PMI'!$A$1:$AZ$1,),)=0,#N/A,VLOOKUP(A77,'DB Country PMI'!$A:$AZ,MATCH($A$1,'DB Country PMI'!$A$1:$AZ$1,),))</f>
        <v>54.3</v>
      </c>
      <c r="C77" s="24">
        <f>Table1346811121415[[#This Row],[PMI]]-B76</f>
        <v>1.5999999999999943</v>
      </c>
    </row>
    <row r="78" spans="1:3" x14ac:dyDescent="0.2">
      <c r="A78" s="10">
        <v>41640</v>
      </c>
      <c r="B78" s="18">
        <f>IF(VLOOKUP(A78,'DB Country PMI'!$A:$AZ,MATCH($A$1,'DB Country PMI'!$A$1:$AZ$1,),)=0,#N/A,VLOOKUP(A78,'DB Country PMI'!$A:$AZ,MATCH($A$1,'DB Country PMI'!$A$1:$AZ$1,),))</f>
        <v>56.6</v>
      </c>
      <c r="C78" s="24">
        <f>Table1346811121415[[#This Row],[PMI]]-B77</f>
        <v>2.3000000000000043</v>
      </c>
    </row>
    <row r="79" spans="1:3" x14ac:dyDescent="0.2">
      <c r="A79" s="10">
        <v>41671</v>
      </c>
      <c r="B79" s="18">
        <f>IF(VLOOKUP(A79,'DB Country PMI'!$A:$AZ,MATCH($A$1,'DB Country PMI'!$A$1:$AZ$1,),)=0,#N/A,VLOOKUP(A79,'DB Country PMI'!$A:$AZ,MATCH($A$1,'DB Country PMI'!$A$1:$AZ$1,),))</f>
        <v>54.8</v>
      </c>
      <c r="C79" s="24">
        <f>Table1346811121415[[#This Row],[PMI]]-B78</f>
        <v>-1.8000000000000043</v>
      </c>
    </row>
    <row r="80" spans="1:3" x14ac:dyDescent="0.2">
      <c r="A80" s="10">
        <v>41699</v>
      </c>
      <c r="B80" s="18">
        <f>IF(VLOOKUP(A80,'DB Country PMI'!$A:$AZ,MATCH($A$1,'DB Country PMI'!$A$1:$AZ$1,),)=0,#N/A,VLOOKUP(A80,'DB Country PMI'!$A:$AZ,MATCH($A$1,'DB Country PMI'!$A$1:$AZ$1,),))</f>
        <v>53.7</v>
      </c>
      <c r="C80" s="24">
        <f>Table1346811121415[[#This Row],[PMI]]-B79</f>
        <v>-1.0999999999999943</v>
      </c>
    </row>
    <row r="81" spans="1:3" x14ac:dyDescent="0.2">
      <c r="A81" s="10">
        <v>41730</v>
      </c>
      <c r="B81" s="18">
        <f>IF(VLOOKUP(A81,'DB Country PMI'!$A:$AZ,MATCH($A$1,'DB Country PMI'!$A$1:$AZ$1,),)=0,#N/A,VLOOKUP(A81,'DB Country PMI'!$A:$AZ,MATCH($A$1,'DB Country PMI'!$A$1:$AZ$1,),))</f>
        <v>54.1</v>
      </c>
      <c r="C81" s="24">
        <f>Table1346811121415[[#This Row],[PMI]]-B80</f>
        <v>0.39999999999999858</v>
      </c>
    </row>
    <row r="82" spans="1:3" x14ac:dyDescent="0.2">
      <c r="A82" s="10">
        <v>41760</v>
      </c>
      <c r="B82" s="18">
        <f>IF(VLOOKUP(A82,'DB Country PMI'!$A:$AZ,MATCH($A$1,'DB Country PMI'!$A$1:$AZ$1,),)=0,#N/A,VLOOKUP(A82,'DB Country PMI'!$A:$AZ,MATCH($A$1,'DB Country PMI'!$A$1:$AZ$1,),))</f>
        <v>52.3</v>
      </c>
      <c r="C82" s="24">
        <f>Table1346811121415[[#This Row],[PMI]]-B81</f>
        <v>-1.8000000000000043</v>
      </c>
    </row>
    <row r="83" spans="1:3" x14ac:dyDescent="0.2">
      <c r="A83" s="10">
        <v>41791</v>
      </c>
      <c r="B83" s="18">
        <f>IF(VLOOKUP(A83,'DB Country PMI'!$A:$AZ,MATCH($A$1,'DB Country PMI'!$A$1:$AZ$1,),)=0,#N/A,VLOOKUP(A83,'DB Country PMI'!$A:$AZ,MATCH($A$1,'DB Country PMI'!$A$1:$AZ$1,),))</f>
        <v>52</v>
      </c>
      <c r="C83" s="24">
        <f>Table1346811121415[[#This Row],[PMI]]-B82</f>
        <v>-0.29999999999999716</v>
      </c>
    </row>
    <row r="84" spans="1:3" x14ac:dyDescent="0.2">
      <c r="A84" s="10">
        <v>41821</v>
      </c>
      <c r="B84" s="18">
        <f>IF(VLOOKUP(A84,'DB Country PMI'!$A:$AZ,MATCH($A$1,'DB Country PMI'!$A$1:$AZ$1,),)=0,#N/A,VLOOKUP(A84,'DB Country PMI'!$A:$AZ,MATCH($A$1,'DB Country PMI'!$A$1:$AZ$1,),))</f>
        <v>52.4</v>
      </c>
      <c r="C84" s="24">
        <f>Table1346811121415[[#This Row],[PMI]]-B83</f>
        <v>0.39999999999999858</v>
      </c>
    </row>
    <row r="85" spans="1:3" x14ac:dyDescent="0.2">
      <c r="A85" s="10">
        <v>41852</v>
      </c>
      <c r="B85" s="18">
        <f>IF(VLOOKUP(A85,'DB Country PMI'!$A:$AZ,MATCH($A$1,'DB Country PMI'!$A$1:$AZ$1,),)=0,#N/A,VLOOKUP(A85,'DB Country PMI'!$A:$AZ,MATCH($A$1,'DB Country PMI'!$A$1:$AZ$1,),))</f>
        <v>51.4</v>
      </c>
      <c r="C85" s="24">
        <f>Table1346811121415[[#This Row],[PMI]]-B84</f>
        <v>-1</v>
      </c>
    </row>
    <row r="86" spans="1:3" x14ac:dyDescent="0.2">
      <c r="A86" s="10">
        <v>41883</v>
      </c>
      <c r="B86" s="18">
        <f>IF(VLOOKUP(A86,'DB Country PMI'!$A:$AZ,MATCH($A$1,'DB Country PMI'!$A$1:$AZ$1,),)=0,#N/A,VLOOKUP(A86,'DB Country PMI'!$A:$AZ,MATCH($A$1,'DB Country PMI'!$A$1:$AZ$1,),))</f>
        <v>49.9</v>
      </c>
      <c r="C86" s="24">
        <f>Table1346811121415[[#This Row],[PMI]]-B85</f>
        <v>-1.5</v>
      </c>
    </row>
    <row r="87" spans="1:3" x14ac:dyDescent="0.2">
      <c r="A87" s="10">
        <v>41913</v>
      </c>
      <c r="B87" s="18">
        <f>IF(VLOOKUP(A87,'DB Country PMI'!$A:$AZ,MATCH($A$1,'DB Country PMI'!$A$1:$AZ$1,),)=0,#N/A,VLOOKUP(A87,'DB Country PMI'!$A:$AZ,MATCH($A$1,'DB Country PMI'!$A$1:$AZ$1,),))</f>
        <v>51.4</v>
      </c>
      <c r="C87" s="24">
        <f>Table1346811121415[[#This Row],[PMI]]-B86</f>
        <v>1.5</v>
      </c>
    </row>
    <row r="88" spans="1:3" x14ac:dyDescent="0.2">
      <c r="A88" s="10">
        <v>41944</v>
      </c>
      <c r="B88" s="18">
        <f>IF(VLOOKUP(A88,'DB Country PMI'!$A:$AZ,MATCH($A$1,'DB Country PMI'!$A$1:$AZ$1,),)=0,#N/A,VLOOKUP(A88,'DB Country PMI'!$A:$AZ,MATCH($A$1,'DB Country PMI'!$A$1:$AZ$1,),))</f>
        <v>49.5</v>
      </c>
      <c r="C88" s="24">
        <f>Table1346811121415[[#This Row],[PMI]]-B87</f>
        <v>-1.8999999999999986</v>
      </c>
    </row>
    <row r="89" spans="1:3" x14ac:dyDescent="0.2">
      <c r="A89" s="10">
        <v>41974</v>
      </c>
      <c r="B89" s="18">
        <f>IF(VLOOKUP(A89,'DB Country PMI'!$A:$AZ,MATCH($A$1,'DB Country PMI'!$A$1:$AZ$1,),)=0,#N/A,VLOOKUP(A89,'DB Country PMI'!$A:$AZ,MATCH($A$1,'DB Country PMI'!$A$1:$AZ$1,),))</f>
        <v>51.2</v>
      </c>
      <c r="C89" s="24">
        <f>Table1346811121415[[#This Row],[PMI]]-B88</f>
        <v>1.7000000000000028</v>
      </c>
    </row>
    <row r="90" spans="1:3" x14ac:dyDescent="0.2">
      <c r="A90" s="10">
        <v>42005</v>
      </c>
      <c r="B90" s="18">
        <f>IF(VLOOKUP(A90,'DB Country PMI'!$A:$AZ,MATCH($A$1,'DB Country PMI'!$A$1:$AZ$1,),)=0,#N/A,VLOOKUP(A90,'DB Country PMI'!$A:$AZ,MATCH($A$1,'DB Country PMI'!$A$1:$AZ$1,),))</f>
        <v>50.9</v>
      </c>
      <c r="C90" s="24">
        <f>Table1346811121415[[#This Row],[PMI]]-B89</f>
        <v>-0.30000000000000426</v>
      </c>
    </row>
    <row r="91" spans="1:3" x14ac:dyDescent="0.2">
      <c r="A91" s="10">
        <v>42036</v>
      </c>
      <c r="B91" s="18">
        <f>IF(VLOOKUP(A91,'DB Country PMI'!$A:$AZ,MATCH($A$1,'DB Country PMI'!$A$1:$AZ$1,),)=0,#N/A,VLOOKUP(A91,'DB Country PMI'!$A:$AZ,MATCH($A$1,'DB Country PMI'!$A$1:$AZ$1,),))</f>
        <v>51.1</v>
      </c>
      <c r="C91" s="24">
        <f>Table1346811121415[[#This Row],[PMI]]-B90</f>
        <v>0.20000000000000284</v>
      </c>
    </row>
    <row r="92" spans="1:3" x14ac:dyDescent="0.2">
      <c r="A92" s="10">
        <v>42064</v>
      </c>
      <c r="B92" s="18">
        <f>IF(VLOOKUP(A92,'DB Country PMI'!$A:$AZ,MATCH($A$1,'DB Country PMI'!$A$1:$AZ$1,),)=0,#N/A,VLOOKUP(A92,'DB Country PMI'!$A:$AZ,MATCH($A$1,'DB Country PMI'!$A$1:$AZ$1,),))</f>
        <v>52.8</v>
      </c>
      <c r="C92" s="24">
        <f>Table1346811121415[[#This Row],[PMI]]-B91</f>
        <v>1.6999999999999957</v>
      </c>
    </row>
    <row r="93" spans="1:3" x14ac:dyDescent="0.2">
      <c r="A93" s="10">
        <v>42095</v>
      </c>
      <c r="B93" s="18">
        <f>IF(VLOOKUP(A93,'DB Country PMI'!$A:$AZ,MATCH($A$1,'DB Country PMI'!$A$1:$AZ$1,),)=0,#N/A,VLOOKUP(A93,'DB Country PMI'!$A:$AZ,MATCH($A$1,'DB Country PMI'!$A$1:$AZ$1,),))</f>
        <v>52.1</v>
      </c>
      <c r="C93" s="24">
        <f>Table1346811121415[[#This Row],[PMI]]-B92</f>
        <v>-0.69999999999999574</v>
      </c>
    </row>
    <row r="94" spans="1:3" x14ac:dyDescent="0.2">
      <c r="A94" s="10">
        <v>42125</v>
      </c>
      <c r="B94" s="18">
        <f>IF(VLOOKUP(A94,'DB Country PMI'!$A:$AZ,MATCH($A$1,'DB Country PMI'!$A$1:$AZ$1,),)=0,#N/A,VLOOKUP(A94,'DB Country PMI'!$A:$AZ,MATCH($A$1,'DB Country PMI'!$A$1:$AZ$1,),))</f>
        <v>51.1</v>
      </c>
      <c r="C94" s="24">
        <f>Table1346811121415[[#This Row],[PMI]]-B93</f>
        <v>-1</v>
      </c>
    </row>
    <row r="95" spans="1:3" x14ac:dyDescent="0.2">
      <c r="A95" s="10">
        <v>42156</v>
      </c>
      <c r="B95" s="18">
        <f>IF(VLOOKUP(A95,'DB Country PMI'!$A:$AZ,MATCH($A$1,'DB Country PMI'!$A$1:$AZ$1,),)=0,#N/A,VLOOKUP(A95,'DB Country PMI'!$A:$AZ,MATCH($A$1,'DB Country PMI'!$A$1:$AZ$1,),))</f>
        <v>51.9</v>
      </c>
      <c r="C95" s="24">
        <f>Table1346811121415[[#This Row],[PMI]]-B94</f>
        <v>0.79999999999999716</v>
      </c>
    </row>
    <row r="96" spans="1:3" x14ac:dyDescent="0.2">
      <c r="A96" s="10">
        <v>42186</v>
      </c>
      <c r="B96" s="18">
        <f>IF(VLOOKUP(A96,'DB Country PMI'!$A:$AZ,MATCH($A$1,'DB Country PMI'!$A$1:$AZ$1,),)=0,#N/A,VLOOKUP(A96,'DB Country PMI'!$A:$AZ,MATCH($A$1,'DB Country PMI'!$A$1:$AZ$1,),))</f>
        <v>51.8</v>
      </c>
      <c r="C96" s="24">
        <f>Table1346811121415[[#This Row],[PMI]]-B95</f>
        <v>-0.10000000000000142</v>
      </c>
    </row>
    <row r="97" spans="1:3" x14ac:dyDescent="0.2">
      <c r="A97" s="10">
        <v>42217</v>
      </c>
      <c r="B97" s="18">
        <f>IF(VLOOKUP(A97,'DB Country PMI'!$A:$AZ,MATCH($A$1,'DB Country PMI'!$A$1:$AZ$1,),)=0,#N/A,VLOOKUP(A97,'DB Country PMI'!$A:$AZ,MATCH($A$1,'DB Country PMI'!$A$1:$AZ$1,),))</f>
        <v>53.3</v>
      </c>
      <c r="C97" s="24">
        <f>Table1346811121415[[#This Row],[PMI]]-B96</f>
        <v>1.5</v>
      </c>
    </row>
    <row r="98" spans="1:3" x14ac:dyDescent="0.2">
      <c r="A98" s="10">
        <v>42248</v>
      </c>
      <c r="B98" s="18">
        <f>IF(VLOOKUP(A98,'DB Country PMI'!$A:$AZ,MATCH($A$1,'DB Country PMI'!$A$1:$AZ$1,),)=0,#N/A,VLOOKUP(A98,'DB Country PMI'!$A:$AZ,MATCH($A$1,'DB Country PMI'!$A$1:$AZ$1,),))</f>
        <v>52.3</v>
      </c>
      <c r="C98" s="24">
        <f>Table1346811121415[[#This Row],[PMI]]-B97</f>
        <v>-1</v>
      </c>
    </row>
    <row r="99" spans="1:3" x14ac:dyDescent="0.2">
      <c r="A99" s="10">
        <v>42278</v>
      </c>
      <c r="B99" s="18">
        <f>IF(VLOOKUP(A99,'DB Country PMI'!$A:$AZ,MATCH($A$1,'DB Country PMI'!$A$1:$AZ$1,),)=0,#N/A,VLOOKUP(A99,'DB Country PMI'!$A:$AZ,MATCH($A$1,'DB Country PMI'!$A$1:$AZ$1,),))</f>
        <v>52.1</v>
      </c>
      <c r="C99" s="24">
        <f>Table1346811121415[[#This Row],[PMI]]-B98</f>
        <v>-0.19999999999999574</v>
      </c>
    </row>
    <row r="100" spans="1:3" x14ac:dyDescent="0.2">
      <c r="A100" s="10">
        <v>42309</v>
      </c>
      <c r="B100" s="18">
        <f>IF(VLOOKUP(A100,'DB Country PMI'!$A:$AZ,MATCH($A$1,'DB Country PMI'!$A$1:$AZ$1,),)=0,#N/A,VLOOKUP(A100,'DB Country PMI'!$A:$AZ,MATCH($A$1,'DB Country PMI'!$A$1:$AZ$1,),))</f>
        <v>52.9</v>
      </c>
      <c r="C100" s="24">
        <f>Table1346811121415[[#This Row],[PMI]]-B99</f>
        <v>0.79999999999999716</v>
      </c>
    </row>
    <row r="101" spans="1:3" x14ac:dyDescent="0.2">
      <c r="A101" s="10">
        <v>42339</v>
      </c>
      <c r="B101" s="18">
        <f>IF(VLOOKUP(A101,'DB Country PMI'!$A:$AZ,MATCH($A$1,'DB Country PMI'!$A$1:$AZ$1,),)=0,#N/A,VLOOKUP(A101,'DB Country PMI'!$A:$AZ,MATCH($A$1,'DB Country PMI'!$A$1:$AZ$1,),))</f>
        <v>53.2</v>
      </c>
      <c r="C101" s="24">
        <f>Table1346811121415[[#This Row],[PMI]]-B100</f>
        <v>0.30000000000000426</v>
      </c>
    </row>
    <row r="102" spans="1:3" x14ac:dyDescent="0.2">
      <c r="A102" s="10">
        <v>42370</v>
      </c>
      <c r="B102" s="18">
        <f>IF(VLOOKUP(A102,'DB Country PMI'!$A:$AZ,MATCH($A$1,'DB Country PMI'!$A$1:$AZ$1,),)=0,#N/A,VLOOKUP(A102,'DB Country PMI'!$A:$AZ,MATCH($A$1,'DB Country PMI'!$A$1:$AZ$1,),))</f>
        <v>52.3</v>
      </c>
      <c r="C102" s="24">
        <f>Table1346811121415[[#This Row],[PMI]]-B101</f>
        <v>-0.90000000000000568</v>
      </c>
    </row>
    <row r="103" spans="1:3" x14ac:dyDescent="0.2">
      <c r="A103" s="10">
        <v>42401</v>
      </c>
      <c r="B103" s="18">
        <f>IF(VLOOKUP(A103,'DB Country PMI'!$A:$AZ,MATCH($A$1,'DB Country PMI'!$A$1:$AZ$1,),)=0,#N/A,VLOOKUP(A103,'DB Country PMI'!$A:$AZ,MATCH($A$1,'DB Country PMI'!$A$1:$AZ$1,),))</f>
        <v>50.5</v>
      </c>
      <c r="C103" s="24">
        <f>Table1346811121415[[#This Row],[PMI]]-B102</f>
        <v>-1.7999999999999972</v>
      </c>
    </row>
    <row r="104" spans="1:3" x14ac:dyDescent="0.2">
      <c r="A104" s="10">
        <v>42430</v>
      </c>
      <c r="B104" s="18">
        <f>IF(VLOOKUP(A104,'DB Country PMI'!$A:$AZ,MATCH($A$1,'DB Country PMI'!$A$1:$AZ$1,),)=0,#N/A,VLOOKUP(A104,'DB Country PMI'!$A:$AZ,MATCH($A$1,'DB Country PMI'!$A$1:$AZ$1,),))</f>
        <v>50.7</v>
      </c>
      <c r="C104" s="24">
        <f>Table1346811121415[[#This Row],[PMI]]-B103</f>
        <v>0.20000000000000284</v>
      </c>
    </row>
    <row r="105" spans="1:3" x14ac:dyDescent="0.2">
      <c r="A105" s="10">
        <v>42461</v>
      </c>
      <c r="B105" s="18">
        <f>IF(VLOOKUP(A105,'DB Country PMI'!$A:$AZ,MATCH($A$1,'DB Country PMI'!$A$1:$AZ$1,),)=0,#N/A,VLOOKUP(A105,'DB Country PMI'!$A:$AZ,MATCH($A$1,'DB Country PMI'!$A$1:$AZ$1,),))</f>
        <v>51.8</v>
      </c>
      <c r="C105" s="24">
        <f>Table1346811121415[[#This Row],[PMI]]-B104</f>
        <v>1.0999999999999943</v>
      </c>
    </row>
    <row r="106" spans="1:3" x14ac:dyDescent="0.2">
      <c r="A106" s="10">
        <v>42491</v>
      </c>
      <c r="B106" s="18">
        <f>IF(VLOOKUP(A106,'DB Country PMI'!$A:$AZ,MATCH($A$1,'DB Country PMI'!$A$1:$AZ$1,),)=0,#N/A,VLOOKUP(A106,'DB Country PMI'!$A:$AZ,MATCH($A$1,'DB Country PMI'!$A$1:$AZ$1,),))</f>
        <v>52.1</v>
      </c>
      <c r="C106" s="24">
        <f>Table1346811121415[[#This Row],[PMI]]-B105</f>
        <v>0.30000000000000426</v>
      </c>
    </row>
    <row r="107" spans="1:3" x14ac:dyDescent="0.2">
      <c r="A107" s="10">
        <v>42522</v>
      </c>
      <c r="B107" s="18">
        <f>IF(VLOOKUP(A107,'DB Country PMI'!$A:$AZ,MATCH($A$1,'DB Country PMI'!$A$1:$AZ$1,),)=0,#N/A,VLOOKUP(A107,'DB Country PMI'!$A:$AZ,MATCH($A$1,'DB Country PMI'!$A$1:$AZ$1,),))</f>
        <v>54.5</v>
      </c>
      <c r="C107" s="24">
        <f>Table1346811121415[[#This Row],[PMI]]-B106</f>
        <v>2.3999999999999986</v>
      </c>
    </row>
    <row r="108" spans="1:3" x14ac:dyDescent="0.2">
      <c r="A108" s="10">
        <v>42552</v>
      </c>
      <c r="B108" s="18">
        <f>IF(VLOOKUP(A108,'DB Country PMI'!$A:$AZ,MATCH($A$1,'DB Country PMI'!$A$1:$AZ$1,),)=0,#N/A,VLOOKUP(A108,'DB Country PMI'!$A:$AZ,MATCH($A$1,'DB Country PMI'!$A$1:$AZ$1,),))</f>
        <v>53.8</v>
      </c>
      <c r="C108" s="24">
        <f>Table1346811121415[[#This Row],[PMI]]-B107</f>
        <v>-0.70000000000000284</v>
      </c>
    </row>
    <row r="109" spans="1:3" x14ac:dyDescent="0.2">
      <c r="A109" s="10">
        <v>42583</v>
      </c>
      <c r="B109" s="18">
        <f>IF(VLOOKUP(A109,'DB Country PMI'!$A:$AZ,MATCH($A$1,'DB Country PMI'!$A$1:$AZ$1,),)=0,#N/A,VLOOKUP(A109,'DB Country PMI'!$A:$AZ,MATCH($A$1,'DB Country PMI'!$A$1:$AZ$1,),))</f>
        <v>53.6</v>
      </c>
      <c r="C109" s="24">
        <f>Table1346811121415[[#This Row],[PMI]]-B108</f>
        <v>-0.19999999999999574</v>
      </c>
    </row>
    <row r="110" spans="1:3" x14ac:dyDescent="0.2">
      <c r="A110" s="10">
        <v>42614</v>
      </c>
      <c r="B110" s="18">
        <f>IF(VLOOKUP(A110,'DB Country PMI'!$A:$AZ,MATCH($A$1,'DB Country PMI'!$A$1:$AZ$1,),)=0,#N/A,VLOOKUP(A110,'DB Country PMI'!$A:$AZ,MATCH($A$1,'DB Country PMI'!$A$1:$AZ$1,),))</f>
        <v>54.3</v>
      </c>
      <c r="C110" s="24">
        <f>Table1346811121415[[#This Row],[PMI]]-B109</f>
        <v>0.69999999999999574</v>
      </c>
    </row>
    <row r="111" spans="1:3" x14ac:dyDescent="0.2">
      <c r="A111" s="10">
        <v>42644</v>
      </c>
      <c r="B111" s="18">
        <f>IF(VLOOKUP(A111,'DB Country PMI'!$A:$AZ,MATCH($A$1,'DB Country PMI'!$A$1:$AZ$1,),)=0,#N/A,VLOOKUP(A111,'DB Country PMI'!$A:$AZ,MATCH($A$1,'DB Country PMI'!$A$1:$AZ$1,),))</f>
        <v>55</v>
      </c>
      <c r="C111" s="24">
        <f>Table1346811121415[[#This Row],[PMI]]-B110</f>
        <v>0.70000000000000284</v>
      </c>
    </row>
    <row r="112" spans="1:3" x14ac:dyDescent="0.2">
      <c r="A112" s="10">
        <v>42675</v>
      </c>
      <c r="B112" s="18">
        <f>IF(VLOOKUP(A112,'DB Country PMI'!$A:$AZ,MATCH($A$1,'DB Country PMI'!$A$1:$AZ$1,),)=0,#N/A,VLOOKUP(A112,'DB Country PMI'!$A:$AZ,MATCH($A$1,'DB Country PMI'!$A$1:$AZ$1,),))</f>
        <v>54.3</v>
      </c>
      <c r="C112" s="24">
        <f>Table1346811121415[[#This Row],[PMI]]-B111</f>
        <v>-0.70000000000000284</v>
      </c>
    </row>
    <row r="113" spans="1:3" x14ac:dyDescent="0.2">
      <c r="A113" s="10">
        <v>42705</v>
      </c>
      <c r="B113" s="18">
        <f>IF(VLOOKUP(A113,'DB Country PMI'!$A:$AZ,MATCH($A$1,'DB Country PMI'!$A$1:$AZ$1,),)=0,#N/A,VLOOKUP(A113,'DB Country PMI'!$A:$AZ,MATCH($A$1,'DB Country PMI'!$A$1:$AZ$1,),))</f>
        <v>55.6</v>
      </c>
      <c r="C113" s="24">
        <f>Table1346811121415[[#This Row],[PMI]]-B112</f>
        <v>1.3000000000000043</v>
      </c>
    </row>
    <row r="114" spans="1:3" x14ac:dyDescent="0.2">
      <c r="A114" s="10">
        <v>42736</v>
      </c>
      <c r="B114" s="18">
        <f>IF(VLOOKUP(A114,'DB Country PMI'!$A:$AZ,MATCH($A$1,'DB Country PMI'!$A$1:$AZ$1,),)=0,#N/A,VLOOKUP(A114,'DB Country PMI'!$A:$AZ,MATCH($A$1,'DB Country PMI'!$A$1:$AZ$1,),))</f>
        <v>56.4</v>
      </c>
      <c r="C114" s="24">
        <f>Table1346811121415[[#This Row],[PMI]]-B113</f>
        <v>0.79999999999999716</v>
      </c>
    </row>
    <row r="115" spans="1:3" x14ac:dyDescent="0.2">
      <c r="A115" s="10">
        <v>42767</v>
      </c>
      <c r="B115" s="18">
        <f>IF(VLOOKUP(A115,'DB Country PMI'!$A:$AZ,MATCH($A$1,'DB Country PMI'!$A$1:$AZ$1,),)=0,#N/A,VLOOKUP(A115,'DB Country PMI'!$A:$AZ,MATCH($A$1,'DB Country PMI'!$A$1:$AZ$1,),))</f>
        <v>56.8</v>
      </c>
      <c r="C115" s="24">
        <f>Table1346811121415[[#This Row],[PMI]]-B114</f>
        <v>0.39999999999999858</v>
      </c>
    </row>
    <row r="116" spans="1:3" x14ac:dyDescent="0.2">
      <c r="A116" s="10">
        <v>42795</v>
      </c>
      <c r="B116" s="18">
        <f>IF(VLOOKUP(A116,'DB Country PMI'!$A:$AZ,MATCH($A$1,'DB Country PMI'!$A$1:$AZ$1,),)=0,#N/A,VLOOKUP(A116,'DB Country PMI'!$A:$AZ,MATCH($A$1,'DB Country PMI'!$A$1:$AZ$1,),))</f>
        <v>58.3</v>
      </c>
      <c r="C116" s="24">
        <f>Table1346811121415[[#This Row],[PMI]]-B115</f>
        <v>1.5</v>
      </c>
    </row>
    <row r="117" spans="1:3" x14ac:dyDescent="0.2">
      <c r="A117" s="10">
        <v>42826</v>
      </c>
      <c r="B117" s="18">
        <f>IF(VLOOKUP(A117,'DB Country PMI'!$A:$AZ,MATCH($A$1,'DB Country PMI'!$A$1:$AZ$1,),)=0,#N/A,VLOOKUP(A117,'DB Country PMI'!$A:$AZ,MATCH($A$1,'DB Country PMI'!$A$1:$AZ$1,),))</f>
        <v>58.2</v>
      </c>
      <c r="C117" s="24">
        <f>Table1346811121415[[#This Row],[PMI]]-B116</f>
        <v>-9.9999999999994316E-2</v>
      </c>
    </row>
    <row r="118" spans="1:3" x14ac:dyDescent="0.2">
      <c r="A118" s="10">
        <v>42856</v>
      </c>
      <c r="B118" s="18">
        <f>IF(VLOOKUP(A118,'DB Country PMI'!$A:$AZ,MATCH($A$1,'DB Country PMI'!$A$1:$AZ$1,),)=0,#N/A,VLOOKUP(A118,'DB Country PMI'!$A:$AZ,MATCH($A$1,'DB Country PMI'!$A$1:$AZ$1,),))</f>
        <v>59.5</v>
      </c>
      <c r="C118" s="24">
        <f>Table1346811121415[[#This Row],[PMI]]-B117</f>
        <v>1.2999999999999972</v>
      </c>
    </row>
    <row r="119" spans="1:3" x14ac:dyDescent="0.2">
      <c r="A119" s="10">
        <v>42887</v>
      </c>
      <c r="B119" s="18">
        <f>IF(VLOOKUP(A119,'DB Country PMI'!$A:$AZ,MATCH($A$1,'DB Country PMI'!$A$1:$AZ$1,),)=0,#N/A,VLOOKUP(A119,'DB Country PMI'!$A:$AZ,MATCH($A$1,'DB Country PMI'!$A$1:$AZ$1,),))</f>
        <v>59.6</v>
      </c>
      <c r="C119" s="24">
        <f>Table1346811121415[[#This Row],[PMI]]-B118</f>
        <v>0.10000000000000142</v>
      </c>
    </row>
    <row r="120" spans="1:3" x14ac:dyDescent="0.2">
      <c r="A120" s="10">
        <v>42917</v>
      </c>
      <c r="B120" s="18">
        <f>IF(VLOOKUP(A120,'DB Country PMI'!$A:$AZ,MATCH($A$1,'DB Country PMI'!$A$1:$AZ$1,),)=0,#N/A,VLOOKUP(A120,'DB Country PMI'!$A:$AZ,MATCH($A$1,'DB Country PMI'!$A$1:$AZ$1,),))</f>
        <v>58.1</v>
      </c>
      <c r="C120" s="24">
        <f>Table1346811121415[[#This Row],[PMI]]-B119</f>
        <v>-1.5</v>
      </c>
    </row>
    <row r="121" spans="1:3" x14ac:dyDescent="0.2">
      <c r="A121" s="10">
        <v>42948</v>
      </c>
      <c r="B121" s="18">
        <f>IF(VLOOKUP(A121,'DB Country PMI'!$A:$AZ,MATCH($A$1,'DB Country PMI'!$A$1:$AZ$1,),)=0,#N/A,VLOOKUP(A121,'DB Country PMI'!$A:$AZ,MATCH($A$1,'DB Country PMI'!$A$1:$AZ$1,),))</f>
        <v>59.3</v>
      </c>
      <c r="C121" s="24">
        <f>Table1346811121415[[#This Row],[PMI]]-B120</f>
        <v>1.1999999999999957</v>
      </c>
    </row>
    <row r="122" spans="1:3" x14ac:dyDescent="0.2">
      <c r="A122" s="10">
        <v>42979</v>
      </c>
      <c r="B122" s="18">
        <f>IF(VLOOKUP(A122,'DB Country PMI'!$A:$AZ,MATCH($A$1,'DB Country PMI'!$A$1:$AZ$1,),)=0,#N/A,VLOOKUP(A122,'DB Country PMI'!$A:$AZ,MATCH($A$1,'DB Country PMI'!$A$1:$AZ$1,),))</f>
        <v>60.6</v>
      </c>
      <c r="C122" s="24">
        <f>Table1346811121415[[#This Row],[PMI]]-B121</f>
        <v>1.3000000000000043</v>
      </c>
    </row>
    <row r="123" spans="1:3" x14ac:dyDescent="0.2">
      <c r="A123" s="10">
        <v>43009</v>
      </c>
      <c r="B123" s="18">
        <f>IF(VLOOKUP(A123,'DB Country PMI'!$A:$AZ,MATCH($A$1,'DB Country PMI'!$A$1:$AZ$1,),)=0,#N/A,VLOOKUP(A123,'DB Country PMI'!$A:$AZ,MATCH($A$1,'DB Country PMI'!$A$1:$AZ$1,),))</f>
        <v>60.6</v>
      </c>
      <c r="C123" s="24">
        <f>Table1346811121415[[#This Row],[PMI]]-B122</f>
        <v>0</v>
      </c>
    </row>
    <row r="124" spans="1:3" x14ac:dyDescent="0.2">
      <c r="A124" s="10">
        <v>43040</v>
      </c>
      <c r="B124" s="18">
        <f>IF(VLOOKUP(A124,'DB Country PMI'!$A:$AZ,MATCH($A$1,'DB Country PMI'!$A$1:$AZ$1,),)=0,#N/A,VLOOKUP(A124,'DB Country PMI'!$A:$AZ,MATCH($A$1,'DB Country PMI'!$A$1:$AZ$1,),))</f>
        <v>62.5</v>
      </c>
      <c r="C124" s="24">
        <f>Table1346811121415[[#This Row],[PMI]]-B123</f>
        <v>1.8999999999999986</v>
      </c>
    </row>
    <row r="125" spans="1:3" x14ac:dyDescent="0.2">
      <c r="A125" s="10">
        <v>43070</v>
      </c>
      <c r="B125" s="18">
        <f>IF(VLOOKUP(A125,'DB Country PMI'!$A:$AZ,MATCH($A$1,'DB Country PMI'!$A$1:$AZ$1,),)=0,#N/A,VLOOKUP(A125,'DB Country PMI'!$A:$AZ,MATCH($A$1,'DB Country PMI'!$A$1:$AZ$1,),))</f>
        <v>63.3</v>
      </c>
      <c r="C125" s="24">
        <f>Table1346811121415[[#This Row],[PMI]]-B124</f>
        <v>0.79999999999999716</v>
      </c>
    </row>
    <row r="126" spans="1:3" x14ac:dyDescent="0.2">
      <c r="A126" s="10">
        <v>43101</v>
      </c>
      <c r="B126" s="18">
        <f>IF(VLOOKUP(A126,'DB Country PMI'!$A:$AZ,MATCH($A$1,'DB Country PMI'!$A$1:$AZ$1,),)=0,#N/A,VLOOKUP(A126,'DB Country PMI'!$A:$AZ,MATCH($A$1,'DB Country PMI'!$A$1:$AZ$1,),))</f>
        <v>61.1</v>
      </c>
      <c r="C126" s="24">
        <f>Table1346811121415[[#This Row],[PMI]]-B125</f>
        <v>-2.1999999999999957</v>
      </c>
    </row>
    <row r="127" spans="1:3" x14ac:dyDescent="0.2">
      <c r="A127" s="10">
        <v>43132</v>
      </c>
      <c r="B127" s="18">
        <f>IF(VLOOKUP(A127,'DB Country PMI'!$A:$AZ,MATCH($A$1,'DB Country PMI'!$A$1:$AZ$1,),)=0,#N/A,VLOOKUP(A127,'DB Country PMI'!$A:$AZ,MATCH($A$1,'DB Country PMI'!$A$1:$AZ$1,),))</f>
        <v>60.6</v>
      </c>
      <c r="C127" s="24">
        <f>Table1346811121415[[#This Row],[PMI]]-B126</f>
        <v>-0.5</v>
      </c>
    </row>
    <row r="128" spans="1:3" x14ac:dyDescent="0.2">
      <c r="A128" s="10">
        <v>43160</v>
      </c>
      <c r="B128" s="18">
        <f>IF(VLOOKUP(A128,'DB Country PMI'!$A:$AZ,MATCH($A$1,'DB Country PMI'!$A$1:$AZ$1,),)=0,#N/A,VLOOKUP(A128,'DB Country PMI'!$A:$AZ,MATCH($A$1,'DB Country PMI'!$A$1:$AZ$1,),))</f>
        <v>58.4</v>
      </c>
      <c r="C128" s="24">
        <f>Table1346811121415[[#This Row],[PMI]]-B127</f>
        <v>-2.2000000000000028</v>
      </c>
    </row>
    <row r="129" spans="1:3" x14ac:dyDescent="0.2">
      <c r="A129" s="10">
        <v>43191</v>
      </c>
      <c r="B129" s="18">
        <f>IF(VLOOKUP(A129,'DB Country PMI'!$A:$AZ,MATCH($A$1,'DB Country PMI'!$A$1:$AZ$1,),)=0,#N/A,VLOOKUP(A129,'DB Country PMI'!$A:$AZ,MATCH($A$1,'DB Country PMI'!$A$1:$AZ$1,),))</f>
        <v>58.1</v>
      </c>
      <c r="C129" s="24">
        <f>Table1346811121415[[#This Row],[PMI]]-B128</f>
        <v>-0.29999999999999716</v>
      </c>
    </row>
    <row r="130" spans="1:3" x14ac:dyDescent="0.2">
      <c r="A130" s="10">
        <v>43221</v>
      </c>
      <c r="B130" s="18">
        <f>IF(VLOOKUP(A130,'DB Country PMI'!$A:$AZ,MATCH($A$1,'DB Country PMI'!$A$1:$AZ$1,),)=0,#N/A,VLOOKUP(A130,'DB Country PMI'!$A:$AZ,MATCH($A$1,'DB Country PMI'!$A$1:$AZ$1,),))</f>
        <v>56.9</v>
      </c>
      <c r="C130" s="24">
        <f>Table1346811121415[[#This Row],[PMI]]-B129</f>
        <v>-1.2000000000000028</v>
      </c>
    </row>
    <row r="131" spans="1:3" x14ac:dyDescent="0.2">
      <c r="A131" s="10">
        <v>43252</v>
      </c>
      <c r="B131" s="18">
        <f>IF(VLOOKUP(A131,'DB Country PMI'!$A:$AZ,MATCH($A$1,'DB Country PMI'!$A$1:$AZ$1,),)=0,#N/A,VLOOKUP(A131,'DB Country PMI'!$A:$AZ,MATCH($A$1,'DB Country PMI'!$A$1:$AZ$1,),))</f>
        <v>55.9</v>
      </c>
      <c r="C131" s="24">
        <f>Table1346811121415[[#This Row],[PMI]]-B130</f>
        <v>-1</v>
      </c>
    </row>
    <row r="132" spans="1:3" x14ac:dyDescent="0.2">
      <c r="A132" s="10">
        <v>43282</v>
      </c>
      <c r="B132" s="18">
        <f>IF(VLOOKUP(A132,'DB Country PMI'!$A:$AZ,MATCH($A$1,'DB Country PMI'!$A$1:$AZ$1,),)=0,#N/A,VLOOKUP(A132,'DB Country PMI'!$A:$AZ,MATCH($A$1,'DB Country PMI'!$A$1:$AZ$1,),))</f>
        <v>56.9</v>
      </c>
      <c r="C132" s="24">
        <f>Table1346811121415[[#This Row],[PMI]]-B131</f>
        <v>1</v>
      </c>
    </row>
    <row r="133" spans="1:3" x14ac:dyDescent="0.2">
      <c r="A133" s="10">
        <v>43313</v>
      </c>
      <c r="B133" s="18">
        <f>IF(VLOOKUP(A133,'DB Country PMI'!$A:$AZ,MATCH($A$1,'DB Country PMI'!$A$1:$AZ$1,),)=0,#N/A,VLOOKUP(A133,'DB Country PMI'!$A:$AZ,MATCH($A$1,'DB Country PMI'!$A$1:$AZ$1,),))</f>
        <v>55.9</v>
      </c>
      <c r="C133" s="24">
        <f>Table1346811121415[[#This Row],[PMI]]-B132</f>
        <v>-1</v>
      </c>
    </row>
    <row r="134" spans="1:3" x14ac:dyDescent="0.2">
      <c r="A134" s="10">
        <v>43344</v>
      </c>
      <c r="B134" s="18">
        <f>IF(VLOOKUP(A134,'DB Country PMI'!$A:$AZ,MATCH($A$1,'DB Country PMI'!$A$1:$AZ$1,),)=0,#N/A,VLOOKUP(A134,'DB Country PMI'!$A:$AZ,MATCH($A$1,'DB Country PMI'!$A$1:$AZ$1,),))</f>
        <v>53.7</v>
      </c>
      <c r="C134" s="24">
        <f>Table1346811121415[[#This Row],[PMI]]-B133</f>
        <v>-2.1999999999999957</v>
      </c>
    </row>
    <row r="135" spans="1:3" x14ac:dyDescent="0.2">
      <c r="A135" s="10">
        <v>43374</v>
      </c>
      <c r="B135" s="18">
        <f>IF(VLOOKUP(A135,'DB Country PMI'!$A:$AZ,MATCH($A$1,'DB Country PMI'!$A$1:$AZ$1,),)=0,#N/A,VLOOKUP(A135,'DB Country PMI'!$A:$AZ,MATCH($A$1,'DB Country PMI'!$A$1:$AZ$1,),))</f>
        <v>52.2</v>
      </c>
      <c r="C135" s="24">
        <f>Table1346811121415[[#This Row],[PMI]]-B134</f>
        <v>-1.5</v>
      </c>
    </row>
    <row r="136" spans="1:3" x14ac:dyDescent="0.2">
      <c r="A136" s="10">
        <v>43405</v>
      </c>
      <c r="B136" s="18">
        <f>IF(VLOOKUP(A136,'DB Country PMI'!$A:$AZ,MATCH($A$1,'DB Country PMI'!$A$1:$AZ$1,),)=0,#N/A,VLOOKUP(A136,'DB Country PMI'!$A:$AZ,MATCH($A$1,'DB Country PMI'!$A$1:$AZ$1,),))</f>
        <v>51.8</v>
      </c>
      <c r="C136" s="24">
        <f>Table1346811121415[[#This Row],[PMI]]-B135</f>
        <v>-0.40000000000000568</v>
      </c>
    </row>
    <row r="137" spans="1:3" x14ac:dyDescent="0.2">
      <c r="A137" s="10">
        <v>43435</v>
      </c>
      <c r="B137" s="18">
        <f>IF(VLOOKUP(A137,'DB Country PMI'!$A:$AZ,MATCH($A$1,'DB Country PMI'!$A$1:$AZ$1,),)=0,#N/A,VLOOKUP(A137,'DB Country PMI'!$A:$AZ,MATCH($A$1,'DB Country PMI'!$A$1:$AZ$1,),))</f>
        <v>51.5</v>
      </c>
      <c r="C137" s="24">
        <f>Table1346811121415[[#This Row],[PMI]]-B136</f>
        <v>-0.29999999999999716</v>
      </c>
    </row>
    <row r="138" spans="1:3" x14ac:dyDescent="0.2">
      <c r="A138" s="10">
        <v>43466</v>
      </c>
      <c r="B138" s="18">
        <f>IF(VLOOKUP(A138,'DB Country PMI'!$A:$AZ,MATCH($A$1,'DB Country PMI'!$A$1:$AZ$1,),)=0,#N/A,VLOOKUP(A138,'DB Country PMI'!$A:$AZ,MATCH($A$1,'DB Country PMI'!$A$1:$AZ$1,),))</f>
        <v>49.7</v>
      </c>
      <c r="C138" s="24">
        <f>Table1346811121415[[#This Row],[PMI]]-B137</f>
        <v>-1.7999999999999972</v>
      </c>
    </row>
    <row r="139" spans="1:3" x14ac:dyDescent="0.2">
      <c r="A139" s="10">
        <v>43497</v>
      </c>
      <c r="B139" s="18">
        <f>IF(VLOOKUP(A139,'DB Country PMI'!$A:$AZ,MATCH($A$1,'DB Country PMI'!$A$1:$AZ$1,),)=0,#N/A,VLOOKUP(A139,'DB Country PMI'!$A:$AZ,MATCH($A$1,'DB Country PMI'!$A$1:$AZ$1,),))</f>
        <v>47.6</v>
      </c>
      <c r="C139" s="24">
        <f>Table1346811121415[[#This Row],[PMI]]-B138</f>
        <v>-2.1000000000000014</v>
      </c>
    </row>
    <row r="140" spans="1:3" x14ac:dyDescent="0.2">
      <c r="A140" s="10">
        <v>43525</v>
      </c>
      <c r="B140" s="18">
        <f>IF(VLOOKUP(A140,'DB Country PMI'!$A:$AZ,MATCH($A$1,'DB Country PMI'!$A$1:$AZ$1,),)=0,#N/A,VLOOKUP(A140,'DB Country PMI'!$A:$AZ,MATCH($A$1,'DB Country PMI'!$A$1:$AZ$1,),))</f>
        <v>44.1</v>
      </c>
      <c r="C140" s="24">
        <f>Table1346811121415[[#This Row],[PMI]]-B139</f>
        <v>-3.5</v>
      </c>
    </row>
    <row r="141" spans="1:3" x14ac:dyDescent="0.2">
      <c r="A141" s="10">
        <v>43556</v>
      </c>
      <c r="B141" s="18">
        <f>IF(VLOOKUP(A141,'DB Country PMI'!$A:$AZ,MATCH($A$1,'DB Country PMI'!$A$1:$AZ$1,),)=0,#N/A,VLOOKUP(A141,'DB Country PMI'!$A:$AZ,MATCH($A$1,'DB Country PMI'!$A$1:$AZ$1,),))</f>
        <v>44.4</v>
      </c>
      <c r="C141" s="24">
        <f>Table1346811121415[[#This Row],[PMI]]-B140</f>
        <v>0.29999999999999716</v>
      </c>
    </row>
    <row r="142" spans="1:3" x14ac:dyDescent="0.2">
      <c r="A142" s="10">
        <v>43586</v>
      </c>
      <c r="B142" s="18">
        <f>IF(VLOOKUP(A142,'DB Country PMI'!$A:$AZ,MATCH($A$1,'DB Country PMI'!$A$1:$AZ$1,),)=0,#N/A,VLOOKUP(A142,'DB Country PMI'!$A:$AZ,MATCH($A$1,'DB Country PMI'!$A$1:$AZ$1,),))</f>
        <v>44.3</v>
      </c>
      <c r="C142" s="24">
        <f>Table1346811121415[[#This Row],[PMI]]-B141</f>
        <v>-0.10000000000000142</v>
      </c>
    </row>
    <row r="143" spans="1:3" x14ac:dyDescent="0.2">
      <c r="A143" s="10">
        <v>43617</v>
      </c>
      <c r="B143" s="18">
        <f>IF(VLOOKUP(A143,'DB Country PMI'!$A:$AZ,MATCH($A$1,'DB Country PMI'!$A$1:$AZ$1,),)=0,#N/A,VLOOKUP(A143,'DB Country PMI'!$A:$AZ,MATCH($A$1,'DB Country PMI'!$A$1:$AZ$1,),))</f>
        <v>45</v>
      </c>
      <c r="C143" s="24">
        <f>Table1346811121415[[#This Row],[PMI]]-B142</f>
        <v>0.70000000000000284</v>
      </c>
    </row>
    <row r="144" spans="1:3" x14ac:dyDescent="0.2">
      <c r="A144" s="10">
        <v>43647</v>
      </c>
      <c r="B144" s="18">
        <f>IF(VLOOKUP(A144,'DB Country PMI'!$A:$AZ,MATCH($A$1,'DB Country PMI'!$A$1:$AZ$1,),)=0,#N/A,VLOOKUP(A144,'DB Country PMI'!$A:$AZ,MATCH($A$1,'DB Country PMI'!$A$1:$AZ$1,),))</f>
        <v>43.2</v>
      </c>
      <c r="C144" s="24">
        <f>Table1346811121415[[#This Row],[PMI]]-B143</f>
        <v>-1.7999999999999972</v>
      </c>
    </row>
    <row r="145" spans="1:3" x14ac:dyDescent="0.2">
      <c r="A145" s="10">
        <v>43678</v>
      </c>
      <c r="B145" s="18">
        <f>IF(VLOOKUP(A145,'DB Country PMI'!$A:$AZ,MATCH($A$1,'DB Country PMI'!$A$1:$AZ$1,),)=0,#N/A,VLOOKUP(A145,'DB Country PMI'!$A:$AZ,MATCH($A$1,'DB Country PMI'!$A$1:$AZ$1,),))</f>
        <v>43.5</v>
      </c>
      <c r="C145" s="24">
        <f>Table1346811121415[[#This Row],[PMI]]-B144</f>
        <v>0.29999999999999716</v>
      </c>
    </row>
    <row r="146" spans="1:3" x14ac:dyDescent="0.2">
      <c r="A146" s="10">
        <v>43709</v>
      </c>
      <c r="B146" s="18">
        <f>IF(VLOOKUP(A146,'DB Country PMI'!$A:$AZ,MATCH($A$1,'DB Country PMI'!$A$1:$AZ$1,),)=0,#N/A,VLOOKUP(A146,'DB Country PMI'!$A:$AZ,MATCH($A$1,'DB Country PMI'!$A$1:$AZ$1,),))</f>
        <v>41.7</v>
      </c>
      <c r="C146" s="24">
        <f>Table1346811121415[[#This Row],[PMI]]-B145</f>
        <v>-1.7999999999999972</v>
      </c>
    </row>
    <row r="147" spans="1:3" x14ac:dyDescent="0.2">
      <c r="A147" s="10">
        <v>43739</v>
      </c>
      <c r="B147" s="18">
        <f>IF(VLOOKUP(A147,'DB Country PMI'!$A:$AZ,MATCH($A$1,'DB Country PMI'!$A$1:$AZ$1,),)=0,#N/A,VLOOKUP(A147,'DB Country PMI'!$A:$AZ,MATCH($A$1,'DB Country PMI'!$A$1:$AZ$1,),))</f>
        <v>42.1</v>
      </c>
      <c r="C147" s="24">
        <f>Table1346811121415[[#This Row],[PMI]]-B146</f>
        <v>0.39999999999999858</v>
      </c>
    </row>
    <row r="148" spans="1:3" x14ac:dyDescent="0.2">
      <c r="A148" s="10">
        <v>43770</v>
      </c>
      <c r="B148" s="18">
        <f>IF(VLOOKUP(A148,'DB Country PMI'!$A:$AZ,MATCH($A$1,'DB Country PMI'!$A$1:$AZ$1,),)=0,#N/A,VLOOKUP(A148,'DB Country PMI'!$A:$AZ,MATCH($A$1,'DB Country PMI'!$A$1:$AZ$1,),))</f>
        <v>44.1</v>
      </c>
      <c r="C148" s="24">
        <f>Table1346811121415[[#This Row],[PMI]]-B147</f>
        <v>2</v>
      </c>
    </row>
    <row r="149" spans="1:3" x14ac:dyDescent="0.2">
      <c r="A149" s="10">
        <v>43800</v>
      </c>
      <c r="B149" s="18">
        <f>IF(VLOOKUP(A149,'DB Country PMI'!$A:$AZ,MATCH($A$1,'DB Country PMI'!$A$1:$AZ$1,),)=0,#N/A,VLOOKUP(A149,'DB Country PMI'!$A:$AZ,MATCH($A$1,'DB Country PMI'!$A$1:$AZ$1,),))</f>
        <v>43.7</v>
      </c>
      <c r="C149" s="24">
        <f>Table1346811121415[[#This Row],[PMI]]-B148</f>
        <v>-0.39999999999999858</v>
      </c>
    </row>
    <row r="150" spans="1:3" x14ac:dyDescent="0.2">
      <c r="A150" s="10">
        <v>43831</v>
      </c>
      <c r="B150" s="18">
        <f>IF(VLOOKUP(A150,'DB Country PMI'!$A:$AZ,MATCH($A$1,'DB Country PMI'!$A$1:$AZ$1,),)=0,#N/A,VLOOKUP(A150,'DB Country PMI'!$A:$AZ,MATCH($A$1,'DB Country PMI'!$A$1:$AZ$1,),))</f>
        <v>45.3</v>
      </c>
      <c r="C150" s="24">
        <f>Table1346811121415[[#This Row],[PMI]]-B149</f>
        <v>1.5999999999999943</v>
      </c>
    </row>
    <row r="151" spans="1:3" x14ac:dyDescent="0.2">
      <c r="A151" s="10">
        <v>43862</v>
      </c>
      <c r="B151" s="18">
        <f>IF(VLOOKUP(A151,'DB Country PMI'!$A:$AZ,MATCH($A$1,'DB Country PMI'!$A$1:$AZ$1,),)=0,#N/A,VLOOKUP(A151,'DB Country PMI'!$A:$AZ,MATCH($A$1,'DB Country PMI'!$A$1:$AZ$1,),))</f>
        <v>48</v>
      </c>
      <c r="C151" s="24">
        <f>Table1346811121415[[#This Row],[PMI]]-B150</f>
        <v>2.7000000000000028</v>
      </c>
    </row>
    <row r="152" spans="1:3" x14ac:dyDescent="0.2">
      <c r="A152" s="10">
        <v>43891</v>
      </c>
      <c r="B152" s="18">
        <f>IF(VLOOKUP(A152,'DB Country PMI'!$A:$AZ,MATCH($A$1,'DB Country PMI'!$A$1:$AZ$1,),)=0,#N/A,VLOOKUP(A152,'DB Country PMI'!$A:$AZ,MATCH($A$1,'DB Country PMI'!$A$1:$AZ$1,),))</f>
        <v>45.4</v>
      </c>
      <c r="C152" s="24">
        <f>Table1346811121415[[#This Row],[PMI]]-B151</f>
        <v>-2.6000000000000014</v>
      </c>
    </row>
    <row r="153" spans="1:3" x14ac:dyDescent="0.2">
      <c r="A153" s="10">
        <v>43922</v>
      </c>
      <c r="B153" s="18">
        <f>IF(VLOOKUP(A153,'DB Country PMI'!$A:$AZ,MATCH($A$1,'DB Country PMI'!$A$1:$AZ$1,),)=0,#N/A,VLOOKUP(A153,'DB Country PMI'!$A:$AZ,MATCH($A$1,'DB Country PMI'!$A$1:$AZ$1,),))</f>
        <v>34.5</v>
      </c>
      <c r="C153" s="24">
        <f>Table1346811121415[[#This Row],[PMI]]-B152</f>
        <v>-10.899999999999999</v>
      </c>
    </row>
    <row r="154" spans="1:3" x14ac:dyDescent="0.2">
      <c r="A154" s="10">
        <v>43952</v>
      </c>
      <c r="B154" s="18">
        <f>IF(VLOOKUP(A154,'DB Country PMI'!$A:$AZ,MATCH($A$1,'DB Country PMI'!$A$1:$AZ$1,),)=0,#N/A,VLOOKUP(A154,'DB Country PMI'!$A:$AZ,MATCH($A$1,'DB Country PMI'!$A$1:$AZ$1,),))</f>
        <v>36.6</v>
      </c>
      <c r="C154" s="24">
        <f>Table1346811121415[[#This Row],[PMI]]-B153</f>
        <v>2.1000000000000014</v>
      </c>
    </row>
    <row r="155" spans="1:3" x14ac:dyDescent="0.2">
      <c r="A155" s="10">
        <v>43983</v>
      </c>
      <c r="B155" s="18">
        <f>IF(VLOOKUP(A155,'DB Country PMI'!$A:$AZ,MATCH($A$1,'DB Country PMI'!$A$1:$AZ$1,),)=0,#N/A,VLOOKUP(A155,'DB Country PMI'!$A:$AZ,MATCH($A$1,'DB Country PMI'!$A$1:$AZ$1,),))</f>
        <v>45.2</v>
      </c>
      <c r="C155" s="24">
        <f>Table1346811121415[[#This Row],[PMI]]-B154</f>
        <v>8.6000000000000014</v>
      </c>
    </row>
    <row r="156" spans="1:3" x14ac:dyDescent="0.2">
      <c r="A156" s="10">
        <v>44013</v>
      </c>
      <c r="B156" s="18">
        <f>IF(VLOOKUP(A156,'DB Country PMI'!$A:$AZ,MATCH($A$1,'DB Country PMI'!$A$1:$AZ$1,),)=0,#N/A,VLOOKUP(A156,'DB Country PMI'!$A:$AZ,MATCH($A$1,'DB Country PMI'!$A$1:$AZ$1,),))</f>
        <v>51</v>
      </c>
      <c r="C156" s="24">
        <f>Table1346811121415[[#This Row],[PMI]]-B155</f>
        <v>5.7999999999999972</v>
      </c>
    </row>
    <row r="157" spans="1:3" x14ac:dyDescent="0.2">
      <c r="A157" s="10">
        <v>44044</v>
      </c>
      <c r="B157" s="18">
        <f>IF(VLOOKUP(A157,'DB Country PMI'!$A:$AZ,MATCH($A$1,'DB Country PMI'!$A$1:$AZ$1,),)=0,#N/A,VLOOKUP(A157,'DB Country PMI'!$A:$AZ,MATCH($A$1,'DB Country PMI'!$A$1:$AZ$1,),))</f>
        <v>52.2</v>
      </c>
      <c r="C157" s="24">
        <f>Table1346811121415[[#This Row],[PMI]]-B156</f>
        <v>1.2000000000000028</v>
      </c>
    </row>
    <row r="158" spans="1:3" x14ac:dyDescent="0.2">
      <c r="A158" s="10">
        <v>44075</v>
      </c>
      <c r="B158" s="18">
        <f>IF(VLOOKUP(A158,'DB Country PMI'!$A:$AZ,MATCH($A$1,'DB Country PMI'!$A$1:$AZ$1,),)=0,#N/A,VLOOKUP(A158,'DB Country PMI'!$A:$AZ,MATCH($A$1,'DB Country PMI'!$A$1:$AZ$1,),))</f>
        <v>56.4</v>
      </c>
      <c r="C158" s="24">
        <f>Table1346811121415[[#This Row],[PMI]]-B157</f>
        <v>4.1999999999999957</v>
      </c>
    </row>
    <row r="159" spans="1:3" x14ac:dyDescent="0.2">
      <c r="A159" s="10">
        <v>44105</v>
      </c>
      <c r="B159" s="18">
        <f>IF(VLOOKUP(A159,'DB Country PMI'!$A:$AZ,MATCH($A$1,'DB Country PMI'!$A$1:$AZ$1,),)=0,#N/A,VLOOKUP(A159,'DB Country PMI'!$A:$AZ,MATCH($A$1,'DB Country PMI'!$A$1:$AZ$1,),))</f>
        <v>58.2</v>
      </c>
      <c r="C159" s="24">
        <f>Table1346811121415[[#This Row],[PMI]]-B158</f>
        <v>1.8000000000000043</v>
      </c>
    </row>
    <row r="160" spans="1:3" x14ac:dyDescent="0.2">
      <c r="A160" s="10">
        <v>44136</v>
      </c>
      <c r="B160" s="18">
        <f>IF(VLOOKUP(A160,'DB Country PMI'!$A:$AZ,MATCH($A$1,'DB Country PMI'!$A$1:$AZ$1,),)=0,#N/A,VLOOKUP(A160,'DB Country PMI'!$A:$AZ,MATCH($A$1,'DB Country PMI'!$A$1:$AZ$1,),))</f>
        <v>57.8</v>
      </c>
      <c r="C160" s="24">
        <f>Table1346811121415[[#This Row],[PMI]]-B159</f>
        <v>-0.40000000000000568</v>
      </c>
    </row>
    <row r="161" spans="1:3" x14ac:dyDescent="0.2">
      <c r="A161" s="10">
        <v>44166</v>
      </c>
      <c r="B161" s="18">
        <f>IF(VLOOKUP(A161,'DB Country PMI'!$A:$AZ,MATCH($A$1,'DB Country PMI'!$A$1:$AZ$1,),)=0,#N/A,VLOOKUP(A161,'DB Country PMI'!$A:$AZ,MATCH($A$1,'DB Country PMI'!$A$1:$AZ$1,),))</f>
        <v>58.3</v>
      </c>
      <c r="C161" s="24">
        <f>Table1346811121415[[#This Row],[PMI]]-B160</f>
        <v>0.5</v>
      </c>
    </row>
    <row r="162" spans="1:3" x14ac:dyDescent="0.2">
      <c r="A162" s="10">
        <v>44197</v>
      </c>
      <c r="B162" s="18">
        <f>IF(VLOOKUP(A162,'DB Country PMI'!$A:$AZ,MATCH($A$1,'DB Country PMI'!$A$1:$AZ$1,),)=0,#N/A,VLOOKUP(A162,'DB Country PMI'!$A:$AZ,MATCH($A$1,'DB Country PMI'!$A$1:$AZ$1,),))</f>
        <v>57.1</v>
      </c>
      <c r="C162" s="24">
        <f>Table1346811121415[[#This Row],[PMI]]-B161</f>
        <v>-1.1999999999999957</v>
      </c>
    </row>
    <row r="163" spans="1:3" x14ac:dyDescent="0.2">
      <c r="A163" s="10">
        <v>44228</v>
      </c>
      <c r="B163" s="18">
        <f>IF(VLOOKUP(A163,'DB Country PMI'!$A:$AZ,MATCH($A$1,'DB Country PMI'!$A$1:$AZ$1,),)=0,#N/A,VLOOKUP(A163,'DB Country PMI'!$A:$AZ,MATCH($A$1,'DB Country PMI'!$A$1:$AZ$1,),))</f>
        <v>60.7</v>
      </c>
      <c r="C163" s="24">
        <f>Table1346811121415[[#This Row],[PMI]]-B162</f>
        <v>3.6000000000000014</v>
      </c>
    </row>
    <row r="164" spans="1:3" x14ac:dyDescent="0.2">
      <c r="A164" s="10">
        <v>44256</v>
      </c>
      <c r="B164" s="18">
        <f>IF(VLOOKUP(A164,'DB Country PMI'!$A:$AZ,MATCH($A$1,'DB Country PMI'!$A$1:$AZ$1,),)=0,#N/A,VLOOKUP(A164,'DB Country PMI'!$A:$AZ,MATCH($A$1,'DB Country PMI'!$A$1:$AZ$1,),))</f>
        <v>66.599999999999994</v>
      </c>
      <c r="C164" s="24">
        <f>Table1346811121415[[#This Row],[PMI]]-B163</f>
        <v>5.8999999999999915</v>
      </c>
    </row>
    <row r="165" spans="1:3" x14ac:dyDescent="0.2">
      <c r="A165" s="10">
        <v>44287</v>
      </c>
      <c r="B165" s="18">
        <f>IF(VLOOKUP(A165,'DB Country PMI'!$A:$AZ,MATCH($A$1,'DB Country PMI'!$A$1:$AZ$1,),)=0,#N/A,VLOOKUP(A165,'DB Country PMI'!$A:$AZ,MATCH($A$1,'DB Country PMI'!$A$1:$AZ$1,),))</f>
        <v>66.2</v>
      </c>
      <c r="C165" s="24">
        <f>Table1346811121415[[#This Row],[PMI]]-B164</f>
        <v>-0.39999999999999147</v>
      </c>
    </row>
    <row r="166" spans="1:3" x14ac:dyDescent="0.2">
      <c r="A166" s="10">
        <v>44317</v>
      </c>
      <c r="B166" s="18">
        <f>IF(VLOOKUP(A166,'DB Country PMI'!$A:$AZ,MATCH($A$1,'DB Country PMI'!$A$1:$AZ$1,),)=0,#N/A,VLOOKUP(A166,'DB Country PMI'!$A:$AZ,MATCH($A$1,'DB Country PMI'!$A$1:$AZ$1,),))</f>
        <v>64.400000000000006</v>
      </c>
      <c r="C166" s="24">
        <f>Table1346811121415[[#This Row],[PMI]]-B165</f>
        <v>-1.7999999999999972</v>
      </c>
    </row>
    <row r="167" spans="1:3" x14ac:dyDescent="0.2">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2">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2">
      <c r="A169" s="10">
        <v>44409</v>
      </c>
      <c r="B169" s="18">
        <f>IF(VLOOKUP(A169,'DB Country PMI'!$A:$AZ,MATCH($A$1,'DB Country PMI'!$A$1:$AZ$1,),)=0,#N/A,VLOOKUP(A169,'DB Country PMI'!$A:$AZ,MATCH($A$1,'DB Country PMI'!$A$1:$AZ$1,),))</f>
        <v>62.6</v>
      </c>
      <c r="C169" s="24">
        <f>Table1346811121415[[#This Row],[PMI]]-B168</f>
        <v>-3.3000000000000043</v>
      </c>
    </row>
    <row r="170" spans="1:3" x14ac:dyDescent="0.2">
      <c r="A170" s="10">
        <v>44440</v>
      </c>
      <c r="B170" s="18">
        <f>IF(VLOOKUP(A170,'DB Country PMI'!$A:$AZ,MATCH($A$1,'DB Country PMI'!$A$1:$AZ$1,),)=0,#N/A,VLOOKUP(A170,'DB Country PMI'!$A:$AZ,MATCH($A$1,'DB Country PMI'!$A$1:$AZ$1,),))</f>
        <v>58.4</v>
      </c>
      <c r="C170" s="24">
        <f>Table1346811121415[[#This Row],[PMI]]-B169</f>
        <v>-4.2000000000000028</v>
      </c>
    </row>
    <row r="171" spans="1:3" x14ac:dyDescent="0.2">
      <c r="A171" s="10">
        <v>44470</v>
      </c>
      <c r="B171" s="18">
        <f>IF(VLOOKUP(A171,'DB Country PMI'!$A:$AZ,MATCH($A$1,'DB Country PMI'!$A$1:$AZ$1,),)=0,#N/A,VLOOKUP(A171,'DB Country PMI'!$A:$AZ,MATCH($A$1,'DB Country PMI'!$A$1:$AZ$1,),))</f>
        <v>57.8</v>
      </c>
      <c r="C171" s="24">
        <f>Table1346811121415[[#This Row],[PMI]]-B170</f>
        <v>-0.60000000000000142</v>
      </c>
    </row>
    <row r="172" spans="1:3" x14ac:dyDescent="0.2">
      <c r="A172" s="10">
        <v>44501</v>
      </c>
      <c r="B172" s="18">
        <f>IF(VLOOKUP(A172,'DB Country PMI'!$A:$AZ,MATCH($A$1,'DB Country PMI'!$A$1:$AZ$1,),)=0,#N/A,VLOOKUP(A172,'DB Country PMI'!$A:$AZ,MATCH($A$1,'DB Country PMI'!$A$1:$AZ$1,),))</f>
        <v>57.4</v>
      </c>
      <c r="C172" s="24">
        <f>Table1346811121415[[#This Row],[PMI]]-B171</f>
        <v>-0.39999999999999858</v>
      </c>
    </row>
    <row r="173" spans="1:3" x14ac:dyDescent="0.2">
      <c r="A173" s="10">
        <v>44531</v>
      </c>
      <c r="B173" s="18">
        <f>IF(VLOOKUP(A173,'DB Country PMI'!$A:$AZ,MATCH($A$1,'DB Country PMI'!$A$1:$AZ$1,),)=0,#N/A,VLOOKUP(A173,'DB Country PMI'!$A:$AZ,MATCH($A$1,'DB Country PMI'!$A$1:$AZ$1,),))</f>
        <v>57.4</v>
      </c>
      <c r="C173" s="24">
        <f>Table1346811121415[[#This Row],[PMI]]-B172</f>
        <v>0</v>
      </c>
    </row>
    <row r="174" spans="1:3" x14ac:dyDescent="0.2">
      <c r="A174" s="10">
        <v>44562</v>
      </c>
      <c r="B174" s="18">
        <f>IF(VLOOKUP(A174,'DB Country PMI'!$A:$AZ,MATCH($A$1,'DB Country PMI'!$A$1:$AZ$1,),)=0,#N/A,VLOOKUP(A174,'DB Country PMI'!$A:$AZ,MATCH($A$1,'DB Country PMI'!$A$1:$AZ$1,),))</f>
        <v>60.5</v>
      </c>
      <c r="C174" s="24">
        <f>Table1346811121415[[#This Row],[PMI]]-B173</f>
        <v>3.1000000000000014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67"/>
  <sheetViews>
    <sheetView zoomScale="140" zoomScaleNormal="140" workbookViewId="0">
      <pane ySplit="5" topLeftCell="A129" activePane="bottomLeft" state="frozen"/>
      <selection pane="bottomLeft" activeCell="V160" sqref="V160"/>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25</v>
      </c>
      <c r="K1" s="63" t="s">
        <v>107</v>
      </c>
    </row>
    <row r="2" spans="1:11" x14ac:dyDescent="0.2">
      <c r="K2" s="63" t="str">
        <f>A1&amp;K1</f>
        <v>France Manufacturing PMI</v>
      </c>
    </row>
    <row r="4" spans="1:11" ht="16" customHeight="1" thickBot="1" x14ac:dyDescent="0.25"/>
    <row r="5" spans="1:11" ht="16" customHeight="1" thickBot="1" x14ac:dyDescent="0.25">
      <c r="A5" s="21" t="s">
        <v>44</v>
      </c>
      <c r="B5" s="22" t="s">
        <v>103</v>
      </c>
      <c r="C5" s="22" t="s">
        <v>104</v>
      </c>
    </row>
    <row r="6" spans="1:11" x14ac:dyDescent="0.2">
      <c r="A6" s="17">
        <v>39661</v>
      </c>
      <c r="B6" s="18">
        <f>IF(VLOOKUP(A6,'DB Country PMI'!$A:$AZ,MATCH($A$1,'DB Country PMI'!$A$1:$AZ$1,),)=0,#N/A,VLOOKUP(A6,'DB Country PMI'!$A:$AZ,MATCH($A$1,'DB Country PMI'!$A$1:$AZ$1,),))</f>
        <v>45.1</v>
      </c>
      <c r="C6" s="18"/>
    </row>
    <row r="7" spans="1:11" x14ac:dyDescent="0.2">
      <c r="A7" s="10">
        <v>39692</v>
      </c>
      <c r="B7" s="18">
        <f>IF(VLOOKUP(A7,'DB Country PMI'!$A:$AZ,MATCH($A$1,'DB Country PMI'!$A$1:$AZ$1,),)=0,#N/A,VLOOKUP(A7,'DB Country PMI'!$A:$AZ,MATCH($A$1,'DB Country PMI'!$A$1:$AZ$1,),))</f>
        <v>43.6</v>
      </c>
      <c r="C7" s="24">
        <f>Table134681112141516[[#This Row],[PMI]]-B6</f>
        <v>-1.5</v>
      </c>
    </row>
    <row r="8" spans="1:11" x14ac:dyDescent="0.2">
      <c r="A8" s="10">
        <v>39722</v>
      </c>
      <c r="B8" s="18">
        <f>IF(VLOOKUP(A8,'DB Country PMI'!$A:$AZ,MATCH($A$1,'DB Country PMI'!$A$1:$AZ$1,),)=0,#N/A,VLOOKUP(A8,'DB Country PMI'!$A:$AZ,MATCH($A$1,'DB Country PMI'!$A$1:$AZ$1,),))</f>
        <v>40.799999999999997</v>
      </c>
      <c r="C8" s="24">
        <f>Table134681112141516[[#This Row],[PMI]]-B7</f>
        <v>-2.8000000000000043</v>
      </c>
    </row>
    <row r="9" spans="1:11" x14ac:dyDescent="0.2">
      <c r="A9" s="10">
        <v>39753</v>
      </c>
      <c r="B9" s="18">
        <f>IF(VLOOKUP(A9,'DB Country PMI'!$A:$AZ,MATCH($A$1,'DB Country PMI'!$A$1:$AZ$1,),)=0,#N/A,VLOOKUP(A9,'DB Country PMI'!$A:$AZ,MATCH($A$1,'DB Country PMI'!$A$1:$AZ$1,),))</f>
        <v>37.9</v>
      </c>
      <c r="C9" s="24">
        <f>Table134681112141516[[#This Row],[PMI]]-B8</f>
        <v>-2.8999999999999986</v>
      </c>
    </row>
    <row r="10" spans="1:11" x14ac:dyDescent="0.2">
      <c r="A10" s="10">
        <v>39783</v>
      </c>
      <c r="B10" s="18">
        <f>IF(VLOOKUP(A10,'DB Country PMI'!$A:$AZ,MATCH($A$1,'DB Country PMI'!$A$1:$AZ$1,),)=0,#N/A,VLOOKUP(A10,'DB Country PMI'!$A:$AZ,MATCH($A$1,'DB Country PMI'!$A$1:$AZ$1,),))</f>
        <v>35.9</v>
      </c>
      <c r="C10" s="24">
        <f>Table134681112141516[[#This Row],[PMI]]-B9</f>
        <v>-2</v>
      </c>
    </row>
    <row r="11" spans="1:11" x14ac:dyDescent="0.2">
      <c r="A11" s="10">
        <v>39814</v>
      </c>
      <c r="B11" s="18">
        <f>IF(VLOOKUP(A11,'DB Country PMI'!$A:$AZ,MATCH($A$1,'DB Country PMI'!$A$1:$AZ$1,),)=0,#N/A,VLOOKUP(A11,'DB Country PMI'!$A:$AZ,MATCH($A$1,'DB Country PMI'!$A$1:$AZ$1,),))</f>
        <v>38.1</v>
      </c>
      <c r="C11" s="24">
        <f>Table134681112141516[[#This Row],[PMI]]-B10</f>
        <v>2.2000000000000028</v>
      </c>
    </row>
    <row r="12" spans="1:11" x14ac:dyDescent="0.2">
      <c r="A12" s="10">
        <v>39845</v>
      </c>
      <c r="B12" s="18">
        <f>IF(VLOOKUP(A12,'DB Country PMI'!$A:$AZ,MATCH($A$1,'DB Country PMI'!$A$1:$AZ$1,),)=0,#N/A,VLOOKUP(A12,'DB Country PMI'!$A:$AZ,MATCH($A$1,'DB Country PMI'!$A$1:$AZ$1,),))</f>
        <v>32.299999999999997</v>
      </c>
      <c r="C12" s="24">
        <f>Table134681112141516[[#This Row],[PMI]]-B11</f>
        <v>-5.8000000000000043</v>
      </c>
    </row>
    <row r="13" spans="1:11" x14ac:dyDescent="0.2">
      <c r="A13" s="10">
        <v>39873</v>
      </c>
      <c r="B13" s="18">
        <f>IF(VLOOKUP(A13,'DB Country PMI'!$A:$AZ,MATCH($A$1,'DB Country PMI'!$A$1:$AZ$1,),)=0,#N/A,VLOOKUP(A13,'DB Country PMI'!$A:$AZ,MATCH($A$1,'DB Country PMI'!$A$1:$AZ$1,),))</f>
        <v>36.299999999999997</v>
      </c>
      <c r="C13" s="24">
        <f>Table134681112141516[[#This Row],[PMI]]-B12</f>
        <v>4</v>
      </c>
    </row>
    <row r="14" spans="1:11" x14ac:dyDescent="0.2">
      <c r="A14" s="10">
        <v>39904</v>
      </c>
      <c r="B14" s="18">
        <f>IF(VLOOKUP(A14,'DB Country PMI'!$A:$AZ,MATCH($A$1,'DB Country PMI'!$A$1:$AZ$1,),)=0,#N/A,VLOOKUP(A14,'DB Country PMI'!$A:$AZ,MATCH($A$1,'DB Country PMI'!$A$1:$AZ$1,),))</f>
        <v>40</v>
      </c>
      <c r="C14" s="24">
        <f>Table134681112141516[[#This Row],[PMI]]-B13</f>
        <v>3.7000000000000028</v>
      </c>
    </row>
    <row r="15" spans="1:11" x14ac:dyDescent="0.2">
      <c r="A15" s="10">
        <v>39934</v>
      </c>
      <c r="B15" s="18">
        <f>IF(VLOOKUP(A15,'DB Country PMI'!$A:$AZ,MATCH($A$1,'DB Country PMI'!$A$1:$AZ$1,),)=0,#N/A,VLOOKUP(A15,'DB Country PMI'!$A:$AZ,MATCH($A$1,'DB Country PMI'!$A$1:$AZ$1,),))</f>
        <v>43.1</v>
      </c>
      <c r="C15" s="24">
        <f>Table134681112141516[[#This Row],[PMI]]-B14</f>
        <v>3.1000000000000014</v>
      </c>
    </row>
    <row r="16" spans="1:11" x14ac:dyDescent="0.2">
      <c r="A16" s="10">
        <v>39965</v>
      </c>
      <c r="B16" s="18">
        <f>IF(VLOOKUP(A16,'DB Country PMI'!$A:$AZ,MATCH($A$1,'DB Country PMI'!$A$1:$AZ$1,),)=0,#N/A,VLOOKUP(A16,'DB Country PMI'!$A:$AZ,MATCH($A$1,'DB Country PMI'!$A$1:$AZ$1,),))</f>
        <v>45.9</v>
      </c>
      <c r="C16" s="24">
        <f>Table134681112141516[[#This Row],[PMI]]-B15</f>
        <v>2.7999999999999972</v>
      </c>
    </row>
    <row r="17" spans="1:3" x14ac:dyDescent="0.2">
      <c r="A17" s="10">
        <v>39995</v>
      </c>
      <c r="B17" s="18">
        <f>IF(VLOOKUP(A17,'DB Country PMI'!$A:$AZ,MATCH($A$1,'DB Country PMI'!$A$1:$AZ$1,),)=0,#N/A,VLOOKUP(A17,'DB Country PMI'!$A:$AZ,MATCH($A$1,'DB Country PMI'!$A$1:$AZ$1,),))</f>
        <v>50.2</v>
      </c>
      <c r="C17" s="24">
        <f>Table134681112141516[[#This Row],[PMI]]-B16</f>
        <v>4.3000000000000043</v>
      </c>
    </row>
    <row r="18" spans="1:3" x14ac:dyDescent="0.2">
      <c r="A18" s="10">
        <v>40026</v>
      </c>
      <c r="B18" s="18">
        <f>IF(VLOOKUP(A18,'DB Country PMI'!$A:$AZ,MATCH($A$1,'DB Country PMI'!$A$1:$AZ$1,),)=0,#N/A,VLOOKUP(A18,'DB Country PMI'!$A:$AZ,MATCH($A$1,'DB Country PMI'!$A$1:$AZ$1,),))</f>
        <v>52.5</v>
      </c>
      <c r="C18" s="24">
        <f>Table134681112141516[[#This Row],[PMI]]-B17</f>
        <v>2.2999999999999972</v>
      </c>
    </row>
    <row r="19" spans="1:3" x14ac:dyDescent="0.2">
      <c r="A19" s="10">
        <v>40057</v>
      </c>
      <c r="B19" s="18">
        <f>IF(VLOOKUP(A19,'DB Country PMI'!$A:$AZ,MATCH($A$1,'DB Country PMI'!$A$1:$AZ$1,),)=0,#N/A,VLOOKUP(A19,'DB Country PMI'!$A:$AZ,MATCH($A$1,'DB Country PMI'!$A$1:$AZ$1,),))</f>
        <v>53</v>
      </c>
      <c r="C19" s="24">
        <f>Table134681112141516[[#This Row],[PMI]]-B18</f>
        <v>0.5</v>
      </c>
    </row>
    <row r="20" spans="1:3" x14ac:dyDescent="0.2">
      <c r="A20" s="10">
        <v>40087</v>
      </c>
      <c r="B20" s="18">
        <f>IF(VLOOKUP(A20,'DB Country PMI'!$A:$AZ,MATCH($A$1,'DB Country PMI'!$A$1:$AZ$1,),)=0,#N/A,VLOOKUP(A20,'DB Country PMI'!$A:$AZ,MATCH($A$1,'DB Country PMI'!$A$1:$AZ$1,),))</f>
        <v>54.2</v>
      </c>
      <c r="C20" s="24">
        <f>Table134681112141516[[#This Row],[PMI]]-B19</f>
        <v>1.2000000000000028</v>
      </c>
    </row>
    <row r="21" spans="1:3" x14ac:dyDescent="0.2">
      <c r="A21" s="10">
        <v>40118</v>
      </c>
      <c r="B21" s="18">
        <f>IF(VLOOKUP(A21,'DB Country PMI'!$A:$AZ,MATCH($A$1,'DB Country PMI'!$A$1:$AZ$1,),)=0,#N/A,VLOOKUP(A21,'DB Country PMI'!$A:$AZ,MATCH($A$1,'DB Country PMI'!$A$1:$AZ$1,),))</f>
        <v>54.4</v>
      </c>
      <c r="C21" s="24">
        <f>Table134681112141516[[#This Row],[PMI]]-B20</f>
        <v>0.19999999999999574</v>
      </c>
    </row>
    <row r="22" spans="1:3" x14ac:dyDescent="0.2">
      <c r="A22" s="10">
        <v>40148</v>
      </c>
      <c r="B22" s="18">
        <f>IF(VLOOKUP(A22,'DB Country PMI'!$A:$AZ,MATCH($A$1,'DB Country PMI'!$A$1:$AZ$1,),)=0,#N/A,VLOOKUP(A22,'DB Country PMI'!$A:$AZ,MATCH($A$1,'DB Country PMI'!$A$1:$AZ$1,),))</f>
        <v>54.7</v>
      </c>
      <c r="C22" s="24">
        <f>Table134681112141516[[#This Row],[PMI]]-B21</f>
        <v>0.30000000000000426</v>
      </c>
    </row>
    <row r="23" spans="1:3" x14ac:dyDescent="0.2">
      <c r="A23" s="10">
        <v>40179</v>
      </c>
      <c r="B23" s="18">
        <f>IF(VLOOKUP(A23,'DB Country PMI'!$A:$AZ,MATCH($A$1,'DB Country PMI'!$A$1:$AZ$1,),)=0,#N/A,VLOOKUP(A23,'DB Country PMI'!$A:$AZ,MATCH($A$1,'DB Country PMI'!$A$1:$AZ$1,),))</f>
        <v>54.6</v>
      </c>
      <c r="C23" s="24">
        <f>Table134681112141516[[#This Row],[PMI]]-B22</f>
        <v>-0.10000000000000142</v>
      </c>
    </row>
    <row r="24" spans="1:3" x14ac:dyDescent="0.2">
      <c r="A24" s="10">
        <v>40210</v>
      </c>
      <c r="B24" s="18">
        <f>IF(VLOOKUP(A24,'DB Country PMI'!$A:$AZ,MATCH($A$1,'DB Country PMI'!$A$1:$AZ$1,),)=0,#N/A,VLOOKUP(A24,'DB Country PMI'!$A:$AZ,MATCH($A$1,'DB Country PMI'!$A$1:$AZ$1,),))</f>
        <v>56.3</v>
      </c>
      <c r="C24" s="24">
        <f>Table134681112141516[[#This Row],[PMI]]-B23</f>
        <v>1.6999999999999957</v>
      </c>
    </row>
    <row r="25" spans="1:3" x14ac:dyDescent="0.2">
      <c r="A25" s="10">
        <v>40238</v>
      </c>
      <c r="B25" s="18">
        <f>IF(VLOOKUP(A25,'DB Country PMI'!$A:$AZ,MATCH($A$1,'DB Country PMI'!$A$1:$AZ$1,),)=0,#N/A,VLOOKUP(A25,'DB Country PMI'!$A:$AZ,MATCH($A$1,'DB Country PMI'!$A$1:$AZ$1,),))</f>
        <v>56.7</v>
      </c>
      <c r="C25" s="24">
        <f>Table134681112141516[[#This Row],[PMI]]-B24</f>
        <v>0.40000000000000568</v>
      </c>
    </row>
    <row r="26" spans="1:3" x14ac:dyDescent="0.2">
      <c r="A26" s="10">
        <v>40269</v>
      </c>
      <c r="B26" s="18">
        <f>IF(VLOOKUP(A26,'DB Country PMI'!$A:$AZ,MATCH($A$1,'DB Country PMI'!$A$1:$AZ$1,),)=0,#N/A,VLOOKUP(A26,'DB Country PMI'!$A:$AZ,MATCH($A$1,'DB Country PMI'!$A$1:$AZ$1,),))</f>
        <v>56.6</v>
      </c>
      <c r="C26" s="24">
        <f>Table134681112141516[[#This Row],[PMI]]-B25</f>
        <v>-0.10000000000000142</v>
      </c>
    </row>
    <row r="27" spans="1:3" x14ac:dyDescent="0.2">
      <c r="A27" s="10">
        <v>40299</v>
      </c>
      <c r="B27" s="18">
        <f>IF(VLOOKUP(A27,'DB Country PMI'!$A:$AZ,MATCH($A$1,'DB Country PMI'!$A$1:$AZ$1,),)=0,#N/A,VLOOKUP(A27,'DB Country PMI'!$A:$AZ,MATCH($A$1,'DB Country PMI'!$A$1:$AZ$1,),))</f>
        <v>55.8</v>
      </c>
      <c r="C27" s="24">
        <f>Table134681112141516[[#This Row],[PMI]]-B26</f>
        <v>-0.80000000000000426</v>
      </c>
    </row>
    <row r="28" spans="1:3" x14ac:dyDescent="0.2">
      <c r="A28" s="10">
        <v>40330</v>
      </c>
      <c r="B28" s="18">
        <f>IF(VLOOKUP(A28,'DB Country PMI'!$A:$AZ,MATCH($A$1,'DB Country PMI'!$A$1:$AZ$1,),)=0,#N/A,VLOOKUP(A28,'DB Country PMI'!$A:$AZ,MATCH($A$1,'DB Country PMI'!$A$1:$AZ$1,),))</f>
        <v>53.7</v>
      </c>
      <c r="C28" s="24">
        <f>Table134681112141516[[#This Row],[PMI]]-B27</f>
        <v>-2.0999999999999943</v>
      </c>
    </row>
    <row r="29" spans="1:3" x14ac:dyDescent="0.2">
      <c r="A29" s="10">
        <v>40360</v>
      </c>
      <c r="B29" s="18">
        <f>IF(VLOOKUP(A29,'DB Country PMI'!$A:$AZ,MATCH($A$1,'DB Country PMI'!$A$1:$AZ$1,),)=0,#N/A,VLOOKUP(A29,'DB Country PMI'!$A:$AZ,MATCH($A$1,'DB Country PMI'!$A$1:$AZ$1,),))</f>
        <v>54.7</v>
      </c>
      <c r="C29" s="24">
        <f>Table134681112141516[[#This Row],[PMI]]-B28</f>
        <v>1</v>
      </c>
    </row>
    <row r="30" spans="1:3" x14ac:dyDescent="0.2">
      <c r="A30" s="10">
        <v>40391</v>
      </c>
      <c r="B30" s="18">
        <f>IF(VLOOKUP(A30,'DB Country PMI'!$A:$AZ,MATCH($A$1,'DB Country PMI'!$A$1:$AZ$1,),)=0,#N/A,VLOOKUP(A30,'DB Country PMI'!$A:$AZ,MATCH($A$1,'DB Country PMI'!$A$1:$AZ$1,),))</f>
        <v>55.4</v>
      </c>
      <c r="C30" s="24">
        <f>Table134681112141516[[#This Row],[PMI]]-B29</f>
        <v>0.69999999999999574</v>
      </c>
    </row>
    <row r="31" spans="1:3" x14ac:dyDescent="0.2">
      <c r="A31" s="10">
        <v>40422</v>
      </c>
      <c r="B31" s="18">
        <f>IF(VLOOKUP(A31,'DB Country PMI'!$A:$AZ,MATCH($A$1,'DB Country PMI'!$A$1:$AZ$1,),)=0,#N/A,VLOOKUP(A31,'DB Country PMI'!$A:$AZ,MATCH($A$1,'DB Country PMI'!$A$1:$AZ$1,),))</f>
        <v>55.2</v>
      </c>
      <c r="C31" s="24">
        <f>Table134681112141516[[#This Row],[PMI]]-B30</f>
        <v>-0.19999999999999574</v>
      </c>
    </row>
    <row r="32" spans="1:3" x14ac:dyDescent="0.2">
      <c r="A32" s="10">
        <v>40452</v>
      </c>
      <c r="B32" s="18">
        <f>IF(VLOOKUP(A32,'DB Country PMI'!$A:$AZ,MATCH($A$1,'DB Country PMI'!$A$1:$AZ$1,),)=0,#N/A,VLOOKUP(A32,'DB Country PMI'!$A:$AZ,MATCH($A$1,'DB Country PMI'!$A$1:$AZ$1,),))</f>
        <v>57.5</v>
      </c>
      <c r="C32" s="24">
        <f>Table134681112141516[[#This Row],[PMI]]-B31</f>
        <v>2.2999999999999972</v>
      </c>
    </row>
    <row r="33" spans="1:3" x14ac:dyDescent="0.2">
      <c r="A33" s="10">
        <v>40483</v>
      </c>
      <c r="B33" s="18">
        <f>IF(VLOOKUP(A33,'DB Country PMI'!$A:$AZ,MATCH($A$1,'DB Country PMI'!$A$1:$AZ$1,),)=0,#N/A,VLOOKUP(A33,'DB Country PMI'!$A:$AZ,MATCH($A$1,'DB Country PMI'!$A$1:$AZ$1,),))</f>
        <v>56.3</v>
      </c>
      <c r="C33" s="24">
        <f>Table134681112141516[[#This Row],[PMI]]-B32</f>
        <v>-1.2000000000000028</v>
      </c>
    </row>
    <row r="34" spans="1:3" x14ac:dyDescent="0.2">
      <c r="A34" s="10">
        <v>40513</v>
      </c>
      <c r="B34" s="18">
        <f>IF(VLOOKUP(A34,'DB Country PMI'!$A:$AZ,MATCH($A$1,'DB Country PMI'!$A$1:$AZ$1,),)=0,#N/A,VLOOKUP(A34,'DB Country PMI'!$A:$AZ,MATCH($A$1,'DB Country PMI'!$A$1:$AZ$1,),))</f>
        <v>54.3</v>
      </c>
      <c r="C34" s="24">
        <f>Table134681112141516[[#This Row],[PMI]]-B33</f>
        <v>-2</v>
      </c>
    </row>
    <row r="35" spans="1:3" x14ac:dyDescent="0.2">
      <c r="A35" s="10">
        <v>40544</v>
      </c>
      <c r="B35" s="18">
        <f>IF(VLOOKUP(A35,'DB Country PMI'!$A:$AZ,MATCH($A$1,'DB Country PMI'!$A$1:$AZ$1,),)=0,#N/A,VLOOKUP(A35,'DB Country PMI'!$A:$AZ,MATCH($A$1,'DB Country PMI'!$A$1:$AZ$1,),))</f>
        <v>54.9</v>
      </c>
      <c r="C35" s="24">
        <f>Table134681112141516[[#This Row],[PMI]]-B34</f>
        <v>0.60000000000000142</v>
      </c>
    </row>
    <row r="36" spans="1:3" x14ac:dyDescent="0.2">
      <c r="A36" s="10">
        <v>40575</v>
      </c>
      <c r="B36" s="18">
        <f>IF(VLOOKUP(A36,'DB Country PMI'!$A:$AZ,MATCH($A$1,'DB Country PMI'!$A$1:$AZ$1,),)=0,#N/A,VLOOKUP(A36,'DB Country PMI'!$A:$AZ,MATCH($A$1,'DB Country PMI'!$A$1:$AZ$1,),))</f>
        <v>56.6</v>
      </c>
      <c r="C36" s="24">
        <f>Table134681112141516[[#This Row],[PMI]]-B35</f>
        <v>1.7000000000000028</v>
      </c>
    </row>
    <row r="37" spans="1:3" x14ac:dyDescent="0.2">
      <c r="A37" s="10">
        <v>40603</v>
      </c>
      <c r="B37" s="18">
        <f>IF(VLOOKUP(A37,'DB Country PMI'!$A:$AZ,MATCH($A$1,'DB Country PMI'!$A$1:$AZ$1,),)=0,#N/A,VLOOKUP(A37,'DB Country PMI'!$A:$AZ,MATCH($A$1,'DB Country PMI'!$A$1:$AZ$1,),))</f>
        <v>56.9</v>
      </c>
      <c r="C37" s="24">
        <f>Table134681112141516[[#This Row],[PMI]]-B36</f>
        <v>0.29999999999999716</v>
      </c>
    </row>
    <row r="38" spans="1:3" x14ac:dyDescent="0.2">
      <c r="A38" s="10">
        <v>40634</v>
      </c>
      <c r="B38" s="18">
        <f>IF(VLOOKUP(A38,'DB Country PMI'!$A:$AZ,MATCH($A$1,'DB Country PMI'!$A$1:$AZ$1,),)=0,#N/A,VLOOKUP(A38,'DB Country PMI'!$A:$AZ,MATCH($A$1,'DB Country PMI'!$A$1:$AZ$1,),))</f>
        <v>57.5</v>
      </c>
      <c r="C38" s="24">
        <f>Table134681112141516[[#This Row],[PMI]]-B37</f>
        <v>0.60000000000000142</v>
      </c>
    </row>
    <row r="39" spans="1:3" x14ac:dyDescent="0.2">
      <c r="A39" s="10">
        <v>40664</v>
      </c>
      <c r="B39" s="18">
        <f>IF(VLOOKUP(A39,'DB Country PMI'!$A:$AZ,MATCH($A$1,'DB Country PMI'!$A$1:$AZ$1,),)=0,#N/A,VLOOKUP(A39,'DB Country PMI'!$A:$AZ,MATCH($A$1,'DB Country PMI'!$A$1:$AZ$1,),))</f>
        <v>54.9</v>
      </c>
      <c r="C39" s="24">
        <f>Table134681112141516[[#This Row],[PMI]]-B38</f>
        <v>-2.6000000000000014</v>
      </c>
    </row>
    <row r="40" spans="1:3" x14ac:dyDescent="0.2">
      <c r="A40" s="10">
        <v>40695</v>
      </c>
      <c r="B40" s="18">
        <f>IF(VLOOKUP(A40,'DB Country PMI'!$A:$AZ,MATCH($A$1,'DB Country PMI'!$A$1:$AZ$1,),)=0,#N/A,VLOOKUP(A40,'DB Country PMI'!$A:$AZ,MATCH($A$1,'DB Country PMI'!$A$1:$AZ$1,),))</f>
        <v>50.1</v>
      </c>
      <c r="C40" s="24">
        <f>Table134681112141516[[#This Row],[PMI]]-B39</f>
        <v>-4.7999999999999972</v>
      </c>
    </row>
    <row r="41" spans="1:3" x14ac:dyDescent="0.2">
      <c r="A41" s="10">
        <v>40725</v>
      </c>
      <c r="B41" s="18">
        <f>IF(VLOOKUP(A41,'DB Country PMI'!$A:$AZ,MATCH($A$1,'DB Country PMI'!$A$1:$AZ$1,),)=0,#N/A,VLOOKUP(A41,'DB Country PMI'!$A:$AZ,MATCH($A$1,'DB Country PMI'!$A$1:$AZ$1,),))</f>
        <v>50.5</v>
      </c>
      <c r="C41" s="24">
        <f>Table134681112141516[[#This Row],[PMI]]-B40</f>
        <v>0.39999999999999858</v>
      </c>
    </row>
    <row r="42" spans="1:3" x14ac:dyDescent="0.2">
      <c r="A42" s="10">
        <v>40756</v>
      </c>
      <c r="B42" s="18">
        <f>IF(VLOOKUP(A42,'DB Country PMI'!$A:$AZ,MATCH($A$1,'DB Country PMI'!$A$1:$AZ$1,),)=0,#N/A,VLOOKUP(A42,'DB Country PMI'!$A:$AZ,MATCH($A$1,'DB Country PMI'!$A$1:$AZ$1,),))</f>
        <v>49.1</v>
      </c>
      <c r="C42" s="24">
        <f>Table134681112141516[[#This Row],[PMI]]-B41</f>
        <v>-1.3999999999999986</v>
      </c>
    </row>
    <row r="43" spans="1:3" x14ac:dyDescent="0.2">
      <c r="A43" s="10">
        <v>40787</v>
      </c>
      <c r="B43" s="18">
        <f>IF(VLOOKUP(A43,'DB Country PMI'!$A:$AZ,MATCH($A$1,'DB Country PMI'!$A$1:$AZ$1,),)=0,#N/A,VLOOKUP(A43,'DB Country PMI'!$A:$AZ,MATCH($A$1,'DB Country PMI'!$A$1:$AZ$1,),))</f>
        <v>48.2</v>
      </c>
      <c r="C43" s="24">
        <f>Table134681112141516[[#This Row],[PMI]]-B42</f>
        <v>-0.89999999999999858</v>
      </c>
    </row>
    <row r="44" spans="1:3" x14ac:dyDescent="0.2">
      <c r="A44" s="10">
        <v>40817</v>
      </c>
      <c r="B44" s="18">
        <f>IF(VLOOKUP(A44,'DB Country PMI'!$A:$AZ,MATCH($A$1,'DB Country PMI'!$A$1:$AZ$1,),)=0,#N/A,VLOOKUP(A44,'DB Country PMI'!$A:$AZ,MATCH($A$1,'DB Country PMI'!$A$1:$AZ$1,),))</f>
        <v>48.5</v>
      </c>
      <c r="C44" s="24">
        <f>Table134681112141516[[#This Row],[PMI]]-B43</f>
        <v>0.29999999999999716</v>
      </c>
    </row>
    <row r="45" spans="1:3" x14ac:dyDescent="0.2">
      <c r="A45" s="10">
        <v>40848</v>
      </c>
      <c r="B45" s="18">
        <f>IF(VLOOKUP(A45,'DB Country PMI'!$A:$AZ,MATCH($A$1,'DB Country PMI'!$A$1:$AZ$1,),)=0,#N/A,VLOOKUP(A45,'DB Country PMI'!$A:$AZ,MATCH($A$1,'DB Country PMI'!$A$1:$AZ$1,),))</f>
        <v>47.3</v>
      </c>
      <c r="C45" s="24">
        <f>Table134681112141516[[#This Row],[PMI]]-B44</f>
        <v>-1.2000000000000028</v>
      </c>
    </row>
    <row r="46" spans="1:3" x14ac:dyDescent="0.2">
      <c r="A46" s="10">
        <v>40878</v>
      </c>
      <c r="B46" s="18">
        <f>IF(VLOOKUP(A46,'DB Country PMI'!$A:$AZ,MATCH($A$1,'DB Country PMI'!$A$1:$AZ$1,),)=0,#N/A,VLOOKUP(A46,'DB Country PMI'!$A:$AZ,MATCH($A$1,'DB Country PMI'!$A$1:$AZ$1,),))</f>
        <v>48.9</v>
      </c>
      <c r="C46" s="24">
        <f>Table134681112141516[[#This Row],[PMI]]-B45</f>
        <v>1.6000000000000014</v>
      </c>
    </row>
    <row r="47" spans="1:3" x14ac:dyDescent="0.2">
      <c r="A47" s="10">
        <v>40909</v>
      </c>
      <c r="B47" s="18">
        <f>IF(VLOOKUP(A47,'DB Country PMI'!$A:$AZ,MATCH($A$1,'DB Country PMI'!$A$1:$AZ$1,),)=0,#N/A,VLOOKUP(A47,'DB Country PMI'!$A:$AZ,MATCH($A$1,'DB Country PMI'!$A$1:$AZ$1,),))</f>
        <v>48.5</v>
      </c>
      <c r="C47" s="24">
        <f>Table134681112141516[[#This Row],[PMI]]-B46</f>
        <v>-0.39999999999999858</v>
      </c>
    </row>
    <row r="48" spans="1:3" x14ac:dyDescent="0.2">
      <c r="A48" s="10">
        <v>40940</v>
      </c>
      <c r="B48" s="18">
        <f>IF(VLOOKUP(A48,'DB Country PMI'!$A:$AZ,MATCH($A$1,'DB Country PMI'!$A$1:$AZ$1,),)=0,#N/A,VLOOKUP(A48,'DB Country PMI'!$A:$AZ,MATCH($A$1,'DB Country PMI'!$A$1:$AZ$1,),))</f>
        <v>50</v>
      </c>
      <c r="C48" s="24">
        <f>Table134681112141516[[#This Row],[PMI]]-B47</f>
        <v>1.5</v>
      </c>
    </row>
    <row r="49" spans="1:3" x14ac:dyDescent="0.2">
      <c r="A49" s="10">
        <v>40969</v>
      </c>
      <c r="B49" s="18">
        <f>IF(VLOOKUP(A49,'DB Country PMI'!$A:$AZ,MATCH($A$1,'DB Country PMI'!$A$1:$AZ$1,),)=0,#N/A,VLOOKUP(A49,'DB Country PMI'!$A:$AZ,MATCH($A$1,'DB Country PMI'!$A$1:$AZ$1,),))</f>
        <v>46.7</v>
      </c>
      <c r="C49" s="24">
        <f>Table134681112141516[[#This Row],[PMI]]-B48</f>
        <v>-3.2999999999999972</v>
      </c>
    </row>
    <row r="50" spans="1:3" x14ac:dyDescent="0.2">
      <c r="A50" s="10">
        <v>41000</v>
      </c>
      <c r="B50" s="18">
        <f>IF(VLOOKUP(A50,'DB Country PMI'!$A:$AZ,MATCH($A$1,'DB Country PMI'!$A$1:$AZ$1,),)=0,#N/A,VLOOKUP(A50,'DB Country PMI'!$A:$AZ,MATCH($A$1,'DB Country PMI'!$A$1:$AZ$1,),))</f>
        <v>46.9</v>
      </c>
      <c r="C50" s="24">
        <f>Table134681112141516[[#This Row],[PMI]]-B49</f>
        <v>0.19999999999999574</v>
      </c>
    </row>
    <row r="51" spans="1:3" x14ac:dyDescent="0.2">
      <c r="A51" s="10">
        <v>41030</v>
      </c>
      <c r="B51" s="18">
        <f>IF(VLOOKUP(A51,'DB Country PMI'!$A:$AZ,MATCH($A$1,'DB Country PMI'!$A$1:$AZ$1,),)=0,#N/A,VLOOKUP(A51,'DB Country PMI'!$A:$AZ,MATCH($A$1,'DB Country PMI'!$A$1:$AZ$1,),))</f>
        <v>44.7</v>
      </c>
      <c r="C51" s="24">
        <f>Table134681112141516[[#This Row],[PMI]]-B50</f>
        <v>-2.1999999999999957</v>
      </c>
    </row>
    <row r="52" spans="1:3" x14ac:dyDescent="0.2">
      <c r="A52" s="10">
        <v>41061</v>
      </c>
      <c r="B52" s="18">
        <f>IF(VLOOKUP(A52,'DB Country PMI'!$A:$AZ,MATCH($A$1,'DB Country PMI'!$A$1:$AZ$1,),)=0,#N/A,VLOOKUP(A52,'DB Country PMI'!$A:$AZ,MATCH($A$1,'DB Country PMI'!$A$1:$AZ$1,),))</f>
        <v>45.2</v>
      </c>
      <c r="C52" s="24">
        <f>Table134681112141516[[#This Row],[PMI]]-B51</f>
        <v>0.5</v>
      </c>
    </row>
    <row r="53" spans="1:3" x14ac:dyDescent="0.2">
      <c r="A53" s="10">
        <v>41091</v>
      </c>
      <c r="B53" s="18">
        <f>IF(VLOOKUP(A53,'DB Country PMI'!$A:$AZ,MATCH($A$1,'DB Country PMI'!$A$1:$AZ$1,),)=0,#N/A,VLOOKUP(A53,'DB Country PMI'!$A:$AZ,MATCH($A$1,'DB Country PMI'!$A$1:$AZ$1,),))</f>
        <v>43.4</v>
      </c>
      <c r="C53" s="24">
        <f>Table134681112141516[[#This Row],[PMI]]-B52</f>
        <v>-1.8000000000000043</v>
      </c>
    </row>
    <row r="54" spans="1:3" x14ac:dyDescent="0.2">
      <c r="A54" s="10">
        <v>41122</v>
      </c>
      <c r="B54" s="18">
        <f>IF(VLOOKUP(A54,'DB Country PMI'!$A:$AZ,MATCH($A$1,'DB Country PMI'!$A$1:$AZ$1,),)=0,#N/A,VLOOKUP(A54,'DB Country PMI'!$A:$AZ,MATCH($A$1,'DB Country PMI'!$A$1:$AZ$1,),))</f>
        <v>46</v>
      </c>
      <c r="C54" s="24">
        <f>Table134681112141516[[#This Row],[PMI]]-B53</f>
        <v>2.6000000000000014</v>
      </c>
    </row>
    <row r="55" spans="1:3" x14ac:dyDescent="0.2">
      <c r="A55" s="10">
        <v>41153</v>
      </c>
      <c r="B55" s="18">
        <f>IF(VLOOKUP(A55,'DB Country PMI'!$A:$AZ,MATCH($A$1,'DB Country PMI'!$A$1:$AZ$1,),)=0,#N/A,VLOOKUP(A55,'DB Country PMI'!$A:$AZ,MATCH($A$1,'DB Country PMI'!$A$1:$AZ$1,),))</f>
        <v>42.7</v>
      </c>
      <c r="C55" s="24">
        <f>Table134681112141516[[#This Row],[PMI]]-B54</f>
        <v>-3.2999999999999972</v>
      </c>
    </row>
    <row r="56" spans="1:3" x14ac:dyDescent="0.2">
      <c r="A56" s="10">
        <v>41183</v>
      </c>
      <c r="B56" s="18">
        <f>IF(VLOOKUP(A56,'DB Country PMI'!$A:$AZ,MATCH($A$1,'DB Country PMI'!$A$1:$AZ$1,),)=0,#N/A,VLOOKUP(A56,'DB Country PMI'!$A:$AZ,MATCH($A$1,'DB Country PMI'!$A$1:$AZ$1,),))</f>
        <v>43.7</v>
      </c>
      <c r="C56" s="24">
        <f>Table134681112141516[[#This Row],[PMI]]-B55</f>
        <v>1</v>
      </c>
    </row>
    <row r="57" spans="1:3" x14ac:dyDescent="0.2">
      <c r="A57" s="10">
        <v>41214</v>
      </c>
      <c r="B57" s="18">
        <f>IF(VLOOKUP(A57,'DB Country PMI'!$A:$AZ,MATCH($A$1,'DB Country PMI'!$A$1:$AZ$1,),)=0,#N/A,VLOOKUP(A57,'DB Country PMI'!$A:$AZ,MATCH($A$1,'DB Country PMI'!$A$1:$AZ$1,),))</f>
        <v>44.5</v>
      </c>
      <c r="C57" s="24">
        <f>Table134681112141516[[#This Row],[PMI]]-B56</f>
        <v>0.79999999999999716</v>
      </c>
    </row>
    <row r="58" spans="1:3" x14ac:dyDescent="0.2">
      <c r="A58" s="10">
        <v>41244</v>
      </c>
      <c r="B58" s="18">
        <f>IF(VLOOKUP(A58,'DB Country PMI'!$A:$AZ,MATCH($A$1,'DB Country PMI'!$A$1:$AZ$1,),)=0,#N/A,VLOOKUP(A58,'DB Country PMI'!$A:$AZ,MATCH($A$1,'DB Country PMI'!$A$1:$AZ$1,),))</f>
        <v>44.6</v>
      </c>
      <c r="C58" s="24">
        <f>Table134681112141516[[#This Row],[PMI]]-B57</f>
        <v>0.10000000000000142</v>
      </c>
    </row>
    <row r="59" spans="1:3" x14ac:dyDescent="0.2">
      <c r="A59" s="10">
        <v>41275</v>
      </c>
      <c r="B59" s="18">
        <f>IF(VLOOKUP(A59,'DB Country PMI'!$A:$AZ,MATCH($A$1,'DB Country PMI'!$A$1:$AZ$1,),)=0,#N/A,VLOOKUP(A59,'DB Country PMI'!$A:$AZ,MATCH($A$1,'DB Country PMI'!$A$1:$AZ$1,),))</f>
        <v>42.9</v>
      </c>
      <c r="C59" s="24">
        <f>Table134681112141516[[#This Row],[PMI]]-B58</f>
        <v>-1.7000000000000028</v>
      </c>
    </row>
    <row r="60" spans="1:3" x14ac:dyDescent="0.2">
      <c r="A60" s="10">
        <v>41306</v>
      </c>
      <c r="B60" s="18">
        <f>IF(VLOOKUP(A60,'DB Country PMI'!$A:$AZ,MATCH($A$1,'DB Country PMI'!$A$1:$AZ$1,),)=0,#N/A,VLOOKUP(A60,'DB Country PMI'!$A:$AZ,MATCH($A$1,'DB Country PMI'!$A$1:$AZ$1,),))</f>
        <v>43.9</v>
      </c>
      <c r="C60" s="24">
        <f>Table134681112141516[[#This Row],[PMI]]-B59</f>
        <v>1</v>
      </c>
    </row>
    <row r="61" spans="1:3" x14ac:dyDescent="0.2">
      <c r="A61" s="10">
        <v>41334</v>
      </c>
      <c r="B61" s="18">
        <f>IF(VLOOKUP(A61,'DB Country PMI'!$A:$AZ,MATCH($A$1,'DB Country PMI'!$A$1:$AZ$1,),)=0,#N/A,VLOOKUP(A61,'DB Country PMI'!$A:$AZ,MATCH($A$1,'DB Country PMI'!$A$1:$AZ$1,),))</f>
        <v>44</v>
      </c>
      <c r="C61" s="24">
        <f>Table134681112141516[[#This Row],[PMI]]-B60</f>
        <v>0.10000000000000142</v>
      </c>
    </row>
    <row r="62" spans="1:3" x14ac:dyDescent="0.2">
      <c r="A62" s="10">
        <v>41365</v>
      </c>
      <c r="B62" s="18">
        <f>IF(VLOOKUP(A62,'DB Country PMI'!$A:$AZ,MATCH($A$1,'DB Country PMI'!$A$1:$AZ$1,),)=0,#N/A,VLOOKUP(A62,'DB Country PMI'!$A:$AZ,MATCH($A$1,'DB Country PMI'!$A$1:$AZ$1,),))</f>
        <v>44.4</v>
      </c>
      <c r="C62" s="24">
        <f>Table134681112141516[[#This Row],[PMI]]-B61</f>
        <v>0.39999999999999858</v>
      </c>
    </row>
    <row r="63" spans="1:3" x14ac:dyDescent="0.2">
      <c r="A63" s="10">
        <v>41395</v>
      </c>
      <c r="B63" s="18">
        <f>IF(VLOOKUP(A63,'DB Country PMI'!$A:$AZ,MATCH($A$1,'DB Country PMI'!$A$1:$AZ$1,),)=0,#N/A,VLOOKUP(A63,'DB Country PMI'!$A:$AZ,MATCH($A$1,'DB Country PMI'!$A$1:$AZ$1,),))</f>
        <v>46.4</v>
      </c>
      <c r="C63" s="24">
        <f>Table134681112141516[[#This Row],[PMI]]-B62</f>
        <v>2</v>
      </c>
    </row>
    <row r="64" spans="1:3" x14ac:dyDescent="0.2">
      <c r="A64" s="10">
        <v>41426</v>
      </c>
      <c r="B64" s="18">
        <f>IF(VLOOKUP(A64,'DB Country PMI'!$A:$AZ,MATCH($A$1,'DB Country PMI'!$A$1:$AZ$1,),)=0,#N/A,VLOOKUP(A64,'DB Country PMI'!$A:$AZ,MATCH($A$1,'DB Country PMI'!$A$1:$AZ$1,),))</f>
        <v>48.4</v>
      </c>
      <c r="C64" s="24">
        <f>Table134681112141516[[#This Row],[PMI]]-B63</f>
        <v>2</v>
      </c>
    </row>
    <row r="65" spans="1:3" x14ac:dyDescent="0.2">
      <c r="A65" s="10">
        <v>41456</v>
      </c>
      <c r="B65" s="18">
        <f>IF(VLOOKUP(A65,'DB Country PMI'!$A:$AZ,MATCH($A$1,'DB Country PMI'!$A$1:$AZ$1,),)=0,#N/A,VLOOKUP(A65,'DB Country PMI'!$A:$AZ,MATCH($A$1,'DB Country PMI'!$A$1:$AZ$1,),))</f>
        <v>49.7</v>
      </c>
      <c r="C65" s="24">
        <f>Table134681112141516[[#This Row],[PMI]]-B64</f>
        <v>1.3000000000000043</v>
      </c>
    </row>
    <row r="66" spans="1:3" x14ac:dyDescent="0.2">
      <c r="A66" s="10">
        <v>41487</v>
      </c>
      <c r="B66" s="18">
        <f>IF(VLOOKUP(A66,'DB Country PMI'!$A:$AZ,MATCH($A$1,'DB Country PMI'!$A$1:$AZ$1,),)=0,#N/A,VLOOKUP(A66,'DB Country PMI'!$A:$AZ,MATCH($A$1,'DB Country PMI'!$A$1:$AZ$1,),))</f>
        <v>49.7</v>
      </c>
      <c r="C66" s="24">
        <f>Table134681112141516[[#This Row],[PMI]]-B65</f>
        <v>0</v>
      </c>
    </row>
    <row r="67" spans="1:3" x14ac:dyDescent="0.2">
      <c r="A67" s="10">
        <v>41518</v>
      </c>
      <c r="B67" s="18">
        <f>IF(VLOOKUP(A67,'DB Country PMI'!$A:$AZ,MATCH($A$1,'DB Country PMI'!$A$1:$AZ$1,),)=0,#N/A,VLOOKUP(A67,'DB Country PMI'!$A:$AZ,MATCH($A$1,'DB Country PMI'!$A$1:$AZ$1,),))</f>
        <v>49.8</v>
      </c>
      <c r="C67" s="24">
        <f>Table134681112141516[[#This Row],[PMI]]-B66</f>
        <v>9.9999999999994316E-2</v>
      </c>
    </row>
    <row r="68" spans="1:3" x14ac:dyDescent="0.2">
      <c r="A68" s="10">
        <v>41548</v>
      </c>
      <c r="B68" s="18">
        <f>IF(VLOOKUP(A68,'DB Country PMI'!$A:$AZ,MATCH($A$1,'DB Country PMI'!$A$1:$AZ$1,),)=0,#N/A,VLOOKUP(A68,'DB Country PMI'!$A:$AZ,MATCH($A$1,'DB Country PMI'!$A$1:$AZ$1,),))</f>
        <v>49.1</v>
      </c>
      <c r="C68" s="24">
        <f>Table134681112141516[[#This Row],[PMI]]-B67</f>
        <v>-0.69999999999999574</v>
      </c>
    </row>
    <row r="69" spans="1:3" x14ac:dyDescent="0.2">
      <c r="A69" s="10">
        <v>41579</v>
      </c>
      <c r="B69" s="18">
        <f>IF(VLOOKUP(A69,'DB Country PMI'!$A:$AZ,MATCH($A$1,'DB Country PMI'!$A$1:$AZ$1,),)=0,#N/A,VLOOKUP(A69,'DB Country PMI'!$A:$AZ,MATCH($A$1,'DB Country PMI'!$A$1:$AZ$1,),))</f>
        <v>48.4</v>
      </c>
      <c r="C69" s="24">
        <f>Table134681112141516[[#This Row],[PMI]]-B68</f>
        <v>-0.70000000000000284</v>
      </c>
    </row>
    <row r="70" spans="1:3" x14ac:dyDescent="0.2">
      <c r="A70" s="10">
        <v>41609</v>
      </c>
      <c r="B70" s="18">
        <f>IF(VLOOKUP(A70,'DB Country PMI'!$A:$AZ,MATCH($A$1,'DB Country PMI'!$A$1:$AZ$1,),)=0,#N/A,VLOOKUP(A70,'DB Country PMI'!$A:$AZ,MATCH($A$1,'DB Country PMI'!$A$1:$AZ$1,),))</f>
        <v>47</v>
      </c>
      <c r="C70" s="24">
        <f>Table134681112141516[[#This Row],[PMI]]-B69</f>
        <v>-1.3999999999999986</v>
      </c>
    </row>
    <row r="71" spans="1:3" x14ac:dyDescent="0.2">
      <c r="A71" s="10">
        <v>41640</v>
      </c>
      <c r="B71" s="18">
        <f>IF(VLOOKUP(A71,'DB Country PMI'!$A:$AZ,MATCH($A$1,'DB Country PMI'!$A$1:$AZ$1,),)=0,#N/A,VLOOKUP(A71,'DB Country PMI'!$A:$AZ,MATCH($A$1,'DB Country PMI'!$A$1:$AZ$1,),))</f>
        <v>49.3</v>
      </c>
      <c r="C71" s="24">
        <f>Table134681112141516[[#This Row],[PMI]]-B70</f>
        <v>2.2999999999999972</v>
      </c>
    </row>
    <row r="72" spans="1:3" x14ac:dyDescent="0.2">
      <c r="A72" s="10">
        <v>41671</v>
      </c>
      <c r="B72" s="18">
        <f>IF(VLOOKUP(A72,'DB Country PMI'!$A:$AZ,MATCH($A$1,'DB Country PMI'!$A$1:$AZ$1,),)=0,#N/A,VLOOKUP(A72,'DB Country PMI'!$A:$AZ,MATCH($A$1,'DB Country PMI'!$A$1:$AZ$1,),))</f>
        <v>49.7</v>
      </c>
      <c r="C72" s="24">
        <f>Table134681112141516[[#This Row],[PMI]]-B71</f>
        <v>0.40000000000000568</v>
      </c>
    </row>
    <row r="73" spans="1:3" x14ac:dyDescent="0.2">
      <c r="A73" s="10">
        <v>41699</v>
      </c>
      <c r="B73" s="18">
        <f>IF(VLOOKUP(A73,'DB Country PMI'!$A:$AZ,MATCH($A$1,'DB Country PMI'!$A$1:$AZ$1,),)=0,#N/A,VLOOKUP(A73,'DB Country PMI'!$A:$AZ,MATCH($A$1,'DB Country PMI'!$A$1:$AZ$1,),))</f>
        <v>52.1</v>
      </c>
      <c r="C73" s="24">
        <f>Table134681112141516[[#This Row],[PMI]]-B72</f>
        <v>2.3999999999999986</v>
      </c>
    </row>
    <row r="74" spans="1:3" x14ac:dyDescent="0.2">
      <c r="A74" s="10">
        <v>41730</v>
      </c>
      <c r="B74" s="18">
        <f>IF(VLOOKUP(A74,'DB Country PMI'!$A:$AZ,MATCH($A$1,'DB Country PMI'!$A$1:$AZ$1,),)=0,#N/A,VLOOKUP(A74,'DB Country PMI'!$A:$AZ,MATCH($A$1,'DB Country PMI'!$A$1:$AZ$1,),))</f>
        <v>51.2</v>
      </c>
      <c r="C74" s="24">
        <f>Table134681112141516[[#This Row],[PMI]]-B73</f>
        <v>-0.89999999999999858</v>
      </c>
    </row>
    <row r="75" spans="1:3" x14ac:dyDescent="0.2">
      <c r="A75" s="10">
        <v>41760</v>
      </c>
      <c r="B75" s="18">
        <f>IF(VLOOKUP(A75,'DB Country PMI'!$A:$AZ,MATCH($A$1,'DB Country PMI'!$A$1:$AZ$1,),)=0,#N/A,VLOOKUP(A75,'DB Country PMI'!$A:$AZ,MATCH($A$1,'DB Country PMI'!$A$1:$AZ$1,),))</f>
        <v>49.6</v>
      </c>
      <c r="C75" s="24">
        <f>Table134681112141516[[#This Row],[PMI]]-B74</f>
        <v>-1.6000000000000014</v>
      </c>
    </row>
    <row r="76" spans="1:3" x14ac:dyDescent="0.2">
      <c r="A76" s="10">
        <v>41791</v>
      </c>
      <c r="B76" s="18">
        <f>IF(VLOOKUP(A76,'DB Country PMI'!$A:$AZ,MATCH($A$1,'DB Country PMI'!$A$1:$AZ$1,),)=0,#N/A,VLOOKUP(A76,'DB Country PMI'!$A:$AZ,MATCH($A$1,'DB Country PMI'!$A$1:$AZ$1,),))</f>
        <v>48.2</v>
      </c>
      <c r="C76" s="24">
        <f>Table134681112141516[[#This Row],[PMI]]-B75</f>
        <v>-1.3999999999999986</v>
      </c>
    </row>
    <row r="77" spans="1:3" x14ac:dyDescent="0.2">
      <c r="A77" s="10">
        <v>41821</v>
      </c>
      <c r="B77" s="18">
        <f>IF(VLOOKUP(A77,'DB Country PMI'!$A:$AZ,MATCH($A$1,'DB Country PMI'!$A$1:$AZ$1,),)=0,#N/A,VLOOKUP(A77,'DB Country PMI'!$A:$AZ,MATCH($A$1,'DB Country PMI'!$A$1:$AZ$1,),))</f>
        <v>47.8</v>
      </c>
      <c r="C77" s="24">
        <f>Table134681112141516[[#This Row],[PMI]]-B76</f>
        <v>-0.40000000000000568</v>
      </c>
    </row>
    <row r="78" spans="1:3" x14ac:dyDescent="0.2">
      <c r="A78" s="10">
        <v>41852</v>
      </c>
      <c r="B78" s="18">
        <f>IF(VLOOKUP(A78,'DB Country PMI'!$A:$AZ,MATCH($A$1,'DB Country PMI'!$A$1:$AZ$1,),)=0,#N/A,VLOOKUP(A78,'DB Country PMI'!$A:$AZ,MATCH($A$1,'DB Country PMI'!$A$1:$AZ$1,),))</f>
        <v>46.9</v>
      </c>
      <c r="C78" s="24">
        <f>Table134681112141516[[#This Row],[PMI]]-B77</f>
        <v>-0.89999999999999858</v>
      </c>
    </row>
    <row r="79" spans="1:3" x14ac:dyDescent="0.2">
      <c r="A79" s="10">
        <v>41883</v>
      </c>
      <c r="B79" s="18">
        <f>IF(VLOOKUP(A79,'DB Country PMI'!$A:$AZ,MATCH($A$1,'DB Country PMI'!$A$1:$AZ$1,),)=0,#N/A,VLOOKUP(A79,'DB Country PMI'!$A:$AZ,MATCH($A$1,'DB Country PMI'!$A$1:$AZ$1,),))</f>
        <v>48.8</v>
      </c>
      <c r="C79" s="24">
        <f>Table134681112141516[[#This Row],[PMI]]-B78</f>
        <v>1.8999999999999986</v>
      </c>
    </row>
    <row r="80" spans="1:3" x14ac:dyDescent="0.2">
      <c r="A80" s="10">
        <v>41913</v>
      </c>
      <c r="B80" s="18">
        <f>IF(VLOOKUP(A80,'DB Country PMI'!$A:$AZ,MATCH($A$1,'DB Country PMI'!$A$1:$AZ$1,),)=0,#N/A,VLOOKUP(A80,'DB Country PMI'!$A:$AZ,MATCH($A$1,'DB Country PMI'!$A$1:$AZ$1,),))</f>
        <v>48.5</v>
      </c>
      <c r="C80" s="24">
        <f>Table134681112141516[[#This Row],[PMI]]-B79</f>
        <v>-0.29999999999999716</v>
      </c>
    </row>
    <row r="81" spans="1:3" x14ac:dyDescent="0.2">
      <c r="A81" s="10">
        <v>41944</v>
      </c>
      <c r="B81" s="18">
        <f>IF(VLOOKUP(A81,'DB Country PMI'!$A:$AZ,MATCH($A$1,'DB Country PMI'!$A$1:$AZ$1,),)=0,#N/A,VLOOKUP(A81,'DB Country PMI'!$A:$AZ,MATCH($A$1,'DB Country PMI'!$A$1:$AZ$1,),))</f>
        <v>48.4</v>
      </c>
      <c r="C81" s="24">
        <f>Table134681112141516[[#This Row],[PMI]]-B80</f>
        <v>-0.10000000000000142</v>
      </c>
    </row>
    <row r="82" spans="1:3" x14ac:dyDescent="0.2">
      <c r="A82" s="10">
        <v>41974</v>
      </c>
      <c r="B82" s="18">
        <f>IF(VLOOKUP(A82,'DB Country PMI'!$A:$AZ,MATCH($A$1,'DB Country PMI'!$A$1:$AZ$1,),)=0,#N/A,VLOOKUP(A82,'DB Country PMI'!$A:$AZ,MATCH($A$1,'DB Country PMI'!$A$1:$AZ$1,),))</f>
        <v>47.5</v>
      </c>
      <c r="C82" s="24">
        <f>Table134681112141516[[#This Row],[PMI]]-B81</f>
        <v>-0.89999999999999858</v>
      </c>
    </row>
    <row r="83" spans="1:3" x14ac:dyDescent="0.2">
      <c r="A83" s="10">
        <v>42005</v>
      </c>
      <c r="B83" s="18">
        <f>IF(VLOOKUP(A83,'DB Country PMI'!$A:$AZ,MATCH($A$1,'DB Country PMI'!$A$1:$AZ$1,),)=0,#N/A,VLOOKUP(A83,'DB Country PMI'!$A:$AZ,MATCH($A$1,'DB Country PMI'!$A$1:$AZ$1,),))</f>
        <v>49.2</v>
      </c>
      <c r="C83" s="24">
        <f>Table134681112141516[[#This Row],[PMI]]-B82</f>
        <v>1.7000000000000028</v>
      </c>
    </row>
    <row r="84" spans="1:3" x14ac:dyDescent="0.2">
      <c r="A84" s="10">
        <v>42036</v>
      </c>
      <c r="B84" s="18">
        <f>IF(VLOOKUP(A84,'DB Country PMI'!$A:$AZ,MATCH($A$1,'DB Country PMI'!$A$1:$AZ$1,),)=0,#N/A,VLOOKUP(A84,'DB Country PMI'!$A:$AZ,MATCH($A$1,'DB Country PMI'!$A$1:$AZ$1,),))</f>
        <v>47.6</v>
      </c>
      <c r="C84" s="24">
        <f>Table134681112141516[[#This Row],[PMI]]-B83</f>
        <v>-1.6000000000000014</v>
      </c>
    </row>
    <row r="85" spans="1:3" x14ac:dyDescent="0.2">
      <c r="A85" s="10">
        <v>42064</v>
      </c>
      <c r="B85" s="18">
        <f>IF(VLOOKUP(A85,'DB Country PMI'!$A:$AZ,MATCH($A$1,'DB Country PMI'!$A$1:$AZ$1,),)=0,#N/A,VLOOKUP(A85,'DB Country PMI'!$A:$AZ,MATCH($A$1,'DB Country PMI'!$A$1:$AZ$1,),))</f>
        <v>48.8</v>
      </c>
      <c r="C85" s="24">
        <f>Table134681112141516[[#This Row],[PMI]]-B84</f>
        <v>1.1999999999999957</v>
      </c>
    </row>
    <row r="86" spans="1:3" x14ac:dyDescent="0.2">
      <c r="A86" s="10">
        <v>42095</v>
      </c>
      <c r="B86" s="18">
        <f>IF(VLOOKUP(A86,'DB Country PMI'!$A:$AZ,MATCH($A$1,'DB Country PMI'!$A$1:$AZ$1,),)=0,#N/A,VLOOKUP(A86,'DB Country PMI'!$A:$AZ,MATCH($A$1,'DB Country PMI'!$A$1:$AZ$1,),))</f>
        <v>48</v>
      </c>
      <c r="C86" s="24">
        <f>Table134681112141516[[#This Row],[PMI]]-B85</f>
        <v>-0.79999999999999716</v>
      </c>
    </row>
    <row r="87" spans="1:3" x14ac:dyDescent="0.2">
      <c r="A87" s="10">
        <v>42125</v>
      </c>
      <c r="B87" s="18">
        <f>IF(VLOOKUP(A87,'DB Country PMI'!$A:$AZ,MATCH($A$1,'DB Country PMI'!$A$1:$AZ$1,),)=0,#N/A,VLOOKUP(A87,'DB Country PMI'!$A:$AZ,MATCH($A$1,'DB Country PMI'!$A$1:$AZ$1,),))</f>
        <v>49.4</v>
      </c>
      <c r="C87" s="24">
        <f>Table134681112141516[[#This Row],[PMI]]-B86</f>
        <v>1.3999999999999986</v>
      </c>
    </row>
    <row r="88" spans="1:3" x14ac:dyDescent="0.2">
      <c r="A88" s="10">
        <v>42156</v>
      </c>
      <c r="B88" s="18">
        <f>IF(VLOOKUP(A88,'DB Country PMI'!$A:$AZ,MATCH($A$1,'DB Country PMI'!$A$1:$AZ$1,),)=0,#N/A,VLOOKUP(A88,'DB Country PMI'!$A:$AZ,MATCH($A$1,'DB Country PMI'!$A$1:$AZ$1,),))</f>
        <v>50.7</v>
      </c>
      <c r="C88" s="24">
        <f>Table134681112141516[[#This Row],[PMI]]-B87</f>
        <v>1.3000000000000043</v>
      </c>
    </row>
    <row r="89" spans="1:3" x14ac:dyDescent="0.2">
      <c r="A89" s="10">
        <v>42186</v>
      </c>
      <c r="B89" s="18">
        <f>IF(VLOOKUP(A89,'DB Country PMI'!$A:$AZ,MATCH($A$1,'DB Country PMI'!$A$1:$AZ$1,),)=0,#N/A,VLOOKUP(A89,'DB Country PMI'!$A:$AZ,MATCH($A$1,'DB Country PMI'!$A$1:$AZ$1,),))</f>
        <v>49.6</v>
      </c>
      <c r="C89" s="24">
        <f>Table134681112141516[[#This Row],[PMI]]-B88</f>
        <v>-1.1000000000000014</v>
      </c>
    </row>
    <row r="90" spans="1:3" x14ac:dyDescent="0.2">
      <c r="A90" s="10">
        <v>42217</v>
      </c>
      <c r="B90" s="18">
        <f>IF(VLOOKUP(A90,'DB Country PMI'!$A:$AZ,MATCH($A$1,'DB Country PMI'!$A$1:$AZ$1,),)=0,#N/A,VLOOKUP(A90,'DB Country PMI'!$A:$AZ,MATCH($A$1,'DB Country PMI'!$A$1:$AZ$1,),))</f>
        <v>48.3</v>
      </c>
      <c r="C90" s="24">
        <f>Table134681112141516[[#This Row],[PMI]]-B89</f>
        <v>-1.3000000000000043</v>
      </c>
    </row>
    <row r="91" spans="1:3" x14ac:dyDescent="0.2">
      <c r="A91" s="10">
        <v>42248</v>
      </c>
      <c r="B91" s="18">
        <f>IF(VLOOKUP(A91,'DB Country PMI'!$A:$AZ,MATCH($A$1,'DB Country PMI'!$A$1:$AZ$1,),)=0,#N/A,VLOOKUP(A91,'DB Country PMI'!$A:$AZ,MATCH($A$1,'DB Country PMI'!$A$1:$AZ$1,),))</f>
        <v>50.6</v>
      </c>
      <c r="C91" s="24">
        <f>Table134681112141516[[#This Row],[PMI]]-B90</f>
        <v>2.3000000000000043</v>
      </c>
    </row>
    <row r="92" spans="1:3" x14ac:dyDescent="0.2">
      <c r="A92" s="10">
        <v>42278</v>
      </c>
      <c r="B92" s="18">
        <f>IF(VLOOKUP(A92,'DB Country PMI'!$A:$AZ,MATCH($A$1,'DB Country PMI'!$A$1:$AZ$1,),)=0,#N/A,VLOOKUP(A92,'DB Country PMI'!$A:$AZ,MATCH($A$1,'DB Country PMI'!$A$1:$AZ$1,),))</f>
        <v>50.6</v>
      </c>
      <c r="C92" s="24">
        <f>Table134681112141516[[#This Row],[PMI]]-B91</f>
        <v>0</v>
      </c>
    </row>
    <row r="93" spans="1:3" x14ac:dyDescent="0.2">
      <c r="A93" s="10">
        <v>42309</v>
      </c>
      <c r="B93" s="18">
        <f>IF(VLOOKUP(A93,'DB Country PMI'!$A:$AZ,MATCH($A$1,'DB Country PMI'!$A$1:$AZ$1,),)=0,#N/A,VLOOKUP(A93,'DB Country PMI'!$A:$AZ,MATCH($A$1,'DB Country PMI'!$A$1:$AZ$1,),))</f>
        <v>50.6</v>
      </c>
      <c r="C93" s="24">
        <f>Table134681112141516[[#This Row],[PMI]]-B92</f>
        <v>0</v>
      </c>
    </row>
    <row r="94" spans="1:3" x14ac:dyDescent="0.2">
      <c r="A94" s="10">
        <v>42339</v>
      </c>
      <c r="B94" s="18">
        <f>IF(VLOOKUP(A94,'DB Country PMI'!$A:$AZ,MATCH($A$1,'DB Country PMI'!$A$1:$AZ$1,),)=0,#N/A,VLOOKUP(A94,'DB Country PMI'!$A:$AZ,MATCH($A$1,'DB Country PMI'!$A$1:$AZ$1,),))</f>
        <v>51.4</v>
      </c>
      <c r="C94" s="24">
        <f>Table134681112141516[[#This Row],[PMI]]-B93</f>
        <v>0.79999999999999716</v>
      </c>
    </row>
    <row r="95" spans="1:3" x14ac:dyDescent="0.2">
      <c r="A95" s="10">
        <v>42370</v>
      </c>
      <c r="B95" s="18">
        <f>IF(VLOOKUP(A95,'DB Country PMI'!$A:$AZ,MATCH($A$1,'DB Country PMI'!$A$1:$AZ$1,),)=0,#N/A,VLOOKUP(A95,'DB Country PMI'!$A:$AZ,MATCH($A$1,'DB Country PMI'!$A$1:$AZ$1,),))</f>
        <v>50</v>
      </c>
      <c r="C95" s="24">
        <f>Table134681112141516[[#This Row],[PMI]]-B94</f>
        <v>-1.3999999999999986</v>
      </c>
    </row>
    <row r="96" spans="1:3" x14ac:dyDescent="0.2">
      <c r="A96" s="10">
        <v>42401</v>
      </c>
      <c r="B96" s="18">
        <f>IF(VLOOKUP(A96,'DB Country PMI'!$A:$AZ,MATCH($A$1,'DB Country PMI'!$A$1:$AZ$1,),)=0,#N/A,VLOOKUP(A96,'DB Country PMI'!$A:$AZ,MATCH($A$1,'DB Country PMI'!$A$1:$AZ$1,),))</f>
        <v>50.2</v>
      </c>
      <c r="C96" s="24">
        <f>Table134681112141516[[#This Row],[PMI]]-B95</f>
        <v>0.20000000000000284</v>
      </c>
    </row>
    <row r="97" spans="1:3" x14ac:dyDescent="0.2">
      <c r="A97" s="10">
        <v>42430</v>
      </c>
      <c r="B97" s="18">
        <f>IF(VLOOKUP(A97,'DB Country PMI'!$A:$AZ,MATCH($A$1,'DB Country PMI'!$A$1:$AZ$1,),)=0,#N/A,VLOOKUP(A97,'DB Country PMI'!$A:$AZ,MATCH($A$1,'DB Country PMI'!$A$1:$AZ$1,),))</f>
        <v>49.6</v>
      </c>
      <c r="C97" s="24">
        <f>Table134681112141516[[#This Row],[PMI]]-B96</f>
        <v>-0.60000000000000142</v>
      </c>
    </row>
    <row r="98" spans="1:3" x14ac:dyDescent="0.2">
      <c r="A98" s="10">
        <v>42461</v>
      </c>
      <c r="B98" s="18">
        <f>IF(VLOOKUP(A98,'DB Country PMI'!$A:$AZ,MATCH($A$1,'DB Country PMI'!$A$1:$AZ$1,),)=0,#N/A,VLOOKUP(A98,'DB Country PMI'!$A:$AZ,MATCH($A$1,'DB Country PMI'!$A$1:$AZ$1,),))</f>
        <v>48</v>
      </c>
      <c r="C98" s="24">
        <f>Table134681112141516[[#This Row],[PMI]]-B97</f>
        <v>-1.6000000000000014</v>
      </c>
    </row>
    <row r="99" spans="1:3" x14ac:dyDescent="0.2">
      <c r="A99" s="10">
        <v>42491</v>
      </c>
      <c r="B99" s="18">
        <f>IF(VLOOKUP(A99,'DB Country PMI'!$A:$AZ,MATCH($A$1,'DB Country PMI'!$A$1:$AZ$1,),)=0,#N/A,VLOOKUP(A99,'DB Country PMI'!$A:$AZ,MATCH($A$1,'DB Country PMI'!$A$1:$AZ$1,),))</f>
        <v>48.4</v>
      </c>
      <c r="C99" s="24">
        <f>Table134681112141516[[#This Row],[PMI]]-B98</f>
        <v>0.39999999999999858</v>
      </c>
    </row>
    <row r="100" spans="1:3" x14ac:dyDescent="0.2">
      <c r="A100" s="10">
        <v>42522</v>
      </c>
      <c r="B100" s="18">
        <f>IF(VLOOKUP(A100,'DB Country PMI'!$A:$AZ,MATCH($A$1,'DB Country PMI'!$A$1:$AZ$1,),)=0,#N/A,VLOOKUP(A100,'DB Country PMI'!$A:$AZ,MATCH($A$1,'DB Country PMI'!$A$1:$AZ$1,),))</f>
        <v>48.3</v>
      </c>
      <c r="C100" s="24">
        <f>Table134681112141516[[#This Row],[PMI]]-B99</f>
        <v>-0.10000000000000142</v>
      </c>
    </row>
    <row r="101" spans="1:3" x14ac:dyDescent="0.2">
      <c r="A101" s="10">
        <v>42552</v>
      </c>
      <c r="B101" s="18">
        <f>IF(VLOOKUP(A101,'DB Country PMI'!$A:$AZ,MATCH($A$1,'DB Country PMI'!$A$1:$AZ$1,),)=0,#N/A,VLOOKUP(A101,'DB Country PMI'!$A:$AZ,MATCH($A$1,'DB Country PMI'!$A$1:$AZ$1,),))</f>
        <v>48.6</v>
      </c>
      <c r="C101" s="24">
        <f>Table134681112141516[[#This Row],[PMI]]-B100</f>
        <v>0.30000000000000426</v>
      </c>
    </row>
    <row r="102" spans="1:3" x14ac:dyDescent="0.2">
      <c r="A102" s="10">
        <v>42583</v>
      </c>
      <c r="B102" s="18">
        <f>IF(VLOOKUP(A102,'DB Country PMI'!$A:$AZ,MATCH($A$1,'DB Country PMI'!$A$1:$AZ$1,),)=0,#N/A,VLOOKUP(A102,'DB Country PMI'!$A:$AZ,MATCH($A$1,'DB Country PMI'!$A$1:$AZ$1,),))</f>
        <v>48.3</v>
      </c>
      <c r="C102" s="24">
        <f>Table134681112141516[[#This Row],[PMI]]-B101</f>
        <v>-0.30000000000000426</v>
      </c>
    </row>
    <row r="103" spans="1:3" x14ac:dyDescent="0.2">
      <c r="A103" s="10">
        <v>42614</v>
      </c>
      <c r="B103" s="18">
        <f>IF(VLOOKUP(A103,'DB Country PMI'!$A:$AZ,MATCH($A$1,'DB Country PMI'!$A$1:$AZ$1,),)=0,#N/A,VLOOKUP(A103,'DB Country PMI'!$A:$AZ,MATCH($A$1,'DB Country PMI'!$A$1:$AZ$1,),))</f>
        <v>49.7</v>
      </c>
      <c r="C103" s="24">
        <f>Table134681112141516[[#This Row],[PMI]]-B102</f>
        <v>1.4000000000000057</v>
      </c>
    </row>
    <row r="104" spans="1:3" x14ac:dyDescent="0.2">
      <c r="A104" s="10">
        <v>42644</v>
      </c>
      <c r="B104" s="18">
        <f>IF(VLOOKUP(A104,'DB Country PMI'!$A:$AZ,MATCH($A$1,'DB Country PMI'!$A$1:$AZ$1,),)=0,#N/A,VLOOKUP(A104,'DB Country PMI'!$A:$AZ,MATCH($A$1,'DB Country PMI'!$A$1:$AZ$1,),))</f>
        <v>51.8</v>
      </c>
      <c r="C104" s="24">
        <f>Table134681112141516[[#This Row],[PMI]]-B103</f>
        <v>2.0999999999999943</v>
      </c>
    </row>
    <row r="105" spans="1:3" x14ac:dyDescent="0.2">
      <c r="A105" s="10">
        <v>42675</v>
      </c>
      <c r="B105" s="18">
        <f>IF(VLOOKUP(A105,'DB Country PMI'!$A:$AZ,MATCH($A$1,'DB Country PMI'!$A$1:$AZ$1,),)=0,#N/A,VLOOKUP(A105,'DB Country PMI'!$A:$AZ,MATCH($A$1,'DB Country PMI'!$A$1:$AZ$1,),))</f>
        <v>51.7</v>
      </c>
      <c r="C105" s="24">
        <f>Table134681112141516[[#This Row],[PMI]]-B104</f>
        <v>-9.9999999999994316E-2</v>
      </c>
    </row>
    <row r="106" spans="1:3" x14ac:dyDescent="0.2">
      <c r="A106" s="10">
        <v>42705</v>
      </c>
      <c r="B106" s="18">
        <f>IF(VLOOKUP(A106,'DB Country PMI'!$A:$AZ,MATCH($A$1,'DB Country PMI'!$A$1:$AZ$1,),)=0,#N/A,VLOOKUP(A106,'DB Country PMI'!$A:$AZ,MATCH($A$1,'DB Country PMI'!$A$1:$AZ$1,),))</f>
        <v>53.5</v>
      </c>
      <c r="C106" s="24">
        <f>Table134681112141516[[#This Row],[PMI]]-B105</f>
        <v>1.7999999999999972</v>
      </c>
    </row>
    <row r="107" spans="1:3" x14ac:dyDescent="0.2">
      <c r="A107" s="10">
        <v>42736</v>
      </c>
      <c r="B107" s="18">
        <f>IF(VLOOKUP(A107,'DB Country PMI'!$A:$AZ,MATCH($A$1,'DB Country PMI'!$A$1:$AZ$1,),)=0,#N/A,VLOOKUP(A107,'DB Country PMI'!$A:$AZ,MATCH($A$1,'DB Country PMI'!$A$1:$AZ$1,),))</f>
        <v>53.6</v>
      </c>
      <c r="C107" s="24">
        <f>Table134681112141516[[#This Row],[PMI]]-B106</f>
        <v>0.10000000000000142</v>
      </c>
    </row>
    <row r="108" spans="1:3" x14ac:dyDescent="0.2">
      <c r="A108" s="10">
        <v>42767</v>
      </c>
      <c r="B108" s="18">
        <f>IF(VLOOKUP(A108,'DB Country PMI'!$A:$AZ,MATCH($A$1,'DB Country PMI'!$A$1:$AZ$1,),)=0,#N/A,VLOOKUP(A108,'DB Country PMI'!$A:$AZ,MATCH($A$1,'DB Country PMI'!$A$1:$AZ$1,),))</f>
        <v>52.2</v>
      </c>
      <c r="C108" s="24">
        <f>Table134681112141516[[#This Row],[PMI]]-B107</f>
        <v>-1.3999999999999986</v>
      </c>
    </row>
    <row r="109" spans="1:3" x14ac:dyDescent="0.2">
      <c r="A109" s="10">
        <v>42795</v>
      </c>
      <c r="B109" s="18">
        <f>IF(VLOOKUP(A109,'DB Country PMI'!$A:$AZ,MATCH($A$1,'DB Country PMI'!$A$1:$AZ$1,),)=0,#N/A,VLOOKUP(A109,'DB Country PMI'!$A:$AZ,MATCH($A$1,'DB Country PMI'!$A$1:$AZ$1,),))</f>
        <v>53.3</v>
      </c>
      <c r="C109" s="24">
        <f>Table134681112141516[[#This Row],[PMI]]-B108</f>
        <v>1.0999999999999943</v>
      </c>
    </row>
    <row r="110" spans="1:3" x14ac:dyDescent="0.2">
      <c r="A110" s="10">
        <v>42826</v>
      </c>
      <c r="B110" s="18">
        <f>IF(VLOOKUP(A110,'DB Country PMI'!$A:$AZ,MATCH($A$1,'DB Country PMI'!$A$1:$AZ$1,),)=0,#N/A,VLOOKUP(A110,'DB Country PMI'!$A:$AZ,MATCH($A$1,'DB Country PMI'!$A$1:$AZ$1,),))</f>
        <v>55.1</v>
      </c>
      <c r="C110" s="24">
        <f>Table134681112141516[[#This Row],[PMI]]-B109</f>
        <v>1.8000000000000043</v>
      </c>
    </row>
    <row r="111" spans="1:3" x14ac:dyDescent="0.2">
      <c r="A111" s="10">
        <v>42856</v>
      </c>
      <c r="B111" s="18">
        <f>IF(VLOOKUP(A111,'DB Country PMI'!$A:$AZ,MATCH($A$1,'DB Country PMI'!$A$1:$AZ$1,),)=0,#N/A,VLOOKUP(A111,'DB Country PMI'!$A:$AZ,MATCH($A$1,'DB Country PMI'!$A$1:$AZ$1,),))</f>
        <v>53.8</v>
      </c>
      <c r="C111" s="24">
        <f>Table134681112141516[[#This Row],[PMI]]-B110</f>
        <v>-1.3000000000000043</v>
      </c>
    </row>
    <row r="112" spans="1:3" x14ac:dyDescent="0.2">
      <c r="A112" s="10">
        <v>42887</v>
      </c>
      <c r="B112" s="18">
        <f>IF(VLOOKUP(A112,'DB Country PMI'!$A:$AZ,MATCH($A$1,'DB Country PMI'!$A$1:$AZ$1,),)=0,#N/A,VLOOKUP(A112,'DB Country PMI'!$A:$AZ,MATCH($A$1,'DB Country PMI'!$A$1:$AZ$1,),))</f>
        <v>54.8</v>
      </c>
      <c r="C112" s="24">
        <f>Table134681112141516[[#This Row],[PMI]]-B111</f>
        <v>1</v>
      </c>
    </row>
    <row r="113" spans="1:3" x14ac:dyDescent="0.2">
      <c r="A113" s="10">
        <v>42917</v>
      </c>
      <c r="B113" s="18">
        <f>IF(VLOOKUP(A113,'DB Country PMI'!$A:$AZ,MATCH($A$1,'DB Country PMI'!$A$1:$AZ$1,),)=0,#N/A,VLOOKUP(A113,'DB Country PMI'!$A:$AZ,MATCH($A$1,'DB Country PMI'!$A$1:$AZ$1,),))</f>
        <v>54.9</v>
      </c>
      <c r="C113" s="24">
        <f>Table134681112141516[[#This Row],[PMI]]-B112</f>
        <v>0.10000000000000142</v>
      </c>
    </row>
    <row r="114" spans="1:3" x14ac:dyDescent="0.2">
      <c r="A114" s="10">
        <v>42948</v>
      </c>
      <c r="B114" s="18">
        <f>IF(VLOOKUP(A114,'DB Country PMI'!$A:$AZ,MATCH($A$1,'DB Country PMI'!$A$1:$AZ$1,),)=0,#N/A,VLOOKUP(A114,'DB Country PMI'!$A:$AZ,MATCH($A$1,'DB Country PMI'!$A$1:$AZ$1,),))</f>
        <v>55.8</v>
      </c>
      <c r="C114" s="24">
        <f>Table134681112141516[[#This Row],[PMI]]-B113</f>
        <v>0.89999999999999858</v>
      </c>
    </row>
    <row r="115" spans="1:3" x14ac:dyDescent="0.2">
      <c r="A115" s="10">
        <v>42979</v>
      </c>
      <c r="B115" s="18">
        <f>IF(VLOOKUP(A115,'DB Country PMI'!$A:$AZ,MATCH($A$1,'DB Country PMI'!$A$1:$AZ$1,),)=0,#N/A,VLOOKUP(A115,'DB Country PMI'!$A:$AZ,MATCH($A$1,'DB Country PMI'!$A$1:$AZ$1,),))</f>
        <v>56.1</v>
      </c>
      <c r="C115" s="24">
        <f>Table134681112141516[[#This Row],[PMI]]-B114</f>
        <v>0.30000000000000426</v>
      </c>
    </row>
    <row r="116" spans="1:3" x14ac:dyDescent="0.2">
      <c r="A116" s="10">
        <v>43009</v>
      </c>
      <c r="B116" s="18">
        <f>IF(VLOOKUP(A116,'DB Country PMI'!$A:$AZ,MATCH($A$1,'DB Country PMI'!$A$1:$AZ$1,),)=0,#N/A,VLOOKUP(A116,'DB Country PMI'!$A:$AZ,MATCH($A$1,'DB Country PMI'!$A$1:$AZ$1,),))</f>
        <v>56.1</v>
      </c>
      <c r="C116" s="24">
        <f>Table134681112141516[[#This Row],[PMI]]-B115</f>
        <v>0</v>
      </c>
    </row>
    <row r="117" spans="1:3" x14ac:dyDescent="0.2">
      <c r="A117" s="10">
        <v>43040</v>
      </c>
      <c r="B117" s="18">
        <f>IF(VLOOKUP(A117,'DB Country PMI'!$A:$AZ,MATCH($A$1,'DB Country PMI'!$A$1:$AZ$1,),)=0,#N/A,VLOOKUP(A117,'DB Country PMI'!$A:$AZ,MATCH($A$1,'DB Country PMI'!$A$1:$AZ$1,),))</f>
        <v>57.7</v>
      </c>
      <c r="C117" s="24">
        <f>Table134681112141516[[#This Row],[PMI]]-B116</f>
        <v>1.6000000000000014</v>
      </c>
    </row>
    <row r="118" spans="1:3" x14ac:dyDescent="0.2">
      <c r="A118" s="10">
        <v>43070</v>
      </c>
      <c r="B118" s="18">
        <f>IF(VLOOKUP(A118,'DB Country PMI'!$A:$AZ,MATCH($A$1,'DB Country PMI'!$A$1:$AZ$1,),)=0,#N/A,VLOOKUP(A118,'DB Country PMI'!$A:$AZ,MATCH($A$1,'DB Country PMI'!$A$1:$AZ$1,),))</f>
        <v>58.8</v>
      </c>
      <c r="C118" s="24">
        <f>Table134681112141516[[#This Row],[PMI]]-B117</f>
        <v>1.0999999999999943</v>
      </c>
    </row>
    <row r="119" spans="1:3" x14ac:dyDescent="0.2">
      <c r="A119" s="10">
        <v>43101</v>
      </c>
      <c r="B119" s="18">
        <f>IF(VLOOKUP(A119,'DB Country PMI'!$A:$AZ,MATCH($A$1,'DB Country PMI'!$A$1:$AZ$1,),)=0,#N/A,VLOOKUP(A119,'DB Country PMI'!$A:$AZ,MATCH($A$1,'DB Country PMI'!$A$1:$AZ$1,),))</f>
        <v>58.4</v>
      </c>
      <c r="C119" s="24">
        <f>Table134681112141516[[#This Row],[PMI]]-B118</f>
        <v>-0.39999999999999858</v>
      </c>
    </row>
    <row r="120" spans="1:3" x14ac:dyDescent="0.2">
      <c r="A120" s="10">
        <v>43132</v>
      </c>
      <c r="B120" s="18">
        <f>IF(VLOOKUP(A120,'DB Country PMI'!$A:$AZ,MATCH($A$1,'DB Country PMI'!$A$1:$AZ$1,),)=0,#N/A,VLOOKUP(A120,'DB Country PMI'!$A:$AZ,MATCH($A$1,'DB Country PMI'!$A$1:$AZ$1,),))</f>
        <v>55.9</v>
      </c>
      <c r="C120" s="24">
        <f>Table134681112141516[[#This Row],[PMI]]-B119</f>
        <v>-2.5</v>
      </c>
    </row>
    <row r="121" spans="1:3" x14ac:dyDescent="0.2">
      <c r="A121" s="10">
        <v>43160</v>
      </c>
      <c r="B121" s="18">
        <f>IF(VLOOKUP(A121,'DB Country PMI'!$A:$AZ,MATCH($A$1,'DB Country PMI'!$A$1:$AZ$1,),)=0,#N/A,VLOOKUP(A121,'DB Country PMI'!$A:$AZ,MATCH($A$1,'DB Country PMI'!$A$1:$AZ$1,),))</f>
        <v>53.7</v>
      </c>
      <c r="C121" s="24">
        <f>Table134681112141516[[#This Row],[PMI]]-B120</f>
        <v>-2.1999999999999957</v>
      </c>
    </row>
    <row r="122" spans="1:3" x14ac:dyDescent="0.2">
      <c r="A122" s="10">
        <v>43191</v>
      </c>
      <c r="B122" s="18">
        <f>IF(VLOOKUP(A122,'DB Country PMI'!$A:$AZ,MATCH($A$1,'DB Country PMI'!$A$1:$AZ$1,),)=0,#N/A,VLOOKUP(A122,'DB Country PMI'!$A:$AZ,MATCH($A$1,'DB Country PMI'!$A$1:$AZ$1,),))</f>
        <v>53.8</v>
      </c>
      <c r="C122" s="24">
        <f>Table134681112141516[[#This Row],[PMI]]-B121</f>
        <v>9.9999999999994316E-2</v>
      </c>
    </row>
    <row r="123" spans="1:3" x14ac:dyDescent="0.2">
      <c r="A123" s="10">
        <v>43221</v>
      </c>
      <c r="B123" s="18">
        <f>IF(VLOOKUP(A123,'DB Country PMI'!$A:$AZ,MATCH($A$1,'DB Country PMI'!$A$1:$AZ$1,),)=0,#N/A,VLOOKUP(A123,'DB Country PMI'!$A:$AZ,MATCH($A$1,'DB Country PMI'!$A$1:$AZ$1,),))</f>
        <v>55.1</v>
      </c>
      <c r="C123" s="24">
        <f>Table134681112141516[[#This Row],[PMI]]-B122</f>
        <v>1.3000000000000043</v>
      </c>
    </row>
    <row r="124" spans="1:3" x14ac:dyDescent="0.2">
      <c r="A124" s="10">
        <v>43252</v>
      </c>
      <c r="B124" s="18">
        <f>IF(VLOOKUP(A124,'DB Country PMI'!$A:$AZ,MATCH($A$1,'DB Country PMI'!$A$1:$AZ$1,),)=0,#N/A,VLOOKUP(A124,'DB Country PMI'!$A:$AZ,MATCH($A$1,'DB Country PMI'!$A$1:$AZ$1,),))</f>
        <v>52.5</v>
      </c>
      <c r="C124" s="24">
        <f>Table134681112141516[[#This Row],[PMI]]-B123</f>
        <v>-2.6000000000000014</v>
      </c>
    </row>
    <row r="125" spans="1:3" x14ac:dyDescent="0.2">
      <c r="A125" s="10">
        <v>43282</v>
      </c>
      <c r="B125" s="18">
        <f>IF(VLOOKUP(A125,'DB Country PMI'!$A:$AZ,MATCH($A$1,'DB Country PMI'!$A$1:$AZ$1,),)=0,#N/A,VLOOKUP(A125,'DB Country PMI'!$A:$AZ,MATCH($A$1,'DB Country PMI'!$A$1:$AZ$1,),))</f>
        <v>53.3</v>
      </c>
      <c r="C125" s="24">
        <f>Table134681112141516[[#This Row],[PMI]]-B124</f>
        <v>0.79999999999999716</v>
      </c>
    </row>
    <row r="126" spans="1:3" x14ac:dyDescent="0.2">
      <c r="A126" s="10">
        <v>43313</v>
      </c>
      <c r="B126" s="18">
        <f>IF(VLOOKUP(A126,'DB Country PMI'!$A:$AZ,MATCH($A$1,'DB Country PMI'!$A$1:$AZ$1,),)=0,#N/A,VLOOKUP(A126,'DB Country PMI'!$A:$AZ,MATCH($A$1,'DB Country PMI'!$A$1:$AZ$1,),))</f>
        <v>53.5</v>
      </c>
      <c r="C126" s="24">
        <f>Table134681112141516[[#This Row],[PMI]]-B125</f>
        <v>0.20000000000000284</v>
      </c>
    </row>
    <row r="127" spans="1:3" x14ac:dyDescent="0.2">
      <c r="A127" s="10">
        <v>43344</v>
      </c>
      <c r="B127" s="18">
        <f>IF(VLOOKUP(A127,'DB Country PMI'!$A:$AZ,MATCH($A$1,'DB Country PMI'!$A$1:$AZ$1,),)=0,#N/A,VLOOKUP(A127,'DB Country PMI'!$A:$AZ,MATCH($A$1,'DB Country PMI'!$A$1:$AZ$1,),))</f>
        <v>52.5</v>
      </c>
      <c r="C127" s="24">
        <f>Table134681112141516[[#This Row],[PMI]]-B126</f>
        <v>-1</v>
      </c>
    </row>
    <row r="128" spans="1:3" x14ac:dyDescent="0.2">
      <c r="A128" s="10">
        <v>43374</v>
      </c>
      <c r="B128" s="18">
        <f>IF(VLOOKUP(A128,'DB Country PMI'!$A:$AZ,MATCH($A$1,'DB Country PMI'!$A$1:$AZ$1,),)=0,#N/A,VLOOKUP(A128,'DB Country PMI'!$A:$AZ,MATCH($A$1,'DB Country PMI'!$A$1:$AZ$1,),))</f>
        <v>51.2</v>
      </c>
      <c r="C128" s="24">
        <f>Table134681112141516[[#This Row],[PMI]]-B127</f>
        <v>-1.2999999999999972</v>
      </c>
    </row>
    <row r="129" spans="1:3" x14ac:dyDescent="0.2">
      <c r="A129" s="10">
        <v>43405</v>
      </c>
      <c r="B129" s="18">
        <f>IF(VLOOKUP(A129,'DB Country PMI'!$A:$AZ,MATCH($A$1,'DB Country PMI'!$A$1:$AZ$1,),)=0,#N/A,VLOOKUP(A129,'DB Country PMI'!$A:$AZ,MATCH($A$1,'DB Country PMI'!$A$1:$AZ$1,),))</f>
        <v>50.8</v>
      </c>
      <c r="C129" s="24">
        <f>Table134681112141516[[#This Row],[PMI]]-B128</f>
        <v>-0.40000000000000568</v>
      </c>
    </row>
    <row r="130" spans="1:3" x14ac:dyDescent="0.2">
      <c r="A130" s="10">
        <v>43435</v>
      </c>
      <c r="B130" s="18">
        <f>IF(VLOOKUP(A130,'DB Country PMI'!$A:$AZ,MATCH($A$1,'DB Country PMI'!$A$1:$AZ$1,),)=0,#N/A,VLOOKUP(A130,'DB Country PMI'!$A:$AZ,MATCH($A$1,'DB Country PMI'!$A$1:$AZ$1,),))</f>
        <v>49.7</v>
      </c>
      <c r="C130" s="24">
        <f>Table134681112141516[[#This Row],[PMI]]-B129</f>
        <v>-1.0999999999999943</v>
      </c>
    </row>
    <row r="131" spans="1:3" x14ac:dyDescent="0.2">
      <c r="A131" s="10">
        <v>43466</v>
      </c>
      <c r="B131" s="18">
        <f>IF(VLOOKUP(A131,'DB Country PMI'!$A:$AZ,MATCH($A$1,'DB Country PMI'!$A$1:$AZ$1,),)=0,#N/A,VLOOKUP(A131,'DB Country PMI'!$A:$AZ,MATCH($A$1,'DB Country PMI'!$A$1:$AZ$1,),))</f>
        <v>51.2</v>
      </c>
      <c r="C131" s="24">
        <f>Table134681112141516[[#This Row],[PMI]]-B130</f>
        <v>1.5</v>
      </c>
    </row>
    <row r="132" spans="1:3" x14ac:dyDescent="0.2">
      <c r="A132" s="10">
        <v>43497</v>
      </c>
      <c r="B132" s="18">
        <f>IF(VLOOKUP(A132,'DB Country PMI'!$A:$AZ,MATCH($A$1,'DB Country PMI'!$A$1:$AZ$1,),)=0,#N/A,VLOOKUP(A132,'DB Country PMI'!$A:$AZ,MATCH($A$1,'DB Country PMI'!$A$1:$AZ$1,),))</f>
        <v>51.5</v>
      </c>
      <c r="C132" s="24">
        <f>Table134681112141516[[#This Row],[PMI]]-B131</f>
        <v>0.29999999999999716</v>
      </c>
    </row>
    <row r="133" spans="1:3" x14ac:dyDescent="0.2">
      <c r="A133" s="10">
        <v>43525</v>
      </c>
      <c r="B133" s="18">
        <f>IF(VLOOKUP(A133,'DB Country PMI'!$A:$AZ,MATCH($A$1,'DB Country PMI'!$A$1:$AZ$1,),)=0,#N/A,VLOOKUP(A133,'DB Country PMI'!$A:$AZ,MATCH($A$1,'DB Country PMI'!$A$1:$AZ$1,),))</f>
        <v>49.7</v>
      </c>
      <c r="C133" s="24">
        <f>Table134681112141516[[#This Row],[PMI]]-B132</f>
        <v>-1.7999999999999972</v>
      </c>
    </row>
    <row r="134" spans="1:3" x14ac:dyDescent="0.2">
      <c r="A134" s="10">
        <v>43556</v>
      </c>
      <c r="B134" s="18">
        <f>IF(VLOOKUP(A134,'DB Country PMI'!$A:$AZ,MATCH($A$1,'DB Country PMI'!$A$1:$AZ$1,),)=0,#N/A,VLOOKUP(A134,'DB Country PMI'!$A:$AZ,MATCH($A$1,'DB Country PMI'!$A$1:$AZ$1,),))</f>
        <v>50</v>
      </c>
      <c r="C134" s="24">
        <f>Table134681112141516[[#This Row],[PMI]]-B133</f>
        <v>0.29999999999999716</v>
      </c>
    </row>
    <row r="135" spans="1:3" x14ac:dyDescent="0.2">
      <c r="A135" s="10">
        <v>43586</v>
      </c>
      <c r="B135" s="18">
        <f>IF(VLOOKUP(A135,'DB Country PMI'!$A:$AZ,MATCH($A$1,'DB Country PMI'!$A$1:$AZ$1,),)=0,#N/A,VLOOKUP(A135,'DB Country PMI'!$A:$AZ,MATCH($A$1,'DB Country PMI'!$A$1:$AZ$1,),))</f>
        <v>50.6</v>
      </c>
      <c r="C135" s="24">
        <f>Table134681112141516[[#This Row],[PMI]]-B134</f>
        <v>0.60000000000000142</v>
      </c>
    </row>
    <row r="136" spans="1:3" x14ac:dyDescent="0.2">
      <c r="A136" s="10">
        <v>43617</v>
      </c>
      <c r="B136" s="18">
        <f>IF(VLOOKUP(A136,'DB Country PMI'!$A:$AZ,MATCH($A$1,'DB Country PMI'!$A$1:$AZ$1,),)=0,#N/A,VLOOKUP(A136,'DB Country PMI'!$A:$AZ,MATCH($A$1,'DB Country PMI'!$A$1:$AZ$1,),))</f>
        <v>51.9</v>
      </c>
      <c r="C136" s="24">
        <f>Table134681112141516[[#This Row],[PMI]]-B135</f>
        <v>1.2999999999999972</v>
      </c>
    </row>
    <row r="137" spans="1:3" x14ac:dyDescent="0.2">
      <c r="A137" s="10">
        <v>43647</v>
      </c>
      <c r="B137" s="18">
        <f>IF(VLOOKUP(A137,'DB Country PMI'!$A:$AZ,MATCH($A$1,'DB Country PMI'!$A$1:$AZ$1,),)=0,#N/A,VLOOKUP(A137,'DB Country PMI'!$A:$AZ,MATCH($A$1,'DB Country PMI'!$A$1:$AZ$1,),))</f>
        <v>49.7</v>
      </c>
      <c r="C137" s="24">
        <f>Table134681112141516[[#This Row],[PMI]]-B136</f>
        <v>-2.1999999999999957</v>
      </c>
    </row>
    <row r="138" spans="1:3" x14ac:dyDescent="0.2">
      <c r="A138" s="10">
        <v>43678</v>
      </c>
      <c r="B138" s="18">
        <f>IF(VLOOKUP(A138,'DB Country PMI'!$A:$AZ,MATCH($A$1,'DB Country PMI'!$A$1:$AZ$1,),)=0,#N/A,VLOOKUP(A138,'DB Country PMI'!$A:$AZ,MATCH($A$1,'DB Country PMI'!$A$1:$AZ$1,),))</f>
        <v>51.1</v>
      </c>
      <c r="C138" s="24">
        <f>Table134681112141516[[#This Row],[PMI]]-B137</f>
        <v>1.3999999999999986</v>
      </c>
    </row>
    <row r="139" spans="1:3" x14ac:dyDescent="0.2">
      <c r="A139" s="10">
        <v>43709</v>
      </c>
      <c r="B139" s="18">
        <f>IF(VLOOKUP(A139,'DB Country PMI'!$A:$AZ,MATCH($A$1,'DB Country PMI'!$A$1:$AZ$1,),)=0,#N/A,VLOOKUP(A139,'DB Country PMI'!$A:$AZ,MATCH($A$1,'DB Country PMI'!$A$1:$AZ$1,),))</f>
        <v>50.1</v>
      </c>
      <c r="C139" s="24">
        <f>Table134681112141516[[#This Row],[PMI]]-B138</f>
        <v>-1</v>
      </c>
    </row>
    <row r="140" spans="1:3" x14ac:dyDescent="0.2">
      <c r="A140" s="10">
        <v>43739</v>
      </c>
      <c r="B140" s="18">
        <f>IF(VLOOKUP(A140,'DB Country PMI'!$A:$AZ,MATCH($A$1,'DB Country PMI'!$A$1:$AZ$1,),)=0,#N/A,VLOOKUP(A140,'DB Country PMI'!$A:$AZ,MATCH($A$1,'DB Country PMI'!$A$1:$AZ$1,),))</f>
        <v>50.7</v>
      </c>
      <c r="C140" s="24">
        <f>Table134681112141516[[#This Row],[PMI]]-B139</f>
        <v>0.60000000000000142</v>
      </c>
    </row>
    <row r="141" spans="1:3" x14ac:dyDescent="0.2">
      <c r="A141" s="10">
        <v>43770</v>
      </c>
      <c r="B141" s="18">
        <f>IF(VLOOKUP(A141,'DB Country PMI'!$A:$AZ,MATCH($A$1,'DB Country PMI'!$A$1:$AZ$1,),)=0,#N/A,VLOOKUP(A141,'DB Country PMI'!$A:$AZ,MATCH($A$1,'DB Country PMI'!$A$1:$AZ$1,),))</f>
        <v>51.7</v>
      </c>
      <c r="C141" s="24">
        <f>Table134681112141516[[#This Row],[PMI]]-B140</f>
        <v>1</v>
      </c>
    </row>
    <row r="142" spans="1:3" x14ac:dyDescent="0.2">
      <c r="A142" s="10">
        <v>43800</v>
      </c>
      <c r="B142" s="18">
        <f>IF(VLOOKUP(A142,'DB Country PMI'!$A:$AZ,MATCH($A$1,'DB Country PMI'!$A$1:$AZ$1,),)=0,#N/A,VLOOKUP(A142,'DB Country PMI'!$A:$AZ,MATCH($A$1,'DB Country PMI'!$A$1:$AZ$1,),))</f>
        <v>50.4</v>
      </c>
      <c r="C142" s="24">
        <f>Table134681112141516[[#This Row],[PMI]]-B141</f>
        <v>-1.3000000000000043</v>
      </c>
    </row>
    <row r="143" spans="1:3" x14ac:dyDescent="0.2">
      <c r="A143" s="10">
        <v>43831</v>
      </c>
      <c r="B143" s="18">
        <f>IF(VLOOKUP(A143,'DB Country PMI'!$A:$AZ,MATCH($A$1,'DB Country PMI'!$A$1:$AZ$1,),)=0,#N/A,VLOOKUP(A143,'DB Country PMI'!$A:$AZ,MATCH($A$1,'DB Country PMI'!$A$1:$AZ$1,),))</f>
        <v>51.1</v>
      </c>
      <c r="C143" s="24">
        <f>Table134681112141516[[#This Row],[PMI]]-B142</f>
        <v>0.70000000000000284</v>
      </c>
    </row>
    <row r="144" spans="1:3" x14ac:dyDescent="0.2">
      <c r="A144" s="10">
        <v>43862</v>
      </c>
      <c r="B144" s="18">
        <f>IF(VLOOKUP(A144,'DB Country PMI'!$A:$AZ,MATCH($A$1,'DB Country PMI'!$A$1:$AZ$1,),)=0,#N/A,VLOOKUP(A144,'DB Country PMI'!$A:$AZ,MATCH($A$1,'DB Country PMI'!$A$1:$AZ$1,),))</f>
        <v>49.8</v>
      </c>
      <c r="C144" s="24">
        <f>Table134681112141516[[#This Row],[PMI]]-B143</f>
        <v>-1.3000000000000043</v>
      </c>
    </row>
    <row r="145" spans="1:3" x14ac:dyDescent="0.2">
      <c r="A145" s="10">
        <v>43891</v>
      </c>
      <c r="B145" s="18">
        <f>IF(VLOOKUP(A145,'DB Country PMI'!$A:$AZ,MATCH($A$1,'DB Country PMI'!$A$1:$AZ$1,),)=0,#N/A,VLOOKUP(A145,'DB Country PMI'!$A:$AZ,MATCH($A$1,'DB Country PMI'!$A$1:$AZ$1,),))</f>
        <v>43.2</v>
      </c>
      <c r="C145" s="24">
        <f>Table134681112141516[[#This Row],[PMI]]-B144</f>
        <v>-6.5999999999999943</v>
      </c>
    </row>
    <row r="146" spans="1:3" x14ac:dyDescent="0.2">
      <c r="A146" s="10">
        <v>43922</v>
      </c>
      <c r="B146" s="18">
        <f>IF(VLOOKUP(A146,'DB Country PMI'!$A:$AZ,MATCH($A$1,'DB Country PMI'!$A$1:$AZ$1,),)=0,#N/A,VLOOKUP(A146,'DB Country PMI'!$A:$AZ,MATCH($A$1,'DB Country PMI'!$A$1:$AZ$1,),))</f>
        <v>31.5</v>
      </c>
      <c r="C146" s="24">
        <f>Table134681112141516[[#This Row],[PMI]]-B145</f>
        <v>-11.700000000000003</v>
      </c>
    </row>
    <row r="147" spans="1:3" x14ac:dyDescent="0.2">
      <c r="A147" s="10">
        <v>43952</v>
      </c>
      <c r="B147" s="18">
        <f>IF(VLOOKUP(A147,'DB Country PMI'!$A:$AZ,MATCH($A$1,'DB Country PMI'!$A$1:$AZ$1,),)=0,#N/A,VLOOKUP(A147,'DB Country PMI'!$A:$AZ,MATCH($A$1,'DB Country PMI'!$A$1:$AZ$1,),))</f>
        <v>40.6</v>
      </c>
      <c r="C147" s="24">
        <f>Table134681112141516[[#This Row],[PMI]]-B146</f>
        <v>9.1000000000000014</v>
      </c>
    </row>
    <row r="148" spans="1:3" x14ac:dyDescent="0.2">
      <c r="A148" s="10">
        <v>43983</v>
      </c>
      <c r="B148" s="18">
        <f>IF(VLOOKUP(A148,'DB Country PMI'!$A:$AZ,MATCH($A$1,'DB Country PMI'!$A$1:$AZ$1,),)=0,#N/A,VLOOKUP(A148,'DB Country PMI'!$A:$AZ,MATCH($A$1,'DB Country PMI'!$A$1:$AZ$1,),))</f>
        <v>52.3</v>
      </c>
      <c r="C148" s="24">
        <f>Table134681112141516[[#This Row],[PMI]]-B147</f>
        <v>11.699999999999996</v>
      </c>
    </row>
    <row r="149" spans="1:3" x14ac:dyDescent="0.2">
      <c r="A149" s="10">
        <v>44013</v>
      </c>
      <c r="B149" s="18">
        <f>IF(VLOOKUP(A149,'DB Country PMI'!$A:$AZ,MATCH($A$1,'DB Country PMI'!$A$1:$AZ$1,),)=0,#N/A,VLOOKUP(A149,'DB Country PMI'!$A:$AZ,MATCH($A$1,'DB Country PMI'!$A$1:$AZ$1,),))</f>
        <v>52.4</v>
      </c>
      <c r="C149" s="24">
        <f>Table134681112141516[[#This Row],[PMI]]-B148</f>
        <v>0.10000000000000142</v>
      </c>
    </row>
    <row r="150" spans="1:3" x14ac:dyDescent="0.2">
      <c r="A150" s="10">
        <v>44044</v>
      </c>
      <c r="B150" s="18">
        <f>IF(VLOOKUP(A150,'DB Country PMI'!$A:$AZ,MATCH($A$1,'DB Country PMI'!$A$1:$AZ$1,),)=0,#N/A,VLOOKUP(A150,'DB Country PMI'!$A:$AZ,MATCH($A$1,'DB Country PMI'!$A$1:$AZ$1,),))</f>
        <v>49.8</v>
      </c>
      <c r="C150" s="24">
        <f>Table134681112141516[[#This Row],[PMI]]-B149</f>
        <v>-2.6000000000000014</v>
      </c>
    </row>
    <row r="151" spans="1:3" x14ac:dyDescent="0.2">
      <c r="A151" s="10">
        <v>44075</v>
      </c>
      <c r="B151" s="18">
        <f>IF(VLOOKUP(A151,'DB Country PMI'!$A:$AZ,MATCH($A$1,'DB Country PMI'!$A$1:$AZ$1,),)=0,#N/A,VLOOKUP(A151,'DB Country PMI'!$A:$AZ,MATCH($A$1,'DB Country PMI'!$A$1:$AZ$1,),))</f>
        <v>51.2</v>
      </c>
      <c r="C151" s="24">
        <f>Table134681112141516[[#This Row],[PMI]]-B150</f>
        <v>1.4000000000000057</v>
      </c>
    </row>
    <row r="152" spans="1:3" x14ac:dyDescent="0.2">
      <c r="A152" s="10">
        <v>44105</v>
      </c>
      <c r="B152" s="18">
        <f>IF(VLOOKUP(A152,'DB Country PMI'!$A:$AZ,MATCH($A$1,'DB Country PMI'!$A$1:$AZ$1,),)=0,#N/A,VLOOKUP(A152,'DB Country PMI'!$A:$AZ,MATCH($A$1,'DB Country PMI'!$A$1:$AZ$1,),))</f>
        <v>51.3</v>
      </c>
      <c r="C152" s="24">
        <f>Table134681112141516[[#This Row],[PMI]]-B151</f>
        <v>9.9999999999994316E-2</v>
      </c>
    </row>
    <row r="153" spans="1:3" x14ac:dyDescent="0.2">
      <c r="A153" s="10">
        <v>44136</v>
      </c>
      <c r="B153" s="18">
        <f>IF(VLOOKUP(A153,'DB Country PMI'!$A:$AZ,MATCH($A$1,'DB Country PMI'!$A$1:$AZ$1,),)=0,#N/A,VLOOKUP(A153,'DB Country PMI'!$A:$AZ,MATCH($A$1,'DB Country PMI'!$A$1:$AZ$1,),))</f>
        <v>49.6</v>
      </c>
      <c r="C153" s="24">
        <f>Table134681112141516[[#This Row],[PMI]]-B152</f>
        <v>-1.6999999999999957</v>
      </c>
    </row>
    <row r="154" spans="1:3" x14ac:dyDescent="0.2">
      <c r="A154" s="10">
        <v>44166</v>
      </c>
      <c r="B154" s="18">
        <f>IF(VLOOKUP(A154,'DB Country PMI'!$A:$AZ,MATCH($A$1,'DB Country PMI'!$A$1:$AZ$1,),)=0,#N/A,VLOOKUP(A154,'DB Country PMI'!$A:$AZ,MATCH($A$1,'DB Country PMI'!$A$1:$AZ$1,),))</f>
        <v>51.1</v>
      </c>
      <c r="C154" s="24">
        <f>Table134681112141516[[#This Row],[PMI]]-B153</f>
        <v>1.5</v>
      </c>
    </row>
    <row r="155" spans="1:3" x14ac:dyDescent="0.2">
      <c r="A155" s="10">
        <v>44197</v>
      </c>
      <c r="B155" s="18">
        <f>IF(VLOOKUP(A155,'DB Country PMI'!$A:$AZ,MATCH($A$1,'DB Country PMI'!$A$1:$AZ$1,),)=0,#N/A,VLOOKUP(A155,'DB Country PMI'!$A:$AZ,MATCH($A$1,'DB Country PMI'!$A$1:$AZ$1,),))</f>
        <v>51.6</v>
      </c>
      <c r="C155" s="24">
        <f>Table134681112141516[[#This Row],[PMI]]-B154</f>
        <v>0.5</v>
      </c>
    </row>
    <row r="156" spans="1:3" x14ac:dyDescent="0.2">
      <c r="A156" s="10">
        <v>44228</v>
      </c>
      <c r="B156" s="18">
        <f>IF(VLOOKUP(A156,'DB Country PMI'!$A:$AZ,MATCH($A$1,'DB Country PMI'!$A$1:$AZ$1,),)=0,#N/A,VLOOKUP(A156,'DB Country PMI'!$A:$AZ,MATCH($A$1,'DB Country PMI'!$A$1:$AZ$1,),))</f>
        <v>56.1</v>
      </c>
      <c r="C156" s="24">
        <f>Table134681112141516[[#This Row],[PMI]]-B155</f>
        <v>4.5</v>
      </c>
    </row>
    <row r="157" spans="1:3" x14ac:dyDescent="0.2">
      <c r="A157" s="10">
        <v>44256</v>
      </c>
      <c r="B157" s="18">
        <f>IF(VLOOKUP(A157,'DB Country PMI'!$A:$AZ,MATCH($A$1,'DB Country PMI'!$A$1:$AZ$1,),)=0,#N/A,VLOOKUP(A157,'DB Country PMI'!$A:$AZ,MATCH($A$1,'DB Country PMI'!$A$1:$AZ$1,),))</f>
        <v>59.3</v>
      </c>
      <c r="C157" s="24">
        <f>Table134681112141516[[#This Row],[PMI]]-B156</f>
        <v>3.1999999999999957</v>
      </c>
    </row>
    <row r="158" spans="1:3" x14ac:dyDescent="0.2">
      <c r="A158" s="10">
        <v>44287</v>
      </c>
      <c r="B158" s="18">
        <f>IF(VLOOKUP(A158,'DB Country PMI'!$A:$AZ,MATCH($A$1,'DB Country PMI'!$A$1:$AZ$1,),)=0,#N/A,VLOOKUP(A158,'DB Country PMI'!$A:$AZ,MATCH($A$1,'DB Country PMI'!$A$1:$AZ$1,),))</f>
        <v>58.9</v>
      </c>
      <c r="C158" s="24">
        <f>Table134681112141516[[#This Row],[PMI]]-B157</f>
        <v>-0.39999999999999858</v>
      </c>
    </row>
    <row r="159" spans="1:3" x14ac:dyDescent="0.2">
      <c r="A159" s="10">
        <v>44317</v>
      </c>
      <c r="B159" s="18">
        <f>IF(VLOOKUP(A159,'DB Country PMI'!$A:$AZ,MATCH($A$1,'DB Country PMI'!$A$1:$AZ$1,),)=0,#N/A,VLOOKUP(A159,'DB Country PMI'!$A:$AZ,MATCH($A$1,'DB Country PMI'!$A$1:$AZ$1,),))</f>
        <v>59.4</v>
      </c>
      <c r="C159" s="24">
        <f>Table134681112141516[[#This Row],[PMI]]-B158</f>
        <v>0.5</v>
      </c>
    </row>
    <row r="160" spans="1:3" x14ac:dyDescent="0.2">
      <c r="A160" s="10">
        <v>44348</v>
      </c>
      <c r="B160" s="18">
        <f>IF(VLOOKUP(A160,'DB Country PMI'!$A:$AZ,MATCH($A$1,'DB Country PMI'!$A$1:$AZ$1,),)=0,#N/A,VLOOKUP(A160,'DB Country PMI'!$A:$AZ,MATCH($A$1,'DB Country PMI'!$A$1:$AZ$1,),))</f>
        <v>59</v>
      </c>
      <c r="C160" s="24">
        <f>Table134681112141516[[#This Row],[PMI]]-B159</f>
        <v>-0.39999999999999858</v>
      </c>
    </row>
    <row r="161" spans="1:3" x14ac:dyDescent="0.2">
      <c r="A161" s="10">
        <v>44378</v>
      </c>
      <c r="B161" s="18">
        <f>IF(VLOOKUP(A161,'DB Country PMI'!$A:$AZ,MATCH($A$1,'DB Country PMI'!$A$1:$AZ$1,),)=0,#N/A,VLOOKUP(A161,'DB Country PMI'!$A:$AZ,MATCH($A$1,'DB Country PMI'!$A$1:$AZ$1,),))</f>
        <v>58</v>
      </c>
      <c r="C161" s="24">
        <f>Table134681112141516[[#This Row],[PMI]]-B160</f>
        <v>-1</v>
      </c>
    </row>
    <row r="162" spans="1:3" x14ac:dyDescent="0.2">
      <c r="A162" s="10">
        <v>44409</v>
      </c>
      <c r="B162" s="18">
        <f>IF(VLOOKUP(A162,'DB Country PMI'!$A:$AZ,MATCH($A$1,'DB Country PMI'!$A$1:$AZ$1,),)=0,#N/A,VLOOKUP(A162,'DB Country PMI'!$A:$AZ,MATCH($A$1,'DB Country PMI'!$A$1:$AZ$1,),))</f>
        <v>57.5</v>
      </c>
      <c r="C162" s="24">
        <f>Table134681112141516[[#This Row],[PMI]]-B161</f>
        <v>-0.5</v>
      </c>
    </row>
    <row r="163" spans="1:3" x14ac:dyDescent="0.2">
      <c r="A163" s="10">
        <v>44440</v>
      </c>
      <c r="B163" s="18">
        <f>IF(VLOOKUP(A163,'DB Country PMI'!$A:$AZ,MATCH($A$1,'DB Country PMI'!$A$1:$AZ$1,),)=0,#N/A,VLOOKUP(A163,'DB Country PMI'!$A:$AZ,MATCH($A$1,'DB Country PMI'!$A$1:$AZ$1,),))</f>
        <v>55</v>
      </c>
      <c r="C163" s="24">
        <f>Table134681112141516[[#This Row],[PMI]]-B162</f>
        <v>-2.5</v>
      </c>
    </row>
    <row r="164" spans="1:3" x14ac:dyDescent="0.2">
      <c r="A164" s="10">
        <v>44470</v>
      </c>
      <c r="B164" s="18">
        <f>IF(VLOOKUP(A164,'DB Country PMI'!$A:$AZ,MATCH($A$1,'DB Country PMI'!$A$1:$AZ$1,),)=0,#N/A,VLOOKUP(A164,'DB Country PMI'!$A:$AZ,MATCH($A$1,'DB Country PMI'!$A$1:$AZ$1,),))</f>
        <v>53.6</v>
      </c>
      <c r="C164" s="24">
        <f>Table134681112141516[[#This Row],[PMI]]-B163</f>
        <v>-1.3999999999999986</v>
      </c>
    </row>
    <row r="165" spans="1:3" x14ac:dyDescent="0.2">
      <c r="A165" s="10">
        <v>44501</v>
      </c>
      <c r="B165" s="18">
        <f>IF(VLOOKUP(A165,'DB Country PMI'!$A:$AZ,MATCH($A$1,'DB Country PMI'!$A$1:$AZ$1,),)=0,#N/A,VLOOKUP(A165,'DB Country PMI'!$A:$AZ,MATCH($A$1,'DB Country PMI'!$A$1:$AZ$1,),))</f>
        <v>55.9</v>
      </c>
      <c r="C165" s="24">
        <f>Table134681112141516[[#This Row],[PMI]]-B164</f>
        <v>2.2999999999999972</v>
      </c>
    </row>
    <row r="166" spans="1:3" x14ac:dyDescent="0.2">
      <c r="A166" s="10">
        <v>44531</v>
      </c>
      <c r="B166" s="18">
        <f>IF(VLOOKUP(A166,'DB Country PMI'!$A:$AZ,MATCH($A$1,'DB Country PMI'!$A$1:$AZ$1,),)=0,#N/A,VLOOKUP(A166,'DB Country PMI'!$A:$AZ,MATCH($A$1,'DB Country PMI'!$A$1:$AZ$1,),))</f>
        <v>55.6</v>
      </c>
      <c r="C166" s="24">
        <f>Table134681112141516[[#This Row],[PMI]]-B165</f>
        <v>-0.29999999999999716</v>
      </c>
    </row>
    <row r="167" spans="1:3" x14ac:dyDescent="0.2">
      <c r="A167" s="10">
        <v>44562</v>
      </c>
      <c r="B167" s="18">
        <f>IF(VLOOKUP(A167,'DB Country PMI'!$A:$AZ,MATCH($A$1,'DB Country PMI'!$A$1:$AZ$1,),)=0,#N/A,VLOOKUP(A167,'DB Country PMI'!$A:$AZ,MATCH($A$1,'DB Country PMI'!$A$1:$AZ$1,),))</f>
        <v>55.5</v>
      </c>
      <c r="C167" s="24">
        <f>Table134681112141516[[#This Row],[PMI]]-B166</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67">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11"/>
  <sheetViews>
    <sheetView zoomScale="150" zoomScaleNormal="150" workbookViewId="0">
      <pane ySplit="5" topLeftCell="A174" activePane="bottomLeft" state="frozen"/>
      <selection activeCell="P121" sqref="P121"/>
      <selection pane="bottomLeft" activeCell="Y183" sqref="Y183"/>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77</v>
      </c>
      <c r="K1" s="63" t="s">
        <v>107</v>
      </c>
    </row>
    <row r="2" spans="1:11" x14ac:dyDescent="0.2">
      <c r="K2" s="63" t="str">
        <f>A1&amp;K1</f>
        <v>United Kingdom Manufacturing PMI</v>
      </c>
    </row>
    <row r="4" spans="1:11" ht="16" customHeight="1" thickBot="1" x14ac:dyDescent="0.25"/>
    <row r="5" spans="1:11" ht="16" customHeight="1" thickBot="1" x14ac:dyDescent="0.25">
      <c r="A5" s="21" t="s">
        <v>44</v>
      </c>
      <c r="B5" s="22" t="s">
        <v>103</v>
      </c>
      <c r="C5" s="22" t="s">
        <v>104</v>
      </c>
      <c r="D5" s="25" t="s">
        <v>83</v>
      </c>
      <c r="E5" s="25" t="s">
        <v>105</v>
      </c>
      <c r="F5" s="25" t="s">
        <v>117</v>
      </c>
    </row>
    <row r="6" spans="1:11" x14ac:dyDescent="0.2">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18.609273910522461</v>
      </c>
      <c r="E6" s="24"/>
      <c r="F6" s="24"/>
    </row>
    <row r="7" spans="1:11" x14ac:dyDescent="0.2">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18.507076263427731</v>
      </c>
      <c r="E7" s="24"/>
      <c r="F7" s="24"/>
    </row>
    <row r="8" spans="1:11" x14ac:dyDescent="0.2">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19.482236862182621</v>
      </c>
      <c r="E8" s="24"/>
      <c r="F8" s="24"/>
    </row>
    <row r="9" spans="1:11" x14ac:dyDescent="0.2">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19.010391235351559</v>
      </c>
      <c r="E9" s="24"/>
      <c r="F9" s="24"/>
    </row>
    <row r="10" spans="1:11" x14ac:dyDescent="0.2">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18.77970123291016</v>
      </c>
      <c r="E10" s="24"/>
      <c r="F10" s="24"/>
    </row>
    <row r="11" spans="1:11" x14ac:dyDescent="0.2">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18.632902145385739</v>
      </c>
      <c r="E11" s="24"/>
      <c r="F11" s="24"/>
    </row>
    <row r="12" spans="1:11" x14ac:dyDescent="0.2">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18.842617034912109</v>
      </c>
      <c r="E12" s="24"/>
      <c r="F12" s="24"/>
    </row>
    <row r="13" spans="1:11" x14ac:dyDescent="0.2">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18.97892951965332</v>
      </c>
      <c r="E13" s="24"/>
      <c r="F13" s="24"/>
    </row>
    <row r="14" spans="1:11" x14ac:dyDescent="0.2">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19.733892440795898</v>
      </c>
      <c r="E14" s="24"/>
      <c r="F14" s="24"/>
    </row>
    <row r="15" spans="1:11" x14ac:dyDescent="0.2">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19.880691528320309</v>
      </c>
      <c r="E15" s="24"/>
      <c r="F15" s="24"/>
    </row>
    <row r="16" spans="1:11" x14ac:dyDescent="0.2">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19.39835166931152</v>
      </c>
      <c r="E16" s="24"/>
      <c r="F16" s="24"/>
    </row>
    <row r="17" spans="1:6" x14ac:dyDescent="0.2">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19.429815292358398</v>
      </c>
      <c r="E17" s="24"/>
      <c r="F17" s="24"/>
    </row>
    <row r="18" spans="1:6" x14ac:dyDescent="0.2">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19.482236862182621</v>
      </c>
      <c r="E18" s="24">
        <f>Table134681112[[#This Row],[PMI]]-B6</f>
        <v>-2.6000000000000014</v>
      </c>
      <c r="F18" s="52">
        <f>(Table134681112[[#This Row],[EWU]]-D6)/D6</f>
        <v>4.6910102772282268E-2</v>
      </c>
    </row>
    <row r="19" spans="1:6" x14ac:dyDescent="0.2">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21.306640625</v>
      </c>
      <c r="E19" s="24">
        <f>Table134681112[[#This Row],[PMI]]-B7</f>
        <v>-9.9999999999994316E-2</v>
      </c>
      <c r="F19" s="52">
        <f>(Table134681112[[#This Row],[EWU]]-D7)/D7</f>
        <v>0.15126994246544248</v>
      </c>
    </row>
    <row r="20" spans="1:6" x14ac:dyDescent="0.2">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21.18773078918457</v>
      </c>
      <c r="E20" s="24">
        <f>Table134681112[[#This Row],[PMI]]-B8</f>
        <v>-9.9999999999994316E-2</v>
      </c>
      <c r="F20" s="52">
        <f>(Table134681112[[#This Row],[EWU]]-D8)/D8</f>
        <v>8.7540970734860515E-2</v>
      </c>
    </row>
    <row r="21" spans="1:6" x14ac:dyDescent="0.2">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21.793092727661129</v>
      </c>
      <c r="E21" s="24">
        <f>Table134681112[[#This Row],[PMI]]-B9</f>
        <v>-1.2000000000000028</v>
      </c>
      <c r="F21" s="52">
        <f>(Table134681112[[#This Row],[EWU]]-D9)/D9</f>
        <v>0.14637791815325099</v>
      </c>
    </row>
    <row r="22" spans="1:6" x14ac:dyDescent="0.2">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23.187593460083011</v>
      </c>
      <c r="E22" s="24">
        <f>Table134681112[[#This Row],[PMI]]-B10</f>
        <v>4.6000000000000014</v>
      </c>
      <c r="F22" s="52">
        <f>(Table134681112[[#This Row],[EWU]]-D10)/D10</f>
        <v>0.23471578021956588</v>
      </c>
    </row>
    <row r="23" spans="1:6" x14ac:dyDescent="0.2">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22.571416854858398</v>
      </c>
      <c r="E23" s="24">
        <f>Table134681112[[#This Row],[PMI]]-B11</f>
        <v>5.9000000000000057</v>
      </c>
      <c r="F23" s="52">
        <f>(Table134681112[[#This Row],[EWU]]-D11)/D11</f>
        <v>0.2113741959648511</v>
      </c>
    </row>
    <row r="24" spans="1:6" x14ac:dyDescent="0.2">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22.75518798828125</v>
      </c>
      <c r="E24" s="24">
        <f>Table134681112[[#This Row],[PMI]]-B12</f>
        <v>5.5</v>
      </c>
      <c r="F24" s="52">
        <f>(Table134681112[[#This Row],[EWU]]-D12)/D12</f>
        <v>0.20764477387190025</v>
      </c>
    </row>
    <row r="25" spans="1:6" x14ac:dyDescent="0.2">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23.349746704101559</v>
      </c>
      <c r="E25" s="24">
        <f>Table134681112[[#This Row],[PMI]]-B13</f>
        <v>4.5999999999999943</v>
      </c>
      <c r="F25" s="52">
        <f>(Table134681112[[#This Row],[EWU]]-D13)/D13</f>
        <v>0.23029840433951296</v>
      </c>
    </row>
    <row r="26" spans="1:6" x14ac:dyDescent="0.2">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23.85781288146973</v>
      </c>
      <c r="E26" s="24">
        <f>Table134681112[[#This Row],[PMI]]-B14</f>
        <v>3</v>
      </c>
      <c r="F26" s="52">
        <f>(Table134681112[[#This Row],[EWU]]-D14)/D14</f>
        <v>0.20897653380072378</v>
      </c>
    </row>
    <row r="27" spans="1:6" x14ac:dyDescent="0.2">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23.66323280334473</v>
      </c>
      <c r="E27" s="24">
        <f>Table134681112[[#This Row],[PMI]]-B15</f>
        <v>2.8999999999999986</v>
      </c>
      <c r="F27" s="52">
        <f>(Table134681112[[#This Row],[EWU]]-D15)/D15</f>
        <v>0.19026205751626601</v>
      </c>
    </row>
    <row r="28" spans="1:6" x14ac:dyDescent="0.2">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24.755058288574219</v>
      </c>
      <c r="E28" s="24">
        <f>Table134681112[[#This Row],[PMI]]-B16</f>
        <v>2</v>
      </c>
      <c r="F28" s="52">
        <f>(Table134681112[[#This Row],[EWU]]-D16)/D16</f>
        <v>0.276142360473704</v>
      </c>
    </row>
    <row r="29" spans="1:6" x14ac:dyDescent="0.2">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25.457708358764648</v>
      </c>
      <c r="E29" s="24">
        <f>Table134681112[[#This Row],[PMI]]-B17</f>
        <v>2.6000000000000014</v>
      </c>
      <c r="F29" s="52">
        <f>(Table134681112[[#This Row],[EWU]]-D17)/D17</f>
        <v>0.31023933968003164</v>
      </c>
    </row>
    <row r="30" spans="1:6" x14ac:dyDescent="0.2">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25.306367874145511</v>
      </c>
      <c r="E30" s="24">
        <f>Table134681112[[#This Row],[PMI]]-B18</f>
        <v>0.79999999999999716</v>
      </c>
      <c r="F30" s="52">
        <f>(Table134681112[[#This Row],[EWU]]-D18)/D18</f>
        <v>0.29894570388209546</v>
      </c>
    </row>
    <row r="31" spans="1:6" x14ac:dyDescent="0.2">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26.362041473388668</v>
      </c>
      <c r="E31" s="24">
        <f>Table134681112[[#This Row],[PMI]]-B19</f>
        <v>1.0999999999999943</v>
      </c>
      <c r="F31" s="52">
        <f>(Table134681112[[#This Row],[EWU]]-D19)/D19</f>
        <v>0.23726879039096144</v>
      </c>
    </row>
    <row r="32" spans="1:6" x14ac:dyDescent="0.2">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25.9705810546875</v>
      </c>
      <c r="E32" s="24">
        <f>Table134681112[[#This Row],[PMI]]-B20</f>
        <v>3.6999999999999957</v>
      </c>
      <c r="F32" s="52">
        <f>(Table134681112[[#This Row],[EWU]]-D20)/D20</f>
        <v>0.22573678668526267</v>
      </c>
    </row>
    <row r="33" spans="1:6" x14ac:dyDescent="0.2">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26.921272277832031</v>
      </c>
      <c r="E33" s="24">
        <f>Table134681112[[#This Row],[PMI]]-B21</f>
        <v>3.6000000000000014</v>
      </c>
      <c r="F33" s="52">
        <f>(Table134681112[[#This Row],[EWU]]-D21)/D21</f>
        <v>0.23531215207752051</v>
      </c>
    </row>
    <row r="34" spans="1:6" x14ac:dyDescent="0.2">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27.793672561645511</v>
      </c>
      <c r="E34" s="24">
        <f>Table134681112[[#This Row],[PMI]]-B22</f>
        <v>-0.20000000000000284</v>
      </c>
      <c r="F34" s="52">
        <f>(Table134681112[[#This Row],[EWU]]-D22)/D22</f>
        <v>0.19864412016243838</v>
      </c>
    </row>
    <row r="35" spans="1:6" x14ac:dyDescent="0.2">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28.38644981384277</v>
      </c>
      <c r="E35" s="24">
        <f>Table134681112[[#This Row],[PMI]]-B23</f>
        <v>1.6999999999999957</v>
      </c>
      <c r="F35" s="52">
        <f>(Table134681112[[#This Row],[EWU]]-D23)/D23</f>
        <v>0.25762817621848633</v>
      </c>
    </row>
    <row r="36" spans="1:6" x14ac:dyDescent="0.2">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28.576595306396481</v>
      </c>
      <c r="E36" s="24">
        <f>Table134681112[[#This Row],[PMI]]-B24</f>
        <v>-0.80000000000000426</v>
      </c>
      <c r="F36" s="52">
        <f>(Table134681112[[#This Row],[EWU]]-D24)/D24</f>
        <v>0.25582769613299666</v>
      </c>
    </row>
    <row r="37" spans="1:6" x14ac:dyDescent="0.2">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27.614719390869141</v>
      </c>
      <c r="E37" s="24">
        <f>Table134681112[[#This Row],[PMI]]-B25</f>
        <v>1.9000000000000057</v>
      </c>
      <c r="F37" s="52">
        <f>(Table134681112[[#This Row],[EWU]]-D25)/D25</f>
        <v>0.18265605793566947</v>
      </c>
    </row>
    <row r="38" spans="1:6" x14ac:dyDescent="0.2">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27.670637130737301</v>
      </c>
      <c r="E38" s="24">
        <f>Table134681112[[#This Row],[PMI]]-B26</f>
        <v>3.1999999999999957</v>
      </c>
      <c r="F38" s="52">
        <f>(Table134681112[[#This Row],[EWU]]-D26)/D26</f>
        <v>0.15981449214185833</v>
      </c>
    </row>
    <row r="39" spans="1:6" x14ac:dyDescent="0.2">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28.777914047241211</v>
      </c>
      <c r="E39" s="24">
        <f>Table134681112[[#This Row],[PMI]]-B27</f>
        <v>0.70000000000000284</v>
      </c>
      <c r="F39" s="52">
        <f>(Table134681112[[#This Row],[EWU]]-D27)/D27</f>
        <v>0.21614465303208846</v>
      </c>
    </row>
    <row r="40" spans="1:6" x14ac:dyDescent="0.2">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30.444414138793949</v>
      </c>
      <c r="E40" s="24">
        <f>Table134681112[[#This Row],[PMI]]-B28</f>
        <v>-0.80000000000000426</v>
      </c>
      <c r="F40" s="52">
        <f>(Table134681112[[#This Row],[EWU]]-D28)/D28</f>
        <v>0.2298259928899328</v>
      </c>
    </row>
    <row r="41" spans="1:6" x14ac:dyDescent="0.2">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28.654876708984379</v>
      </c>
      <c r="E41" s="24">
        <f>Table134681112[[#This Row],[PMI]]-B29</f>
        <v>0.79999999999999716</v>
      </c>
      <c r="F41" s="52">
        <f>(Table134681112[[#This Row],[EWU]]-D29)/D29</f>
        <v>0.12558743721796939</v>
      </c>
    </row>
    <row r="42" spans="1:6" x14ac:dyDescent="0.2">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26.932453155517582</v>
      </c>
      <c r="E42" s="24">
        <f>Table134681112[[#This Row],[PMI]]-B30</f>
        <v>1</v>
      </c>
      <c r="F42" s="52">
        <f>(Table134681112[[#This Row],[EWU]]-D30)/D30</f>
        <v>6.4255972625505683E-2</v>
      </c>
    </row>
    <row r="43" spans="1:6" x14ac:dyDescent="0.2">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25.64885330200195</v>
      </c>
      <c r="E43" s="24">
        <f>Table134681112[[#This Row],[PMI]]-B31</f>
        <v>-2.1999999999999957</v>
      </c>
      <c r="F43" s="52">
        <f>(Table134681112[[#This Row],[EWU]]-D31)/D31</f>
        <v>-2.7053601751846536E-2</v>
      </c>
    </row>
    <row r="44" spans="1:6" x14ac:dyDescent="0.2">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25.347917556762699</v>
      </c>
      <c r="E44" s="24">
        <f>Table134681112[[#This Row],[PMI]]-B32</f>
        <v>-4.1000000000000014</v>
      </c>
      <c r="F44" s="52">
        <f>(Table134681112[[#This Row],[EWU]]-D32)/D32</f>
        <v>-2.3975724555936145E-2</v>
      </c>
    </row>
    <row r="45" spans="1:6" x14ac:dyDescent="0.2">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24.954387664794918</v>
      </c>
      <c r="E45" s="24">
        <f>Table134681112[[#This Row],[PMI]]-B33</f>
        <v>-3.1000000000000014</v>
      </c>
      <c r="F45" s="52">
        <f>(Table134681112[[#This Row],[EWU]]-D33)/D33</f>
        <v>-7.3060611427964287E-2</v>
      </c>
    </row>
    <row r="46" spans="1:6" x14ac:dyDescent="0.2">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26.435907363891602</v>
      </c>
      <c r="E46" s="24">
        <f>Table134681112[[#This Row],[PMI]]-B34</f>
        <v>-2.8999999999999986</v>
      </c>
      <c r="F46" s="52">
        <f>(Table134681112[[#This Row],[EWU]]-D34)/D34</f>
        <v>-4.8851593640330489E-2</v>
      </c>
    </row>
    <row r="47" spans="1:6" x14ac:dyDescent="0.2">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26.37803840637207</v>
      </c>
      <c r="E47" s="24">
        <f>Table134681112[[#This Row],[PMI]]-B35</f>
        <v>-4.8999999999999986</v>
      </c>
      <c r="F47" s="52">
        <f>(Table134681112[[#This Row],[EWU]]-D35)/D35</f>
        <v>-7.0752468894200685E-2</v>
      </c>
    </row>
    <row r="48" spans="1:6" x14ac:dyDescent="0.2">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23.982133865356449</v>
      </c>
      <c r="E48" s="24">
        <f>Table134681112[[#This Row],[PMI]]-B36</f>
        <v>-8.5</v>
      </c>
      <c r="F48" s="52">
        <f>(Table134681112[[#This Row],[EWU]]-D36)/D36</f>
        <v>-0.16077707619744416</v>
      </c>
    </row>
    <row r="49" spans="1:6" x14ac:dyDescent="0.2">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23.52326774597168</v>
      </c>
      <c r="E49" s="24">
        <f>Table134681112[[#This Row],[PMI]]-B37</f>
        <v>-11.400000000000006</v>
      </c>
      <c r="F49" s="52">
        <f>(Table134681112[[#This Row],[EWU]]-D37)/D37</f>
        <v>-0.14816198517122384</v>
      </c>
    </row>
    <row r="50" spans="1:6" x14ac:dyDescent="0.2">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22.730087280273441</v>
      </c>
      <c r="E50" s="24">
        <f>Table134681112[[#This Row],[PMI]]-B38</f>
        <v>-10.399999999999999</v>
      </c>
      <c r="F50" s="52">
        <f>(Table134681112[[#This Row],[EWU]]-D38)/D38</f>
        <v>-0.17854846735624175</v>
      </c>
    </row>
    <row r="51" spans="1:6" x14ac:dyDescent="0.2">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19.711248397827148</v>
      </c>
      <c r="E51" s="24">
        <f>Table134681112[[#This Row],[PMI]]-B39</f>
        <v>-14.100000000000001</v>
      </c>
      <c r="F51" s="52">
        <f>(Table134681112[[#This Row],[EWU]]-D39)/D39</f>
        <v>-0.31505638784417861</v>
      </c>
    </row>
    <row r="52" spans="1:6" x14ac:dyDescent="0.2">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15.816347122192379</v>
      </c>
      <c r="E52" s="24">
        <f>Table134681112[[#This Row],[PMI]]-B40</f>
        <v>-11.399999999999999</v>
      </c>
      <c r="F52" s="52">
        <f>(Table134681112[[#This Row],[EWU]]-D40)/D40</f>
        <v>-0.48048443139399033</v>
      </c>
    </row>
    <row r="53" spans="1:6" x14ac:dyDescent="0.2">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14.79823589324951</v>
      </c>
      <c r="E53" s="24">
        <f>Table134681112[[#This Row],[PMI]]-B41</f>
        <v>-20</v>
      </c>
      <c r="F53" s="52">
        <f>(Table134681112[[#This Row],[EWU]]-D41)/D41</f>
        <v>-0.48357007278242076</v>
      </c>
    </row>
    <row r="54" spans="1:6" x14ac:dyDescent="0.2">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14.502267837524411</v>
      </c>
      <c r="E54" s="24">
        <f>Table134681112[[#This Row],[PMI]]-B42</f>
        <v>-18</v>
      </c>
      <c r="F54" s="52">
        <f>(Table134681112[[#This Row],[EWU]]-D42)/D42</f>
        <v>-0.46153186440970867</v>
      </c>
    </row>
    <row r="55" spans="1:6" x14ac:dyDescent="0.2">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13.519698143005369</v>
      </c>
      <c r="E55" s="24">
        <f>Table134681112[[#This Row],[PMI]]-B43</f>
        <v>-14.800000000000004</v>
      </c>
      <c r="F55" s="52">
        <f>(Table134681112[[#This Row],[EWU]]-D43)/D43</f>
        <v>-0.47289268709918791</v>
      </c>
    </row>
    <row r="56" spans="1:6" x14ac:dyDescent="0.2">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12.204267501831049</v>
      </c>
      <c r="E56" s="24">
        <f>Table134681112[[#This Row],[PMI]]-B44</f>
        <v>-16.599999999999994</v>
      </c>
      <c r="F56" s="52">
        <f>(Table134681112[[#This Row],[EWU]]-D44)/D44</f>
        <v>-0.51852977766313546</v>
      </c>
    </row>
    <row r="57" spans="1:6" x14ac:dyDescent="0.2">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12.764541625976561</v>
      </c>
      <c r="E57" s="24">
        <f>Table134681112[[#This Row],[PMI]]-B45</f>
        <v>-12.199999999999996</v>
      </c>
      <c r="F57" s="52">
        <f>(Table134681112[[#This Row],[EWU]]-D45)/D45</f>
        <v>-0.48848507936003233</v>
      </c>
    </row>
    <row r="58" spans="1:6" x14ac:dyDescent="0.2">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14.287033081054689</v>
      </c>
      <c r="E58" s="24">
        <f>Table134681112[[#This Row],[PMI]]-B46</f>
        <v>-8.1000000000000014</v>
      </c>
      <c r="F58" s="52">
        <f>(Table134681112[[#This Row],[EWU]]-D46)/D46</f>
        <v>-0.45955957235010109</v>
      </c>
    </row>
    <row r="59" spans="1:6" x14ac:dyDescent="0.2">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16.723012924194339</v>
      </c>
      <c r="E59" s="24">
        <f>Table134681112[[#This Row],[PMI]]-B47</f>
        <v>-4.6000000000000014</v>
      </c>
      <c r="F59" s="52">
        <f>(Table134681112[[#This Row],[EWU]]-D47)/D47</f>
        <v>-0.36602515067403163</v>
      </c>
    </row>
    <row r="60" spans="1:6" x14ac:dyDescent="0.2">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16.089662551879879</v>
      </c>
      <c r="E60" s="24">
        <f>Table134681112[[#This Row],[PMI]]-B48</f>
        <v>1.2000000000000028</v>
      </c>
      <c r="F60" s="52">
        <f>(Table134681112[[#This Row],[EWU]]-D48)/D48</f>
        <v>-0.32909795924697477</v>
      </c>
    </row>
    <row r="61" spans="1:6" x14ac:dyDescent="0.2">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17.770755767822269</v>
      </c>
      <c r="E61" s="24">
        <f>Table134681112[[#This Row],[PMI]]-B49</f>
        <v>6.5</v>
      </c>
      <c r="F61" s="52">
        <f>(Table134681112[[#This Row],[EWU]]-D49)/D49</f>
        <v>-0.2445456150170513</v>
      </c>
    </row>
    <row r="62" spans="1:6" x14ac:dyDescent="0.2">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18.539621353149411</v>
      </c>
      <c r="E62" s="24">
        <f>Table134681112[[#This Row],[PMI]]-B50</f>
        <v>3.8000000000000043</v>
      </c>
      <c r="F62" s="52">
        <f>(Table134681112[[#This Row],[EWU]]-D50)/D50</f>
        <v>-0.18435766987840707</v>
      </c>
    </row>
    <row r="63" spans="1:6" x14ac:dyDescent="0.2">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19.23408317565918</v>
      </c>
      <c r="E63" s="24">
        <f>Table134681112[[#This Row],[PMI]]-B51</f>
        <v>8.5</v>
      </c>
      <c r="F63" s="52">
        <f>(Table134681112[[#This Row],[EWU]]-D51)/D51</f>
        <v>-2.4207762620482659E-2</v>
      </c>
    </row>
    <row r="64" spans="1:6" x14ac:dyDescent="0.2">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19.20927810668945</v>
      </c>
      <c r="E64" s="24">
        <f>Table134681112[[#This Row],[PMI]]-B52</f>
        <v>12.200000000000003</v>
      </c>
      <c r="F64" s="52">
        <f>(Table134681112[[#This Row],[EWU]]-D52)/D52</f>
        <v>0.21452051844109754</v>
      </c>
    </row>
    <row r="65" spans="1:6" x14ac:dyDescent="0.2">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20.176565170288089</v>
      </c>
      <c r="E65" s="24">
        <f>Table134681112[[#This Row],[PMI]]-B53</f>
        <v>17.399999999999999</v>
      </c>
      <c r="F65" s="52">
        <f>(Table134681112[[#This Row],[EWU]]-D53)/D53</f>
        <v>0.36344394803788771</v>
      </c>
    </row>
    <row r="66" spans="1:6" x14ac:dyDescent="0.2">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20.08975791931152</v>
      </c>
      <c r="E66" s="24">
        <f>Table134681112[[#This Row],[PMI]]-B54</f>
        <v>19.200000000000003</v>
      </c>
      <c r="F66" s="52">
        <f>(Table134681112[[#This Row],[EWU]]-D54)/D54</f>
        <v>0.38528388417496734</v>
      </c>
    </row>
    <row r="67" spans="1:6" x14ac:dyDescent="0.2">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19.358711242675781</v>
      </c>
      <c r="E67" s="24">
        <f>Table134681112[[#This Row],[PMI]]-B55</f>
        <v>20.900000000000006</v>
      </c>
      <c r="F67" s="52">
        <f>(Table134681112[[#This Row],[EWU]]-D55)/D55</f>
        <v>0.43188930979877815</v>
      </c>
    </row>
    <row r="68" spans="1:6" x14ac:dyDescent="0.2">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19.195611953735352</v>
      </c>
      <c r="E68" s="24">
        <f>Table134681112[[#This Row],[PMI]]-B56</f>
        <v>21.9</v>
      </c>
      <c r="F68" s="52">
        <f>(Table134681112[[#This Row],[EWU]]-D56)/D56</f>
        <v>0.57286063672853504</v>
      </c>
    </row>
    <row r="69" spans="1:6" x14ac:dyDescent="0.2">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20.4125862121582</v>
      </c>
      <c r="E69" s="24">
        <f>Table134681112[[#This Row],[PMI]]-B57</f>
        <v>18.100000000000001</v>
      </c>
      <c r="F69" s="52">
        <f>(Table134681112[[#This Row],[EWU]]-D57)/D57</f>
        <v>0.59916327669905811</v>
      </c>
    </row>
    <row r="70" spans="1:6" x14ac:dyDescent="0.2">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19.973470687866211</v>
      </c>
      <c r="E70" s="24">
        <f>Table134681112[[#This Row],[PMI]]-B58</f>
        <v>15.100000000000001</v>
      </c>
      <c r="F70" s="52">
        <f>(Table134681112[[#This Row],[EWU]]-D58)/D58</f>
        <v>0.3980138895563991</v>
      </c>
    </row>
    <row r="71" spans="1:6" x14ac:dyDescent="0.2">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17.77789306640625</v>
      </c>
      <c r="E71" s="24">
        <f>Table134681112[[#This Row],[PMI]]-B59</f>
        <v>12.600000000000001</v>
      </c>
      <c r="F71" s="52">
        <f>(Table134681112[[#This Row],[EWU]]-D59)/D59</f>
        <v>6.3079550736084317E-2</v>
      </c>
    </row>
    <row r="72" spans="1:6" x14ac:dyDescent="0.2">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16.862028121948239</v>
      </c>
      <c r="E72" s="24">
        <f>Table134681112[[#This Row],[PMI]]-B60</f>
        <v>10.5</v>
      </c>
      <c r="F72" s="52">
        <f>(Table134681112[[#This Row],[EWU]]-D60)/D60</f>
        <v>4.8003838960445938E-2</v>
      </c>
    </row>
    <row r="73" spans="1:6" x14ac:dyDescent="0.2">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19.648416519165039</v>
      </c>
      <c r="E73" s="24">
        <f>Table134681112[[#This Row],[PMI]]-B61</f>
        <v>6.5</v>
      </c>
      <c r="F73" s="52">
        <f>(Table134681112[[#This Row],[EWU]]-D61)/D61</f>
        <v>0.10566015176139407</v>
      </c>
    </row>
    <row r="74" spans="1:6" x14ac:dyDescent="0.2">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19.099428176879879</v>
      </c>
      <c r="E74" s="24">
        <f>Table134681112[[#This Row],[PMI]]-B62</f>
        <v>4.5999999999999943</v>
      </c>
      <c r="F74" s="52">
        <f>(Table134681112[[#This Row],[EWU]]-D62)/D62</f>
        <v>3.0195159494741882E-2</v>
      </c>
    </row>
    <row r="75" spans="1:6" x14ac:dyDescent="0.2">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20.886808395385739</v>
      </c>
      <c r="E75" s="24">
        <f>Table134681112[[#This Row],[PMI]]-B63</f>
        <v>3.8999999999999986</v>
      </c>
      <c r="F75" s="52">
        <f>(Table134681112[[#This Row],[EWU]]-D63)/D63</f>
        <v>8.5926904060500797E-2</v>
      </c>
    </row>
    <row r="76" spans="1:6" x14ac:dyDescent="0.2">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21.767732620239261</v>
      </c>
      <c r="E76" s="24">
        <f>Table134681112[[#This Row],[PMI]]-B64</f>
        <v>1.1999999999999957</v>
      </c>
      <c r="F76" s="52">
        <f>(Table134681112[[#This Row],[EWU]]-D64)/D64</f>
        <v>0.13318847795008257</v>
      </c>
    </row>
    <row r="77" spans="1:6" x14ac:dyDescent="0.2">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20.631467819213871</v>
      </c>
      <c r="E77" s="24">
        <f>Table134681112[[#This Row],[PMI]]-B65</f>
        <v>6.2000000000000028</v>
      </c>
      <c r="F77" s="52">
        <f>(Table134681112[[#This Row],[EWU]]-D65)/D65</f>
        <v>2.2546089737596597E-2</v>
      </c>
    </row>
    <row r="78" spans="1:6" x14ac:dyDescent="0.2">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22.176279067993161</v>
      </c>
      <c r="E78" s="24">
        <f>Table134681112[[#This Row],[PMI]]-B66</f>
        <v>4.1999999999999957</v>
      </c>
      <c r="F78" s="52">
        <f>(Table134681112[[#This Row],[EWU]]-D66)/D66</f>
        <v>0.10385994480679865</v>
      </c>
    </row>
    <row r="79" spans="1:6" x14ac:dyDescent="0.2">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22.644903182983398</v>
      </c>
      <c r="E79" s="24">
        <f>Table134681112[[#This Row],[PMI]]-B67</f>
        <v>5.2999999999999972</v>
      </c>
      <c r="F79" s="52">
        <f>(Table134681112[[#This Row],[EWU]]-D67)/D67</f>
        <v>0.16975261933053123</v>
      </c>
    </row>
    <row r="80" spans="1:6" x14ac:dyDescent="0.2">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23.676559448242191</v>
      </c>
      <c r="E80" s="24">
        <f>Table134681112[[#This Row],[PMI]]-B68</f>
        <v>7.8999999999999986</v>
      </c>
      <c r="F80" s="52">
        <f>(Table134681112[[#This Row],[EWU]]-D68)/D68</f>
        <v>0.23343603242796715</v>
      </c>
    </row>
    <row r="81" spans="1:6" x14ac:dyDescent="0.2">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23.096254348754879</v>
      </c>
      <c r="E81" s="24">
        <f>Table134681112[[#This Row],[PMI]]-B69</f>
        <v>-0.10000000000000142</v>
      </c>
      <c r="F81" s="52">
        <f>(Table134681112[[#This Row],[EWU]]-D69)/D69</f>
        <v>0.13147124566696139</v>
      </c>
    </row>
    <row r="82" spans="1:6" x14ac:dyDescent="0.2">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24.643747329711911</v>
      </c>
      <c r="E82" s="24">
        <f>Table134681112[[#This Row],[PMI]]-B70</f>
        <v>-3.3999999999999986</v>
      </c>
      <c r="F82" s="52">
        <f>(Table134681112[[#This Row],[EWU]]-D70)/D70</f>
        <v>0.23382399157512823</v>
      </c>
    </row>
    <row r="83" spans="1:6" x14ac:dyDescent="0.2">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24.063436508178711</v>
      </c>
      <c r="E83" s="24">
        <f>Table134681112[[#This Row],[PMI]]-B71</f>
        <v>-5.8999999999999986</v>
      </c>
      <c r="F83" s="52">
        <f>(Table134681112[[#This Row],[EWU]]-D71)/D71</f>
        <v>0.35355952577135541</v>
      </c>
    </row>
    <row r="84" spans="1:6" x14ac:dyDescent="0.2">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22.967294692993161</v>
      </c>
      <c r="E84" s="24">
        <f>Table134681112[[#This Row],[PMI]]-B72</f>
        <v>-6.2000000000000028</v>
      </c>
      <c r="F84" s="52">
        <f>(Table134681112[[#This Row],[EWU]]-D72)/D72</f>
        <v>0.36207190065696082</v>
      </c>
    </row>
    <row r="85" spans="1:6" x14ac:dyDescent="0.2">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23.27229118347168</v>
      </c>
      <c r="E85" s="24">
        <f>Table134681112[[#This Row],[PMI]]-B73</f>
        <v>-8.1999999999999957</v>
      </c>
      <c r="F85" s="52">
        <f>(Table134681112[[#This Row],[EWU]]-D73)/D73</f>
        <v>0.18443596514619476</v>
      </c>
    </row>
    <row r="86" spans="1:6" x14ac:dyDescent="0.2">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21.4881706237793</v>
      </c>
      <c r="E86" s="24">
        <f>Table134681112[[#This Row],[PMI]]-B74</f>
        <v>-5.2999999999999972</v>
      </c>
      <c r="F86" s="52">
        <f>(Table134681112[[#This Row],[EWU]]-D74)/D74</f>
        <v>0.12506879393337161</v>
      </c>
    </row>
    <row r="87" spans="1:6" x14ac:dyDescent="0.2">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19.37608528137207</v>
      </c>
      <c r="E87" s="24">
        <f>Table134681112[[#This Row],[PMI]]-B75</f>
        <v>-2.2999999999999972</v>
      </c>
      <c r="F87" s="52">
        <f>(Table134681112[[#This Row],[EWU]]-D75)/D75</f>
        <v>-7.232905503874941E-2</v>
      </c>
    </row>
    <row r="88" spans="1:6" x14ac:dyDescent="0.2">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21.881729125976559</v>
      </c>
      <c r="E88" s="24">
        <f>Table134681112[[#This Row],[PMI]]-B76</f>
        <v>-7.5</v>
      </c>
      <c r="F88" s="52">
        <f>(Table134681112[[#This Row],[EWU]]-D76)/D76</f>
        <v>5.2369490073258989E-3</v>
      </c>
    </row>
    <row r="89" spans="1:6" x14ac:dyDescent="0.2">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21.527523040771481</v>
      </c>
      <c r="E89" s="24">
        <f>Table134681112[[#This Row],[PMI]]-B77</f>
        <v>-10.399999999999999</v>
      </c>
      <c r="F89" s="52">
        <f>(Table134681112[[#This Row],[EWU]]-D77)/D77</f>
        <v>4.3431481919241982E-2</v>
      </c>
    </row>
    <row r="90" spans="1:6" x14ac:dyDescent="0.2">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21.19956016540527</v>
      </c>
      <c r="E90" s="24">
        <f>Table134681112[[#This Row],[PMI]]-B78</f>
        <v>-8.6999999999999957</v>
      </c>
      <c r="F90" s="52">
        <f>(Table134681112[[#This Row],[EWU]]-D78)/D78</f>
        <v>-4.4043407804945103E-2</v>
      </c>
    </row>
    <row r="91" spans="1:6" x14ac:dyDescent="0.2">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22.209335327148441</v>
      </c>
      <c r="E91" s="24">
        <f>Table134681112[[#This Row],[PMI]]-B79</f>
        <v>-11.200000000000003</v>
      </c>
      <c r="F91" s="52">
        <f>(Table134681112[[#This Row],[EWU]]-D79)/D79</f>
        <v>-1.9234697199423955E-2</v>
      </c>
    </row>
    <row r="92" spans="1:6" x14ac:dyDescent="0.2">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23.341106414794918</v>
      </c>
      <c r="E92" s="24">
        <f>Table134681112[[#This Row],[PMI]]-B80</f>
        <v>-13.399999999999999</v>
      </c>
      <c r="F92" s="52">
        <f>(Table134681112[[#This Row],[EWU]]-D80)/D80</f>
        <v>-1.4168149480526726E-2</v>
      </c>
    </row>
    <row r="93" spans="1:6" x14ac:dyDescent="0.2">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23.034860610961911</v>
      </c>
      <c r="E93" s="24">
        <f>Table134681112[[#This Row],[PMI]]-B81</f>
        <v>-5.1000000000000014</v>
      </c>
      <c r="F93" s="52">
        <f>(Table134681112[[#This Row],[EWU]]-D81)/D81</f>
        <v>-2.6581685872488015E-3</v>
      </c>
    </row>
    <row r="94" spans="1:6" x14ac:dyDescent="0.2">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23.367734909057621</v>
      </c>
      <c r="E94" s="24">
        <f>Table134681112[[#This Row],[PMI]]-B82</f>
        <v>-4.3999999999999986</v>
      </c>
      <c r="F94" s="52">
        <f>(Table134681112[[#This Row],[EWU]]-D82)/D82</f>
        <v>-5.1778343755207075E-2</v>
      </c>
    </row>
    <row r="95" spans="1:6" x14ac:dyDescent="0.2">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20.704744338989261</v>
      </c>
      <c r="E95" s="24">
        <f>Table134681112[[#This Row],[PMI]]-B83</f>
        <v>-5.3000000000000043</v>
      </c>
      <c r="F95" s="52">
        <f>(Table134681112[[#This Row],[EWU]]-D83)/D83</f>
        <v>-0.13957657993063016</v>
      </c>
    </row>
    <row r="96" spans="1:6" x14ac:dyDescent="0.2">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21.690053939819339</v>
      </c>
      <c r="E96" s="24">
        <f>Table134681112[[#This Row],[PMI]]-B84</f>
        <v>-2.5</v>
      </c>
      <c r="F96" s="52">
        <f>(Table134681112[[#This Row],[EWU]]-D84)/D84</f>
        <v>-5.5611284230331244E-2</v>
      </c>
    </row>
    <row r="97" spans="1:6" x14ac:dyDescent="0.2">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22.394912719726559</v>
      </c>
      <c r="E97" s="24">
        <f>Table134681112[[#This Row],[PMI]]-B85</f>
        <v>-3.6000000000000014</v>
      </c>
      <c r="F97" s="52">
        <f>(Table134681112[[#This Row],[EWU]]-D85)/D85</f>
        <v>-3.7700562305109334E-2</v>
      </c>
    </row>
    <row r="98" spans="1:6" x14ac:dyDescent="0.2">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23.13095664978027</v>
      </c>
      <c r="E98" s="24">
        <f>Table134681112[[#This Row],[PMI]]-B86</f>
        <v>0.10000000000000142</v>
      </c>
      <c r="F98" s="52">
        <f>(Table134681112[[#This Row],[EWU]]-D86)/D86</f>
        <v>7.6450715827015306E-2</v>
      </c>
    </row>
    <row r="99" spans="1:6" x14ac:dyDescent="0.2">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23.717067718505859</v>
      </c>
      <c r="E99" s="24">
        <f>Table134681112[[#This Row],[PMI]]-B87</f>
        <v>-2.8999999999999986</v>
      </c>
      <c r="F99" s="52">
        <f>(Table134681112[[#This Row],[EWU]]-D87)/D87</f>
        <v>0.22403815704233901</v>
      </c>
    </row>
    <row r="100" spans="1:6" x14ac:dyDescent="0.2">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23.826112747192379</v>
      </c>
      <c r="E100" s="24">
        <f>Table134681112[[#This Row],[PMI]]-B88</f>
        <v>0.60000000000000142</v>
      </c>
      <c r="F100" s="52">
        <f>(Table134681112[[#This Row],[EWU]]-D88)/D88</f>
        <v>8.8858773912321914E-2</v>
      </c>
    </row>
    <row r="101" spans="1:6" x14ac:dyDescent="0.2">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24.098724365234379</v>
      </c>
      <c r="E101" s="24">
        <f>Table134681112[[#This Row],[PMI]]-B89</f>
        <v>0.79999999999999716</v>
      </c>
      <c r="F101" s="52">
        <f>(Table134681112[[#This Row],[EWU]]-D89)/D89</f>
        <v>0.11943786192184021</v>
      </c>
    </row>
    <row r="102" spans="1:6" x14ac:dyDescent="0.2">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24.453115463256839</v>
      </c>
      <c r="E102" s="24">
        <f>Table134681112[[#This Row],[PMI]]-B90</f>
        <v>1.1000000000000014</v>
      </c>
      <c r="F102" s="52">
        <f>(Table134681112[[#This Row],[EWU]]-D90)/D90</f>
        <v>0.15347277360786563</v>
      </c>
    </row>
    <row r="103" spans="1:6" x14ac:dyDescent="0.2">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25.533628463745121</v>
      </c>
      <c r="E103" s="24">
        <f>Table134681112[[#This Row],[PMI]]-B91</f>
        <v>0.10000000000000142</v>
      </c>
      <c r="F103" s="52">
        <f>(Table134681112[[#This Row],[EWU]]-D91)/D91</f>
        <v>0.14967999211273564</v>
      </c>
    </row>
    <row r="104" spans="1:6" x14ac:dyDescent="0.2">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24.8424072265625</v>
      </c>
      <c r="E104" s="24">
        <f>Table134681112[[#This Row],[PMI]]-B92</f>
        <v>-2.8999999999999986</v>
      </c>
      <c r="F104" s="52">
        <f>(Table134681112[[#This Row],[EWU]]-D92)/D92</f>
        <v>6.4320036295107755E-2</v>
      </c>
    </row>
    <row r="105" spans="1:6" x14ac:dyDescent="0.2">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25.257139205932621</v>
      </c>
      <c r="E105" s="24">
        <f>Table134681112[[#This Row],[PMI]]-B93</f>
        <v>-2.7000000000000028</v>
      </c>
      <c r="F105" s="52">
        <f>(Table134681112[[#This Row],[EWU]]-D93)/D93</f>
        <v>9.6474584001309927E-2</v>
      </c>
    </row>
    <row r="106" spans="1:6" x14ac:dyDescent="0.2">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25.976011276245121</v>
      </c>
      <c r="E106" s="24">
        <f>Table134681112[[#This Row],[PMI]]-B94</f>
        <v>0.39999999999999858</v>
      </c>
      <c r="F106" s="52">
        <f>(Table134681112[[#This Row],[EWU]]-D94)/D94</f>
        <v>0.1116187074758581</v>
      </c>
    </row>
    <row r="107" spans="1:6" x14ac:dyDescent="0.2">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25.948358535766602</v>
      </c>
      <c r="E107" s="24">
        <f>Table134681112[[#This Row],[PMI]]-B95</f>
        <v>5.3000000000000043</v>
      </c>
      <c r="F107" s="52">
        <f>(Table134681112[[#This Row],[EWU]]-D95)/D95</f>
        <v>0.25325665030806732</v>
      </c>
    </row>
    <row r="108" spans="1:6" x14ac:dyDescent="0.2">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24.413852691650391</v>
      </c>
      <c r="E108" s="24">
        <f>Table134681112[[#This Row],[PMI]]-B96</f>
        <v>4.2000000000000028</v>
      </c>
      <c r="F108" s="52">
        <f>(Table134681112[[#This Row],[EWU]]-D96)/D96</f>
        <v>0.1255782378129825</v>
      </c>
    </row>
    <row r="109" spans="1:6" x14ac:dyDescent="0.2">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26.360992431640621</v>
      </c>
      <c r="E109" s="24">
        <f>Table134681112[[#This Row],[PMI]]-B97</f>
        <v>9.2000000000000028</v>
      </c>
      <c r="F109" s="52">
        <f>(Table134681112[[#This Row],[EWU]]-D97)/D97</f>
        <v>0.1770973507041419</v>
      </c>
    </row>
    <row r="110" spans="1:6" x14ac:dyDescent="0.2">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26.164581298828121</v>
      </c>
      <c r="E110" s="24">
        <f>Table134681112[[#This Row],[PMI]]-B98</f>
        <v>8.1999999999999957</v>
      </c>
      <c r="F110" s="52">
        <f>(Table134681112[[#This Row],[EWU]]-D98)/D98</f>
        <v>0.13114998635720798</v>
      </c>
    </row>
    <row r="111" spans="1:6" x14ac:dyDescent="0.2">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27.52541351318359</v>
      </c>
      <c r="E111" s="24">
        <f>Table134681112[[#This Row],[PMI]]-B99</f>
        <v>8.5</v>
      </c>
      <c r="F111" s="52">
        <f>(Table134681112[[#This Row],[EWU]]-D99)/D99</f>
        <v>0.16057405746268413</v>
      </c>
    </row>
    <row r="112" spans="1:6" x14ac:dyDescent="0.2">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28.549556732177731</v>
      </c>
      <c r="E112" s="24">
        <f>Table134681112[[#This Row],[PMI]]-B100</f>
        <v>8.5</v>
      </c>
      <c r="F112" s="52">
        <f>(Table134681112[[#This Row],[EWU]]-D100)/D100</f>
        <v>0.19824652200313089</v>
      </c>
    </row>
    <row r="113" spans="1:6" x14ac:dyDescent="0.2">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28.774021148681641</v>
      </c>
      <c r="E113" s="24">
        <f>Table134681112[[#This Row],[PMI]]-B101</f>
        <v>9.7000000000000028</v>
      </c>
      <c r="F113" s="52">
        <f>(Table134681112[[#This Row],[EWU]]-D101)/D101</f>
        <v>0.19400598606754474</v>
      </c>
    </row>
    <row r="114" spans="1:6" x14ac:dyDescent="0.2">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29.293106079101559</v>
      </c>
      <c r="E114" s="24">
        <f>Table134681112[[#This Row],[PMI]]-B102</f>
        <v>6.5999999999999943</v>
      </c>
      <c r="F114" s="52">
        <f>(Table134681112[[#This Row],[EWU]]-D102)/D102</f>
        <v>0.19792940589174707</v>
      </c>
    </row>
    <row r="115" spans="1:6" x14ac:dyDescent="0.2">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28.26807975769043</v>
      </c>
      <c r="E115" s="24">
        <f>Table134681112[[#This Row],[PMI]]-B103</f>
        <v>5.8000000000000043</v>
      </c>
      <c r="F115" s="52">
        <f>(Table134681112[[#This Row],[EWU]]-D103)/D103</f>
        <v>0.1070921548744207</v>
      </c>
    </row>
    <row r="116" spans="1:6" x14ac:dyDescent="0.2">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30.18480110168457</v>
      </c>
      <c r="E116" s="24">
        <f>Table134681112[[#This Row],[PMI]]-B104</f>
        <v>8.6999999999999957</v>
      </c>
      <c r="F116" s="52">
        <f>(Table134681112[[#This Row],[EWU]]-D104)/D104</f>
        <v>0.21505137672043989</v>
      </c>
    </row>
    <row r="117" spans="1:6" x14ac:dyDescent="0.2">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29.23353385925293</v>
      </c>
      <c r="E117" s="24">
        <f>Table134681112[[#This Row],[PMI]]-B105</f>
        <v>6</v>
      </c>
      <c r="F117" s="52">
        <f>(Table134681112[[#This Row],[EWU]]-D105)/D105</f>
        <v>0.15743646265315345</v>
      </c>
    </row>
    <row r="118" spans="1:6" x14ac:dyDescent="0.2">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30.553949356079102</v>
      </c>
      <c r="E118" s="24">
        <f>Table134681112[[#This Row],[PMI]]-B106</f>
        <v>6.6999999999999957</v>
      </c>
      <c r="F118" s="52">
        <f>(Table134681112[[#This Row],[EWU]]-D106)/D106</f>
        <v>0.17623714553975703</v>
      </c>
    </row>
    <row r="119" spans="1:6" x14ac:dyDescent="0.2">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30.852106094360352</v>
      </c>
      <c r="E119" s="24">
        <f>Table134681112[[#This Row],[PMI]]-B107</f>
        <v>4.8999999999999986</v>
      </c>
      <c r="F119" s="52">
        <f>(Table134681112[[#This Row],[EWU]]-D107)/D107</f>
        <v>0.18898103137562788</v>
      </c>
    </row>
    <row r="120" spans="1:6" x14ac:dyDescent="0.2">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29.645284652709961</v>
      </c>
      <c r="E120" s="24">
        <f>Table134681112[[#This Row],[PMI]]-B108</f>
        <v>4.5</v>
      </c>
      <c r="F120" s="52">
        <f>(Table134681112[[#This Row],[EWU]]-D108)/D108</f>
        <v>0.21428129460487552</v>
      </c>
    </row>
    <row r="121" spans="1:6" x14ac:dyDescent="0.2">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30.356288909912109</v>
      </c>
      <c r="E121" s="24">
        <f>Table134681112[[#This Row],[PMI]]-B109</f>
        <v>0.69999999999999574</v>
      </c>
      <c r="F121" s="52">
        <f>(Table134681112[[#This Row],[EWU]]-D109)/D109</f>
        <v>0.15156092808842833</v>
      </c>
    </row>
    <row r="122" spans="1:6" x14ac:dyDescent="0.2">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30.594610214233398</v>
      </c>
      <c r="E122" s="24">
        <f>Table134681112[[#This Row],[PMI]]-B110</f>
        <v>-4.7999999999999972</v>
      </c>
      <c r="F122" s="52">
        <f>(Table134681112[[#This Row],[EWU]]-D110)/D110</f>
        <v>0.16931396168008592</v>
      </c>
    </row>
    <row r="123" spans="1:6" x14ac:dyDescent="0.2">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28.866775512695309</v>
      </c>
      <c r="E123" s="24">
        <f>Table134681112[[#This Row],[PMI]]-B111</f>
        <v>-5.1000000000000014</v>
      </c>
      <c r="F123" s="52">
        <f>(Table134681112[[#This Row],[EWU]]-D111)/D111</f>
        <v>4.8731765605238196E-2</v>
      </c>
    </row>
    <row r="124" spans="1:6" x14ac:dyDescent="0.2">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28.31565093994141</v>
      </c>
      <c r="E124" s="24">
        <f>Table134681112[[#This Row],[PMI]]-B112</f>
        <v>-3.2999999999999972</v>
      </c>
      <c r="F124" s="52">
        <f>(Table134681112[[#This Row],[EWU]]-D112)/D112</f>
        <v>-8.1929745680671007E-3</v>
      </c>
    </row>
    <row r="125" spans="1:6" x14ac:dyDescent="0.2">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28.345443725585941</v>
      </c>
      <c r="E125" s="24">
        <f>Table134681112[[#This Row],[PMI]]-B113</f>
        <v>-4.6000000000000014</v>
      </c>
      <c r="F125" s="52">
        <f>(Table134681112[[#This Row],[EWU]]-D113)/D113</f>
        <v>-1.489459609698438E-2</v>
      </c>
    </row>
    <row r="126" spans="1:6" x14ac:dyDescent="0.2">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26.855930328369141</v>
      </c>
      <c r="E126" s="24">
        <f>Table134681112[[#This Row],[PMI]]-B114</f>
        <v>-4.7999999999999972</v>
      </c>
      <c r="F126" s="52">
        <f>(Table134681112[[#This Row],[EWU]]-D114)/D114</f>
        <v>-8.3199635578118533E-2</v>
      </c>
    </row>
    <row r="127" spans="1:6" x14ac:dyDescent="0.2">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27.407939910888668</v>
      </c>
      <c r="E127" s="24">
        <f>Table134681112[[#This Row],[PMI]]-B115</f>
        <v>-3.7000000000000028</v>
      </c>
      <c r="F127" s="52">
        <f>(Table134681112[[#This Row],[EWU]]-D115)/D115</f>
        <v>-3.0427954575434412E-2</v>
      </c>
    </row>
    <row r="128" spans="1:6" x14ac:dyDescent="0.2">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29.01838302612305</v>
      </c>
      <c r="E128" s="24">
        <f>Table134681112[[#This Row],[PMI]]-B116</f>
        <v>-2.7999999999999972</v>
      </c>
      <c r="F128" s="52">
        <f>(Table134681112[[#This Row],[EWU]]-D116)/D116</f>
        <v>-3.8642562912114861E-2</v>
      </c>
    </row>
    <row r="129" spans="1:6" x14ac:dyDescent="0.2">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27.362356185913089</v>
      </c>
      <c r="E129" s="24">
        <f>Table134681112[[#This Row],[PMI]]-B117</f>
        <v>-0.89999999999999858</v>
      </c>
      <c r="F129" s="52">
        <f>(Table134681112[[#This Row],[EWU]]-D117)/D117</f>
        <v>-6.4007919205005023E-2</v>
      </c>
    </row>
    <row r="130" spans="1:6" x14ac:dyDescent="0.2">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29.18549919128418</v>
      </c>
      <c r="E130" s="24">
        <f>Table134681112[[#This Row],[PMI]]-B118</f>
        <v>-5.3999999999999986</v>
      </c>
      <c r="F130" s="52">
        <f>(Table134681112[[#This Row],[EWU]]-D118)/D118</f>
        <v>-4.4787996106390456E-2</v>
      </c>
    </row>
    <row r="131" spans="1:6" x14ac:dyDescent="0.2">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29.367815017700199</v>
      </c>
      <c r="E131" s="24">
        <f>Table134681112[[#This Row],[PMI]]-B119</f>
        <v>-4.7999999999999972</v>
      </c>
      <c r="F131" s="52">
        <f>(Table134681112[[#This Row],[EWU]]-D119)/D119</f>
        <v>-4.8109878532132867E-2</v>
      </c>
    </row>
    <row r="132" spans="1:6" x14ac:dyDescent="0.2">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27.72698974609375</v>
      </c>
      <c r="E132" s="24">
        <f>Table134681112[[#This Row],[PMI]]-B120</f>
        <v>-5.6000000000000014</v>
      </c>
      <c r="F132" s="52">
        <f>(Table134681112[[#This Row],[EWU]]-D120)/D120</f>
        <v>-6.4708264032163842E-2</v>
      </c>
    </row>
    <row r="133" spans="1:6" x14ac:dyDescent="0.2">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28.68111419677734</v>
      </c>
      <c r="E133" s="24">
        <f>Table134681112[[#This Row],[PMI]]-B121</f>
        <v>-2.8999999999999986</v>
      </c>
      <c r="F133" s="52">
        <f>(Table134681112[[#This Row],[EWU]]-D121)/D121</f>
        <v>-5.5183778165577464E-2</v>
      </c>
    </row>
    <row r="134" spans="1:6" x14ac:dyDescent="0.2">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26.39157676696777</v>
      </c>
      <c r="E134" s="24">
        <f>Table134681112[[#This Row],[PMI]]-B122</f>
        <v>-0.89999999999999858</v>
      </c>
      <c r="F134" s="52">
        <f>(Table134681112[[#This Row],[EWU]]-D122)/D122</f>
        <v>-0.13737823158506099</v>
      </c>
    </row>
    <row r="135" spans="1:6" x14ac:dyDescent="0.2">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25.355096817016602</v>
      </c>
      <c r="E135" s="24">
        <f>Table134681112[[#This Row],[PMI]]-B123</f>
        <v>0</v>
      </c>
      <c r="F135" s="52">
        <f>(Table134681112[[#This Row],[EWU]]-D123)/D123</f>
        <v>-0.12165122821335925</v>
      </c>
    </row>
    <row r="136" spans="1:6" x14ac:dyDescent="0.2">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27.02584266662598</v>
      </c>
      <c r="E136" s="24">
        <f>Table134681112[[#This Row],[PMI]]-B124</f>
        <v>1.0999999999999943</v>
      </c>
      <c r="F136" s="52">
        <f>(Table134681112[[#This Row],[EWU]]-D124)/D124</f>
        <v>-4.5551072657703078E-2</v>
      </c>
    </row>
    <row r="137" spans="1:6" x14ac:dyDescent="0.2">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26.577217102050781</v>
      </c>
      <c r="E137" s="24">
        <f>Table134681112[[#This Row],[PMI]]-B125</f>
        <v>-1.2000000000000028</v>
      </c>
      <c r="F137" s="52">
        <f>(Table134681112[[#This Row],[EWU]]-D125)/D125</f>
        <v>-6.2381335097572474E-2</v>
      </c>
    </row>
    <row r="138" spans="1:6" x14ac:dyDescent="0.2">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24.968349456787109</v>
      </c>
      <c r="E138" s="24">
        <f>Table134681112[[#This Row],[PMI]]-B126</f>
        <v>-1.5</v>
      </c>
      <c r="F138" s="52">
        <f>(Table134681112[[#This Row],[EWU]]-D126)/D126</f>
        <v>-7.0285439696277943E-2</v>
      </c>
    </row>
    <row r="139" spans="1:6" x14ac:dyDescent="0.2">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24.239229202270511</v>
      </c>
      <c r="E139" s="24">
        <f>Table134681112[[#This Row],[PMI]]-B127</f>
        <v>-0.79999999999999716</v>
      </c>
      <c r="F139" s="52">
        <f>(Table134681112[[#This Row],[EWU]]-D127)/D127</f>
        <v>-0.11561287418611446</v>
      </c>
    </row>
    <row r="140" spans="1:6" x14ac:dyDescent="0.2">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23.481758117675781</v>
      </c>
      <c r="E140" s="24">
        <f>Table134681112[[#This Row],[PMI]]-B128</f>
        <v>-3.3000000000000043</v>
      </c>
      <c r="F140" s="52">
        <f>(Table134681112[[#This Row],[EWU]]-D128)/D128</f>
        <v>-0.19079715446112436</v>
      </c>
    </row>
    <row r="141" spans="1:6" x14ac:dyDescent="0.2">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24.744216918945309</v>
      </c>
      <c r="E141" s="24">
        <f>Table134681112[[#This Row],[PMI]]-B129</f>
        <v>-3.2999999999999972</v>
      </c>
      <c r="F141" s="52">
        <f>(Table134681112[[#This Row],[EWU]]-D129)/D129</f>
        <v>-9.5683984565469268E-2</v>
      </c>
    </row>
    <row r="142" spans="1:6" x14ac:dyDescent="0.2">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25.7384033203125</v>
      </c>
      <c r="E142" s="24">
        <f>Table134681112[[#This Row],[PMI]]-B130</f>
        <v>-1.8999999999999986</v>
      </c>
      <c r="F142" s="52">
        <f>(Table134681112[[#This Row],[EWU]]-D130)/D130</f>
        <v>-0.11810988218426993</v>
      </c>
    </row>
    <row r="143" spans="1:6" x14ac:dyDescent="0.2">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25.43857383728027</v>
      </c>
      <c r="E143" s="24">
        <f>Table134681112[[#This Row],[PMI]]-B131</f>
        <v>-1.5</v>
      </c>
      <c r="F143" s="52">
        <f>(Table134681112[[#This Row],[EWU]]-D131)/D131</f>
        <v>-0.13379412728021292</v>
      </c>
    </row>
    <row r="144" spans="1:6" x14ac:dyDescent="0.2">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24.255014419555661</v>
      </c>
      <c r="E144" s="24">
        <f>Table134681112[[#This Row],[PMI]]-B132</f>
        <v>1.3000000000000043</v>
      </c>
      <c r="F144" s="52">
        <f>(Table134681112[[#This Row],[EWU]]-D132)/D132</f>
        <v>-0.12522006024931828</v>
      </c>
    </row>
    <row r="145" spans="1:6" x14ac:dyDescent="0.2">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25.230653762817379</v>
      </c>
      <c r="E145" s="24">
        <f>Table134681112[[#This Row],[PMI]]-B133</f>
        <v>-4</v>
      </c>
      <c r="F145" s="52">
        <f>(Table134681112[[#This Row],[EWU]]-D133)/D133</f>
        <v>-0.12030426748022434</v>
      </c>
    </row>
    <row r="146" spans="1:6" x14ac:dyDescent="0.2">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25.505599975585941</v>
      </c>
      <c r="E146" s="24">
        <f>Table134681112[[#This Row],[PMI]]-B134</f>
        <v>1.6000000000000014</v>
      </c>
      <c r="F146" s="52">
        <f>(Table134681112[[#This Row],[EWU]]-D134)/D134</f>
        <v>-3.3570437992577057E-2</v>
      </c>
    </row>
    <row r="147" spans="1:6" x14ac:dyDescent="0.2">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25.618814468383789</v>
      </c>
      <c r="E147" s="24">
        <f>Table134681112[[#This Row],[PMI]]-B135</f>
        <v>4</v>
      </c>
      <c r="F147" s="52">
        <f>(Table134681112[[#This Row],[EWU]]-D135)/D135</f>
        <v>1.0400971973027463E-2</v>
      </c>
    </row>
    <row r="148" spans="1:6" x14ac:dyDescent="0.2">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24.260238647460941</v>
      </c>
      <c r="E148" s="24">
        <f>Table134681112[[#This Row],[PMI]]-B136</f>
        <v>-0.5</v>
      </c>
      <c r="F148" s="52">
        <f>(Table134681112[[#This Row],[EWU]]-D136)/D136</f>
        <v>-0.10233183302662617</v>
      </c>
    </row>
    <row r="149" spans="1:6" x14ac:dyDescent="0.2">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24.308759689331051</v>
      </c>
      <c r="E149" s="24">
        <f>Table134681112[[#This Row],[PMI]]-B137</f>
        <v>0.90000000000000568</v>
      </c>
      <c r="F149" s="52">
        <f>(Table134681112[[#This Row],[EWU]]-D137)/D137</f>
        <v>-8.535345909277646E-2</v>
      </c>
    </row>
    <row r="150" spans="1:6" x14ac:dyDescent="0.2">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24.8182258605957</v>
      </c>
      <c r="E150" s="24">
        <f>Table134681112[[#This Row],[PMI]]-B138</f>
        <v>4.6000000000000014</v>
      </c>
      <c r="F150" s="52">
        <f>(Table134681112[[#This Row],[EWU]]-D138)/D138</f>
        <v>-6.012555874036837E-3</v>
      </c>
    </row>
    <row r="151" spans="1:6" x14ac:dyDescent="0.2">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25.784965515136719</v>
      </c>
      <c r="E151" s="24">
        <f>Table134681112[[#This Row],[PMI]]-B139</f>
        <v>3</v>
      </c>
      <c r="F151" s="52">
        <f>(Table134681112[[#This Row],[EWU]]-D139)/D139</f>
        <v>6.3770027502418142E-2</v>
      </c>
    </row>
    <row r="152" spans="1:6" x14ac:dyDescent="0.2">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26.162105560302731</v>
      </c>
      <c r="E152" s="24">
        <f>Table134681112[[#This Row],[PMI]]-B140</f>
        <v>3.7000000000000028</v>
      </c>
      <c r="F152" s="52">
        <f>(Table134681112[[#This Row],[EWU]]-D140)/D140</f>
        <v>0.11414594380858266</v>
      </c>
    </row>
    <row r="153" spans="1:6" x14ac:dyDescent="0.2">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26.686822891235352</v>
      </c>
      <c r="E153" s="24">
        <f>Table134681112[[#This Row],[PMI]]-B141</f>
        <v>3</v>
      </c>
      <c r="F153" s="52">
        <f>(Table134681112[[#This Row],[EWU]]-D141)/D141</f>
        <v>7.8507474237452801E-2</v>
      </c>
    </row>
    <row r="154" spans="1:6" x14ac:dyDescent="0.2">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27.137750625610352</v>
      </c>
      <c r="E154" s="24">
        <f>Table134681112[[#This Row],[PMI]]-B142</f>
        <v>7.7999999999999972</v>
      </c>
      <c r="F154" s="52">
        <f>(Table134681112[[#This Row],[EWU]]-D142)/D142</f>
        <v>5.4368069684940408E-2</v>
      </c>
    </row>
    <row r="155" spans="1:6" x14ac:dyDescent="0.2">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28.37575721740723</v>
      </c>
      <c r="E155" s="24">
        <f>Table134681112[[#This Row],[PMI]]-B143</f>
        <v>5.8999999999999986</v>
      </c>
      <c r="F155" s="52">
        <f>(Table134681112[[#This Row],[EWU]]-D143)/D143</f>
        <v>0.11546179431735726</v>
      </c>
    </row>
    <row r="156" spans="1:6" x14ac:dyDescent="0.2">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27.326322555541989</v>
      </c>
      <c r="E156" s="24">
        <f>Table134681112[[#This Row],[PMI]]-B144</f>
        <v>1.1999999999999957</v>
      </c>
      <c r="F156" s="52">
        <f>(Table134681112[[#This Row],[EWU]]-D144)/D144</f>
        <v>0.12662569821067923</v>
      </c>
    </row>
    <row r="157" spans="1:6" x14ac:dyDescent="0.2">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28.591032028198239</v>
      </c>
      <c r="E157" s="24">
        <f>Table134681112[[#This Row],[PMI]]-B145</f>
        <v>6.7999999999999972</v>
      </c>
      <c r="F157" s="52">
        <f>(Table134681112[[#This Row],[EWU]]-D145)/D145</f>
        <v>0.13318633345653041</v>
      </c>
    </row>
    <row r="158" spans="1:6" x14ac:dyDescent="0.2">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28.356405258178711</v>
      </c>
      <c r="E158" s="24">
        <f>Table134681112[[#This Row],[PMI]]-B146</f>
        <v>3.5999999999999943</v>
      </c>
      <c r="F158" s="52">
        <f>(Table134681112[[#This Row],[EWU]]-D146)/D146</f>
        <v>0.11177173974819536</v>
      </c>
    </row>
    <row r="159" spans="1:6" x14ac:dyDescent="0.2">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29.202739715576168</v>
      </c>
      <c r="E159" s="24">
        <f>Table134681112[[#This Row],[PMI]]-B147</f>
        <v>0.39999999999999858</v>
      </c>
      <c r="F159" s="52">
        <f>(Table134681112[[#This Row],[EWU]]-D147)/D147</f>
        <v>0.13989426605260388</v>
      </c>
    </row>
    <row r="160" spans="1:6" x14ac:dyDescent="0.2">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29.378707885742191</v>
      </c>
      <c r="E160" s="24">
        <f>Table134681112[[#This Row],[PMI]]-B148</f>
        <v>2.4000000000000057</v>
      </c>
      <c r="F160" s="52">
        <f>(Table134681112[[#This Row],[EWU]]-D148)/D148</f>
        <v>0.21098181731270585</v>
      </c>
    </row>
    <row r="161" spans="1:6" x14ac:dyDescent="0.2">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29.34519004821777</v>
      </c>
      <c r="E161" s="24">
        <f>Table134681112[[#This Row],[PMI]]-B149</f>
        <v>5.0999999999999943</v>
      </c>
      <c r="F161" s="52">
        <f>(Table134681112[[#This Row],[EWU]]-D149)/D149</f>
        <v>0.20718582203505734</v>
      </c>
    </row>
    <row r="162" spans="1:6" x14ac:dyDescent="0.2">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30.015560150146481</v>
      </c>
      <c r="E162" s="24">
        <f>Table134681112[[#This Row],[PMI]]-B150</f>
        <v>0.39999999999999858</v>
      </c>
      <c r="F162" s="52">
        <f>(Table134681112[[#This Row],[EWU]]-D150)/D150</f>
        <v>0.20941602831500833</v>
      </c>
    </row>
    <row r="163" spans="1:6" x14ac:dyDescent="0.2">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31.72566986083984</v>
      </c>
      <c r="E163" s="24">
        <f>Table134681112[[#This Row],[PMI]]-B151</f>
        <v>-0.20000000000000284</v>
      </c>
      <c r="F163" s="52">
        <f>(Table134681112[[#This Row],[EWU]]-D151)/D151</f>
        <v>0.23039411637823251</v>
      </c>
    </row>
    <row r="164" spans="1:6" x14ac:dyDescent="0.2">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29.59980392456055</v>
      </c>
      <c r="E164" s="24">
        <f>Table134681112[[#This Row],[PMI]]-B152</f>
        <v>0.39999999999999858</v>
      </c>
      <c r="F164" s="52">
        <f>(Table134681112[[#This Row],[EWU]]-D152)/D152</f>
        <v>0.13139991184325917</v>
      </c>
    </row>
    <row r="165" spans="1:6" x14ac:dyDescent="0.2">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29.668109893798832</v>
      </c>
      <c r="E165" s="24">
        <f>Table134681112[[#This Row],[PMI]]-B153</f>
        <v>0.79999999999999716</v>
      </c>
      <c r="F165" s="52">
        <f>(Table134681112[[#This Row],[EWU]]-D153)/D153</f>
        <v>0.11171382276241705</v>
      </c>
    </row>
    <row r="166" spans="1:6" x14ac:dyDescent="0.2">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30.948745727539059</v>
      </c>
      <c r="E166" s="24">
        <f>Table134681112[[#This Row],[PMI]]-B154</f>
        <v>-3.8999999999999986</v>
      </c>
      <c r="F166" s="52">
        <f>(Table134681112[[#This Row],[EWU]]-D154)/D154</f>
        <v>0.14043150276177302</v>
      </c>
    </row>
    <row r="167" spans="1:6" x14ac:dyDescent="0.2">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30.760917663574219</v>
      </c>
      <c r="E167" s="24">
        <f>Table134681112[[#This Row],[PMI]]-B155</f>
        <v>-2.2000000000000028</v>
      </c>
      <c r="F167" s="52">
        <f>(Table134681112[[#This Row],[EWU]]-D155)/D155</f>
        <v>8.4056274794450297E-2</v>
      </c>
    </row>
    <row r="168" spans="1:6" x14ac:dyDescent="0.2">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29.693719863891602</v>
      </c>
      <c r="E168" s="24">
        <f>Table134681112[[#This Row],[PMI]]-B156</f>
        <v>0</v>
      </c>
      <c r="F168" s="52">
        <f>(Table134681112[[#This Row],[EWU]]-D156)/D156</f>
        <v>8.663431764511198E-2</v>
      </c>
    </row>
    <row r="169" spans="1:6" x14ac:dyDescent="0.2">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30.68381309509277</v>
      </c>
      <c r="E169" s="24">
        <f>Table134681112[[#This Row],[PMI]]-B157</f>
        <v>-1.2999999999999972</v>
      </c>
      <c r="F169" s="52">
        <f>(Table134681112[[#This Row],[EWU]]-D157)/D157</f>
        <v>7.3197115264342388E-2</v>
      </c>
    </row>
    <row r="170" spans="1:6" x14ac:dyDescent="0.2">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29.337955474853519</v>
      </c>
      <c r="E170" s="24">
        <f>Table134681112[[#This Row],[PMI]]-B158</f>
        <v>-4</v>
      </c>
      <c r="F170" s="52">
        <f>(Table134681112[[#This Row],[EWU]]-D158)/D158</f>
        <v>3.4614761911392282E-2</v>
      </c>
    </row>
    <row r="171" spans="1:6" x14ac:dyDescent="0.2">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29.818618774414059</v>
      </c>
      <c r="E171" s="24">
        <f>Table134681112[[#This Row],[PMI]]-B159</f>
        <v>-2.2000000000000028</v>
      </c>
      <c r="F171" s="52">
        <f>(Table134681112[[#This Row],[EWU]]-D159)/D159</f>
        <v>2.1089769824212515E-2</v>
      </c>
    </row>
    <row r="172" spans="1:6" x14ac:dyDescent="0.2">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27.799833297729489</v>
      </c>
      <c r="E172" s="24">
        <f>Table134681112[[#This Row],[PMI]]-B160</f>
        <v>-5.1000000000000014</v>
      </c>
      <c r="F172" s="52">
        <f>(Table134681112[[#This Row],[EWU]]-D160)/D160</f>
        <v>-5.374213849544239E-2</v>
      </c>
    </row>
    <row r="173" spans="1:6" x14ac:dyDescent="0.2">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27.46773719787598</v>
      </c>
      <c r="E173" s="24">
        <f>Table134681112[[#This Row],[PMI]]-B161</f>
        <v>-5.1999999999999957</v>
      </c>
      <c r="F173" s="52">
        <f>(Table134681112[[#This Row],[EWU]]-D161)/D161</f>
        <v>-6.3978214053373075E-2</v>
      </c>
    </row>
    <row r="174" spans="1:6" x14ac:dyDescent="0.2">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25.649955749511719</v>
      </c>
      <c r="E174" s="24">
        <f>Table134681112[[#This Row],[PMI]]-B162</f>
        <v>-1.7999999999999972</v>
      </c>
      <c r="F174" s="52">
        <f>(Table134681112[[#This Row],[EWU]]-D162)/D162</f>
        <v>-0.14544470863767828</v>
      </c>
    </row>
    <row r="175" spans="1:6" x14ac:dyDescent="0.2">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28.120260238647461</v>
      </c>
      <c r="E175" s="24">
        <f>Table134681112[[#This Row],[PMI]]-B163</f>
        <v>-2.2000000000000028</v>
      </c>
      <c r="F175" s="52">
        <f>(Table134681112[[#This Row],[EWU]]-D163)/D163</f>
        <v>-0.11364329383767145</v>
      </c>
    </row>
    <row r="176" spans="1:6" x14ac:dyDescent="0.2">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29.08469200134277</v>
      </c>
      <c r="E176" s="24">
        <f>Table134681112[[#This Row],[PMI]]-B164</f>
        <v>-2.8999999999999986</v>
      </c>
      <c r="F176" s="52">
        <f>(Table134681112[[#This Row],[EWU]]-D164)/D164</f>
        <v>-1.7402545115860191E-2</v>
      </c>
    </row>
    <row r="177" spans="1:6" x14ac:dyDescent="0.2">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29.477603912353519</v>
      </c>
      <c r="E177" s="24">
        <f>Table134681112[[#This Row],[PMI]]-B165</f>
        <v>0.20000000000000284</v>
      </c>
      <c r="F177" s="52">
        <f>(Table134681112[[#This Row],[EWU]]-D165)/D165</f>
        <v>-6.4212375553163118E-3</v>
      </c>
    </row>
    <row r="178" spans="1:6" x14ac:dyDescent="0.2">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30.147346496582031</v>
      </c>
      <c r="E178" s="24">
        <f>Table134681112[[#This Row],[PMI]]-B166</f>
        <v>-0.79999999999999716</v>
      </c>
      <c r="F178" s="52">
        <f>(Table134681112[[#This Row],[EWU]]-D166)/D166</f>
        <v>-2.5894400956091745E-2</v>
      </c>
    </row>
    <row r="179" spans="1:6" x14ac:dyDescent="0.2">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28.298860549926761</v>
      </c>
      <c r="E179" s="24">
        <f>Table134681112[[#This Row],[PMI]]-B167</f>
        <v>-5</v>
      </c>
      <c r="F179" s="52">
        <f>(Table134681112[[#This Row],[EWU]]-D167)/D167</f>
        <v>-8.0038480664798947E-2</v>
      </c>
    </row>
    <row r="180" spans="1:6" x14ac:dyDescent="0.2">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28.861440658569339</v>
      </c>
      <c r="E180" s="24">
        <f>Table134681112[[#This Row],[PMI]]-B168</f>
        <v>-6.3999999999999986</v>
      </c>
      <c r="F180" s="52">
        <f>(Table134681112[[#This Row],[EWU]]-D168)/D168</f>
        <v>-2.8028795622010869E-2</v>
      </c>
    </row>
    <row r="181" spans="1:6" x14ac:dyDescent="0.2">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28.885261535644531</v>
      </c>
      <c r="E181" s="24">
        <f>Table134681112[[#This Row],[PMI]]-B169</f>
        <v>-6</v>
      </c>
      <c r="F181" s="52">
        <f>(Table134681112[[#This Row],[EWU]]-D169)/D169</f>
        <v>-5.8615647079921729E-2</v>
      </c>
    </row>
    <row r="182" spans="1:6" x14ac:dyDescent="0.2">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27.7862663269043</v>
      </c>
      <c r="E182" s="24">
        <f>Table134681112[[#This Row],[PMI]]-B170</f>
        <v>-5.3999999999999986</v>
      </c>
      <c r="F182" s="52">
        <f>(Table134681112[[#This Row],[EWU]]-D170)/D170</f>
        <v>-5.2890159618628509E-2</v>
      </c>
    </row>
    <row r="183" spans="1:6" x14ac:dyDescent="0.2">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28.78452110290527</v>
      </c>
      <c r="E183" s="24">
        <f>Table134681112[[#This Row],[PMI]]-B171</f>
        <v>-5.5</v>
      </c>
      <c r="F183" s="52">
        <f>(Table134681112[[#This Row],[EWU]]-D171)/D171</f>
        <v>-3.4679596641682783E-2</v>
      </c>
    </row>
    <row r="184" spans="1:6" x14ac:dyDescent="0.2">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29.791933059692379</v>
      </c>
      <c r="E184" s="24">
        <f>Table134681112[[#This Row],[PMI]]-B172</f>
        <v>-1.5</v>
      </c>
      <c r="F184" s="52">
        <f>(Table134681112[[#This Row],[EWU]]-D172)/D172</f>
        <v>7.165869451906362E-2</v>
      </c>
    </row>
    <row r="185" spans="1:6" x14ac:dyDescent="0.2">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30.158267974853519</v>
      </c>
      <c r="E185" s="24">
        <f>Table134681112[[#This Row],[PMI]]-B173</f>
        <v>-4.2000000000000028</v>
      </c>
      <c r="F185" s="52">
        <f>(Table134681112[[#This Row],[EWU]]-D173)/D173</f>
        <v>9.7952399849871571E-2</v>
      </c>
    </row>
    <row r="186" spans="1:6" x14ac:dyDescent="0.2">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31.22978591918945</v>
      </c>
      <c r="E186" s="24">
        <f>Table134681112[[#This Row],[PMI]]-B174</f>
        <v>-6.7000000000000028</v>
      </c>
      <c r="F186" s="52">
        <f>(Table134681112[[#This Row],[EWU]]-D174)/D174</f>
        <v>0.21753761387225592</v>
      </c>
    </row>
    <row r="187" spans="1:6" x14ac:dyDescent="0.2">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30.427158355712891</v>
      </c>
      <c r="E187" s="24">
        <f>Table134681112[[#This Row],[PMI]]-B175</f>
        <v>-2.7999999999999972</v>
      </c>
      <c r="F187" s="52">
        <f>(Table134681112[[#This Row],[EWU]]-D175)/D175</f>
        <v>8.203686941328206E-2</v>
      </c>
    </row>
    <row r="188" spans="1:6" x14ac:dyDescent="0.2">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27.313592910766602</v>
      </c>
      <c r="E188" s="24">
        <f>Table134681112[[#This Row],[PMI]]-B176</f>
        <v>-0.29999999999999716</v>
      </c>
      <c r="F188" s="52">
        <f>(Table134681112[[#This Row],[EWU]]-D176)/D176</f>
        <v>-6.0894545161227803E-2</v>
      </c>
    </row>
    <row r="189" spans="1:6" x14ac:dyDescent="0.2">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22.261043548583981</v>
      </c>
      <c r="E189" s="24">
        <f>Table134681112[[#This Row],[PMI]]-B177</f>
        <v>-7.3000000000000043</v>
      </c>
      <c r="F189" s="52">
        <f>(Table134681112[[#This Row],[EWU]]-D177)/D177</f>
        <v>-0.24481502584900433</v>
      </c>
    </row>
    <row r="190" spans="1:6" x14ac:dyDescent="0.2">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23.538166046142582</v>
      </c>
      <c r="E190" s="24">
        <f>Table134681112[[#This Row],[PMI]]-B178</f>
        <v>-20.5</v>
      </c>
      <c r="F190" s="52">
        <f>(Table134681112[[#This Row],[EWU]]-D178)/D178</f>
        <v>-0.21922925956978562</v>
      </c>
    </row>
    <row r="191" spans="1:6" x14ac:dyDescent="0.2">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23.985622406005859</v>
      </c>
      <c r="E191" s="24">
        <f>Table134681112[[#This Row],[PMI]]-B179</f>
        <v>-8.6999999999999957</v>
      </c>
      <c r="F191" s="52">
        <f>(Table134681112[[#This Row],[EWU]]-D179)/D179</f>
        <v>-0.15241737865421104</v>
      </c>
    </row>
    <row r="192" spans="1:6" x14ac:dyDescent="0.2">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24.013591766357418</v>
      </c>
      <c r="E192" s="24">
        <f>Table134681112[[#This Row],[PMI]]-B180</f>
        <v>2.1000000000000014</v>
      </c>
      <c r="F192" s="52">
        <f>(Table134681112[[#This Row],[EWU]]-D180)/D180</f>
        <v>-0.16796974723340885</v>
      </c>
    </row>
    <row r="193" spans="1:6" x14ac:dyDescent="0.2">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24.541494369506839</v>
      </c>
      <c r="E193" s="24">
        <f>Table134681112[[#This Row],[PMI]]-B181</f>
        <v>5.2999999999999972</v>
      </c>
      <c r="F193" s="52">
        <f>(Table134681112[[#This Row],[EWU]]-D181)/D181</f>
        <v>-0.15038005319001405</v>
      </c>
    </row>
    <row r="194" spans="1:6" x14ac:dyDescent="0.2">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25.213474273681641</v>
      </c>
      <c r="E194" s="24">
        <f>Table134681112[[#This Row],[PMI]]-B182</f>
        <v>7.8000000000000043</v>
      </c>
      <c r="F194" s="52">
        <f>(Table134681112[[#This Row],[EWU]]-D182)/D182</f>
        <v>-9.2592218866466805E-2</v>
      </c>
    </row>
    <row r="195" spans="1:6" x14ac:dyDescent="0.2">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24.125057220458981</v>
      </c>
      <c r="E195" s="24">
        <f>Table134681112[[#This Row],[PMI]]-B183</f>
        <v>5.8000000000000043</v>
      </c>
      <c r="F195" s="52">
        <f>(Table134681112[[#This Row],[EWU]]-D183)/D183</f>
        <v>-0.16187394140721006</v>
      </c>
    </row>
    <row r="196" spans="1:6" x14ac:dyDescent="0.2">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23.036638259887699</v>
      </c>
      <c r="E196" s="24">
        <f>Table134681112[[#This Row],[PMI]]-B184</f>
        <v>4.1000000000000014</v>
      </c>
      <c r="F196" s="52">
        <f>(Table134681112[[#This Row],[EWU]]-D184)/D184</f>
        <v>-0.22674912655951146</v>
      </c>
    </row>
    <row r="197" spans="1:6" x14ac:dyDescent="0.2">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26.74672698974609</v>
      </c>
      <c r="E197" s="24">
        <f>Table134681112[[#This Row],[PMI]]-B185</f>
        <v>6.7000000000000028</v>
      </c>
      <c r="F197" s="52">
        <f>(Table134681112[[#This Row],[EWU]]-D185)/D185</f>
        <v>-0.11312125046279284</v>
      </c>
    </row>
    <row r="198" spans="1:6" x14ac:dyDescent="0.2">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27.721574783325199</v>
      </c>
      <c r="E198" s="24">
        <f>Table134681112[[#This Row],[PMI]]-B186</f>
        <v>10</v>
      </c>
      <c r="F198" s="52">
        <f>(Table134681112[[#This Row],[EWU]]-D186)/D186</f>
        <v>-0.11233542058027993</v>
      </c>
    </row>
    <row r="199" spans="1:6" x14ac:dyDescent="0.2">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27.971511840820309</v>
      </c>
      <c r="E199" s="24">
        <f>Table134681112[[#This Row],[PMI]]-B187</f>
        <v>4.1000000000000014</v>
      </c>
      <c r="F199" s="52">
        <f>(Table134681112[[#This Row],[EWU]]-D187)/D187</f>
        <v>-8.0705746037290346E-2</v>
      </c>
    </row>
    <row r="200" spans="1:6" x14ac:dyDescent="0.2">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29.0723762512207</v>
      </c>
      <c r="E200" s="24">
        <f>Table134681112[[#This Row],[PMI]]-B188</f>
        <v>3.3999999999999986</v>
      </c>
      <c r="F200" s="52">
        <f>(Table134681112[[#This Row],[EWU]]-D188)/D188</f>
        <v>6.4392236722573853E-2</v>
      </c>
    </row>
    <row r="201" spans="1:6" x14ac:dyDescent="0.2">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29.972211837768551</v>
      </c>
      <c r="E201" s="24">
        <f>Table134681112[[#This Row],[PMI]]-B189</f>
        <v>11.100000000000001</v>
      </c>
      <c r="F201" s="52">
        <f>(Table134681112[[#This Row],[EWU]]-D189)/D189</f>
        <v>0.34639743066650064</v>
      </c>
    </row>
    <row r="202" spans="1:6" x14ac:dyDescent="0.2">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31.140083312988281</v>
      </c>
      <c r="E202" s="24">
        <f>Table134681112[[#This Row],[PMI]]-B190</f>
        <v>28.299999999999997</v>
      </c>
      <c r="F202" s="52">
        <f>(Table134681112[[#This Row],[EWU]]-D190)/D190</f>
        <v>0.3229613238322574</v>
      </c>
    </row>
    <row r="203" spans="1:6" x14ac:dyDescent="0.2">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32.34625244140625</v>
      </c>
      <c r="E203" s="24">
        <f>Table134681112[[#This Row],[PMI]]-B191</f>
        <v>24.899999999999991</v>
      </c>
      <c r="F203" s="52">
        <f>(Table134681112[[#This Row],[EWU]]-D191)/D191</f>
        <v>0.34856840043087389</v>
      </c>
    </row>
    <row r="204" spans="1:6" x14ac:dyDescent="0.2">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31.302822113037109</v>
      </c>
      <c r="E204" s="24">
        <f>Table134681112[[#This Row],[PMI]]-B192</f>
        <v>13.799999999999997</v>
      </c>
      <c r="F204" s="52">
        <f>(Table134681112[[#This Row],[EWU]]-D192)/D192</f>
        <v>0.30354602583407631</v>
      </c>
    </row>
    <row r="205" spans="1:6" x14ac:dyDescent="0.2">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31.9211540222168</v>
      </c>
      <c r="E205" s="24">
        <f>Table134681112[[#This Row],[PMI]]-B193</f>
        <v>7.1000000000000014</v>
      </c>
      <c r="F205" s="52">
        <f>(Table134681112[[#This Row],[EWU]]-D193)/D193</f>
        <v>0.3007013159671032</v>
      </c>
    </row>
    <row r="206" spans="1:6" x14ac:dyDescent="0.2">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32.135322570800781</v>
      </c>
      <c r="E206" s="24">
        <f>Table134681112[[#This Row],[PMI]]-B194</f>
        <v>5.0999999999999943</v>
      </c>
      <c r="F206" s="52">
        <f>(Table134681112[[#This Row],[EWU]]-D194)/D194</f>
        <v>0.27452973049193435</v>
      </c>
    </row>
    <row r="207" spans="1:6" x14ac:dyDescent="0.2">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31.395462036132809</v>
      </c>
      <c r="E207" s="24">
        <f>Table134681112[[#This Row],[PMI]]-B195</f>
        <v>3</v>
      </c>
      <c r="F207" s="52">
        <f>(Table134681112[[#This Row],[EWU]]-D195)/D195</f>
        <v>0.30136321540030353</v>
      </c>
    </row>
    <row r="208" spans="1:6" x14ac:dyDescent="0.2">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32.787570953369141</v>
      </c>
      <c r="E208" s="24">
        <f>Table134681112[[#This Row],[PMI]]-B196</f>
        <v>4.0999999999999943</v>
      </c>
      <c r="F208" s="52">
        <f>(Table134681112[[#This Row],[EWU]]-D196)/D196</f>
        <v>0.42327932502461307</v>
      </c>
    </row>
    <row r="209" spans="1:6" x14ac:dyDescent="0.2">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31.19102668762207</v>
      </c>
      <c r="E209" s="24">
        <f>Table134681112[[#This Row],[PMI]]-B197</f>
        <v>2.5</v>
      </c>
      <c r="F209" s="52">
        <f>(Table134681112[[#This Row],[EWU]]-D197)/D197</f>
        <v>0.16616237566487271</v>
      </c>
    </row>
    <row r="210" spans="1:6" x14ac:dyDescent="0.2">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32.261878967285163</v>
      </c>
      <c r="E210" s="24">
        <f>Table134681112[[#This Row],[PMI]]-B198</f>
        <v>0.39999999999999858</v>
      </c>
      <c r="F210" s="52">
        <f>(Table134681112[[#This Row],[EWU]]-D198)/D198</f>
        <v>0.16378233269384834</v>
      </c>
    </row>
    <row r="211" spans="1:6" x14ac:dyDescent="0.2">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33.889999389648438</v>
      </c>
      <c r="E211" s="24">
        <f>Table134681112[[#This Row],[PMI]]-B199</f>
        <v>2.7999999999999972</v>
      </c>
      <c r="F211" s="52">
        <f>(Table134681112[[#This Row],[EWU]]-D199)/D199</f>
        <v>0.21158983406077345</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87"/>
  <sheetViews>
    <sheetView zoomScale="160" zoomScaleNormal="160" workbookViewId="0">
      <pane ySplit="5" topLeftCell="A154" activePane="bottomLeft" state="frozen"/>
      <selection pane="bottomLeft" activeCell="U166" sqref="U166"/>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54</v>
      </c>
      <c r="K1" s="63" t="s">
        <v>107</v>
      </c>
    </row>
    <row r="2" spans="1:11" x14ac:dyDescent="0.2">
      <c r="K2" s="63" t="str">
        <f>A1&amp;K1</f>
        <v>Italy Manufacturing PMI</v>
      </c>
    </row>
    <row r="4" spans="1:11" ht="16" customHeight="1" thickBot="1" x14ac:dyDescent="0.25"/>
    <row r="5" spans="1:11" ht="16" customHeight="1" thickBot="1" x14ac:dyDescent="0.25">
      <c r="A5" s="21" t="s">
        <v>44</v>
      </c>
      <c r="B5" s="22" t="s">
        <v>103</v>
      </c>
      <c r="C5" s="22" t="s">
        <v>104</v>
      </c>
    </row>
    <row r="6" spans="1:11" x14ac:dyDescent="0.2">
      <c r="A6" s="17">
        <v>39052</v>
      </c>
      <c r="B6" s="18">
        <f>IF(VLOOKUP(A6,'DB Country PMI'!$A:$AZ,MATCH($A$1,'DB Country PMI'!$A$1:$AZ$1,),)=0,#N/A,VLOOKUP(A6,'DB Country PMI'!$A:$AZ,MATCH($A$1,'DB Country PMI'!$A$1:$AZ$1,),))</f>
        <v>55</v>
      </c>
      <c r="C6" s="18"/>
    </row>
    <row r="7" spans="1:11" x14ac:dyDescent="0.2">
      <c r="A7" s="10">
        <v>39083</v>
      </c>
      <c r="B7" s="18">
        <f>IF(VLOOKUP(A7,'DB Country PMI'!$A:$AZ,MATCH($A$1,'DB Country PMI'!$A$1:$AZ$1,),)=0,#N/A,VLOOKUP(A7,'DB Country PMI'!$A:$AZ,MATCH($A$1,'DB Country PMI'!$A$1:$AZ$1,),))</f>
        <v>53.5</v>
      </c>
      <c r="C7" s="24">
        <f>Table13468111214151617[[#This Row],[PMI]]-B6</f>
        <v>-1.5</v>
      </c>
    </row>
    <row r="8" spans="1:11" x14ac:dyDescent="0.2">
      <c r="A8" s="10">
        <v>39114</v>
      </c>
      <c r="B8" s="18">
        <f>IF(VLOOKUP(A8,'DB Country PMI'!$A:$AZ,MATCH($A$1,'DB Country PMI'!$A$1:$AZ$1,),)=0,#N/A,VLOOKUP(A8,'DB Country PMI'!$A:$AZ,MATCH($A$1,'DB Country PMI'!$A$1:$AZ$1,),))</f>
        <v>54.2</v>
      </c>
      <c r="C8" s="24">
        <f>Table13468111214151617[[#This Row],[PMI]]-B7</f>
        <v>0.70000000000000284</v>
      </c>
    </row>
    <row r="9" spans="1:11" x14ac:dyDescent="0.2">
      <c r="A9" s="10">
        <v>39142</v>
      </c>
      <c r="B9" s="18">
        <f>IF(VLOOKUP(A9,'DB Country PMI'!$A:$AZ,MATCH($A$1,'DB Country PMI'!$A$1:$AZ$1,),)=0,#N/A,VLOOKUP(A9,'DB Country PMI'!$A:$AZ,MATCH($A$1,'DB Country PMI'!$A$1:$AZ$1,),))</f>
        <v>53.8</v>
      </c>
      <c r="C9" s="24">
        <f>Table13468111214151617[[#This Row],[PMI]]-B8</f>
        <v>-0.40000000000000568</v>
      </c>
    </row>
    <row r="10" spans="1:11" x14ac:dyDescent="0.2">
      <c r="A10" s="10">
        <v>39173</v>
      </c>
      <c r="B10" s="18">
        <f>IF(VLOOKUP(A10,'DB Country PMI'!$A:$AZ,MATCH($A$1,'DB Country PMI'!$A$1:$AZ$1,),)=0,#N/A,VLOOKUP(A10,'DB Country PMI'!$A:$AZ,MATCH($A$1,'DB Country PMI'!$A$1:$AZ$1,),))</f>
        <v>53.9</v>
      </c>
      <c r="C10" s="24">
        <f>Table13468111214151617[[#This Row],[PMI]]-B9</f>
        <v>0.10000000000000142</v>
      </c>
    </row>
    <row r="11" spans="1:11" x14ac:dyDescent="0.2">
      <c r="A11" s="10">
        <v>39203</v>
      </c>
      <c r="B11" s="18">
        <f>IF(VLOOKUP(A11,'DB Country PMI'!$A:$AZ,MATCH($A$1,'DB Country PMI'!$A$1:$AZ$1,),)=0,#N/A,VLOOKUP(A11,'DB Country PMI'!$A:$AZ,MATCH($A$1,'DB Country PMI'!$A$1:$AZ$1,),))</f>
        <v>55</v>
      </c>
      <c r="C11" s="24">
        <f>Table13468111214151617[[#This Row],[PMI]]-B10</f>
        <v>1.1000000000000014</v>
      </c>
    </row>
    <row r="12" spans="1:11" x14ac:dyDescent="0.2">
      <c r="A12" s="10">
        <v>39234</v>
      </c>
      <c r="B12" s="18">
        <f>IF(VLOOKUP(A12,'DB Country PMI'!$A:$AZ,MATCH($A$1,'DB Country PMI'!$A$1:$AZ$1,),)=0,#N/A,VLOOKUP(A12,'DB Country PMI'!$A:$AZ,MATCH($A$1,'DB Country PMI'!$A$1:$AZ$1,),))</f>
        <v>54</v>
      </c>
      <c r="C12" s="24">
        <f>Table13468111214151617[[#This Row],[PMI]]-B11</f>
        <v>-1</v>
      </c>
    </row>
    <row r="13" spans="1:11" x14ac:dyDescent="0.2">
      <c r="A13" s="10">
        <v>39264</v>
      </c>
      <c r="B13" s="18">
        <f>IF(VLOOKUP(A13,'DB Country PMI'!$A:$AZ,MATCH($A$1,'DB Country PMI'!$A$1:$AZ$1,),)=0,#N/A,VLOOKUP(A13,'DB Country PMI'!$A:$AZ,MATCH($A$1,'DB Country PMI'!$A$1:$AZ$1,),))</f>
        <v>53.3</v>
      </c>
      <c r="C13" s="24">
        <f>Table13468111214151617[[#This Row],[PMI]]-B12</f>
        <v>-0.70000000000000284</v>
      </c>
    </row>
    <row r="14" spans="1:11" x14ac:dyDescent="0.2">
      <c r="A14" s="10">
        <v>39295</v>
      </c>
      <c r="B14" s="18">
        <f>IF(VLOOKUP(A14,'DB Country PMI'!$A:$AZ,MATCH($A$1,'DB Country PMI'!$A$1:$AZ$1,),)=0,#N/A,VLOOKUP(A14,'DB Country PMI'!$A:$AZ,MATCH($A$1,'DB Country PMI'!$A$1:$AZ$1,),))</f>
        <v>53.6</v>
      </c>
      <c r="C14" s="24">
        <f>Table13468111214151617[[#This Row],[PMI]]-B13</f>
        <v>0.30000000000000426</v>
      </c>
    </row>
    <row r="15" spans="1:11" x14ac:dyDescent="0.2">
      <c r="A15" s="10">
        <v>39326</v>
      </c>
      <c r="B15" s="18">
        <f>IF(VLOOKUP(A15,'DB Country PMI'!$A:$AZ,MATCH($A$1,'DB Country PMI'!$A$1:$AZ$1,),)=0,#N/A,VLOOKUP(A15,'DB Country PMI'!$A:$AZ,MATCH($A$1,'DB Country PMI'!$A$1:$AZ$1,),))</f>
        <v>52.4</v>
      </c>
      <c r="C15" s="24">
        <f>Table13468111214151617[[#This Row],[PMI]]-B14</f>
        <v>-1.2000000000000028</v>
      </c>
    </row>
    <row r="16" spans="1:11" x14ac:dyDescent="0.2">
      <c r="A16" s="10">
        <v>39356</v>
      </c>
      <c r="B16" s="18">
        <f>IF(VLOOKUP(A16,'DB Country PMI'!$A:$AZ,MATCH($A$1,'DB Country PMI'!$A$1:$AZ$1,),)=0,#N/A,VLOOKUP(A16,'DB Country PMI'!$A:$AZ,MATCH($A$1,'DB Country PMI'!$A$1:$AZ$1,),))</f>
        <v>51.3</v>
      </c>
      <c r="C16" s="24">
        <f>Table13468111214151617[[#This Row],[PMI]]-B15</f>
        <v>-1.1000000000000014</v>
      </c>
    </row>
    <row r="17" spans="1:3" x14ac:dyDescent="0.2">
      <c r="A17" s="10">
        <v>39387</v>
      </c>
      <c r="B17" s="18">
        <f>IF(VLOOKUP(A17,'DB Country PMI'!$A:$AZ,MATCH($A$1,'DB Country PMI'!$A$1:$AZ$1,),)=0,#N/A,VLOOKUP(A17,'DB Country PMI'!$A:$AZ,MATCH($A$1,'DB Country PMI'!$A$1:$AZ$1,),))</f>
        <v>51.3</v>
      </c>
      <c r="C17" s="24">
        <f>Table13468111214151617[[#This Row],[PMI]]-B16</f>
        <v>0</v>
      </c>
    </row>
    <row r="18" spans="1:3" x14ac:dyDescent="0.2">
      <c r="A18" s="10">
        <v>39417</v>
      </c>
      <c r="B18" s="18">
        <f>IF(VLOOKUP(A18,'DB Country PMI'!$A:$AZ,MATCH($A$1,'DB Country PMI'!$A$1:$AZ$1,),)=0,#N/A,VLOOKUP(A18,'DB Country PMI'!$A:$AZ,MATCH($A$1,'DB Country PMI'!$A$1:$AZ$1,),))</f>
        <v>50.7</v>
      </c>
      <c r="C18" s="24">
        <f>Table13468111214151617[[#This Row],[PMI]]-B17</f>
        <v>-0.59999999999999432</v>
      </c>
    </row>
    <row r="19" spans="1:3" x14ac:dyDescent="0.2">
      <c r="A19" s="10">
        <v>39448</v>
      </c>
      <c r="B19" s="18">
        <f>IF(VLOOKUP(A19,'DB Country PMI'!$A:$AZ,MATCH($A$1,'DB Country PMI'!$A$1:$AZ$1,),)=0,#N/A,VLOOKUP(A19,'DB Country PMI'!$A:$AZ,MATCH($A$1,'DB Country PMI'!$A$1:$AZ$1,),))</f>
        <v>50.8</v>
      </c>
      <c r="C19" s="24">
        <f>Table13468111214151617[[#This Row],[PMI]]-B18</f>
        <v>9.9999999999994316E-2</v>
      </c>
    </row>
    <row r="20" spans="1:3" x14ac:dyDescent="0.2">
      <c r="A20" s="10">
        <v>39479</v>
      </c>
      <c r="B20" s="18">
        <f>IF(VLOOKUP(A20,'DB Country PMI'!$A:$AZ,MATCH($A$1,'DB Country PMI'!$A$1:$AZ$1,),)=0,#N/A,VLOOKUP(A20,'DB Country PMI'!$A:$AZ,MATCH($A$1,'DB Country PMI'!$A$1:$AZ$1,),))</f>
        <v>50.6</v>
      </c>
      <c r="C20" s="24">
        <f>Table13468111214151617[[#This Row],[PMI]]-B19</f>
        <v>-0.19999999999999574</v>
      </c>
    </row>
    <row r="21" spans="1:3" x14ac:dyDescent="0.2">
      <c r="A21" s="10">
        <v>39508</v>
      </c>
      <c r="B21" s="18">
        <f>IF(VLOOKUP(A21,'DB Country PMI'!$A:$AZ,MATCH($A$1,'DB Country PMI'!$A$1:$AZ$1,),)=0,#N/A,VLOOKUP(A21,'DB Country PMI'!$A:$AZ,MATCH($A$1,'DB Country PMI'!$A$1:$AZ$1,),))</f>
        <v>49.4</v>
      </c>
      <c r="C21" s="24">
        <f>Table13468111214151617[[#This Row],[PMI]]-B20</f>
        <v>-1.2000000000000028</v>
      </c>
    </row>
    <row r="22" spans="1:3" x14ac:dyDescent="0.2">
      <c r="A22" s="10">
        <v>39539</v>
      </c>
      <c r="B22" s="18">
        <f>IF(VLOOKUP(A22,'DB Country PMI'!$A:$AZ,MATCH($A$1,'DB Country PMI'!$A$1:$AZ$1,),)=0,#N/A,VLOOKUP(A22,'DB Country PMI'!$A:$AZ,MATCH($A$1,'DB Country PMI'!$A$1:$AZ$1,),))</f>
        <v>48.2</v>
      </c>
      <c r="C22" s="24">
        <f>Table13468111214151617[[#This Row],[PMI]]-B21</f>
        <v>-1.1999999999999957</v>
      </c>
    </row>
    <row r="23" spans="1:3" x14ac:dyDescent="0.2">
      <c r="A23" s="10">
        <v>39569</v>
      </c>
      <c r="B23" s="18">
        <f>IF(VLOOKUP(A23,'DB Country PMI'!$A:$AZ,MATCH($A$1,'DB Country PMI'!$A$1:$AZ$1,),)=0,#N/A,VLOOKUP(A23,'DB Country PMI'!$A:$AZ,MATCH($A$1,'DB Country PMI'!$A$1:$AZ$1,),))</f>
        <v>48</v>
      </c>
      <c r="C23" s="24">
        <f>Table13468111214151617[[#This Row],[PMI]]-B22</f>
        <v>-0.20000000000000284</v>
      </c>
    </row>
    <row r="24" spans="1:3" x14ac:dyDescent="0.2">
      <c r="A24" s="10">
        <v>39600</v>
      </c>
      <c r="B24" s="18">
        <f>IF(VLOOKUP(A24,'DB Country PMI'!$A:$AZ,MATCH($A$1,'DB Country PMI'!$A$1:$AZ$1,),)=0,#N/A,VLOOKUP(A24,'DB Country PMI'!$A:$AZ,MATCH($A$1,'DB Country PMI'!$A$1:$AZ$1,),))</f>
        <v>46.9</v>
      </c>
      <c r="C24" s="24">
        <f>Table13468111214151617[[#This Row],[PMI]]-B23</f>
        <v>-1.1000000000000014</v>
      </c>
    </row>
    <row r="25" spans="1:3" x14ac:dyDescent="0.2">
      <c r="A25" s="10">
        <v>39630</v>
      </c>
      <c r="B25" s="18">
        <f>IF(VLOOKUP(A25,'DB Country PMI'!$A:$AZ,MATCH($A$1,'DB Country PMI'!$A$1:$AZ$1,),)=0,#N/A,VLOOKUP(A25,'DB Country PMI'!$A:$AZ,MATCH($A$1,'DB Country PMI'!$A$1:$AZ$1,),))</f>
        <v>45.3</v>
      </c>
      <c r="C25" s="24">
        <f>Table13468111214151617[[#This Row],[PMI]]-B24</f>
        <v>-1.6000000000000014</v>
      </c>
    </row>
    <row r="26" spans="1:3" x14ac:dyDescent="0.2">
      <c r="A26" s="10">
        <v>39661</v>
      </c>
      <c r="B26" s="18">
        <f>IF(VLOOKUP(A26,'DB Country PMI'!$A:$AZ,MATCH($A$1,'DB Country PMI'!$A$1:$AZ$1,),)=0,#N/A,VLOOKUP(A26,'DB Country PMI'!$A:$AZ,MATCH($A$1,'DB Country PMI'!$A$1:$AZ$1,),))</f>
        <v>47.1</v>
      </c>
      <c r="C26" s="24">
        <f>Table13468111214151617[[#This Row],[PMI]]-B25</f>
        <v>1.8000000000000043</v>
      </c>
    </row>
    <row r="27" spans="1:3" x14ac:dyDescent="0.2">
      <c r="A27" s="10">
        <v>39692</v>
      </c>
      <c r="B27" s="18">
        <f>IF(VLOOKUP(A27,'DB Country PMI'!$A:$AZ,MATCH($A$1,'DB Country PMI'!$A$1:$AZ$1,),)=0,#N/A,VLOOKUP(A27,'DB Country PMI'!$A:$AZ,MATCH($A$1,'DB Country PMI'!$A$1:$AZ$1,),))</f>
        <v>44.4</v>
      </c>
      <c r="C27" s="24">
        <f>Table13468111214151617[[#This Row],[PMI]]-B26</f>
        <v>-2.7000000000000028</v>
      </c>
    </row>
    <row r="28" spans="1:3" x14ac:dyDescent="0.2">
      <c r="A28" s="10">
        <v>39722</v>
      </c>
      <c r="B28" s="18">
        <f>IF(VLOOKUP(A28,'DB Country PMI'!$A:$AZ,MATCH($A$1,'DB Country PMI'!$A$1:$AZ$1,),)=0,#N/A,VLOOKUP(A28,'DB Country PMI'!$A:$AZ,MATCH($A$1,'DB Country PMI'!$A$1:$AZ$1,),))</f>
        <v>39.700000000000003</v>
      </c>
      <c r="C28" s="24">
        <f>Table13468111214151617[[#This Row],[PMI]]-B27</f>
        <v>-4.6999999999999957</v>
      </c>
    </row>
    <row r="29" spans="1:3" x14ac:dyDescent="0.2">
      <c r="A29" s="10">
        <v>39753</v>
      </c>
      <c r="B29" s="18">
        <f>IF(VLOOKUP(A29,'DB Country PMI'!$A:$AZ,MATCH($A$1,'DB Country PMI'!$A$1:$AZ$1,),)=0,#N/A,VLOOKUP(A29,'DB Country PMI'!$A:$AZ,MATCH($A$1,'DB Country PMI'!$A$1:$AZ$1,),))</f>
        <v>34.9</v>
      </c>
      <c r="C29" s="24">
        <f>Table13468111214151617[[#This Row],[PMI]]-B28</f>
        <v>-4.8000000000000043</v>
      </c>
    </row>
    <row r="30" spans="1:3" x14ac:dyDescent="0.2">
      <c r="A30" s="10">
        <v>39783</v>
      </c>
      <c r="B30" s="18">
        <f>IF(VLOOKUP(A30,'DB Country PMI'!$A:$AZ,MATCH($A$1,'DB Country PMI'!$A$1:$AZ$1,),)=0,#N/A,VLOOKUP(A30,'DB Country PMI'!$A:$AZ,MATCH($A$1,'DB Country PMI'!$A$1:$AZ$1,),))</f>
        <v>35.5</v>
      </c>
      <c r="C30" s="24">
        <f>Table13468111214151617[[#This Row],[PMI]]-B29</f>
        <v>0.60000000000000142</v>
      </c>
    </row>
    <row r="31" spans="1:3" x14ac:dyDescent="0.2">
      <c r="A31" s="10">
        <v>39814</v>
      </c>
      <c r="B31" s="18">
        <f>IF(VLOOKUP(A31,'DB Country PMI'!$A:$AZ,MATCH($A$1,'DB Country PMI'!$A$1:$AZ$1,),)=0,#N/A,VLOOKUP(A31,'DB Country PMI'!$A:$AZ,MATCH($A$1,'DB Country PMI'!$A$1:$AZ$1,),))</f>
        <v>36.1</v>
      </c>
      <c r="C31" s="24">
        <f>Table13468111214151617[[#This Row],[PMI]]-B30</f>
        <v>0.60000000000000142</v>
      </c>
    </row>
    <row r="32" spans="1:3" x14ac:dyDescent="0.2">
      <c r="A32" s="10">
        <v>39845</v>
      </c>
      <c r="B32" s="18">
        <f>IF(VLOOKUP(A32,'DB Country PMI'!$A:$AZ,MATCH($A$1,'DB Country PMI'!$A$1:$AZ$1,),)=0,#N/A,VLOOKUP(A32,'DB Country PMI'!$A:$AZ,MATCH($A$1,'DB Country PMI'!$A$1:$AZ$1,),))</f>
        <v>35</v>
      </c>
      <c r="C32" s="24">
        <f>Table13468111214151617[[#This Row],[PMI]]-B31</f>
        <v>-1.1000000000000014</v>
      </c>
    </row>
    <row r="33" spans="1:3" x14ac:dyDescent="0.2">
      <c r="A33" s="10">
        <v>39873</v>
      </c>
      <c r="B33" s="18">
        <f>IF(VLOOKUP(A33,'DB Country PMI'!$A:$AZ,MATCH($A$1,'DB Country PMI'!$A$1:$AZ$1,),)=0,#N/A,VLOOKUP(A33,'DB Country PMI'!$A:$AZ,MATCH($A$1,'DB Country PMI'!$A$1:$AZ$1,),))</f>
        <v>34.6</v>
      </c>
      <c r="C33" s="24">
        <f>Table13468111214151617[[#This Row],[PMI]]-B32</f>
        <v>-0.39999999999999858</v>
      </c>
    </row>
    <row r="34" spans="1:3" x14ac:dyDescent="0.2">
      <c r="A34" s="10">
        <v>39904</v>
      </c>
      <c r="B34" s="18">
        <f>IF(VLOOKUP(A34,'DB Country PMI'!$A:$AZ,MATCH($A$1,'DB Country PMI'!$A$1:$AZ$1,),)=0,#N/A,VLOOKUP(A34,'DB Country PMI'!$A:$AZ,MATCH($A$1,'DB Country PMI'!$A$1:$AZ$1,),))</f>
        <v>37.200000000000003</v>
      </c>
      <c r="C34" s="24">
        <f>Table13468111214151617[[#This Row],[PMI]]-B33</f>
        <v>2.6000000000000014</v>
      </c>
    </row>
    <row r="35" spans="1:3" x14ac:dyDescent="0.2">
      <c r="A35" s="10">
        <v>39934</v>
      </c>
      <c r="B35" s="18">
        <f>IF(VLOOKUP(A35,'DB Country PMI'!$A:$AZ,MATCH($A$1,'DB Country PMI'!$A$1:$AZ$1,),)=0,#N/A,VLOOKUP(A35,'DB Country PMI'!$A:$AZ,MATCH($A$1,'DB Country PMI'!$A$1:$AZ$1,),))</f>
        <v>41.1</v>
      </c>
      <c r="C35" s="24">
        <f>Table13468111214151617[[#This Row],[PMI]]-B34</f>
        <v>3.8999999999999986</v>
      </c>
    </row>
    <row r="36" spans="1:3" x14ac:dyDescent="0.2">
      <c r="A36" s="10">
        <v>39965</v>
      </c>
      <c r="B36" s="18">
        <f>IF(VLOOKUP(A36,'DB Country PMI'!$A:$AZ,MATCH($A$1,'DB Country PMI'!$A$1:$AZ$1,),)=0,#N/A,VLOOKUP(A36,'DB Country PMI'!$A:$AZ,MATCH($A$1,'DB Country PMI'!$A$1:$AZ$1,),))</f>
        <v>42.7</v>
      </c>
      <c r="C36" s="24">
        <f>Table13468111214151617[[#This Row],[PMI]]-B35</f>
        <v>1.6000000000000014</v>
      </c>
    </row>
    <row r="37" spans="1:3" x14ac:dyDescent="0.2">
      <c r="A37" s="10">
        <v>39995</v>
      </c>
      <c r="B37" s="18">
        <f>IF(VLOOKUP(A37,'DB Country PMI'!$A:$AZ,MATCH($A$1,'DB Country PMI'!$A$1:$AZ$1,),)=0,#N/A,VLOOKUP(A37,'DB Country PMI'!$A:$AZ,MATCH($A$1,'DB Country PMI'!$A$1:$AZ$1,),))</f>
        <v>45.4</v>
      </c>
      <c r="C37" s="24">
        <f>Table13468111214151617[[#This Row],[PMI]]-B36</f>
        <v>2.6999999999999957</v>
      </c>
    </row>
    <row r="38" spans="1:3" x14ac:dyDescent="0.2">
      <c r="A38" s="10">
        <v>40026</v>
      </c>
      <c r="B38" s="18">
        <f>IF(VLOOKUP(A38,'DB Country PMI'!$A:$AZ,MATCH($A$1,'DB Country PMI'!$A$1:$AZ$1,),)=0,#N/A,VLOOKUP(A38,'DB Country PMI'!$A:$AZ,MATCH($A$1,'DB Country PMI'!$A$1:$AZ$1,),))</f>
        <v>44.2</v>
      </c>
      <c r="C38" s="24">
        <f>Table13468111214151617[[#This Row],[PMI]]-B37</f>
        <v>-1.1999999999999957</v>
      </c>
    </row>
    <row r="39" spans="1:3" x14ac:dyDescent="0.2">
      <c r="A39" s="10">
        <v>40057</v>
      </c>
      <c r="B39" s="18">
        <f>IF(VLOOKUP(A39,'DB Country PMI'!$A:$AZ,MATCH($A$1,'DB Country PMI'!$A$1:$AZ$1,),)=0,#N/A,VLOOKUP(A39,'DB Country PMI'!$A:$AZ,MATCH($A$1,'DB Country PMI'!$A$1:$AZ$1,),))</f>
        <v>47.6</v>
      </c>
      <c r="C39" s="24">
        <f>Table13468111214151617[[#This Row],[PMI]]-B38</f>
        <v>3.3999999999999986</v>
      </c>
    </row>
    <row r="40" spans="1:3" x14ac:dyDescent="0.2">
      <c r="A40" s="10">
        <v>40087</v>
      </c>
      <c r="B40" s="18">
        <f>IF(VLOOKUP(A40,'DB Country PMI'!$A:$AZ,MATCH($A$1,'DB Country PMI'!$A$1:$AZ$1,),)=0,#N/A,VLOOKUP(A40,'DB Country PMI'!$A:$AZ,MATCH($A$1,'DB Country PMI'!$A$1:$AZ$1,),))</f>
        <v>49.2</v>
      </c>
      <c r="C40" s="24">
        <f>Table13468111214151617[[#This Row],[PMI]]-B39</f>
        <v>1.6000000000000014</v>
      </c>
    </row>
    <row r="41" spans="1:3" x14ac:dyDescent="0.2">
      <c r="A41" s="10">
        <v>40118</v>
      </c>
      <c r="B41" s="18">
        <f>IF(VLOOKUP(A41,'DB Country PMI'!$A:$AZ,MATCH($A$1,'DB Country PMI'!$A$1:$AZ$1,),)=0,#N/A,VLOOKUP(A41,'DB Country PMI'!$A:$AZ,MATCH($A$1,'DB Country PMI'!$A$1:$AZ$1,),))</f>
        <v>50.1</v>
      </c>
      <c r="C41" s="24">
        <f>Table13468111214151617[[#This Row],[PMI]]-B40</f>
        <v>0.89999999999999858</v>
      </c>
    </row>
    <row r="42" spans="1:3" x14ac:dyDescent="0.2">
      <c r="A42" s="10">
        <v>40148</v>
      </c>
      <c r="B42" s="18">
        <f>IF(VLOOKUP(A42,'DB Country PMI'!$A:$AZ,MATCH($A$1,'DB Country PMI'!$A$1:$AZ$1,),)=0,#N/A,VLOOKUP(A42,'DB Country PMI'!$A:$AZ,MATCH($A$1,'DB Country PMI'!$A$1:$AZ$1,),))</f>
        <v>50.8</v>
      </c>
      <c r="C42" s="24">
        <f>Table13468111214151617[[#This Row],[PMI]]-B41</f>
        <v>0.69999999999999574</v>
      </c>
    </row>
    <row r="43" spans="1:3" x14ac:dyDescent="0.2">
      <c r="A43" s="10">
        <v>40179</v>
      </c>
      <c r="B43" s="18">
        <f>IF(VLOOKUP(A43,'DB Country PMI'!$A:$AZ,MATCH($A$1,'DB Country PMI'!$A$1:$AZ$1,),)=0,#N/A,VLOOKUP(A43,'DB Country PMI'!$A:$AZ,MATCH($A$1,'DB Country PMI'!$A$1:$AZ$1,),))</f>
        <v>51.7</v>
      </c>
      <c r="C43" s="24">
        <f>Table13468111214151617[[#This Row],[PMI]]-B42</f>
        <v>0.90000000000000568</v>
      </c>
    </row>
    <row r="44" spans="1:3" x14ac:dyDescent="0.2">
      <c r="A44" s="10">
        <v>40210</v>
      </c>
      <c r="B44" s="18">
        <f>IF(VLOOKUP(A44,'DB Country PMI'!$A:$AZ,MATCH($A$1,'DB Country PMI'!$A$1:$AZ$1,),)=0,#N/A,VLOOKUP(A44,'DB Country PMI'!$A:$AZ,MATCH($A$1,'DB Country PMI'!$A$1:$AZ$1,),))</f>
        <v>51.6</v>
      </c>
      <c r="C44" s="24">
        <f>Table13468111214151617[[#This Row],[PMI]]-B43</f>
        <v>-0.10000000000000142</v>
      </c>
    </row>
    <row r="45" spans="1:3" x14ac:dyDescent="0.2">
      <c r="A45" s="10">
        <v>40238</v>
      </c>
      <c r="B45" s="18">
        <f>IF(VLOOKUP(A45,'DB Country PMI'!$A:$AZ,MATCH($A$1,'DB Country PMI'!$A$1:$AZ$1,),)=0,#N/A,VLOOKUP(A45,'DB Country PMI'!$A:$AZ,MATCH($A$1,'DB Country PMI'!$A$1:$AZ$1,),))</f>
        <v>53.7</v>
      </c>
      <c r="C45" s="24">
        <f>Table13468111214151617[[#This Row],[PMI]]-B44</f>
        <v>2.1000000000000014</v>
      </c>
    </row>
    <row r="46" spans="1:3" x14ac:dyDescent="0.2">
      <c r="A46" s="10">
        <v>40269</v>
      </c>
      <c r="B46" s="18">
        <f>IF(VLOOKUP(A46,'DB Country PMI'!$A:$AZ,MATCH($A$1,'DB Country PMI'!$A$1:$AZ$1,),)=0,#N/A,VLOOKUP(A46,'DB Country PMI'!$A:$AZ,MATCH($A$1,'DB Country PMI'!$A$1:$AZ$1,),))</f>
        <v>54.3</v>
      </c>
      <c r="C46" s="24">
        <f>Table13468111214151617[[#This Row],[PMI]]-B45</f>
        <v>0.59999999999999432</v>
      </c>
    </row>
    <row r="47" spans="1:3" x14ac:dyDescent="0.2">
      <c r="A47" s="10">
        <v>40299</v>
      </c>
      <c r="B47" s="18">
        <f>IF(VLOOKUP(A47,'DB Country PMI'!$A:$AZ,MATCH($A$1,'DB Country PMI'!$A$1:$AZ$1,),)=0,#N/A,VLOOKUP(A47,'DB Country PMI'!$A:$AZ,MATCH($A$1,'DB Country PMI'!$A$1:$AZ$1,),))</f>
        <v>54</v>
      </c>
      <c r="C47" s="24">
        <f>Table13468111214151617[[#This Row],[PMI]]-B46</f>
        <v>-0.29999999999999716</v>
      </c>
    </row>
    <row r="48" spans="1:3" x14ac:dyDescent="0.2">
      <c r="A48" s="10">
        <v>40330</v>
      </c>
      <c r="B48" s="18">
        <f>IF(VLOOKUP(A48,'DB Country PMI'!$A:$AZ,MATCH($A$1,'DB Country PMI'!$A$1:$AZ$1,),)=0,#N/A,VLOOKUP(A48,'DB Country PMI'!$A:$AZ,MATCH($A$1,'DB Country PMI'!$A$1:$AZ$1,),))</f>
        <v>54.3</v>
      </c>
      <c r="C48" s="24">
        <f>Table13468111214151617[[#This Row],[PMI]]-B47</f>
        <v>0.29999999999999716</v>
      </c>
    </row>
    <row r="49" spans="1:3" x14ac:dyDescent="0.2">
      <c r="A49" s="10">
        <v>40360</v>
      </c>
      <c r="B49" s="18">
        <f>IF(VLOOKUP(A49,'DB Country PMI'!$A:$AZ,MATCH($A$1,'DB Country PMI'!$A$1:$AZ$1,),)=0,#N/A,VLOOKUP(A49,'DB Country PMI'!$A:$AZ,MATCH($A$1,'DB Country PMI'!$A$1:$AZ$1,),))</f>
        <v>54.4</v>
      </c>
      <c r="C49" s="24">
        <f>Table13468111214151617[[#This Row],[PMI]]-B48</f>
        <v>0.10000000000000142</v>
      </c>
    </row>
    <row r="50" spans="1:3" x14ac:dyDescent="0.2">
      <c r="A50" s="10">
        <v>40391</v>
      </c>
      <c r="B50" s="18">
        <f>IF(VLOOKUP(A50,'DB Country PMI'!$A:$AZ,MATCH($A$1,'DB Country PMI'!$A$1:$AZ$1,),)=0,#N/A,VLOOKUP(A50,'DB Country PMI'!$A:$AZ,MATCH($A$1,'DB Country PMI'!$A$1:$AZ$1,),))</f>
        <v>52.8</v>
      </c>
      <c r="C50" s="24">
        <f>Table13468111214151617[[#This Row],[PMI]]-B49</f>
        <v>-1.6000000000000014</v>
      </c>
    </row>
    <row r="51" spans="1:3" x14ac:dyDescent="0.2">
      <c r="A51" s="10">
        <v>40422</v>
      </c>
      <c r="B51" s="18">
        <f>IF(VLOOKUP(A51,'DB Country PMI'!$A:$AZ,MATCH($A$1,'DB Country PMI'!$A$1:$AZ$1,),)=0,#N/A,VLOOKUP(A51,'DB Country PMI'!$A:$AZ,MATCH($A$1,'DB Country PMI'!$A$1:$AZ$1,),))</f>
        <v>52.6</v>
      </c>
      <c r="C51" s="24">
        <f>Table13468111214151617[[#This Row],[PMI]]-B50</f>
        <v>-0.19999999999999574</v>
      </c>
    </row>
    <row r="52" spans="1:3" x14ac:dyDescent="0.2">
      <c r="A52" s="10">
        <v>40452</v>
      </c>
      <c r="B52" s="18">
        <f>IF(VLOOKUP(A52,'DB Country PMI'!$A:$AZ,MATCH($A$1,'DB Country PMI'!$A$1:$AZ$1,),)=0,#N/A,VLOOKUP(A52,'DB Country PMI'!$A:$AZ,MATCH($A$1,'DB Country PMI'!$A$1:$AZ$1,),))</f>
        <v>53</v>
      </c>
      <c r="C52" s="24">
        <f>Table13468111214151617[[#This Row],[PMI]]-B51</f>
        <v>0.39999999999999858</v>
      </c>
    </row>
    <row r="53" spans="1:3" x14ac:dyDescent="0.2">
      <c r="A53" s="10">
        <v>40483</v>
      </c>
      <c r="B53" s="18">
        <f>IF(VLOOKUP(A53,'DB Country PMI'!$A:$AZ,MATCH($A$1,'DB Country PMI'!$A$1:$AZ$1,),)=0,#N/A,VLOOKUP(A53,'DB Country PMI'!$A:$AZ,MATCH($A$1,'DB Country PMI'!$A$1:$AZ$1,),))</f>
        <v>52</v>
      </c>
      <c r="C53" s="24">
        <f>Table13468111214151617[[#This Row],[PMI]]-B52</f>
        <v>-1</v>
      </c>
    </row>
    <row r="54" spans="1:3" x14ac:dyDescent="0.2">
      <c r="A54" s="10">
        <v>40513</v>
      </c>
      <c r="B54" s="18">
        <f>IF(VLOOKUP(A54,'DB Country PMI'!$A:$AZ,MATCH($A$1,'DB Country PMI'!$A$1:$AZ$1,),)=0,#N/A,VLOOKUP(A54,'DB Country PMI'!$A:$AZ,MATCH($A$1,'DB Country PMI'!$A$1:$AZ$1,),))</f>
        <v>54.7</v>
      </c>
      <c r="C54" s="24">
        <f>Table13468111214151617[[#This Row],[PMI]]-B53</f>
        <v>2.7000000000000028</v>
      </c>
    </row>
    <row r="55" spans="1:3" x14ac:dyDescent="0.2">
      <c r="A55" s="10">
        <v>40544</v>
      </c>
      <c r="B55" s="18">
        <f>IF(VLOOKUP(A55,'DB Country PMI'!$A:$AZ,MATCH($A$1,'DB Country PMI'!$A$1:$AZ$1,),)=0,#N/A,VLOOKUP(A55,'DB Country PMI'!$A:$AZ,MATCH($A$1,'DB Country PMI'!$A$1:$AZ$1,),))</f>
        <v>56.6</v>
      </c>
      <c r="C55" s="24">
        <f>Table13468111214151617[[#This Row],[PMI]]-B54</f>
        <v>1.8999999999999986</v>
      </c>
    </row>
    <row r="56" spans="1:3" x14ac:dyDescent="0.2">
      <c r="A56" s="10">
        <v>40575</v>
      </c>
      <c r="B56" s="18">
        <f>IF(VLOOKUP(A56,'DB Country PMI'!$A:$AZ,MATCH($A$1,'DB Country PMI'!$A$1:$AZ$1,),)=0,#N/A,VLOOKUP(A56,'DB Country PMI'!$A:$AZ,MATCH($A$1,'DB Country PMI'!$A$1:$AZ$1,),))</f>
        <v>59</v>
      </c>
      <c r="C56" s="24">
        <f>Table13468111214151617[[#This Row],[PMI]]-B55</f>
        <v>2.3999999999999986</v>
      </c>
    </row>
    <row r="57" spans="1:3" x14ac:dyDescent="0.2">
      <c r="A57" s="10">
        <v>40603</v>
      </c>
      <c r="B57" s="18">
        <f>IF(VLOOKUP(A57,'DB Country PMI'!$A:$AZ,MATCH($A$1,'DB Country PMI'!$A$1:$AZ$1,),)=0,#N/A,VLOOKUP(A57,'DB Country PMI'!$A:$AZ,MATCH($A$1,'DB Country PMI'!$A$1:$AZ$1,),))</f>
        <v>56.2</v>
      </c>
      <c r="C57" s="24">
        <f>Table13468111214151617[[#This Row],[PMI]]-B56</f>
        <v>-2.7999999999999972</v>
      </c>
    </row>
    <row r="58" spans="1:3" x14ac:dyDescent="0.2">
      <c r="A58" s="10">
        <v>40634</v>
      </c>
      <c r="B58" s="18">
        <f>IF(VLOOKUP(A58,'DB Country PMI'!$A:$AZ,MATCH($A$1,'DB Country PMI'!$A$1:$AZ$1,),)=0,#N/A,VLOOKUP(A58,'DB Country PMI'!$A:$AZ,MATCH($A$1,'DB Country PMI'!$A$1:$AZ$1,),))</f>
        <v>55.5</v>
      </c>
      <c r="C58" s="24">
        <f>Table13468111214151617[[#This Row],[PMI]]-B57</f>
        <v>-0.70000000000000284</v>
      </c>
    </row>
    <row r="59" spans="1:3" x14ac:dyDescent="0.2">
      <c r="A59" s="10">
        <v>40664</v>
      </c>
      <c r="B59" s="18">
        <f>IF(VLOOKUP(A59,'DB Country PMI'!$A:$AZ,MATCH($A$1,'DB Country PMI'!$A$1:$AZ$1,),)=0,#N/A,VLOOKUP(A59,'DB Country PMI'!$A:$AZ,MATCH($A$1,'DB Country PMI'!$A$1:$AZ$1,),))</f>
        <v>52.8</v>
      </c>
      <c r="C59" s="24">
        <f>Table13468111214151617[[#This Row],[PMI]]-B58</f>
        <v>-2.7000000000000028</v>
      </c>
    </row>
    <row r="60" spans="1:3" x14ac:dyDescent="0.2">
      <c r="A60" s="10">
        <v>40695</v>
      </c>
      <c r="B60" s="18">
        <f>IF(VLOOKUP(A60,'DB Country PMI'!$A:$AZ,MATCH($A$1,'DB Country PMI'!$A$1:$AZ$1,),)=0,#N/A,VLOOKUP(A60,'DB Country PMI'!$A:$AZ,MATCH($A$1,'DB Country PMI'!$A$1:$AZ$1,),))</f>
        <v>49.9</v>
      </c>
      <c r="C60" s="24">
        <f>Table13468111214151617[[#This Row],[PMI]]-B59</f>
        <v>-2.8999999999999986</v>
      </c>
    </row>
    <row r="61" spans="1:3" x14ac:dyDescent="0.2">
      <c r="A61" s="10">
        <v>40725</v>
      </c>
      <c r="B61" s="18">
        <f>IF(VLOOKUP(A61,'DB Country PMI'!$A:$AZ,MATCH($A$1,'DB Country PMI'!$A$1:$AZ$1,),)=0,#N/A,VLOOKUP(A61,'DB Country PMI'!$A:$AZ,MATCH($A$1,'DB Country PMI'!$A$1:$AZ$1,),))</f>
        <v>50.1</v>
      </c>
      <c r="C61" s="24">
        <f>Table13468111214151617[[#This Row],[PMI]]-B60</f>
        <v>0.20000000000000284</v>
      </c>
    </row>
    <row r="62" spans="1:3" x14ac:dyDescent="0.2">
      <c r="A62" s="10">
        <v>40756</v>
      </c>
      <c r="B62" s="18">
        <f>IF(VLOOKUP(A62,'DB Country PMI'!$A:$AZ,MATCH($A$1,'DB Country PMI'!$A$1:$AZ$1,),)=0,#N/A,VLOOKUP(A62,'DB Country PMI'!$A:$AZ,MATCH($A$1,'DB Country PMI'!$A$1:$AZ$1,),))</f>
        <v>47</v>
      </c>
      <c r="C62" s="24">
        <f>Table13468111214151617[[#This Row],[PMI]]-B61</f>
        <v>-3.1000000000000014</v>
      </c>
    </row>
    <row r="63" spans="1:3" x14ac:dyDescent="0.2">
      <c r="A63" s="10">
        <v>40787</v>
      </c>
      <c r="B63" s="18">
        <f>IF(VLOOKUP(A63,'DB Country PMI'!$A:$AZ,MATCH($A$1,'DB Country PMI'!$A$1:$AZ$1,),)=0,#N/A,VLOOKUP(A63,'DB Country PMI'!$A:$AZ,MATCH($A$1,'DB Country PMI'!$A$1:$AZ$1,),))</f>
        <v>48.3</v>
      </c>
      <c r="C63" s="24">
        <f>Table13468111214151617[[#This Row],[PMI]]-B62</f>
        <v>1.2999999999999972</v>
      </c>
    </row>
    <row r="64" spans="1:3" x14ac:dyDescent="0.2">
      <c r="A64" s="10">
        <v>40817</v>
      </c>
      <c r="B64" s="18">
        <f>IF(VLOOKUP(A64,'DB Country PMI'!$A:$AZ,MATCH($A$1,'DB Country PMI'!$A$1:$AZ$1,),)=0,#N/A,VLOOKUP(A64,'DB Country PMI'!$A:$AZ,MATCH($A$1,'DB Country PMI'!$A$1:$AZ$1,),))</f>
        <v>43.3</v>
      </c>
      <c r="C64" s="24">
        <f>Table13468111214151617[[#This Row],[PMI]]-B63</f>
        <v>-5</v>
      </c>
    </row>
    <row r="65" spans="1:3" x14ac:dyDescent="0.2">
      <c r="A65" s="10">
        <v>40848</v>
      </c>
      <c r="B65" s="18">
        <f>IF(VLOOKUP(A65,'DB Country PMI'!$A:$AZ,MATCH($A$1,'DB Country PMI'!$A$1:$AZ$1,),)=0,#N/A,VLOOKUP(A65,'DB Country PMI'!$A:$AZ,MATCH($A$1,'DB Country PMI'!$A$1:$AZ$1,),))</f>
        <v>44</v>
      </c>
      <c r="C65" s="24">
        <f>Table13468111214151617[[#This Row],[PMI]]-B64</f>
        <v>0.70000000000000284</v>
      </c>
    </row>
    <row r="66" spans="1:3" x14ac:dyDescent="0.2">
      <c r="A66" s="10">
        <v>40878</v>
      </c>
      <c r="B66" s="18">
        <f>IF(VLOOKUP(A66,'DB Country PMI'!$A:$AZ,MATCH($A$1,'DB Country PMI'!$A$1:$AZ$1,),)=0,#N/A,VLOOKUP(A66,'DB Country PMI'!$A:$AZ,MATCH($A$1,'DB Country PMI'!$A$1:$AZ$1,),))</f>
        <v>44.3</v>
      </c>
      <c r="C66" s="24">
        <f>Table13468111214151617[[#This Row],[PMI]]-B65</f>
        <v>0.29999999999999716</v>
      </c>
    </row>
    <row r="67" spans="1:3" x14ac:dyDescent="0.2">
      <c r="A67" s="10">
        <v>40909</v>
      </c>
      <c r="B67" s="18">
        <f>IF(VLOOKUP(A67,'DB Country PMI'!$A:$AZ,MATCH($A$1,'DB Country PMI'!$A$1:$AZ$1,),)=0,#N/A,VLOOKUP(A67,'DB Country PMI'!$A:$AZ,MATCH($A$1,'DB Country PMI'!$A$1:$AZ$1,),))</f>
        <v>46.8</v>
      </c>
      <c r="C67" s="24">
        <f>Table13468111214151617[[#This Row],[PMI]]-B66</f>
        <v>2.5</v>
      </c>
    </row>
    <row r="68" spans="1:3" x14ac:dyDescent="0.2">
      <c r="A68" s="10">
        <v>40940</v>
      </c>
      <c r="B68" s="18">
        <f>IF(VLOOKUP(A68,'DB Country PMI'!$A:$AZ,MATCH($A$1,'DB Country PMI'!$A$1:$AZ$1,),)=0,#N/A,VLOOKUP(A68,'DB Country PMI'!$A:$AZ,MATCH($A$1,'DB Country PMI'!$A$1:$AZ$1,),))</f>
        <v>47.8</v>
      </c>
      <c r="C68" s="24">
        <f>Table13468111214151617[[#This Row],[PMI]]-B67</f>
        <v>1</v>
      </c>
    </row>
    <row r="69" spans="1:3" x14ac:dyDescent="0.2">
      <c r="A69" s="10">
        <v>40969</v>
      </c>
      <c r="B69" s="18">
        <f>IF(VLOOKUP(A69,'DB Country PMI'!$A:$AZ,MATCH($A$1,'DB Country PMI'!$A$1:$AZ$1,),)=0,#N/A,VLOOKUP(A69,'DB Country PMI'!$A:$AZ,MATCH($A$1,'DB Country PMI'!$A$1:$AZ$1,),))</f>
        <v>47.9</v>
      </c>
      <c r="C69" s="24">
        <f>Table13468111214151617[[#This Row],[PMI]]-B68</f>
        <v>0.10000000000000142</v>
      </c>
    </row>
    <row r="70" spans="1:3" x14ac:dyDescent="0.2">
      <c r="A70" s="10">
        <v>41000</v>
      </c>
      <c r="B70" s="18">
        <f>IF(VLOOKUP(A70,'DB Country PMI'!$A:$AZ,MATCH($A$1,'DB Country PMI'!$A$1:$AZ$1,),)=0,#N/A,VLOOKUP(A70,'DB Country PMI'!$A:$AZ,MATCH($A$1,'DB Country PMI'!$A$1:$AZ$1,),))</f>
        <v>43.8</v>
      </c>
      <c r="C70" s="24">
        <f>Table13468111214151617[[#This Row],[PMI]]-B69</f>
        <v>-4.1000000000000014</v>
      </c>
    </row>
    <row r="71" spans="1:3" x14ac:dyDescent="0.2">
      <c r="A71" s="10">
        <v>41030</v>
      </c>
      <c r="B71" s="18">
        <f>IF(VLOOKUP(A71,'DB Country PMI'!$A:$AZ,MATCH($A$1,'DB Country PMI'!$A$1:$AZ$1,),)=0,#N/A,VLOOKUP(A71,'DB Country PMI'!$A:$AZ,MATCH($A$1,'DB Country PMI'!$A$1:$AZ$1,),))</f>
        <v>44.8</v>
      </c>
      <c r="C71" s="24">
        <f>Table13468111214151617[[#This Row],[PMI]]-B70</f>
        <v>1</v>
      </c>
    </row>
    <row r="72" spans="1:3" x14ac:dyDescent="0.2">
      <c r="A72" s="10">
        <v>41061</v>
      </c>
      <c r="B72" s="18">
        <f>IF(VLOOKUP(A72,'DB Country PMI'!$A:$AZ,MATCH($A$1,'DB Country PMI'!$A$1:$AZ$1,),)=0,#N/A,VLOOKUP(A72,'DB Country PMI'!$A:$AZ,MATCH($A$1,'DB Country PMI'!$A$1:$AZ$1,),))</f>
        <v>44.6</v>
      </c>
      <c r="C72" s="24">
        <f>Table13468111214151617[[#This Row],[PMI]]-B71</f>
        <v>-0.19999999999999574</v>
      </c>
    </row>
    <row r="73" spans="1:3" x14ac:dyDescent="0.2">
      <c r="A73" s="10">
        <v>41091</v>
      </c>
      <c r="B73" s="18">
        <f>IF(VLOOKUP(A73,'DB Country PMI'!$A:$AZ,MATCH($A$1,'DB Country PMI'!$A$1:$AZ$1,),)=0,#N/A,VLOOKUP(A73,'DB Country PMI'!$A:$AZ,MATCH($A$1,'DB Country PMI'!$A$1:$AZ$1,),))</f>
        <v>44.3</v>
      </c>
      <c r="C73" s="24">
        <f>Table13468111214151617[[#This Row],[PMI]]-B72</f>
        <v>-0.30000000000000426</v>
      </c>
    </row>
    <row r="74" spans="1:3" x14ac:dyDescent="0.2">
      <c r="A74" s="10">
        <v>41122</v>
      </c>
      <c r="B74" s="18">
        <f>IF(VLOOKUP(A74,'DB Country PMI'!$A:$AZ,MATCH($A$1,'DB Country PMI'!$A$1:$AZ$1,),)=0,#N/A,VLOOKUP(A74,'DB Country PMI'!$A:$AZ,MATCH($A$1,'DB Country PMI'!$A$1:$AZ$1,),))</f>
        <v>43.6</v>
      </c>
      <c r="C74" s="24">
        <f>Table13468111214151617[[#This Row],[PMI]]-B73</f>
        <v>-0.69999999999999574</v>
      </c>
    </row>
    <row r="75" spans="1:3" x14ac:dyDescent="0.2">
      <c r="A75" s="10">
        <v>41153</v>
      </c>
      <c r="B75" s="18">
        <f>IF(VLOOKUP(A75,'DB Country PMI'!$A:$AZ,MATCH($A$1,'DB Country PMI'!$A$1:$AZ$1,),)=0,#N/A,VLOOKUP(A75,'DB Country PMI'!$A:$AZ,MATCH($A$1,'DB Country PMI'!$A$1:$AZ$1,),))</f>
        <v>45.7</v>
      </c>
      <c r="C75" s="24">
        <f>Table13468111214151617[[#This Row],[PMI]]-B74</f>
        <v>2.1000000000000014</v>
      </c>
    </row>
    <row r="76" spans="1:3" x14ac:dyDescent="0.2">
      <c r="A76" s="10">
        <v>41183</v>
      </c>
      <c r="B76" s="18">
        <f>IF(VLOOKUP(A76,'DB Country PMI'!$A:$AZ,MATCH($A$1,'DB Country PMI'!$A$1:$AZ$1,),)=0,#N/A,VLOOKUP(A76,'DB Country PMI'!$A:$AZ,MATCH($A$1,'DB Country PMI'!$A$1:$AZ$1,),))</f>
        <v>45.5</v>
      </c>
      <c r="C76" s="24">
        <f>Table13468111214151617[[#This Row],[PMI]]-B75</f>
        <v>-0.20000000000000284</v>
      </c>
    </row>
    <row r="77" spans="1:3" x14ac:dyDescent="0.2">
      <c r="A77" s="10">
        <v>41214</v>
      </c>
      <c r="B77" s="18">
        <f>IF(VLOOKUP(A77,'DB Country PMI'!$A:$AZ,MATCH($A$1,'DB Country PMI'!$A$1:$AZ$1,),)=0,#N/A,VLOOKUP(A77,'DB Country PMI'!$A:$AZ,MATCH($A$1,'DB Country PMI'!$A$1:$AZ$1,),))</f>
        <v>45.1</v>
      </c>
      <c r="C77" s="24">
        <f>Table13468111214151617[[#This Row],[PMI]]-B76</f>
        <v>-0.39999999999999858</v>
      </c>
    </row>
    <row r="78" spans="1:3" x14ac:dyDescent="0.2">
      <c r="A78" s="10">
        <v>41244</v>
      </c>
      <c r="B78" s="18">
        <f>IF(VLOOKUP(A78,'DB Country PMI'!$A:$AZ,MATCH($A$1,'DB Country PMI'!$A$1:$AZ$1,),)=0,#N/A,VLOOKUP(A78,'DB Country PMI'!$A:$AZ,MATCH($A$1,'DB Country PMI'!$A$1:$AZ$1,),))</f>
        <v>46.7</v>
      </c>
      <c r="C78" s="24">
        <f>Table13468111214151617[[#This Row],[PMI]]-B77</f>
        <v>1.6000000000000014</v>
      </c>
    </row>
    <row r="79" spans="1:3" x14ac:dyDescent="0.2">
      <c r="A79" s="10">
        <v>41275</v>
      </c>
      <c r="B79" s="18">
        <f>IF(VLOOKUP(A79,'DB Country PMI'!$A:$AZ,MATCH($A$1,'DB Country PMI'!$A$1:$AZ$1,),)=0,#N/A,VLOOKUP(A79,'DB Country PMI'!$A:$AZ,MATCH($A$1,'DB Country PMI'!$A$1:$AZ$1,),))</f>
        <v>47.8</v>
      </c>
      <c r="C79" s="24">
        <f>Table13468111214151617[[#This Row],[PMI]]-B78</f>
        <v>1.0999999999999943</v>
      </c>
    </row>
    <row r="80" spans="1:3" x14ac:dyDescent="0.2">
      <c r="A80" s="10">
        <v>41306</v>
      </c>
      <c r="B80" s="18">
        <f>IF(VLOOKUP(A80,'DB Country PMI'!$A:$AZ,MATCH($A$1,'DB Country PMI'!$A$1:$AZ$1,),)=0,#N/A,VLOOKUP(A80,'DB Country PMI'!$A:$AZ,MATCH($A$1,'DB Country PMI'!$A$1:$AZ$1,),))</f>
        <v>45.8</v>
      </c>
      <c r="C80" s="24">
        <f>Table13468111214151617[[#This Row],[PMI]]-B79</f>
        <v>-2</v>
      </c>
    </row>
    <row r="81" spans="1:3" x14ac:dyDescent="0.2">
      <c r="A81" s="10">
        <v>41334</v>
      </c>
      <c r="B81" s="18">
        <f>IF(VLOOKUP(A81,'DB Country PMI'!$A:$AZ,MATCH($A$1,'DB Country PMI'!$A$1:$AZ$1,),)=0,#N/A,VLOOKUP(A81,'DB Country PMI'!$A:$AZ,MATCH($A$1,'DB Country PMI'!$A$1:$AZ$1,),))</f>
        <v>44.5</v>
      </c>
      <c r="C81" s="24">
        <f>Table13468111214151617[[#This Row],[PMI]]-B80</f>
        <v>-1.2999999999999972</v>
      </c>
    </row>
    <row r="82" spans="1:3" x14ac:dyDescent="0.2">
      <c r="A82" s="10">
        <v>41365</v>
      </c>
      <c r="B82" s="18">
        <f>IF(VLOOKUP(A82,'DB Country PMI'!$A:$AZ,MATCH($A$1,'DB Country PMI'!$A$1:$AZ$1,),)=0,#N/A,VLOOKUP(A82,'DB Country PMI'!$A:$AZ,MATCH($A$1,'DB Country PMI'!$A$1:$AZ$1,),))</f>
        <v>45.5</v>
      </c>
      <c r="C82" s="24">
        <f>Table13468111214151617[[#This Row],[PMI]]-B81</f>
        <v>1</v>
      </c>
    </row>
    <row r="83" spans="1:3" x14ac:dyDescent="0.2">
      <c r="A83" s="10">
        <v>41395</v>
      </c>
      <c r="B83" s="18">
        <f>IF(VLOOKUP(A83,'DB Country PMI'!$A:$AZ,MATCH($A$1,'DB Country PMI'!$A$1:$AZ$1,),)=0,#N/A,VLOOKUP(A83,'DB Country PMI'!$A:$AZ,MATCH($A$1,'DB Country PMI'!$A$1:$AZ$1,),))</f>
        <v>47.3</v>
      </c>
      <c r="C83" s="24">
        <f>Table13468111214151617[[#This Row],[PMI]]-B82</f>
        <v>1.7999999999999972</v>
      </c>
    </row>
    <row r="84" spans="1:3" x14ac:dyDescent="0.2">
      <c r="A84" s="10">
        <v>41426</v>
      </c>
      <c r="B84" s="18">
        <f>IF(VLOOKUP(A84,'DB Country PMI'!$A:$AZ,MATCH($A$1,'DB Country PMI'!$A$1:$AZ$1,),)=0,#N/A,VLOOKUP(A84,'DB Country PMI'!$A:$AZ,MATCH($A$1,'DB Country PMI'!$A$1:$AZ$1,),))</f>
        <v>49.1</v>
      </c>
      <c r="C84" s="24">
        <f>Table13468111214151617[[#This Row],[PMI]]-B83</f>
        <v>1.8000000000000043</v>
      </c>
    </row>
    <row r="85" spans="1:3" x14ac:dyDescent="0.2">
      <c r="A85" s="10">
        <v>41456</v>
      </c>
      <c r="B85" s="18">
        <f>IF(VLOOKUP(A85,'DB Country PMI'!$A:$AZ,MATCH($A$1,'DB Country PMI'!$A$1:$AZ$1,),)=0,#N/A,VLOOKUP(A85,'DB Country PMI'!$A:$AZ,MATCH($A$1,'DB Country PMI'!$A$1:$AZ$1,),))</f>
        <v>50.4</v>
      </c>
      <c r="C85" s="24">
        <f>Table13468111214151617[[#This Row],[PMI]]-B84</f>
        <v>1.2999999999999972</v>
      </c>
    </row>
    <row r="86" spans="1:3" x14ac:dyDescent="0.2">
      <c r="A86" s="10">
        <v>41487</v>
      </c>
      <c r="B86" s="18">
        <f>IF(VLOOKUP(A86,'DB Country PMI'!$A:$AZ,MATCH($A$1,'DB Country PMI'!$A$1:$AZ$1,),)=0,#N/A,VLOOKUP(A86,'DB Country PMI'!$A:$AZ,MATCH($A$1,'DB Country PMI'!$A$1:$AZ$1,),))</f>
        <v>51.3</v>
      </c>
      <c r="C86" s="24">
        <f>Table13468111214151617[[#This Row],[PMI]]-B85</f>
        <v>0.89999999999999858</v>
      </c>
    </row>
    <row r="87" spans="1:3" x14ac:dyDescent="0.2">
      <c r="A87" s="10">
        <v>41518</v>
      </c>
      <c r="B87" s="18">
        <f>IF(VLOOKUP(A87,'DB Country PMI'!$A:$AZ,MATCH($A$1,'DB Country PMI'!$A$1:$AZ$1,),)=0,#N/A,VLOOKUP(A87,'DB Country PMI'!$A:$AZ,MATCH($A$1,'DB Country PMI'!$A$1:$AZ$1,),))</f>
        <v>50.8</v>
      </c>
      <c r="C87" s="24">
        <f>Table13468111214151617[[#This Row],[PMI]]-B86</f>
        <v>-0.5</v>
      </c>
    </row>
    <row r="88" spans="1:3" x14ac:dyDescent="0.2">
      <c r="A88" s="10">
        <v>41548</v>
      </c>
      <c r="B88" s="18">
        <f>IF(VLOOKUP(A88,'DB Country PMI'!$A:$AZ,MATCH($A$1,'DB Country PMI'!$A$1:$AZ$1,),)=0,#N/A,VLOOKUP(A88,'DB Country PMI'!$A:$AZ,MATCH($A$1,'DB Country PMI'!$A$1:$AZ$1,),))</f>
        <v>50.7</v>
      </c>
      <c r="C88" s="24">
        <f>Table13468111214151617[[#This Row],[PMI]]-B87</f>
        <v>-9.9999999999994316E-2</v>
      </c>
    </row>
    <row r="89" spans="1:3" x14ac:dyDescent="0.2">
      <c r="A89" s="10">
        <v>41579</v>
      </c>
      <c r="B89" s="18">
        <f>IF(VLOOKUP(A89,'DB Country PMI'!$A:$AZ,MATCH($A$1,'DB Country PMI'!$A$1:$AZ$1,),)=0,#N/A,VLOOKUP(A89,'DB Country PMI'!$A:$AZ,MATCH($A$1,'DB Country PMI'!$A$1:$AZ$1,),))</f>
        <v>51.4</v>
      </c>
      <c r="C89" s="24">
        <f>Table13468111214151617[[#This Row],[PMI]]-B88</f>
        <v>0.69999999999999574</v>
      </c>
    </row>
    <row r="90" spans="1:3" x14ac:dyDescent="0.2">
      <c r="A90" s="10">
        <v>41609</v>
      </c>
      <c r="B90" s="18">
        <f>IF(VLOOKUP(A90,'DB Country PMI'!$A:$AZ,MATCH($A$1,'DB Country PMI'!$A$1:$AZ$1,),)=0,#N/A,VLOOKUP(A90,'DB Country PMI'!$A:$AZ,MATCH($A$1,'DB Country PMI'!$A$1:$AZ$1,),))</f>
        <v>53.3</v>
      </c>
      <c r="C90" s="24">
        <f>Table13468111214151617[[#This Row],[PMI]]-B89</f>
        <v>1.8999999999999986</v>
      </c>
    </row>
    <row r="91" spans="1:3" x14ac:dyDescent="0.2">
      <c r="A91" s="10">
        <v>41640</v>
      </c>
      <c r="B91" s="18">
        <f>IF(VLOOKUP(A91,'DB Country PMI'!$A:$AZ,MATCH($A$1,'DB Country PMI'!$A$1:$AZ$1,),)=0,#N/A,VLOOKUP(A91,'DB Country PMI'!$A:$AZ,MATCH($A$1,'DB Country PMI'!$A$1:$AZ$1,),))</f>
        <v>53.1</v>
      </c>
      <c r="C91" s="24">
        <f>Table13468111214151617[[#This Row],[PMI]]-B90</f>
        <v>-0.19999999999999574</v>
      </c>
    </row>
    <row r="92" spans="1:3" x14ac:dyDescent="0.2">
      <c r="A92" s="10">
        <v>41671</v>
      </c>
      <c r="B92" s="18">
        <f>IF(VLOOKUP(A92,'DB Country PMI'!$A:$AZ,MATCH($A$1,'DB Country PMI'!$A$1:$AZ$1,),)=0,#N/A,VLOOKUP(A92,'DB Country PMI'!$A:$AZ,MATCH($A$1,'DB Country PMI'!$A$1:$AZ$1,),))</f>
        <v>52.3</v>
      </c>
      <c r="C92" s="24">
        <f>Table13468111214151617[[#This Row],[PMI]]-B91</f>
        <v>-0.80000000000000426</v>
      </c>
    </row>
    <row r="93" spans="1:3" x14ac:dyDescent="0.2">
      <c r="A93" s="10">
        <v>41699</v>
      </c>
      <c r="B93" s="18">
        <f>IF(VLOOKUP(A93,'DB Country PMI'!$A:$AZ,MATCH($A$1,'DB Country PMI'!$A$1:$AZ$1,),)=0,#N/A,VLOOKUP(A93,'DB Country PMI'!$A:$AZ,MATCH($A$1,'DB Country PMI'!$A$1:$AZ$1,),))</f>
        <v>52.4</v>
      </c>
      <c r="C93" s="24">
        <f>Table13468111214151617[[#This Row],[PMI]]-B92</f>
        <v>0.10000000000000142</v>
      </c>
    </row>
    <row r="94" spans="1:3" x14ac:dyDescent="0.2">
      <c r="A94" s="10">
        <v>41730</v>
      </c>
      <c r="B94" s="18">
        <f>IF(VLOOKUP(A94,'DB Country PMI'!$A:$AZ,MATCH($A$1,'DB Country PMI'!$A$1:$AZ$1,),)=0,#N/A,VLOOKUP(A94,'DB Country PMI'!$A:$AZ,MATCH($A$1,'DB Country PMI'!$A$1:$AZ$1,),))</f>
        <v>54</v>
      </c>
      <c r="C94" s="24">
        <f>Table13468111214151617[[#This Row],[PMI]]-B93</f>
        <v>1.6000000000000014</v>
      </c>
    </row>
    <row r="95" spans="1:3" x14ac:dyDescent="0.2">
      <c r="A95" s="10">
        <v>41760</v>
      </c>
      <c r="B95" s="18">
        <f>IF(VLOOKUP(A95,'DB Country PMI'!$A:$AZ,MATCH($A$1,'DB Country PMI'!$A$1:$AZ$1,),)=0,#N/A,VLOOKUP(A95,'DB Country PMI'!$A:$AZ,MATCH($A$1,'DB Country PMI'!$A$1:$AZ$1,),))</f>
        <v>53.2</v>
      </c>
      <c r="C95" s="24">
        <f>Table13468111214151617[[#This Row],[PMI]]-B94</f>
        <v>-0.79999999999999716</v>
      </c>
    </row>
    <row r="96" spans="1:3" x14ac:dyDescent="0.2">
      <c r="A96" s="10">
        <v>41791</v>
      </c>
      <c r="B96" s="18">
        <f>IF(VLOOKUP(A96,'DB Country PMI'!$A:$AZ,MATCH($A$1,'DB Country PMI'!$A$1:$AZ$1,),)=0,#N/A,VLOOKUP(A96,'DB Country PMI'!$A:$AZ,MATCH($A$1,'DB Country PMI'!$A$1:$AZ$1,),))</f>
        <v>52.6</v>
      </c>
      <c r="C96" s="24">
        <f>Table13468111214151617[[#This Row],[PMI]]-B95</f>
        <v>-0.60000000000000142</v>
      </c>
    </row>
    <row r="97" spans="1:3" x14ac:dyDescent="0.2">
      <c r="A97" s="10">
        <v>41821</v>
      </c>
      <c r="B97" s="18">
        <f>IF(VLOOKUP(A97,'DB Country PMI'!$A:$AZ,MATCH($A$1,'DB Country PMI'!$A$1:$AZ$1,),)=0,#N/A,VLOOKUP(A97,'DB Country PMI'!$A:$AZ,MATCH($A$1,'DB Country PMI'!$A$1:$AZ$1,),))</f>
        <v>51.9</v>
      </c>
      <c r="C97" s="24">
        <f>Table13468111214151617[[#This Row],[PMI]]-B96</f>
        <v>-0.70000000000000284</v>
      </c>
    </row>
    <row r="98" spans="1:3" x14ac:dyDescent="0.2">
      <c r="A98" s="10">
        <v>41852</v>
      </c>
      <c r="B98" s="18">
        <f>IF(VLOOKUP(A98,'DB Country PMI'!$A:$AZ,MATCH($A$1,'DB Country PMI'!$A$1:$AZ$1,),)=0,#N/A,VLOOKUP(A98,'DB Country PMI'!$A:$AZ,MATCH($A$1,'DB Country PMI'!$A$1:$AZ$1,),))</f>
        <v>49.8</v>
      </c>
      <c r="C98" s="24">
        <f>Table13468111214151617[[#This Row],[PMI]]-B97</f>
        <v>-2.1000000000000014</v>
      </c>
    </row>
    <row r="99" spans="1:3" x14ac:dyDescent="0.2">
      <c r="A99" s="10">
        <v>41883</v>
      </c>
      <c r="B99" s="18">
        <f>IF(VLOOKUP(A99,'DB Country PMI'!$A:$AZ,MATCH($A$1,'DB Country PMI'!$A$1:$AZ$1,),)=0,#N/A,VLOOKUP(A99,'DB Country PMI'!$A:$AZ,MATCH($A$1,'DB Country PMI'!$A$1:$AZ$1,),))</f>
        <v>50.7</v>
      </c>
      <c r="C99" s="24">
        <f>Table13468111214151617[[#This Row],[PMI]]-B98</f>
        <v>0.90000000000000568</v>
      </c>
    </row>
    <row r="100" spans="1:3" x14ac:dyDescent="0.2">
      <c r="A100" s="10">
        <v>41913</v>
      </c>
      <c r="B100" s="18">
        <f>IF(VLOOKUP(A100,'DB Country PMI'!$A:$AZ,MATCH($A$1,'DB Country PMI'!$A$1:$AZ$1,),)=0,#N/A,VLOOKUP(A100,'DB Country PMI'!$A:$AZ,MATCH($A$1,'DB Country PMI'!$A$1:$AZ$1,),))</f>
        <v>49</v>
      </c>
      <c r="C100" s="24">
        <f>Table13468111214151617[[#This Row],[PMI]]-B99</f>
        <v>-1.7000000000000028</v>
      </c>
    </row>
    <row r="101" spans="1:3" x14ac:dyDescent="0.2">
      <c r="A101" s="10">
        <v>41944</v>
      </c>
      <c r="B101" s="18">
        <f>IF(VLOOKUP(A101,'DB Country PMI'!$A:$AZ,MATCH($A$1,'DB Country PMI'!$A$1:$AZ$1,),)=0,#N/A,VLOOKUP(A101,'DB Country PMI'!$A:$AZ,MATCH($A$1,'DB Country PMI'!$A$1:$AZ$1,),))</f>
        <v>49</v>
      </c>
      <c r="C101" s="24">
        <f>Table13468111214151617[[#This Row],[PMI]]-B100</f>
        <v>0</v>
      </c>
    </row>
    <row r="102" spans="1:3" x14ac:dyDescent="0.2">
      <c r="A102" s="10">
        <v>41974</v>
      </c>
      <c r="B102" s="18">
        <f>IF(VLOOKUP(A102,'DB Country PMI'!$A:$AZ,MATCH($A$1,'DB Country PMI'!$A$1:$AZ$1,),)=0,#N/A,VLOOKUP(A102,'DB Country PMI'!$A:$AZ,MATCH($A$1,'DB Country PMI'!$A$1:$AZ$1,),))</f>
        <v>48.4</v>
      </c>
      <c r="C102" s="24">
        <f>Table13468111214151617[[#This Row],[PMI]]-B101</f>
        <v>-0.60000000000000142</v>
      </c>
    </row>
    <row r="103" spans="1:3" x14ac:dyDescent="0.2">
      <c r="A103" s="10">
        <v>42005</v>
      </c>
      <c r="B103" s="18">
        <f>IF(VLOOKUP(A103,'DB Country PMI'!$A:$AZ,MATCH($A$1,'DB Country PMI'!$A$1:$AZ$1,),)=0,#N/A,VLOOKUP(A103,'DB Country PMI'!$A:$AZ,MATCH($A$1,'DB Country PMI'!$A$1:$AZ$1,),))</f>
        <v>49.9</v>
      </c>
      <c r="C103" s="24">
        <f>Table13468111214151617[[#This Row],[PMI]]-B102</f>
        <v>1.5</v>
      </c>
    </row>
    <row r="104" spans="1:3" x14ac:dyDescent="0.2">
      <c r="A104" s="10">
        <v>42036</v>
      </c>
      <c r="B104" s="18">
        <f>IF(VLOOKUP(A104,'DB Country PMI'!$A:$AZ,MATCH($A$1,'DB Country PMI'!$A$1:$AZ$1,),)=0,#N/A,VLOOKUP(A104,'DB Country PMI'!$A:$AZ,MATCH($A$1,'DB Country PMI'!$A$1:$AZ$1,),))</f>
        <v>51.9</v>
      </c>
      <c r="C104" s="24">
        <f>Table13468111214151617[[#This Row],[PMI]]-B103</f>
        <v>2</v>
      </c>
    </row>
    <row r="105" spans="1:3" x14ac:dyDescent="0.2">
      <c r="A105" s="10">
        <v>42064</v>
      </c>
      <c r="B105" s="18">
        <f>IF(VLOOKUP(A105,'DB Country PMI'!$A:$AZ,MATCH($A$1,'DB Country PMI'!$A$1:$AZ$1,),)=0,#N/A,VLOOKUP(A105,'DB Country PMI'!$A:$AZ,MATCH($A$1,'DB Country PMI'!$A$1:$AZ$1,),))</f>
        <v>53.3</v>
      </c>
      <c r="C105" s="24">
        <f>Table13468111214151617[[#This Row],[PMI]]-B104</f>
        <v>1.3999999999999986</v>
      </c>
    </row>
    <row r="106" spans="1:3" x14ac:dyDescent="0.2">
      <c r="A106" s="10">
        <v>42095</v>
      </c>
      <c r="B106" s="18">
        <f>IF(VLOOKUP(A106,'DB Country PMI'!$A:$AZ,MATCH($A$1,'DB Country PMI'!$A$1:$AZ$1,),)=0,#N/A,VLOOKUP(A106,'DB Country PMI'!$A:$AZ,MATCH($A$1,'DB Country PMI'!$A$1:$AZ$1,),))</f>
        <v>53.8</v>
      </c>
      <c r="C106" s="24">
        <f>Table13468111214151617[[#This Row],[PMI]]-B105</f>
        <v>0.5</v>
      </c>
    </row>
    <row r="107" spans="1:3" x14ac:dyDescent="0.2">
      <c r="A107" s="10">
        <v>42125</v>
      </c>
      <c r="B107" s="18">
        <f>IF(VLOOKUP(A107,'DB Country PMI'!$A:$AZ,MATCH($A$1,'DB Country PMI'!$A$1:$AZ$1,),)=0,#N/A,VLOOKUP(A107,'DB Country PMI'!$A:$AZ,MATCH($A$1,'DB Country PMI'!$A$1:$AZ$1,),))</f>
        <v>54.8</v>
      </c>
      <c r="C107" s="24">
        <f>Table13468111214151617[[#This Row],[PMI]]-B106</f>
        <v>1</v>
      </c>
    </row>
    <row r="108" spans="1:3" x14ac:dyDescent="0.2">
      <c r="A108" s="10">
        <v>42156</v>
      </c>
      <c r="B108" s="18">
        <f>IF(VLOOKUP(A108,'DB Country PMI'!$A:$AZ,MATCH($A$1,'DB Country PMI'!$A$1:$AZ$1,),)=0,#N/A,VLOOKUP(A108,'DB Country PMI'!$A:$AZ,MATCH($A$1,'DB Country PMI'!$A$1:$AZ$1,),))</f>
        <v>54.1</v>
      </c>
      <c r="C108" s="24">
        <f>Table13468111214151617[[#This Row],[PMI]]-B107</f>
        <v>-0.69999999999999574</v>
      </c>
    </row>
    <row r="109" spans="1:3" x14ac:dyDescent="0.2">
      <c r="A109" s="10">
        <v>42186</v>
      </c>
      <c r="B109" s="18">
        <f>IF(VLOOKUP(A109,'DB Country PMI'!$A:$AZ,MATCH($A$1,'DB Country PMI'!$A$1:$AZ$1,),)=0,#N/A,VLOOKUP(A109,'DB Country PMI'!$A:$AZ,MATCH($A$1,'DB Country PMI'!$A$1:$AZ$1,),))</f>
        <v>55.3</v>
      </c>
      <c r="C109" s="24">
        <f>Table13468111214151617[[#This Row],[PMI]]-B108</f>
        <v>1.1999999999999957</v>
      </c>
    </row>
    <row r="110" spans="1:3" x14ac:dyDescent="0.2">
      <c r="A110" s="10">
        <v>42217</v>
      </c>
      <c r="B110" s="18">
        <f>IF(VLOOKUP(A110,'DB Country PMI'!$A:$AZ,MATCH($A$1,'DB Country PMI'!$A$1:$AZ$1,),)=0,#N/A,VLOOKUP(A110,'DB Country PMI'!$A:$AZ,MATCH($A$1,'DB Country PMI'!$A$1:$AZ$1,),))</f>
        <v>53.8</v>
      </c>
      <c r="C110" s="24">
        <f>Table13468111214151617[[#This Row],[PMI]]-B109</f>
        <v>-1.5</v>
      </c>
    </row>
    <row r="111" spans="1:3" x14ac:dyDescent="0.2">
      <c r="A111" s="10">
        <v>42248</v>
      </c>
      <c r="B111" s="18">
        <f>IF(VLOOKUP(A111,'DB Country PMI'!$A:$AZ,MATCH($A$1,'DB Country PMI'!$A$1:$AZ$1,),)=0,#N/A,VLOOKUP(A111,'DB Country PMI'!$A:$AZ,MATCH($A$1,'DB Country PMI'!$A$1:$AZ$1,),))</f>
        <v>52.7</v>
      </c>
      <c r="C111" s="24">
        <f>Table13468111214151617[[#This Row],[PMI]]-B110</f>
        <v>-1.0999999999999943</v>
      </c>
    </row>
    <row r="112" spans="1:3" x14ac:dyDescent="0.2">
      <c r="A112" s="10">
        <v>42278</v>
      </c>
      <c r="B112" s="18">
        <f>IF(VLOOKUP(A112,'DB Country PMI'!$A:$AZ,MATCH($A$1,'DB Country PMI'!$A$1:$AZ$1,),)=0,#N/A,VLOOKUP(A112,'DB Country PMI'!$A:$AZ,MATCH($A$1,'DB Country PMI'!$A$1:$AZ$1,),))</f>
        <v>54.1</v>
      </c>
      <c r="C112" s="24">
        <f>Table13468111214151617[[#This Row],[PMI]]-B111</f>
        <v>1.3999999999999986</v>
      </c>
    </row>
    <row r="113" spans="1:3" x14ac:dyDescent="0.2">
      <c r="A113" s="10">
        <v>42309</v>
      </c>
      <c r="B113" s="18">
        <f>IF(VLOOKUP(A113,'DB Country PMI'!$A:$AZ,MATCH($A$1,'DB Country PMI'!$A$1:$AZ$1,),)=0,#N/A,VLOOKUP(A113,'DB Country PMI'!$A:$AZ,MATCH($A$1,'DB Country PMI'!$A$1:$AZ$1,),))</f>
        <v>54.9</v>
      </c>
      <c r="C113" s="24">
        <f>Table13468111214151617[[#This Row],[PMI]]-B112</f>
        <v>0.79999999999999716</v>
      </c>
    </row>
    <row r="114" spans="1:3" x14ac:dyDescent="0.2">
      <c r="A114" s="10">
        <v>42339</v>
      </c>
      <c r="B114" s="18">
        <f>IF(VLOOKUP(A114,'DB Country PMI'!$A:$AZ,MATCH($A$1,'DB Country PMI'!$A$1:$AZ$1,),)=0,#N/A,VLOOKUP(A114,'DB Country PMI'!$A:$AZ,MATCH($A$1,'DB Country PMI'!$A$1:$AZ$1,),))</f>
        <v>55.6</v>
      </c>
      <c r="C114" s="24">
        <f>Table13468111214151617[[#This Row],[PMI]]-B113</f>
        <v>0.70000000000000284</v>
      </c>
    </row>
    <row r="115" spans="1:3" x14ac:dyDescent="0.2">
      <c r="A115" s="10">
        <v>42370</v>
      </c>
      <c r="B115" s="18">
        <f>IF(VLOOKUP(A115,'DB Country PMI'!$A:$AZ,MATCH($A$1,'DB Country PMI'!$A$1:$AZ$1,),)=0,#N/A,VLOOKUP(A115,'DB Country PMI'!$A:$AZ,MATCH($A$1,'DB Country PMI'!$A$1:$AZ$1,),))</f>
        <v>53.2</v>
      </c>
      <c r="C115" s="24">
        <f>Table13468111214151617[[#This Row],[PMI]]-B114</f>
        <v>-2.3999999999999986</v>
      </c>
    </row>
    <row r="116" spans="1:3" x14ac:dyDescent="0.2">
      <c r="A116" s="10">
        <v>42401</v>
      </c>
      <c r="B116" s="18">
        <f>IF(VLOOKUP(A116,'DB Country PMI'!$A:$AZ,MATCH($A$1,'DB Country PMI'!$A$1:$AZ$1,),)=0,#N/A,VLOOKUP(A116,'DB Country PMI'!$A:$AZ,MATCH($A$1,'DB Country PMI'!$A$1:$AZ$1,),))</f>
        <v>52.2</v>
      </c>
      <c r="C116" s="24">
        <f>Table13468111214151617[[#This Row],[PMI]]-B115</f>
        <v>-1</v>
      </c>
    </row>
    <row r="117" spans="1:3" x14ac:dyDescent="0.2">
      <c r="A117" s="10">
        <v>42430</v>
      </c>
      <c r="B117" s="18">
        <f>IF(VLOOKUP(A117,'DB Country PMI'!$A:$AZ,MATCH($A$1,'DB Country PMI'!$A$1:$AZ$1,),)=0,#N/A,VLOOKUP(A117,'DB Country PMI'!$A:$AZ,MATCH($A$1,'DB Country PMI'!$A$1:$AZ$1,),))</f>
        <v>53.5</v>
      </c>
      <c r="C117" s="24">
        <f>Table13468111214151617[[#This Row],[PMI]]-B116</f>
        <v>1.2999999999999972</v>
      </c>
    </row>
    <row r="118" spans="1:3" x14ac:dyDescent="0.2">
      <c r="A118" s="10">
        <v>42461</v>
      </c>
      <c r="B118" s="18">
        <f>IF(VLOOKUP(A118,'DB Country PMI'!$A:$AZ,MATCH($A$1,'DB Country PMI'!$A$1:$AZ$1,),)=0,#N/A,VLOOKUP(A118,'DB Country PMI'!$A:$AZ,MATCH($A$1,'DB Country PMI'!$A$1:$AZ$1,),))</f>
        <v>53.9</v>
      </c>
      <c r="C118" s="24">
        <f>Table13468111214151617[[#This Row],[PMI]]-B117</f>
        <v>0.39999999999999858</v>
      </c>
    </row>
    <row r="119" spans="1:3" x14ac:dyDescent="0.2">
      <c r="A119" s="10">
        <v>42491</v>
      </c>
      <c r="B119" s="18">
        <f>IF(VLOOKUP(A119,'DB Country PMI'!$A:$AZ,MATCH($A$1,'DB Country PMI'!$A$1:$AZ$1,),)=0,#N/A,VLOOKUP(A119,'DB Country PMI'!$A:$AZ,MATCH($A$1,'DB Country PMI'!$A$1:$AZ$1,),))</f>
        <v>52.4</v>
      </c>
      <c r="C119" s="24">
        <f>Table13468111214151617[[#This Row],[PMI]]-B118</f>
        <v>-1.5</v>
      </c>
    </row>
    <row r="120" spans="1:3" x14ac:dyDescent="0.2">
      <c r="A120" s="10">
        <v>42522</v>
      </c>
      <c r="B120" s="18">
        <f>IF(VLOOKUP(A120,'DB Country PMI'!$A:$AZ,MATCH($A$1,'DB Country PMI'!$A$1:$AZ$1,),)=0,#N/A,VLOOKUP(A120,'DB Country PMI'!$A:$AZ,MATCH($A$1,'DB Country PMI'!$A$1:$AZ$1,),))</f>
        <v>53.5</v>
      </c>
      <c r="C120" s="24">
        <f>Table13468111214151617[[#This Row],[PMI]]-B119</f>
        <v>1.1000000000000014</v>
      </c>
    </row>
    <row r="121" spans="1:3" x14ac:dyDescent="0.2">
      <c r="A121" s="10">
        <v>42552</v>
      </c>
      <c r="B121" s="18">
        <f>IF(VLOOKUP(A121,'DB Country PMI'!$A:$AZ,MATCH($A$1,'DB Country PMI'!$A$1:$AZ$1,),)=0,#N/A,VLOOKUP(A121,'DB Country PMI'!$A:$AZ,MATCH($A$1,'DB Country PMI'!$A$1:$AZ$1,),))</f>
        <v>51.2</v>
      </c>
      <c r="C121" s="24">
        <f>Table13468111214151617[[#This Row],[PMI]]-B120</f>
        <v>-2.2999999999999972</v>
      </c>
    </row>
    <row r="122" spans="1:3" x14ac:dyDescent="0.2">
      <c r="A122" s="10">
        <v>42583</v>
      </c>
      <c r="B122" s="18">
        <f>IF(VLOOKUP(A122,'DB Country PMI'!$A:$AZ,MATCH($A$1,'DB Country PMI'!$A$1:$AZ$1,),)=0,#N/A,VLOOKUP(A122,'DB Country PMI'!$A:$AZ,MATCH($A$1,'DB Country PMI'!$A$1:$AZ$1,),))</f>
        <v>49.8</v>
      </c>
      <c r="C122" s="24">
        <f>Table13468111214151617[[#This Row],[PMI]]-B121</f>
        <v>-1.4000000000000057</v>
      </c>
    </row>
    <row r="123" spans="1:3" x14ac:dyDescent="0.2">
      <c r="A123" s="10">
        <v>42614</v>
      </c>
      <c r="B123" s="18">
        <f>IF(VLOOKUP(A123,'DB Country PMI'!$A:$AZ,MATCH($A$1,'DB Country PMI'!$A$1:$AZ$1,),)=0,#N/A,VLOOKUP(A123,'DB Country PMI'!$A:$AZ,MATCH($A$1,'DB Country PMI'!$A$1:$AZ$1,),))</f>
        <v>51</v>
      </c>
      <c r="C123" s="24">
        <f>Table13468111214151617[[#This Row],[PMI]]-B122</f>
        <v>1.2000000000000028</v>
      </c>
    </row>
    <row r="124" spans="1:3" x14ac:dyDescent="0.2">
      <c r="A124" s="10">
        <v>42644</v>
      </c>
      <c r="B124" s="18">
        <f>IF(VLOOKUP(A124,'DB Country PMI'!$A:$AZ,MATCH($A$1,'DB Country PMI'!$A$1:$AZ$1,),)=0,#N/A,VLOOKUP(A124,'DB Country PMI'!$A:$AZ,MATCH($A$1,'DB Country PMI'!$A$1:$AZ$1,),))</f>
        <v>50.9</v>
      </c>
      <c r="C124" s="24">
        <f>Table13468111214151617[[#This Row],[PMI]]-B123</f>
        <v>-0.10000000000000142</v>
      </c>
    </row>
    <row r="125" spans="1:3" x14ac:dyDescent="0.2">
      <c r="A125" s="10">
        <v>42675</v>
      </c>
      <c r="B125" s="18">
        <f>IF(VLOOKUP(A125,'DB Country PMI'!$A:$AZ,MATCH($A$1,'DB Country PMI'!$A$1:$AZ$1,),)=0,#N/A,VLOOKUP(A125,'DB Country PMI'!$A:$AZ,MATCH($A$1,'DB Country PMI'!$A$1:$AZ$1,),))</f>
        <v>52.2</v>
      </c>
      <c r="C125" s="24">
        <f>Table13468111214151617[[#This Row],[PMI]]-B124</f>
        <v>1.3000000000000043</v>
      </c>
    </row>
    <row r="126" spans="1:3" x14ac:dyDescent="0.2">
      <c r="A126" s="10">
        <v>42705</v>
      </c>
      <c r="B126" s="18">
        <f>IF(VLOOKUP(A126,'DB Country PMI'!$A:$AZ,MATCH($A$1,'DB Country PMI'!$A$1:$AZ$1,),)=0,#N/A,VLOOKUP(A126,'DB Country PMI'!$A:$AZ,MATCH($A$1,'DB Country PMI'!$A$1:$AZ$1,),))</f>
        <v>53.2</v>
      </c>
      <c r="C126" s="24">
        <f>Table13468111214151617[[#This Row],[PMI]]-B125</f>
        <v>1</v>
      </c>
    </row>
    <row r="127" spans="1:3" x14ac:dyDescent="0.2">
      <c r="A127" s="10">
        <v>42736</v>
      </c>
      <c r="B127" s="18">
        <f>IF(VLOOKUP(A127,'DB Country PMI'!$A:$AZ,MATCH($A$1,'DB Country PMI'!$A$1:$AZ$1,),)=0,#N/A,VLOOKUP(A127,'DB Country PMI'!$A:$AZ,MATCH($A$1,'DB Country PMI'!$A$1:$AZ$1,),))</f>
        <v>53</v>
      </c>
      <c r="C127" s="24">
        <f>Table13468111214151617[[#This Row],[PMI]]-B126</f>
        <v>-0.20000000000000284</v>
      </c>
    </row>
    <row r="128" spans="1:3" x14ac:dyDescent="0.2">
      <c r="A128" s="10">
        <v>42767</v>
      </c>
      <c r="B128" s="18">
        <f>IF(VLOOKUP(A128,'DB Country PMI'!$A:$AZ,MATCH($A$1,'DB Country PMI'!$A$1:$AZ$1,),)=0,#N/A,VLOOKUP(A128,'DB Country PMI'!$A:$AZ,MATCH($A$1,'DB Country PMI'!$A$1:$AZ$1,),))</f>
        <v>55</v>
      </c>
      <c r="C128" s="24">
        <f>Table13468111214151617[[#This Row],[PMI]]-B127</f>
        <v>2</v>
      </c>
    </row>
    <row r="129" spans="1:3" x14ac:dyDescent="0.2">
      <c r="A129" s="10">
        <v>42795</v>
      </c>
      <c r="B129" s="18">
        <f>IF(VLOOKUP(A129,'DB Country PMI'!$A:$AZ,MATCH($A$1,'DB Country PMI'!$A$1:$AZ$1,),)=0,#N/A,VLOOKUP(A129,'DB Country PMI'!$A:$AZ,MATCH($A$1,'DB Country PMI'!$A$1:$AZ$1,),))</f>
        <v>55.7</v>
      </c>
      <c r="C129" s="24">
        <f>Table13468111214151617[[#This Row],[PMI]]-B128</f>
        <v>0.70000000000000284</v>
      </c>
    </row>
    <row r="130" spans="1:3" x14ac:dyDescent="0.2">
      <c r="A130" s="10">
        <v>42826</v>
      </c>
      <c r="B130" s="18">
        <f>IF(VLOOKUP(A130,'DB Country PMI'!$A:$AZ,MATCH($A$1,'DB Country PMI'!$A$1:$AZ$1,),)=0,#N/A,VLOOKUP(A130,'DB Country PMI'!$A:$AZ,MATCH($A$1,'DB Country PMI'!$A$1:$AZ$1,),))</f>
        <v>56.2</v>
      </c>
      <c r="C130" s="24">
        <f>Table13468111214151617[[#This Row],[PMI]]-B129</f>
        <v>0.5</v>
      </c>
    </row>
    <row r="131" spans="1:3" x14ac:dyDescent="0.2">
      <c r="A131" s="10">
        <v>42856</v>
      </c>
      <c r="B131" s="18">
        <f>IF(VLOOKUP(A131,'DB Country PMI'!$A:$AZ,MATCH($A$1,'DB Country PMI'!$A$1:$AZ$1,),)=0,#N/A,VLOOKUP(A131,'DB Country PMI'!$A:$AZ,MATCH($A$1,'DB Country PMI'!$A$1:$AZ$1,),))</f>
        <v>55.1</v>
      </c>
      <c r="C131" s="24">
        <f>Table13468111214151617[[#This Row],[PMI]]-B130</f>
        <v>-1.1000000000000014</v>
      </c>
    </row>
    <row r="132" spans="1:3" x14ac:dyDescent="0.2">
      <c r="A132" s="10">
        <v>42887</v>
      </c>
      <c r="B132" s="18">
        <f>IF(VLOOKUP(A132,'DB Country PMI'!$A:$AZ,MATCH($A$1,'DB Country PMI'!$A$1:$AZ$1,),)=0,#N/A,VLOOKUP(A132,'DB Country PMI'!$A:$AZ,MATCH($A$1,'DB Country PMI'!$A$1:$AZ$1,),))</f>
        <v>55.2</v>
      </c>
      <c r="C132" s="24">
        <f>Table13468111214151617[[#This Row],[PMI]]-B131</f>
        <v>0.10000000000000142</v>
      </c>
    </row>
    <row r="133" spans="1:3" x14ac:dyDescent="0.2">
      <c r="A133" s="10">
        <v>42917</v>
      </c>
      <c r="B133" s="18">
        <f>IF(VLOOKUP(A133,'DB Country PMI'!$A:$AZ,MATCH($A$1,'DB Country PMI'!$A$1:$AZ$1,),)=0,#N/A,VLOOKUP(A133,'DB Country PMI'!$A:$AZ,MATCH($A$1,'DB Country PMI'!$A$1:$AZ$1,),))</f>
        <v>55.1</v>
      </c>
      <c r="C133" s="24">
        <f>Table13468111214151617[[#This Row],[PMI]]-B132</f>
        <v>-0.10000000000000142</v>
      </c>
    </row>
    <row r="134" spans="1:3" x14ac:dyDescent="0.2">
      <c r="A134" s="10">
        <v>42948</v>
      </c>
      <c r="B134" s="18">
        <f>IF(VLOOKUP(A134,'DB Country PMI'!$A:$AZ,MATCH($A$1,'DB Country PMI'!$A$1:$AZ$1,),)=0,#N/A,VLOOKUP(A134,'DB Country PMI'!$A:$AZ,MATCH($A$1,'DB Country PMI'!$A$1:$AZ$1,),))</f>
        <v>56.3</v>
      </c>
      <c r="C134" s="24">
        <f>Table13468111214151617[[#This Row],[PMI]]-B133</f>
        <v>1.1999999999999957</v>
      </c>
    </row>
    <row r="135" spans="1:3" x14ac:dyDescent="0.2">
      <c r="A135" s="10">
        <v>42979</v>
      </c>
      <c r="B135" s="18">
        <f>IF(VLOOKUP(A135,'DB Country PMI'!$A:$AZ,MATCH($A$1,'DB Country PMI'!$A$1:$AZ$1,),)=0,#N/A,VLOOKUP(A135,'DB Country PMI'!$A:$AZ,MATCH($A$1,'DB Country PMI'!$A$1:$AZ$1,),))</f>
        <v>56.3</v>
      </c>
      <c r="C135" s="24">
        <f>Table13468111214151617[[#This Row],[PMI]]-B134</f>
        <v>0</v>
      </c>
    </row>
    <row r="136" spans="1:3" x14ac:dyDescent="0.2">
      <c r="A136" s="10">
        <v>43009</v>
      </c>
      <c r="B136" s="18">
        <f>IF(VLOOKUP(A136,'DB Country PMI'!$A:$AZ,MATCH($A$1,'DB Country PMI'!$A$1:$AZ$1,),)=0,#N/A,VLOOKUP(A136,'DB Country PMI'!$A:$AZ,MATCH($A$1,'DB Country PMI'!$A$1:$AZ$1,),))</f>
        <v>57.8</v>
      </c>
      <c r="C136" s="24">
        <f>Table13468111214151617[[#This Row],[PMI]]-B135</f>
        <v>1.5</v>
      </c>
    </row>
    <row r="137" spans="1:3" x14ac:dyDescent="0.2">
      <c r="A137" s="10">
        <v>43040</v>
      </c>
      <c r="B137" s="18">
        <f>IF(VLOOKUP(A137,'DB Country PMI'!$A:$AZ,MATCH($A$1,'DB Country PMI'!$A$1:$AZ$1,),)=0,#N/A,VLOOKUP(A137,'DB Country PMI'!$A:$AZ,MATCH($A$1,'DB Country PMI'!$A$1:$AZ$1,),))</f>
        <v>58.3</v>
      </c>
      <c r="C137" s="24">
        <f>Table13468111214151617[[#This Row],[PMI]]-B136</f>
        <v>0.5</v>
      </c>
    </row>
    <row r="138" spans="1:3" x14ac:dyDescent="0.2">
      <c r="A138" s="10">
        <v>43070</v>
      </c>
      <c r="B138" s="18">
        <f>IF(VLOOKUP(A138,'DB Country PMI'!$A:$AZ,MATCH($A$1,'DB Country PMI'!$A$1:$AZ$1,),)=0,#N/A,VLOOKUP(A138,'DB Country PMI'!$A:$AZ,MATCH($A$1,'DB Country PMI'!$A$1:$AZ$1,),))</f>
        <v>57.4</v>
      </c>
      <c r="C138" s="24">
        <f>Table13468111214151617[[#This Row],[PMI]]-B137</f>
        <v>-0.89999999999999858</v>
      </c>
    </row>
    <row r="139" spans="1:3" x14ac:dyDescent="0.2">
      <c r="A139" s="10">
        <v>43101</v>
      </c>
      <c r="B139" s="18">
        <f>IF(VLOOKUP(A139,'DB Country PMI'!$A:$AZ,MATCH($A$1,'DB Country PMI'!$A$1:$AZ$1,),)=0,#N/A,VLOOKUP(A139,'DB Country PMI'!$A:$AZ,MATCH($A$1,'DB Country PMI'!$A$1:$AZ$1,),))</f>
        <v>59</v>
      </c>
      <c r="C139" s="24">
        <f>Table13468111214151617[[#This Row],[PMI]]-B138</f>
        <v>1.6000000000000014</v>
      </c>
    </row>
    <row r="140" spans="1:3" x14ac:dyDescent="0.2">
      <c r="A140" s="10">
        <v>43132</v>
      </c>
      <c r="B140" s="18">
        <f>IF(VLOOKUP(A140,'DB Country PMI'!$A:$AZ,MATCH($A$1,'DB Country PMI'!$A$1:$AZ$1,),)=0,#N/A,VLOOKUP(A140,'DB Country PMI'!$A:$AZ,MATCH($A$1,'DB Country PMI'!$A$1:$AZ$1,),))</f>
        <v>56.8</v>
      </c>
      <c r="C140" s="24">
        <f>Table13468111214151617[[#This Row],[PMI]]-B139</f>
        <v>-2.2000000000000028</v>
      </c>
    </row>
    <row r="141" spans="1:3" x14ac:dyDescent="0.2">
      <c r="A141" s="10">
        <v>43160</v>
      </c>
      <c r="B141" s="18">
        <f>IF(VLOOKUP(A141,'DB Country PMI'!$A:$AZ,MATCH($A$1,'DB Country PMI'!$A$1:$AZ$1,),)=0,#N/A,VLOOKUP(A141,'DB Country PMI'!$A:$AZ,MATCH($A$1,'DB Country PMI'!$A$1:$AZ$1,),))</f>
        <v>55.1</v>
      </c>
      <c r="C141" s="24">
        <f>Table13468111214151617[[#This Row],[PMI]]-B140</f>
        <v>-1.6999999999999957</v>
      </c>
    </row>
    <row r="142" spans="1:3" x14ac:dyDescent="0.2">
      <c r="A142" s="10">
        <v>43191</v>
      </c>
      <c r="B142" s="18">
        <f>IF(VLOOKUP(A142,'DB Country PMI'!$A:$AZ,MATCH($A$1,'DB Country PMI'!$A$1:$AZ$1,),)=0,#N/A,VLOOKUP(A142,'DB Country PMI'!$A:$AZ,MATCH($A$1,'DB Country PMI'!$A$1:$AZ$1,),))</f>
        <v>53.5</v>
      </c>
      <c r="C142" s="24">
        <f>Table13468111214151617[[#This Row],[PMI]]-B141</f>
        <v>-1.6000000000000014</v>
      </c>
    </row>
    <row r="143" spans="1:3" x14ac:dyDescent="0.2">
      <c r="A143" s="10">
        <v>43221</v>
      </c>
      <c r="B143" s="18">
        <f>IF(VLOOKUP(A143,'DB Country PMI'!$A:$AZ,MATCH($A$1,'DB Country PMI'!$A$1:$AZ$1,),)=0,#N/A,VLOOKUP(A143,'DB Country PMI'!$A:$AZ,MATCH($A$1,'DB Country PMI'!$A$1:$AZ$1,),))</f>
        <v>52.7</v>
      </c>
      <c r="C143" s="24">
        <f>Table13468111214151617[[#This Row],[PMI]]-B142</f>
        <v>-0.79999999999999716</v>
      </c>
    </row>
    <row r="144" spans="1:3" x14ac:dyDescent="0.2">
      <c r="A144" s="10">
        <v>43252</v>
      </c>
      <c r="B144" s="18">
        <f>IF(VLOOKUP(A144,'DB Country PMI'!$A:$AZ,MATCH($A$1,'DB Country PMI'!$A$1:$AZ$1,),)=0,#N/A,VLOOKUP(A144,'DB Country PMI'!$A:$AZ,MATCH($A$1,'DB Country PMI'!$A$1:$AZ$1,),))</f>
        <v>53.3</v>
      </c>
      <c r="C144" s="24">
        <f>Table13468111214151617[[#This Row],[PMI]]-B143</f>
        <v>0.59999999999999432</v>
      </c>
    </row>
    <row r="145" spans="1:3" x14ac:dyDescent="0.2">
      <c r="A145" s="10">
        <v>43282</v>
      </c>
      <c r="B145" s="18">
        <f>IF(VLOOKUP(A145,'DB Country PMI'!$A:$AZ,MATCH($A$1,'DB Country PMI'!$A$1:$AZ$1,),)=0,#N/A,VLOOKUP(A145,'DB Country PMI'!$A:$AZ,MATCH($A$1,'DB Country PMI'!$A$1:$AZ$1,),))</f>
        <v>51.5</v>
      </c>
      <c r="C145" s="24">
        <f>Table13468111214151617[[#This Row],[PMI]]-B144</f>
        <v>-1.7999999999999972</v>
      </c>
    </row>
    <row r="146" spans="1:3" x14ac:dyDescent="0.2">
      <c r="A146" s="10">
        <v>43313</v>
      </c>
      <c r="B146" s="18">
        <f>IF(VLOOKUP(A146,'DB Country PMI'!$A:$AZ,MATCH($A$1,'DB Country PMI'!$A$1:$AZ$1,),)=0,#N/A,VLOOKUP(A146,'DB Country PMI'!$A:$AZ,MATCH($A$1,'DB Country PMI'!$A$1:$AZ$1,),))</f>
        <v>50.1</v>
      </c>
      <c r="C146" s="24">
        <f>Table13468111214151617[[#This Row],[PMI]]-B145</f>
        <v>-1.3999999999999986</v>
      </c>
    </row>
    <row r="147" spans="1:3" x14ac:dyDescent="0.2">
      <c r="A147" s="10">
        <v>43344</v>
      </c>
      <c r="B147" s="18">
        <f>IF(VLOOKUP(A147,'DB Country PMI'!$A:$AZ,MATCH($A$1,'DB Country PMI'!$A$1:$AZ$1,),)=0,#N/A,VLOOKUP(A147,'DB Country PMI'!$A:$AZ,MATCH($A$1,'DB Country PMI'!$A$1:$AZ$1,),))</f>
        <v>50</v>
      </c>
      <c r="C147" s="24">
        <f>Table13468111214151617[[#This Row],[PMI]]-B146</f>
        <v>-0.10000000000000142</v>
      </c>
    </row>
    <row r="148" spans="1:3" x14ac:dyDescent="0.2">
      <c r="A148" s="10">
        <v>43374</v>
      </c>
      <c r="B148" s="18">
        <f>IF(VLOOKUP(A148,'DB Country PMI'!$A:$AZ,MATCH($A$1,'DB Country PMI'!$A$1:$AZ$1,),)=0,#N/A,VLOOKUP(A148,'DB Country PMI'!$A:$AZ,MATCH($A$1,'DB Country PMI'!$A$1:$AZ$1,),))</f>
        <v>49.2</v>
      </c>
      <c r="C148" s="24">
        <f>Table13468111214151617[[#This Row],[PMI]]-B147</f>
        <v>-0.79999999999999716</v>
      </c>
    </row>
    <row r="149" spans="1:3" x14ac:dyDescent="0.2">
      <c r="A149" s="10">
        <v>43405</v>
      </c>
      <c r="B149" s="18">
        <f>IF(VLOOKUP(A149,'DB Country PMI'!$A:$AZ,MATCH($A$1,'DB Country PMI'!$A$1:$AZ$1,),)=0,#N/A,VLOOKUP(A149,'DB Country PMI'!$A:$AZ,MATCH($A$1,'DB Country PMI'!$A$1:$AZ$1,),))</f>
        <v>48.6</v>
      </c>
      <c r="C149" s="24">
        <f>Table13468111214151617[[#This Row],[PMI]]-B148</f>
        <v>-0.60000000000000142</v>
      </c>
    </row>
    <row r="150" spans="1:3" x14ac:dyDescent="0.2">
      <c r="A150" s="10">
        <v>43435</v>
      </c>
      <c r="B150" s="18">
        <f>IF(VLOOKUP(A150,'DB Country PMI'!$A:$AZ,MATCH($A$1,'DB Country PMI'!$A$1:$AZ$1,),)=0,#N/A,VLOOKUP(A150,'DB Country PMI'!$A:$AZ,MATCH($A$1,'DB Country PMI'!$A$1:$AZ$1,),))</f>
        <v>49.2</v>
      </c>
      <c r="C150" s="24">
        <f>Table13468111214151617[[#This Row],[PMI]]-B149</f>
        <v>0.60000000000000142</v>
      </c>
    </row>
    <row r="151" spans="1:3" x14ac:dyDescent="0.2">
      <c r="A151" s="10">
        <v>43466</v>
      </c>
      <c r="B151" s="18">
        <f>IF(VLOOKUP(A151,'DB Country PMI'!$A:$AZ,MATCH($A$1,'DB Country PMI'!$A$1:$AZ$1,),)=0,#N/A,VLOOKUP(A151,'DB Country PMI'!$A:$AZ,MATCH($A$1,'DB Country PMI'!$A$1:$AZ$1,),))</f>
        <v>47.8</v>
      </c>
      <c r="C151" s="24">
        <f>Table13468111214151617[[#This Row],[PMI]]-B150</f>
        <v>-1.4000000000000057</v>
      </c>
    </row>
    <row r="152" spans="1:3" x14ac:dyDescent="0.2">
      <c r="A152" s="10">
        <v>43497</v>
      </c>
      <c r="B152" s="18">
        <f>IF(VLOOKUP(A152,'DB Country PMI'!$A:$AZ,MATCH($A$1,'DB Country PMI'!$A$1:$AZ$1,),)=0,#N/A,VLOOKUP(A152,'DB Country PMI'!$A:$AZ,MATCH($A$1,'DB Country PMI'!$A$1:$AZ$1,),))</f>
        <v>47.7</v>
      </c>
      <c r="C152" s="24">
        <f>Table13468111214151617[[#This Row],[PMI]]-B151</f>
        <v>-9.9999999999994316E-2</v>
      </c>
    </row>
    <row r="153" spans="1:3" x14ac:dyDescent="0.2">
      <c r="A153" s="10">
        <v>43525</v>
      </c>
      <c r="B153" s="18">
        <f>IF(VLOOKUP(A153,'DB Country PMI'!$A:$AZ,MATCH($A$1,'DB Country PMI'!$A$1:$AZ$1,),)=0,#N/A,VLOOKUP(A153,'DB Country PMI'!$A:$AZ,MATCH($A$1,'DB Country PMI'!$A$1:$AZ$1,),))</f>
        <v>47.4</v>
      </c>
      <c r="C153" s="24">
        <f>Table13468111214151617[[#This Row],[PMI]]-B152</f>
        <v>-0.30000000000000426</v>
      </c>
    </row>
    <row r="154" spans="1:3" x14ac:dyDescent="0.2">
      <c r="A154" s="10">
        <v>43556</v>
      </c>
      <c r="B154" s="18">
        <f>IF(VLOOKUP(A154,'DB Country PMI'!$A:$AZ,MATCH($A$1,'DB Country PMI'!$A$1:$AZ$1,),)=0,#N/A,VLOOKUP(A154,'DB Country PMI'!$A:$AZ,MATCH($A$1,'DB Country PMI'!$A$1:$AZ$1,),))</f>
        <v>49.1</v>
      </c>
      <c r="C154" s="24">
        <f>Table13468111214151617[[#This Row],[PMI]]-B153</f>
        <v>1.7000000000000028</v>
      </c>
    </row>
    <row r="155" spans="1:3" x14ac:dyDescent="0.2">
      <c r="A155" s="10">
        <v>43586</v>
      </c>
      <c r="B155" s="18">
        <f>IF(VLOOKUP(A155,'DB Country PMI'!$A:$AZ,MATCH($A$1,'DB Country PMI'!$A$1:$AZ$1,),)=0,#N/A,VLOOKUP(A155,'DB Country PMI'!$A:$AZ,MATCH($A$1,'DB Country PMI'!$A$1:$AZ$1,),))</f>
        <v>49.7</v>
      </c>
      <c r="C155" s="24">
        <f>Table13468111214151617[[#This Row],[PMI]]-B154</f>
        <v>0.60000000000000142</v>
      </c>
    </row>
    <row r="156" spans="1:3" x14ac:dyDescent="0.2">
      <c r="A156" s="10">
        <v>43617</v>
      </c>
      <c r="B156" s="18">
        <f>IF(VLOOKUP(A156,'DB Country PMI'!$A:$AZ,MATCH($A$1,'DB Country PMI'!$A$1:$AZ$1,),)=0,#N/A,VLOOKUP(A156,'DB Country PMI'!$A:$AZ,MATCH($A$1,'DB Country PMI'!$A$1:$AZ$1,),))</f>
        <v>48.4</v>
      </c>
      <c r="C156" s="24">
        <f>Table13468111214151617[[#This Row],[PMI]]-B155</f>
        <v>-1.3000000000000043</v>
      </c>
    </row>
    <row r="157" spans="1:3" x14ac:dyDescent="0.2">
      <c r="A157" s="10">
        <v>43647</v>
      </c>
      <c r="B157" s="18">
        <f>IF(VLOOKUP(A157,'DB Country PMI'!$A:$AZ,MATCH($A$1,'DB Country PMI'!$A$1:$AZ$1,),)=0,#N/A,VLOOKUP(A157,'DB Country PMI'!$A:$AZ,MATCH($A$1,'DB Country PMI'!$A$1:$AZ$1,),))</f>
        <v>48.5</v>
      </c>
      <c r="C157" s="24">
        <f>Table13468111214151617[[#This Row],[PMI]]-B156</f>
        <v>0.10000000000000142</v>
      </c>
    </row>
    <row r="158" spans="1:3" x14ac:dyDescent="0.2">
      <c r="A158" s="10">
        <v>43678</v>
      </c>
      <c r="B158" s="18">
        <f>IF(VLOOKUP(A158,'DB Country PMI'!$A:$AZ,MATCH($A$1,'DB Country PMI'!$A$1:$AZ$1,),)=0,#N/A,VLOOKUP(A158,'DB Country PMI'!$A:$AZ,MATCH($A$1,'DB Country PMI'!$A$1:$AZ$1,),))</f>
        <v>48.7</v>
      </c>
      <c r="C158" s="24">
        <f>Table13468111214151617[[#This Row],[PMI]]-B157</f>
        <v>0.20000000000000284</v>
      </c>
    </row>
    <row r="159" spans="1:3" x14ac:dyDescent="0.2">
      <c r="A159" s="10">
        <v>43709</v>
      </c>
      <c r="B159" s="18">
        <f>IF(VLOOKUP(A159,'DB Country PMI'!$A:$AZ,MATCH($A$1,'DB Country PMI'!$A$1:$AZ$1,),)=0,#N/A,VLOOKUP(A159,'DB Country PMI'!$A:$AZ,MATCH($A$1,'DB Country PMI'!$A$1:$AZ$1,),))</f>
        <v>47.8</v>
      </c>
      <c r="C159" s="24">
        <f>Table13468111214151617[[#This Row],[PMI]]-B158</f>
        <v>-0.90000000000000568</v>
      </c>
    </row>
    <row r="160" spans="1:3" x14ac:dyDescent="0.2">
      <c r="A160" s="10">
        <v>43739</v>
      </c>
      <c r="B160" s="18">
        <f>IF(VLOOKUP(A160,'DB Country PMI'!$A:$AZ,MATCH($A$1,'DB Country PMI'!$A$1:$AZ$1,),)=0,#N/A,VLOOKUP(A160,'DB Country PMI'!$A:$AZ,MATCH($A$1,'DB Country PMI'!$A$1:$AZ$1,),))</f>
        <v>47.7</v>
      </c>
      <c r="C160" s="24">
        <f>Table13468111214151617[[#This Row],[PMI]]-B159</f>
        <v>-9.9999999999994316E-2</v>
      </c>
    </row>
    <row r="161" spans="1:3" x14ac:dyDescent="0.2">
      <c r="A161" s="10">
        <v>43770</v>
      </c>
      <c r="B161" s="18">
        <f>IF(VLOOKUP(A161,'DB Country PMI'!$A:$AZ,MATCH($A$1,'DB Country PMI'!$A$1:$AZ$1,),)=0,#N/A,VLOOKUP(A161,'DB Country PMI'!$A:$AZ,MATCH($A$1,'DB Country PMI'!$A$1:$AZ$1,),))</f>
        <v>47.6</v>
      </c>
      <c r="C161" s="24">
        <f>Table13468111214151617[[#This Row],[PMI]]-B160</f>
        <v>-0.10000000000000142</v>
      </c>
    </row>
    <row r="162" spans="1:3" x14ac:dyDescent="0.2">
      <c r="A162" s="10">
        <v>43800</v>
      </c>
      <c r="B162" s="18">
        <f>IF(VLOOKUP(A162,'DB Country PMI'!$A:$AZ,MATCH($A$1,'DB Country PMI'!$A$1:$AZ$1,),)=0,#N/A,VLOOKUP(A162,'DB Country PMI'!$A:$AZ,MATCH($A$1,'DB Country PMI'!$A$1:$AZ$1,),))</f>
        <v>46.2</v>
      </c>
      <c r="C162" s="24">
        <f>Table13468111214151617[[#This Row],[PMI]]-B161</f>
        <v>-1.3999999999999986</v>
      </c>
    </row>
    <row r="163" spans="1:3" x14ac:dyDescent="0.2">
      <c r="A163" s="10">
        <v>43831</v>
      </c>
      <c r="B163" s="18">
        <f>IF(VLOOKUP(A163,'DB Country PMI'!$A:$AZ,MATCH($A$1,'DB Country PMI'!$A$1:$AZ$1,),)=0,#N/A,VLOOKUP(A163,'DB Country PMI'!$A:$AZ,MATCH($A$1,'DB Country PMI'!$A$1:$AZ$1,),))</f>
        <v>48.9</v>
      </c>
      <c r="C163" s="24">
        <f>Table13468111214151617[[#This Row],[PMI]]-B162</f>
        <v>2.6999999999999957</v>
      </c>
    </row>
    <row r="164" spans="1:3" x14ac:dyDescent="0.2">
      <c r="A164" s="10">
        <v>43862</v>
      </c>
      <c r="B164" s="18">
        <f>IF(VLOOKUP(A164,'DB Country PMI'!$A:$AZ,MATCH($A$1,'DB Country PMI'!$A$1:$AZ$1,),)=0,#N/A,VLOOKUP(A164,'DB Country PMI'!$A:$AZ,MATCH($A$1,'DB Country PMI'!$A$1:$AZ$1,),))</f>
        <v>48.7</v>
      </c>
      <c r="C164" s="24">
        <f>Table13468111214151617[[#This Row],[PMI]]-B163</f>
        <v>-0.19999999999999574</v>
      </c>
    </row>
    <row r="165" spans="1:3" x14ac:dyDescent="0.2">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2">
      <c r="A166" s="10">
        <v>43922</v>
      </c>
      <c r="B166" s="18">
        <f>IF(VLOOKUP(A166,'DB Country PMI'!$A:$AZ,MATCH($A$1,'DB Country PMI'!$A$1:$AZ$1,),)=0,#N/A,VLOOKUP(A166,'DB Country PMI'!$A:$AZ,MATCH($A$1,'DB Country PMI'!$A$1:$AZ$1,),))</f>
        <v>31.1</v>
      </c>
      <c r="C166" s="24">
        <f>Table13468111214151617[[#This Row],[PMI]]-B165</f>
        <v>-9.1999999999999957</v>
      </c>
    </row>
    <row r="167" spans="1:3" x14ac:dyDescent="0.2">
      <c r="A167" s="10">
        <v>43952</v>
      </c>
      <c r="B167" s="18">
        <f>IF(VLOOKUP(A167,'DB Country PMI'!$A:$AZ,MATCH($A$1,'DB Country PMI'!$A$1:$AZ$1,),)=0,#N/A,VLOOKUP(A167,'DB Country PMI'!$A:$AZ,MATCH($A$1,'DB Country PMI'!$A$1:$AZ$1,),))</f>
        <v>45.4</v>
      </c>
      <c r="C167" s="24">
        <f>Table13468111214151617[[#This Row],[PMI]]-B166</f>
        <v>14.299999999999997</v>
      </c>
    </row>
    <row r="168" spans="1:3" x14ac:dyDescent="0.2">
      <c r="A168" s="10">
        <v>43983</v>
      </c>
      <c r="B168" s="18">
        <f>IF(VLOOKUP(A168,'DB Country PMI'!$A:$AZ,MATCH($A$1,'DB Country PMI'!$A$1:$AZ$1,),)=0,#N/A,VLOOKUP(A168,'DB Country PMI'!$A:$AZ,MATCH($A$1,'DB Country PMI'!$A$1:$AZ$1,),))</f>
        <v>47.5</v>
      </c>
      <c r="C168" s="24">
        <f>Table13468111214151617[[#This Row],[PMI]]-B167</f>
        <v>2.1000000000000014</v>
      </c>
    </row>
    <row r="169" spans="1:3" x14ac:dyDescent="0.2">
      <c r="A169" s="10">
        <v>44013</v>
      </c>
      <c r="B169" s="18">
        <f>IF(VLOOKUP(A169,'DB Country PMI'!$A:$AZ,MATCH($A$1,'DB Country PMI'!$A$1:$AZ$1,),)=0,#N/A,VLOOKUP(A169,'DB Country PMI'!$A:$AZ,MATCH($A$1,'DB Country PMI'!$A$1:$AZ$1,),))</f>
        <v>51.9</v>
      </c>
      <c r="C169" s="24">
        <f>Table13468111214151617[[#This Row],[PMI]]-B168</f>
        <v>4.3999999999999986</v>
      </c>
    </row>
    <row r="170" spans="1:3" x14ac:dyDescent="0.2">
      <c r="A170" s="10">
        <v>44044</v>
      </c>
      <c r="B170" s="18">
        <f>IF(VLOOKUP(A170,'DB Country PMI'!$A:$AZ,MATCH($A$1,'DB Country PMI'!$A$1:$AZ$1,),)=0,#N/A,VLOOKUP(A170,'DB Country PMI'!$A:$AZ,MATCH($A$1,'DB Country PMI'!$A$1:$AZ$1,),))</f>
        <v>53.1</v>
      </c>
      <c r="C170" s="24">
        <f>Table13468111214151617[[#This Row],[PMI]]-B169</f>
        <v>1.2000000000000028</v>
      </c>
    </row>
    <row r="171" spans="1:3" x14ac:dyDescent="0.2">
      <c r="A171" s="10">
        <v>44075</v>
      </c>
      <c r="B171" s="18">
        <f>IF(VLOOKUP(A171,'DB Country PMI'!$A:$AZ,MATCH($A$1,'DB Country PMI'!$A$1:$AZ$1,),)=0,#N/A,VLOOKUP(A171,'DB Country PMI'!$A:$AZ,MATCH($A$1,'DB Country PMI'!$A$1:$AZ$1,),))</f>
        <v>53.2</v>
      </c>
      <c r="C171" s="24">
        <f>Table13468111214151617[[#This Row],[PMI]]-B170</f>
        <v>0.10000000000000142</v>
      </c>
    </row>
    <row r="172" spans="1:3" x14ac:dyDescent="0.2">
      <c r="A172" s="10">
        <v>44105</v>
      </c>
      <c r="B172" s="18">
        <f>IF(VLOOKUP(A172,'DB Country PMI'!$A:$AZ,MATCH($A$1,'DB Country PMI'!$A$1:$AZ$1,),)=0,#N/A,VLOOKUP(A172,'DB Country PMI'!$A:$AZ,MATCH($A$1,'DB Country PMI'!$A$1:$AZ$1,),))</f>
        <v>53.8</v>
      </c>
      <c r="C172" s="24">
        <f>Table13468111214151617[[#This Row],[PMI]]-B171</f>
        <v>0.59999999999999432</v>
      </c>
    </row>
    <row r="173" spans="1:3" x14ac:dyDescent="0.2">
      <c r="A173" s="10">
        <v>44136</v>
      </c>
      <c r="B173" s="18">
        <f>IF(VLOOKUP(A173,'DB Country PMI'!$A:$AZ,MATCH($A$1,'DB Country PMI'!$A$1:$AZ$1,),)=0,#N/A,VLOOKUP(A173,'DB Country PMI'!$A:$AZ,MATCH($A$1,'DB Country PMI'!$A$1:$AZ$1,),))</f>
        <v>51.5</v>
      </c>
      <c r="C173" s="24">
        <f>Table13468111214151617[[#This Row],[PMI]]-B172</f>
        <v>-2.2999999999999972</v>
      </c>
    </row>
    <row r="174" spans="1:3" x14ac:dyDescent="0.2">
      <c r="A174" s="10">
        <v>44166</v>
      </c>
      <c r="B174" s="18">
        <f>IF(VLOOKUP(A174,'DB Country PMI'!$A:$AZ,MATCH($A$1,'DB Country PMI'!$A$1:$AZ$1,),)=0,#N/A,VLOOKUP(A174,'DB Country PMI'!$A:$AZ,MATCH($A$1,'DB Country PMI'!$A$1:$AZ$1,),))</f>
        <v>52.8</v>
      </c>
      <c r="C174" s="24">
        <f>Table13468111214151617[[#This Row],[PMI]]-B173</f>
        <v>1.2999999999999972</v>
      </c>
    </row>
    <row r="175" spans="1:3" x14ac:dyDescent="0.2">
      <c r="A175" s="10">
        <v>44197</v>
      </c>
      <c r="B175" s="18">
        <f>IF(VLOOKUP(A175,'DB Country PMI'!$A:$AZ,MATCH($A$1,'DB Country PMI'!$A$1:$AZ$1,),)=0,#N/A,VLOOKUP(A175,'DB Country PMI'!$A:$AZ,MATCH($A$1,'DB Country PMI'!$A$1:$AZ$1,),))</f>
        <v>55.1</v>
      </c>
      <c r="C175" s="24">
        <f>Table13468111214151617[[#This Row],[PMI]]-B174</f>
        <v>2.3000000000000043</v>
      </c>
    </row>
    <row r="176" spans="1:3" x14ac:dyDescent="0.2">
      <c r="A176" s="10">
        <v>44228</v>
      </c>
      <c r="B176" s="18">
        <f>IF(VLOOKUP(A176,'DB Country PMI'!$A:$AZ,MATCH($A$1,'DB Country PMI'!$A$1:$AZ$1,),)=0,#N/A,VLOOKUP(A176,'DB Country PMI'!$A:$AZ,MATCH($A$1,'DB Country PMI'!$A$1:$AZ$1,),))</f>
        <v>56.9</v>
      </c>
      <c r="C176" s="24">
        <f>Table13468111214151617[[#This Row],[PMI]]-B175</f>
        <v>1.7999999999999972</v>
      </c>
    </row>
    <row r="177" spans="1:3" x14ac:dyDescent="0.2">
      <c r="A177" s="10">
        <v>44256</v>
      </c>
      <c r="B177" s="18">
        <f>IF(VLOOKUP(A177,'DB Country PMI'!$A:$AZ,MATCH($A$1,'DB Country PMI'!$A$1:$AZ$1,),)=0,#N/A,VLOOKUP(A177,'DB Country PMI'!$A:$AZ,MATCH($A$1,'DB Country PMI'!$A$1:$AZ$1,),))</f>
        <v>59.8</v>
      </c>
      <c r="C177" s="24">
        <f>Table13468111214151617[[#This Row],[PMI]]-B176</f>
        <v>2.8999999999999986</v>
      </c>
    </row>
    <row r="178" spans="1:3" x14ac:dyDescent="0.2">
      <c r="A178" s="10">
        <v>44287</v>
      </c>
      <c r="B178" s="18">
        <f>IF(VLOOKUP(A178,'DB Country PMI'!$A:$AZ,MATCH($A$1,'DB Country PMI'!$A$1:$AZ$1,),)=0,#N/A,VLOOKUP(A178,'DB Country PMI'!$A:$AZ,MATCH($A$1,'DB Country PMI'!$A$1:$AZ$1,),))</f>
        <v>60.7</v>
      </c>
      <c r="C178" s="24">
        <f>Table13468111214151617[[#This Row],[PMI]]-B177</f>
        <v>0.90000000000000568</v>
      </c>
    </row>
    <row r="179" spans="1:3" x14ac:dyDescent="0.2">
      <c r="A179" s="10">
        <v>44317</v>
      </c>
      <c r="B179" s="18">
        <f>IF(VLOOKUP(A179,'DB Country PMI'!$A:$AZ,MATCH($A$1,'DB Country PMI'!$A$1:$AZ$1,),)=0,#N/A,VLOOKUP(A179,'DB Country PMI'!$A:$AZ,MATCH($A$1,'DB Country PMI'!$A$1:$AZ$1,),))</f>
        <v>62.3</v>
      </c>
      <c r="C179" s="24">
        <f>Table13468111214151617[[#This Row],[PMI]]-B178</f>
        <v>1.5999999999999943</v>
      </c>
    </row>
    <row r="180" spans="1:3" x14ac:dyDescent="0.2">
      <c r="A180" s="10">
        <v>44348</v>
      </c>
      <c r="B180" s="18">
        <f>IF(VLOOKUP(A180,'DB Country PMI'!$A:$AZ,MATCH($A$1,'DB Country PMI'!$A$1:$AZ$1,),)=0,#N/A,VLOOKUP(A180,'DB Country PMI'!$A:$AZ,MATCH($A$1,'DB Country PMI'!$A$1:$AZ$1,),))</f>
        <v>62.2</v>
      </c>
      <c r="C180" s="24">
        <f>Table13468111214151617[[#This Row],[PMI]]-B179</f>
        <v>-9.9999999999994316E-2</v>
      </c>
    </row>
    <row r="181" spans="1:3" x14ac:dyDescent="0.2">
      <c r="A181" s="10">
        <v>44378</v>
      </c>
      <c r="B181" s="18">
        <f>IF(VLOOKUP(A181,'DB Country PMI'!$A:$AZ,MATCH($A$1,'DB Country PMI'!$A$1:$AZ$1,),)=0,#N/A,VLOOKUP(A181,'DB Country PMI'!$A:$AZ,MATCH($A$1,'DB Country PMI'!$A$1:$AZ$1,),))</f>
        <v>60.3</v>
      </c>
      <c r="C181" s="24">
        <f>Table13468111214151617[[#This Row],[PMI]]-B180</f>
        <v>-1.9000000000000057</v>
      </c>
    </row>
    <row r="182" spans="1:3" x14ac:dyDescent="0.2">
      <c r="A182" s="10">
        <v>44409</v>
      </c>
      <c r="B182" s="18">
        <f>IF(VLOOKUP(A182,'DB Country PMI'!$A:$AZ,MATCH($A$1,'DB Country PMI'!$A$1:$AZ$1,),)=0,#N/A,VLOOKUP(A182,'DB Country PMI'!$A:$AZ,MATCH($A$1,'DB Country PMI'!$A$1:$AZ$1,),))</f>
        <v>60.9</v>
      </c>
      <c r="C182" s="24">
        <f>Table13468111214151617[[#This Row],[PMI]]-B181</f>
        <v>0.60000000000000142</v>
      </c>
    </row>
    <row r="183" spans="1:3" x14ac:dyDescent="0.2">
      <c r="A183" s="10">
        <v>44440</v>
      </c>
      <c r="B183" s="18">
        <f>IF(VLOOKUP(A183,'DB Country PMI'!$A:$AZ,MATCH($A$1,'DB Country PMI'!$A$1:$AZ$1,),)=0,#N/A,VLOOKUP(A183,'DB Country PMI'!$A:$AZ,MATCH($A$1,'DB Country PMI'!$A$1:$AZ$1,),))</f>
        <v>59.7</v>
      </c>
      <c r="C183" s="24">
        <f>Table13468111214151617[[#This Row],[PMI]]-B182</f>
        <v>-1.1999999999999957</v>
      </c>
    </row>
    <row r="184" spans="1:3" x14ac:dyDescent="0.2">
      <c r="A184" s="10">
        <v>44470</v>
      </c>
      <c r="B184" s="18">
        <f>IF(VLOOKUP(A184,'DB Country PMI'!$A:$AZ,MATCH($A$1,'DB Country PMI'!$A$1:$AZ$1,),)=0,#N/A,VLOOKUP(A184,'DB Country PMI'!$A:$AZ,MATCH($A$1,'DB Country PMI'!$A$1:$AZ$1,),))</f>
        <v>61.1</v>
      </c>
      <c r="C184" s="24">
        <f>Table13468111214151617[[#This Row],[PMI]]-B183</f>
        <v>1.3999999999999986</v>
      </c>
    </row>
    <row r="185" spans="1:3" x14ac:dyDescent="0.2">
      <c r="A185" s="10">
        <v>44501</v>
      </c>
      <c r="B185" s="18">
        <f>IF(VLOOKUP(A185,'DB Country PMI'!$A:$AZ,MATCH($A$1,'DB Country PMI'!$A$1:$AZ$1,),)=0,#N/A,VLOOKUP(A185,'DB Country PMI'!$A:$AZ,MATCH($A$1,'DB Country PMI'!$A$1:$AZ$1,),))</f>
        <v>62.8</v>
      </c>
      <c r="C185" s="24">
        <f>Table13468111214151617[[#This Row],[PMI]]-B184</f>
        <v>1.6999999999999957</v>
      </c>
    </row>
    <row r="186" spans="1:3" x14ac:dyDescent="0.2">
      <c r="A186" s="10">
        <v>44531</v>
      </c>
      <c r="B186" s="18">
        <f>IF(VLOOKUP(A186,'DB Country PMI'!$A:$AZ,MATCH($A$1,'DB Country PMI'!$A$1:$AZ$1,),)=0,#N/A,VLOOKUP(A186,'DB Country PMI'!$A:$AZ,MATCH($A$1,'DB Country PMI'!$A$1:$AZ$1,),))</f>
        <v>62</v>
      </c>
      <c r="C186" s="24">
        <f>Table13468111214151617[[#This Row],[PMI]]-B185</f>
        <v>-0.79999999999999716</v>
      </c>
    </row>
    <row r="187" spans="1:3" x14ac:dyDescent="0.2">
      <c r="A187" s="10">
        <v>44562</v>
      </c>
      <c r="B187" s="18">
        <f>IF(VLOOKUP(A187,'DB Country PMI'!$A:$AZ,MATCH($A$1,'DB Country PMI'!$A$1:$AZ$1,),)=0,#N/A,VLOOKUP(A187,'DB Country PMI'!$A:$AZ,MATCH($A$1,'DB Country PMI'!$A$1:$AZ$1,),))</f>
        <v>58.3</v>
      </c>
      <c r="C187" s="24">
        <f>Table13468111214151617[[#This Row],[PMI]]-B186</f>
        <v>-3.7000000000000028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87"/>
  <sheetViews>
    <sheetView zoomScale="150" zoomScaleNormal="150" workbookViewId="0">
      <pane ySplit="5" topLeftCell="A156" activePane="bottomLeft" state="frozen"/>
      <selection pane="bottomLeft" activeCell="Q189" sqref="Q189"/>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28</v>
      </c>
      <c r="K1" s="63" t="s">
        <v>107</v>
      </c>
    </row>
    <row r="2" spans="1:11" x14ac:dyDescent="0.2">
      <c r="K2" s="63" t="str">
        <f>A1&amp;K1</f>
        <v>Spain Manufacturing PMI</v>
      </c>
    </row>
    <row r="4" spans="1:11" ht="16" customHeight="1" thickBot="1" x14ac:dyDescent="0.25"/>
    <row r="5" spans="1:11" ht="16" customHeight="1" thickBot="1" x14ac:dyDescent="0.25">
      <c r="A5" s="21" t="s">
        <v>44</v>
      </c>
      <c r="B5" s="22" t="s">
        <v>103</v>
      </c>
      <c r="C5" s="22" t="s">
        <v>104</v>
      </c>
    </row>
    <row r="6" spans="1:11" x14ac:dyDescent="0.2">
      <c r="A6" s="17">
        <v>39052</v>
      </c>
      <c r="B6" s="18">
        <f>IF(VLOOKUP(A6,'DB Country PMI'!$A:$AZ,MATCH($A$1,'DB Country PMI'!$A$1:$AZ$1,),)=0,#N/A,VLOOKUP(A6,'DB Country PMI'!$A:$AZ,MATCH($A$1,'DB Country PMI'!$A$1:$AZ$1,),))</f>
        <v>57.2</v>
      </c>
      <c r="C6" s="18"/>
    </row>
    <row r="7" spans="1:11" x14ac:dyDescent="0.2">
      <c r="A7" s="10">
        <v>39083</v>
      </c>
      <c r="B7" s="18">
        <f>IF(VLOOKUP(A7,'DB Country PMI'!$A:$AZ,MATCH($A$1,'DB Country PMI'!$A$1:$AZ$1,),)=0,#N/A,VLOOKUP(A7,'DB Country PMI'!$A:$AZ,MATCH($A$1,'DB Country PMI'!$A$1:$AZ$1,),))</f>
        <v>56.2</v>
      </c>
      <c r="C7" s="24">
        <f>Table1346811121415161718[[#This Row],[PMI]]-B6</f>
        <v>-1</v>
      </c>
    </row>
    <row r="8" spans="1:11" x14ac:dyDescent="0.2">
      <c r="A8" s="10">
        <v>39114</v>
      </c>
      <c r="B8" s="18">
        <f>IF(VLOOKUP(A8,'DB Country PMI'!$A:$AZ,MATCH($A$1,'DB Country PMI'!$A$1:$AZ$1,),)=0,#N/A,VLOOKUP(A8,'DB Country PMI'!$A:$AZ,MATCH($A$1,'DB Country PMI'!$A$1:$AZ$1,),))</f>
        <v>56.2</v>
      </c>
      <c r="C8" s="24">
        <f>Table1346811121415161718[[#This Row],[PMI]]-B7</f>
        <v>0</v>
      </c>
    </row>
    <row r="9" spans="1:11" x14ac:dyDescent="0.2">
      <c r="A9" s="10">
        <v>39142</v>
      </c>
      <c r="B9" s="18">
        <f>IF(VLOOKUP(A9,'DB Country PMI'!$A:$AZ,MATCH($A$1,'DB Country PMI'!$A$1:$AZ$1,),)=0,#N/A,VLOOKUP(A9,'DB Country PMI'!$A:$AZ,MATCH($A$1,'DB Country PMI'!$A$1:$AZ$1,),))</f>
        <v>55.4</v>
      </c>
      <c r="C9" s="24">
        <f>Table1346811121415161718[[#This Row],[PMI]]-B8</f>
        <v>-0.80000000000000426</v>
      </c>
    </row>
    <row r="10" spans="1:11" x14ac:dyDescent="0.2">
      <c r="A10" s="10">
        <v>39173</v>
      </c>
      <c r="B10" s="18">
        <f>IF(VLOOKUP(A10,'DB Country PMI'!$A:$AZ,MATCH($A$1,'DB Country PMI'!$A$1:$AZ$1,),)=0,#N/A,VLOOKUP(A10,'DB Country PMI'!$A:$AZ,MATCH($A$1,'DB Country PMI'!$A$1:$AZ$1,),))</f>
        <v>56</v>
      </c>
      <c r="C10" s="24">
        <f>Table1346811121415161718[[#This Row],[PMI]]-B9</f>
        <v>0.60000000000000142</v>
      </c>
    </row>
    <row r="11" spans="1:11" x14ac:dyDescent="0.2">
      <c r="A11" s="10">
        <v>39203</v>
      </c>
      <c r="B11" s="18">
        <f>IF(VLOOKUP(A11,'DB Country PMI'!$A:$AZ,MATCH($A$1,'DB Country PMI'!$A$1:$AZ$1,),)=0,#N/A,VLOOKUP(A11,'DB Country PMI'!$A:$AZ,MATCH($A$1,'DB Country PMI'!$A$1:$AZ$1,),))</f>
        <v>53.3</v>
      </c>
      <c r="C11" s="24">
        <f>Table1346811121415161718[[#This Row],[PMI]]-B10</f>
        <v>-2.7000000000000028</v>
      </c>
    </row>
    <row r="12" spans="1:11" x14ac:dyDescent="0.2">
      <c r="A12" s="10">
        <v>39234</v>
      </c>
      <c r="B12" s="18">
        <f>IF(VLOOKUP(A12,'DB Country PMI'!$A:$AZ,MATCH($A$1,'DB Country PMI'!$A$1:$AZ$1,),)=0,#N/A,VLOOKUP(A12,'DB Country PMI'!$A:$AZ,MATCH($A$1,'DB Country PMI'!$A$1:$AZ$1,),))</f>
        <v>55.1</v>
      </c>
      <c r="C12" s="24">
        <f>Table1346811121415161718[[#This Row],[PMI]]-B11</f>
        <v>1.8000000000000043</v>
      </c>
    </row>
    <row r="13" spans="1:11" x14ac:dyDescent="0.2">
      <c r="A13" s="10">
        <v>39264</v>
      </c>
      <c r="B13" s="18">
        <f>IF(VLOOKUP(A13,'DB Country PMI'!$A:$AZ,MATCH($A$1,'DB Country PMI'!$A$1:$AZ$1,),)=0,#N/A,VLOOKUP(A13,'DB Country PMI'!$A:$AZ,MATCH($A$1,'DB Country PMI'!$A$1:$AZ$1,),))</f>
        <v>53.2</v>
      </c>
      <c r="C13" s="24">
        <f>Table1346811121415161718[[#This Row],[PMI]]-B12</f>
        <v>-1.8999999999999986</v>
      </c>
    </row>
    <row r="14" spans="1:11" x14ac:dyDescent="0.2">
      <c r="A14" s="10">
        <v>39295</v>
      </c>
      <c r="B14" s="18">
        <f>IF(VLOOKUP(A14,'DB Country PMI'!$A:$AZ,MATCH($A$1,'DB Country PMI'!$A$1:$AZ$1,),)=0,#N/A,VLOOKUP(A14,'DB Country PMI'!$A:$AZ,MATCH($A$1,'DB Country PMI'!$A$1:$AZ$1,),))</f>
        <v>52.2</v>
      </c>
      <c r="C14" s="24">
        <f>Table1346811121415161718[[#This Row],[PMI]]-B13</f>
        <v>-1</v>
      </c>
    </row>
    <row r="15" spans="1:11" x14ac:dyDescent="0.2">
      <c r="A15" s="10">
        <v>39326</v>
      </c>
      <c r="B15" s="18">
        <f>IF(VLOOKUP(A15,'DB Country PMI'!$A:$AZ,MATCH($A$1,'DB Country PMI'!$A$1:$AZ$1,),)=0,#N/A,VLOOKUP(A15,'DB Country PMI'!$A:$AZ,MATCH($A$1,'DB Country PMI'!$A$1:$AZ$1,),))</f>
        <v>50.8</v>
      </c>
      <c r="C15" s="24">
        <f>Table1346811121415161718[[#This Row],[PMI]]-B14</f>
        <v>-1.4000000000000057</v>
      </c>
    </row>
    <row r="16" spans="1:11" x14ac:dyDescent="0.2">
      <c r="A16" s="10">
        <v>39356</v>
      </c>
      <c r="B16" s="18">
        <f>IF(VLOOKUP(A16,'DB Country PMI'!$A:$AZ,MATCH($A$1,'DB Country PMI'!$A$1:$AZ$1,),)=0,#N/A,VLOOKUP(A16,'DB Country PMI'!$A:$AZ,MATCH($A$1,'DB Country PMI'!$A$1:$AZ$1,),))</f>
        <v>49.6</v>
      </c>
      <c r="C16" s="24">
        <f>Table1346811121415161718[[#This Row],[PMI]]-B15</f>
        <v>-1.1999999999999957</v>
      </c>
    </row>
    <row r="17" spans="1:3" x14ac:dyDescent="0.2">
      <c r="A17" s="10">
        <v>39387</v>
      </c>
      <c r="B17" s="18">
        <f>IF(VLOOKUP(A17,'DB Country PMI'!$A:$AZ,MATCH($A$1,'DB Country PMI'!$A$1:$AZ$1,),)=0,#N/A,VLOOKUP(A17,'DB Country PMI'!$A:$AZ,MATCH($A$1,'DB Country PMI'!$A$1:$AZ$1,),))</f>
        <v>50.7</v>
      </c>
      <c r="C17" s="24">
        <f>Table1346811121415161718[[#This Row],[PMI]]-B16</f>
        <v>1.1000000000000014</v>
      </c>
    </row>
    <row r="18" spans="1:3" x14ac:dyDescent="0.2">
      <c r="A18" s="10">
        <v>39417</v>
      </c>
      <c r="B18" s="18">
        <f>IF(VLOOKUP(A18,'DB Country PMI'!$A:$AZ,MATCH($A$1,'DB Country PMI'!$A$1:$AZ$1,),)=0,#N/A,VLOOKUP(A18,'DB Country PMI'!$A:$AZ,MATCH($A$1,'DB Country PMI'!$A$1:$AZ$1,),))</f>
        <v>49.5</v>
      </c>
      <c r="C18" s="24">
        <f>Table1346811121415161718[[#This Row],[PMI]]-B17</f>
        <v>-1.2000000000000028</v>
      </c>
    </row>
    <row r="19" spans="1:3" x14ac:dyDescent="0.2">
      <c r="A19" s="10">
        <v>39448</v>
      </c>
      <c r="B19" s="18">
        <f>IF(VLOOKUP(A19,'DB Country PMI'!$A:$AZ,MATCH($A$1,'DB Country PMI'!$A$1:$AZ$1,),)=0,#N/A,VLOOKUP(A19,'DB Country PMI'!$A:$AZ,MATCH($A$1,'DB Country PMI'!$A$1:$AZ$1,),))</f>
        <v>49.8</v>
      </c>
      <c r="C19" s="24">
        <f>Table1346811121415161718[[#This Row],[PMI]]-B18</f>
        <v>0.29999999999999716</v>
      </c>
    </row>
    <row r="20" spans="1:3" x14ac:dyDescent="0.2">
      <c r="A20" s="10">
        <v>39479</v>
      </c>
      <c r="B20" s="18">
        <f>IF(VLOOKUP(A20,'DB Country PMI'!$A:$AZ,MATCH($A$1,'DB Country PMI'!$A$1:$AZ$1,),)=0,#N/A,VLOOKUP(A20,'DB Country PMI'!$A:$AZ,MATCH($A$1,'DB Country PMI'!$A$1:$AZ$1,),))</f>
        <v>46.7</v>
      </c>
      <c r="C20" s="24">
        <f>Table1346811121415161718[[#This Row],[PMI]]-B19</f>
        <v>-3.0999999999999943</v>
      </c>
    </row>
    <row r="21" spans="1:3" x14ac:dyDescent="0.2">
      <c r="A21" s="10">
        <v>39508</v>
      </c>
      <c r="B21" s="18">
        <f>IF(VLOOKUP(A21,'DB Country PMI'!$A:$AZ,MATCH($A$1,'DB Country PMI'!$A$1:$AZ$1,),)=0,#N/A,VLOOKUP(A21,'DB Country PMI'!$A:$AZ,MATCH($A$1,'DB Country PMI'!$A$1:$AZ$1,),))</f>
        <v>46.4</v>
      </c>
      <c r="C21" s="24">
        <f>Table1346811121415161718[[#This Row],[PMI]]-B20</f>
        <v>-0.30000000000000426</v>
      </c>
    </row>
    <row r="22" spans="1:3" x14ac:dyDescent="0.2">
      <c r="A22" s="10">
        <v>39539</v>
      </c>
      <c r="B22" s="18">
        <f>IF(VLOOKUP(A22,'DB Country PMI'!$A:$AZ,MATCH($A$1,'DB Country PMI'!$A$1:$AZ$1,),)=0,#N/A,VLOOKUP(A22,'DB Country PMI'!$A:$AZ,MATCH($A$1,'DB Country PMI'!$A$1:$AZ$1,),))</f>
        <v>45.2</v>
      </c>
      <c r="C22" s="24">
        <f>Table1346811121415161718[[#This Row],[PMI]]-B21</f>
        <v>-1.1999999999999957</v>
      </c>
    </row>
    <row r="23" spans="1:3" x14ac:dyDescent="0.2">
      <c r="A23" s="10">
        <v>39569</v>
      </c>
      <c r="B23" s="18">
        <f>IF(VLOOKUP(A23,'DB Country PMI'!$A:$AZ,MATCH($A$1,'DB Country PMI'!$A$1:$AZ$1,),)=0,#N/A,VLOOKUP(A23,'DB Country PMI'!$A:$AZ,MATCH($A$1,'DB Country PMI'!$A$1:$AZ$1,),))</f>
        <v>43.8</v>
      </c>
      <c r="C23" s="24">
        <f>Table1346811121415161718[[#This Row],[PMI]]-B22</f>
        <v>-1.4000000000000057</v>
      </c>
    </row>
    <row r="24" spans="1:3" x14ac:dyDescent="0.2">
      <c r="A24" s="10">
        <v>39600</v>
      </c>
      <c r="B24" s="18">
        <f>IF(VLOOKUP(A24,'DB Country PMI'!$A:$AZ,MATCH($A$1,'DB Country PMI'!$A$1:$AZ$1,),)=0,#N/A,VLOOKUP(A24,'DB Country PMI'!$A:$AZ,MATCH($A$1,'DB Country PMI'!$A$1:$AZ$1,),))</f>
        <v>40.6</v>
      </c>
      <c r="C24" s="24">
        <f>Table1346811121415161718[[#This Row],[PMI]]-B23</f>
        <v>-3.1999999999999957</v>
      </c>
    </row>
    <row r="25" spans="1:3" x14ac:dyDescent="0.2">
      <c r="A25" s="10">
        <v>39630</v>
      </c>
      <c r="B25" s="18">
        <f>IF(VLOOKUP(A25,'DB Country PMI'!$A:$AZ,MATCH($A$1,'DB Country PMI'!$A$1:$AZ$1,),)=0,#N/A,VLOOKUP(A25,'DB Country PMI'!$A:$AZ,MATCH($A$1,'DB Country PMI'!$A$1:$AZ$1,),))</f>
        <v>39.200000000000003</v>
      </c>
      <c r="C25" s="24">
        <f>Table1346811121415161718[[#This Row],[PMI]]-B24</f>
        <v>-1.3999999999999986</v>
      </c>
    </row>
    <row r="26" spans="1:3" x14ac:dyDescent="0.2">
      <c r="A26" s="10">
        <v>39661</v>
      </c>
      <c r="B26" s="18">
        <f>IF(VLOOKUP(A26,'DB Country PMI'!$A:$AZ,MATCH($A$1,'DB Country PMI'!$A$1:$AZ$1,),)=0,#N/A,VLOOKUP(A26,'DB Country PMI'!$A:$AZ,MATCH($A$1,'DB Country PMI'!$A$1:$AZ$1,),))</f>
        <v>42.4</v>
      </c>
      <c r="C26" s="24">
        <f>Table1346811121415161718[[#This Row],[PMI]]-B25</f>
        <v>3.1999999999999957</v>
      </c>
    </row>
    <row r="27" spans="1:3" x14ac:dyDescent="0.2">
      <c r="A27" s="10">
        <v>39692</v>
      </c>
      <c r="B27" s="18">
        <f>IF(VLOOKUP(A27,'DB Country PMI'!$A:$AZ,MATCH($A$1,'DB Country PMI'!$A$1:$AZ$1,),)=0,#N/A,VLOOKUP(A27,'DB Country PMI'!$A:$AZ,MATCH($A$1,'DB Country PMI'!$A$1:$AZ$1,),))</f>
        <v>38.299999999999997</v>
      </c>
      <c r="C27" s="24">
        <f>Table1346811121415161718[[#This Row],[PMI]]-B26</f>
        <v>-4.1000000000000014</v>
      </c>
    </row>
    <row r="28" spans="1:3" x14ac:dyDescent="0.2">
      <c r="A28" s="10">
        <v>39722</v>
      </c>
      <c r="B28" s="18">
        <f>IF(VLOOKUP(A28,'DB Country PMI'!$A:$AZ,MATCH($A$1,'DB Country PMI'!$A$1:$AZ$1,),)=0,#N/A,VLOOKUP(A28,'DB Country PMI'!$A:$AZ,MATCH($A$1,'DB Country PMI'!$A$1:$AZ$1,),))</f>
        <v>34.6</v>
      </c>
      <c r="C28" s="24">
        <f>Table1346811121415161718[[#This Row],[PMI]]-B27</f>
        <v>-3.6999999999999957</v>
      </c>
    </row>
    <row r="29" spans="1:3" x14ac:dyDescent="0.2">
      <c r="A29" s="10">
        <v>39753</v>
      </c>
      <c r="B29" s="18">
        <f>IF(VLOOKUP(A29,'DB Country PMI'!$A:$AZ,MATCH($A$1,'DB Country PMI'!$A$1:$AZ$1,),)=0,#N/A,VLOOKUP(A29,'DB Country PMI'!$A:$AZ,MATCH($A$1,'DB Country PMI'!$A$1:$AZ$1,),))</f>
        <v>29.4</v>
      </c>
      <c r="C29" s="24">
        <f>Table1346811121415161718[[#This Row],[PMI]]-B28</f>
        <v>-5.2000000000000028</v>
      </c>
    </row>
    <row r="30" spans="1:3" x14ac:dyDescent="0.2">
      <c r="A30" s="10">
        <v>39783</v>
      </c>
      <c r="B30" s="18">
        <f>IF(VLOOKUP(A30,'DB Country PMI'!$A:$AZ,MATCH($A$1,'DB Country PMI'!$A$1:$AZ$1,),)=0,#N/A,VLOOKUP(A30,'DB Country PMI'!$A:$AZ,MATCH($A$1,'DB Country PMI'!$A$1:$AZ$1,),))</f>
        <v>28.5</v>
      </c>
      <c r="C30" s="24">
        <f>Table1346811121415161718[[#This Row],[PMI]]-B29</f>
        <v>-0.89999999999999858</v>
      </c>
    </row>
    <row r="31" spans="1:3" x14ac:dyDescent="0.2">
      <c r="A31" s="10">
        <v>39814</v>
      </c>
      <c r="B31" s="18">
        <f>IF(VLOOKUP(A31,'DB Country PMI'!$A:$AZ,MATCH($A$1,'DB Country PMI'!$A$1:$AZ$1,),)=0,#N/A,VLOOKUP(A31,'DB Country PMI'!$A:$AZ,MATCH($A$1,'DB Country PMI'!$A$1:$AZ$1,),))</f>
        <v>31.5</v>
      </c>
      <c r="C31" s="24">
        <f>Table1346811121415161718[[#This Row],[PMI]]-B30</f>
        <v>3</v>
      </c>
    </row>
    <row r="32" spans="1:3" x14ac:dyDescent="0.2">
      <c r="A32" s="10">
        <v>39845</v>
      </c>
      <c r="B32" s="18">
        <f>IF(VLOOKUP(A32,'DB Country PMI'!$A:$AZ,MATCH($A$1,'DB Country PMI'!$A$1:$AZ$1,),)=0,#N/A,VLOOKUP(A32,'DB Country PMI'!$A:$AZ,MATCH($A$1,'DB Country PMI'!$A$1:$AZ$1,),))</f>
        <v>31.8</v>
      </c>
      <c r="C32" s="24">
        <f>Table1346811121415161718[[#This Row],[PMI]]-B31</f>
        <v>0.30000000000000071</v>
      </c>
    </row>
    <row r="33" spans="1:3" x14ac:dyDescent="0.2">
      <c r="A33" s="10">
        <v>39873</v>
      </c>
      <c r="B33" s="18">
        <f>IF(VLOOKUP(A33,'DB Country PMI'!$A:$AZ,MATCH($A$1,'DB Country PMI'!$A$1:$AZ$1,),)=0,#N/A,VLOOKUP(A33,'DB Country PMI'!$A:$AZ,MATCH($A$1,'DB Country PMI'!$A$1:$AZ$1,),))</f>
        <v>32.9</v>
      </c>
      <c r="C33" s="24">
        <f>Table1346811121415161718[[#This Row],[PMI]]-B32</f>
        <v>1.0999999999999979</v>
      </c>
    </row>
    <row r="34" spans="1:3" x14ac:dyDescent="0.2">
      <c r="A34" s="10">
        <v>39904</v>
      </c>
      <c r="B34" s="18">
        <f>IF(VLOOKUP(A34,'DB Country PMI'!$A:$AZ,MATCH($A$1,'DB Country PMI'!$A$1:$AZ$1,),)=0,#N/A,VLOOKUP(A34,'DB Country PMI'!$A:$AZ,MATCH($A$1,'DB Country PMI'!$A$1:$AZ$1,),))</f>
        <v>34.6</v>
      </c>
      <c r="C34" s="24">
        <f>Table1346811121415161718[[#This Row],[PMI]]-B33</f>
        <v>1.7000000000000028</v>
      </c>
    </row>
    <row r="35" spans="1:3" x14ac:dyDescent="0.2">
      <c r="A35" s="10">
        <v>39934</v>
      </c>
      <c r="B35" s="18">
        <f>IF(VLOOKUP(A35,'DB Country PMI'!$A:$AZ,MATCH($A$1,'DB Country PMI'!$A$1:$AZ$1,),)=0,#N/A,VLOOKUP(A35,'DB Country PMI'!$A:$AZ,MATCH($A$1,'DB Country PMI'!$A$1:$AZ$1,),))</f>
        <v>39.799999999999997</v>
      </c>
      <c r="C35" s="24">
        <f>Table1346811121415161718[[#This Row],[PMI]]-B34</f>
        <v>5.1999999999999957</v>
      </c>
    </row>
    <row r="36" spans="1:3" x14ac:dyDescent="0.2">
      <c r="A36" s="10">
        <v>39965</v>
      </c>
      <c r="B36" s="18">
        <f>IF(VLOOKUP(A36,'DB Country PMI'!$A:$AZ,MATCH($A$1,'DB Country PMI'!$A$1:$AZ$1,),)=0,#N/A,VLOOKUP(A36,'DB Country PMI'!$A:$AZ,MATCH($A$1,'DB Country PMI'!$A$1:$AZ$1,),))</f>
        <v>42.8</v>
      </c>
      <c r="C36" s="24">
        <f>Table1346811121415161718[[#This Row],[PMI]]-B35</f>
        <v>3</v>
      </c>
    </row>
    <row r="37" spans="1:3" x14ac:dyDescent="0.2">
      <c r="A37" s="10">
        <v>39995</v>
      </c>
      <c r="B37" s="18">
        <f>IF(VLOOKUP(A37,'DB Country PMI'!$A:$AZ,MATCH($A$1,'DB Country PMI'!$A$1:$AZ$1,),)=0,#N/A,VLOOKUP(A37,'DB Country PMI'!$A:$AZ,MATCH($A$1,'DB Country PMI'!$A$1:$AZ$1,),))</f>
        <v>47.3</v>
      </c>
      <c r="C37" s="24">
        <f>Table1346811121415161718[[#This Row],[PMI]]-B36</f>
        <v>4.5</v>
      </c>
    </row>
    <row r="38" spans="1:3" x14ac:dyDescent="0.2">
      <c r="A38" s="10">
        <v>40026</v>
      </c>
      <c r="B38" s="18">
        <f>IF(VLOOKUP(A38,'DB Country PMI'!$A:$AZ,MATCH($A$1,'DB Country PMI'!$A$1:$AZ$1,),)=0,#N/A,VLOOKUP(A38,'DB Country PMI'!$A:$AZ,MATCH($A$1,'DB Country PMI'!$A$1:$AZ$1,),))</f>
        <v>47.2</v>
      </c>
      <c r="C38" s="24">
        <f>Table1346811121415161718[[#This Row],[PMI]]-B37</f>
        <v>-9.9999999999994316E-2</v>
      </c>
    </row>
    <row r="39" spans="1:3" x14ac:dyDescent="0.2">
      <c r="A39" s="10">
        <v>40057</v>
      </c>
      <c r="B39" s="18">
        <f>IF(VLOOKUP(A39,'DB Country PMI'!$A:$AZ,MATCH($A$1,'DB Country PMI'!$A$1:$AZ$1,),)=0,#N/A,VLOOKUP(A39,'DB Country PMI'!$A:$AZ,MATCH($A$1,'DB Country PMI'!$A$1:$AZ$1,),))</f>
        <v>45.8</v>
      </c>
      <c r="C39" s="24">
        <f>Table1346811121415161718[[#This Row],[PMI]]-B38</f>
        <v>-1.4000000000000057</v>
      </c>
    </row>
    <row r="40" spans="1:3" x14ac:dyDescent="0.2">
      <c r="A40" s="10">
        <v>40087</v>
      </c>
      <c r="B40" s="18">
        <f>IF(VLOOKUP(A40,'DB Country PMI'!$A:$AZ,MATCH($A$1,'DB Country PMI'!$A$1:$AZ$1,),)=0,#N/A,VLOOKUP(A40,'DB Country PMI'!$A:$AZ,MATCH($A$1,'DB Country PMI'!$A$1:$AZ$1,),))</f>
        <v>46.3</v>
      </c>
      <c r="C40" s="24">
        <f>Table1346811121415161718[[#This Row],[PMI]]-B39</f>
        <v>0.5</v>
      </c>
    </row>
    <row r="41" spans="1:3" x14ac:dyDescent="0.2">
      <c r="A41" s="10">
        <v>40118</v>
      </c>
      <c r="B41" s="18">
        <f>IF(VLOOKUP(A41,'DB Country PMI'!$A:$AZ,MATCH($A$1,'DB Country PMI'!$A$1:$AZ$1,),)=0,#N/A,VLOOKUP(A41,'DB Country PMI'!$A:$AZ,MATCH($A$1,'DB Country PMI'!$A$1:$AZ$1,),))</f>
        <v>45.3</v>
      </c>
      <c r="C41" s="24">
        <f>Table1346811121415161718[[#This Row],[PMI]]-B40</f>
        <v>-1</v>
      </c>
    </row>
    <row r="42" spans="1:3" x14ac:dyDescent="0.2">
      <c r="A42" s="10">
        <v>40148</v>
      </c>
      <c r="B42" s="18">
        <f>IF(VLOOKUP(A42,'DB Country PMI'!$A:$AZ,MATCH($A$1,'DB Country PMI'!$A$1:$AZ$1,),)=0,#N/A,VLOOKUP(A42,'DB Country PMI'!$A:$AZ,MATCH($A$1,'DB Country PMI'!$A$1:$AZ$1,),))</f>
        <v>45.2</v>
      </c>
      <c r="C42" s="24">
        <f>Table1346811121415161718[[#This Row],[PMI]]-B41</f>
        <v>-9.9999999999994316E-2</v>
      </c>
    </row>
    <row r="43" spans="1:3" x14ac:dyDescent="0.2">
      <c r="A43" s="10">
        <v>40179</v>
      </c>
      <c r="B43" s="18">
        <f>IF(VLOOKUP(A43,'DB Country PMI'!$A:$AZ,MATCH($A$1,'DB Country PMI'!$A$1:$AZ$1,),)=0,#N/A,VLOOKUP(A43,'DB Country PMI'!$A:$AZ,MATCH($A$1,'DB Country PMI'!$A$1:$AZ$1,),))</f>
        <v>45.3</v>
      </c>
      <c r="C43" s="24">
        <f>Table1346811121415161718[[#This Row],[PMI]]-B42</f>
        <v>9.9999999999994316E-2</v>
      </c>
    </row>
    <row r="44" spans="1:3" x14ac:dyDescent="0.2">
      <c r="A44" s="10">
        <v>40210</v>
      </c>
      <c r="B44" s="18">
        <f>IF(VLOOKUP(A44,'DB Country PMI'!$A:$AZ,MATCH($A$1,'DB Country PMI'!$A$1:$AZ$1,),)=0,#N/A,VLOOKUP(A44,'DB Country PMI'!$A:$AZ,MATCH($A$1,'DB Country PMI'!$A$1:$AZ$1,),))</f>
        <v>49.1</v>
      </c>
      <c r="C44" s="24">
        <f>Table1346811121415161718[[#This Row],[PMI]]-B43</f>
        <v>3.8000000000000043</v>
      </c>
    </row>
    <row r="45" spans="1:3" x14ac:dyDescent="0.2">
      <c r="A45" s="10">
        <v>40238</v>
      </c>
      <c r="B45" s="18">
        <f>IF(VLOOKUP(A45,'DB Country PMI'!$A:$AZ,MATCH($A$1,'DB Country PMI'!$A$1:$AZ$1,),)=0,#N/A,VLOOKUP(A45,'DB Country PMI'!$A:$AZ,MATCH($A$1,'DB Country PMI'!$A$1:$AZ$1,),))</f>
        <v>51.8</v>
      </c>
      <c r="C45" s="24">
        <f>Table1346811121415161718[[#This Row],[PMI]]-B44</f>
        <v>2.6999999999999957</v>
      </c>
    </row>
    <row r="46" spans="1:3" x14ac:dyDescent="0.2">
      <c r="A46" s="10">
        <v>40269</v>
      </c>
      <c r="B46" s="18">
        <f>IF(VLOOKUP(A46,'DB Country PMI'!$A:$AZ,MATCH($A$1,'DB Country PMI'!$A$1:$AZ$1,),)=0,#N/A,VLOOKUP(A46,'DB Country PMI'!$A:$AZ,MATCH($A$1,'DB Country PMI'!$A$1:$AZ$1,),))</f>
        <v>53.3</v>
      </c>
      <c r="C46" s="24">
        <f>Table1346811121415161718[[#This Row],[PMI]]-B45</f>
        <v>1.5</v>
      </c>
    </row>
    <row r="47" spans="1:3" x14ac:dyDescent="0.2">
      <c r="A47" s="10">
        <v>40299</v>
      </c>
      <c r="B47" s="18">
        <f>IF(VLOOKUP(A47,'DB Country PMI'!$A:$AZ,MATCH($A$1,'DB Country PMI'!$A$1:$AZ$1,),)=0,#N/A,VLOOKUP(A47,'DB Country PMI'!$A:$AZ,MATCH($A$1,'DB Country PMI'!$A$1:$AZ$1,),))</f>
        <v>51.5</v>
      </c>
      <c r="C47" s="24">
        <f>Table1346811121415161718[[#This Row],[PMI]]-B46</f>
        <v>-1.7999999999999972</v>
      </c>
    </row>
    <row r="48" spans="1:3" x14ac:dyDescent="0.2">
      <c r="A48" s="10">
        <v>40330</v>
      </c>
      <c r="B48" s="18">
        <f>IF(VLOOKUP(A48,'DB Country PMI'!$A:$AZ,MATCH($A$1,'DB Country PMI'!$A$1:$AZ$1,),)=0,#N/A,VLOOKUP(A48,'DB Country PMI'!$A:$AZ,MATCH($A$1,'DB Country PMI'!$A$1:$AZ$1,),))</f>
        <v>51.2</v>
      </c>
      <c r="C48" s="24">
        <f>Table1346811121415161718[[#This Row],[PMI]]-B47</f>
        <v>-0.29999999999999716</v>
      </c>
    </row>
    <row r="49" spans="1:3" x14ac:dyDescent="0.2">
      <c r="A49" s="10">
        <v>40360</v>
      </c>
      <c r="B49" s="18">
        <f>IF(VLOOKUP(A49,'DB Country PMI'!$A:$AZ,MATCH($A$1,'DB Country PMI'!$A$1:$AZ$1,),)=0,#N/A,VLOOKUP(A49,'DB Country PMI'!$A:$AZ,MATCH($A$1,'DB Country PMI'!$A$1:$AZ$1,),))</f>
        <v>51.6</v>
      </c>
      <c r="C49" s="24">
        <f>Table1346811121415161718[[#This Row],[PMI]]-B48</f>
        <v>0.39999999999999858</v>
      </c>
    </row>
    <row r="50" spans="1:3" x14ac:dyDescent="0.2">
      <c r="A50" s="10">
        <v>40391</v>
      </c>
      <c r="B50" s="18">
        <f>IF(VLOOKUP(A50,'DB Country PMI'!$A:$AZ,MATCH($A$1,'DB Country PMI'!$A$1:$AZ$1,),)=0,#N/A,VLOOKUP(A50,'DB Country PMI'!$A:$AZ,MATCH($A$1,'DB Country PMI'!$A$1:$AZ$1,),))</f>
        <v>51.2</v>
      </c>
      <c r="C50" s="24">
        <f>Table1346811121415161718[[#This Row],[PMI]]-B49</f>
        <v>-0.39999999999999858</v>
      </c>
    </row>
    <row r="51" spans="1:3" x14ac:dyDescent="0.2">
      <c r="A51" s="10">
        <v>40422</v>
      </c>
      <c r="B51" s="18">
        <f>IF(VLOOKUP(A51,'DB Country PMI'!$A:$AZ,MATCH($A$1,'DB Country PMI'!$A$1:$AZ$1,),)=0,#N/A,VLOOKUP(A51,'DB Country PMI'!$A:$AZ,MATCH($A$1,'DB Country PMI'!$A$1:$AZ$1,),))</f>
        <v>49.6</v>
      </c>
      <c r="C51" s="24">
        <f>Table1346811121415161718[[#This Row],[PMI]]-B50</f>
        <v>-1.6000000000000014</v>
      </c>
    </row>
    <row r="52" spans="1:3" x14ac:dyDescent="0.2">
      <c r="A52" s="10">
        <v>40452</v>
      </c>
      <c r="B52" s="18">
        <f>IF(VLOOKUP(A52,'DB Country PMI'!$A:$AZ,MATCH($A$1,'DB Country PMI'!$A$1:$AZ$1,),)=0,#N/A,VLOOKUP(A52,'DB Country PMI'!$A:$AZ,MATCH($A$1,'DB Country PMI'!$A$1:$AZ$1,),))</f>
        <v>51.2</v>
      </c>
      <c r="C52" s="24">
        <f>Table1346811121415161718[[#This Row],[PMI]]-B51</f>
        <v>1.6000000000000014</v>
      </c>
    </row>
    <row r="53" spans="1:3" x14ac:dyDescent="0.2">
      <c r="A53" s="10">
        <v>40483</v>
      </c>
      <c r="B53" s="18">
        <f>IF(VLOOKUP(A53,'DB Country PMI'!$A:$AZ,MATCH($A$1,'DB Country PMI'!$A$1:$AZ$1,),)=0,#N/A,VLOOKUP(A53,'DB Country PMI'!$A:$AZ,MATCH($A$1,'DB Country PMI'!$A$1:$AZ$1,),))</f>
        <v>50</v>
      </c>
      <c r="C53" s="24">
        <f>Table1346811121415161718[[#This Row],[PMI]]-B52</f>
        <v>-1.2000000000000028</v>
      </c>
    </row>
    <row r="54" spans="1:3" x14ac:dyDescent="0.2">
      <c r="A54" s="10">
        <v>40513</v>
      </c>
      <c r="B54" s="18">
        <f>IF(VLOOKUP(A54,'DB Country PMI'!$A:$AZ,MATCH($A$1,'DB Country PMI'!$A$1:$AZ$1,),)=0,#N/A,VLOOKUP(A54,'DB Country PMI'!$A:$AZ,MATCH($A$1,'DB Country PMI'!$A$1:$AZ$1,),))</f>
        <v>51.5</v>
      </c>
      <c r="C54" s="24">
        <f>Table1346811121415161718[[#This Row],[PMI]]-B53</f>
        <v>1.5</v>
      </c>
    </row>
    <row r="55" spans="1:3" x14ac:dyDescent="0.2">
      <c r="A55" s="10">
        <v>40544</v>
      </c>
      <c r="B55" s="18">
        <f>IF(VLOOKUP(A55,'DB Country PMI'!$A:$AZ,MATCH($A$1,'DB Country PMI'!$A$1:$AZ$1,),)=0,#N/A,VLOOKUP(A55,'DB Country PMI'!$A:$AZ,MATCH($A$1,'DB Country PMI'!$A$1:$AZ$1,),))</f>
        <v>52</v>
      </c>
      <c r="C55" s="24">
        <f>Table1346811121415161718[[#This Row],[PMI]]-B54</f>
        <v>0.5</v>
      </c>
    </row>
    <row r="56" spans="1:3" x14ac:dyDescent="0.2">
      <c r="A56" s="10">
        <v>40575</v>
      </c>
      <c r="B56" s="18">
        <f>IF(VLOOKUP(A56,'DB Country PMI'!$A:$AZ,MATCH($A$1,'DB Country PMI'!$A$1:$AZ$1,),)=0,#N/A,VLOOKUP(A56,'DB Country PMI'!$A:$AZ,MATCH($A$1,'DB Country PMI'!$A$1:$AZ$1,),))</f>
        <v>52.1</v>
      </c>
      <c r="C56" s="24">
        <f>Table1346811121415161718[[#This Row],[PMI]]-B55</f>
        <v>0.10000000000000142</v>
      </c>
    </row>
    <row r="57" spans="1:3" x14ac:dyDescent="0.2">
      <c r="A57" s="10">
        <v>40603</v>
      </c>
      <c r="B57" s="18">
        <f>IF(VLOOKUP(A57,'DB Country PMI'!$A:$AZ,MATCH($A$1,'DB Country PMI'!$A$1:$AZ$1,),)=0,#N/A,VLOOKUP(A57,'DB Country PMI'!$A:$AZ,MATCH($A$1,'DB Country PMI'!$A$1:$AZ$1,),))</f>
        <v>51.6</v>
      </c>
      <c r="C57" s="24">
        <f>Table1346811121415161718[[#This Row],[PMI]]-B56</f>
        <v>-0.5</v>
      </c>
    </row>
    <row r="58" spans="1:3" x14ac:dyDescent="0.2">
      <c r="A58" s="10">
        <v>40634</v>
      </c>
      <c r="B58" s="18">
        <f>IF(VLOOKUP(A58,'DB Country PMI'!$A:$AZ,MATCH($A$1,'DB Country PMI'!$A$1:$AZ$1,),)=0,#N/A,VLOOKUP(A58,'DB Country PMI'!$A:$AZ,MATCH($A$1,'DB Country PMI'!$A$1:$AZ$1,),))</f>
        <v>50.6</v>
      </c>
      <c r="C58" s="24">
        <f>Table1346811121415161718[[#This Row],[PMI]]-B57</f>
        <v>-1</v>
      </c>
    </row>
    <row r="59" spans="1:3" x14ac:dyDescent="0.2">
      <c r="A59" s="10">
        <v>40664</v>
      </c>
      <c r="B59" s="18">
        <f>IF(VLOOKUP(A59,'DB Country PMI'!$A:$AZ,MATCH($A$1,'DB Country PMI'!$A$1:$AZ$1,),)=0,#N/A,VLOOKUP(A59,'DB Country PMI'!$A:$AZ,MATCH($A$1,'DB Country PMI'!$A$1:$AZ$1,),))</f>
        <v>48.2</v>
      </c>
      <c r="C59" s="24">
        <f>Table1346811121415161718[[#This Row],[PMI]]-B58</f>
        <v>-2.3999999999999986</v>
      </c>
    </row>
    <row r="60" spans="1:3" x14ac:dyDescent="0.2">
      <c r="A60" s="10">
        <v>40695</v>
      </c>
      <c r="B60" s="18">
        <f>IF(VLOOKUP(A60,'DB Country PMI'!$A:$AZ,MATCH($A$1,'DB Country PMI'!$A$1:$AZ$1,),)=0,#N/A,VLOOKUP(A60,'DB Country PMI'!$A:$AZ,MATCH($A$1,'DB Country PMI'!$A$1:$AZ$1,),))</f>
        <v>47.3</v>
      </c>
      <c r="C60" s="24">
        <f>Table1346811121415161718[[#This Row],[PMI]]-B59</f>
        <v>-0.90000000000000568</v>
      </c>
    </row>
    <row r="61" spans="1:3" x14ac:dyDescent="0.2">
      <c r="A61" s="10">
        <v>40725</v>
      </c>
      <c r="B61" s="18">
        <f>IF(VLOOKUP(A61,'DB Country PMI'!$A:$AZ,MATCH($A$1,'DB Country PMI'!$A$1:$AZ$1,),)=0,#N/A,VLOOKUP(A61,'DB Country PMI'!$A:$AZ,MATCH($A$1,'DB Country PMI'!$A$1:$AZ$1,),))</f>
        <v>45.6</v>
      </c>
      <c r="C61" s="24">
        <f>Table1346811121415161718[[#This Row],[PMI]]-B60</f>
        <v>-1.6999999999999957</v>
      </c>
    </row>
    <row r="62" spans="1:3" x14ac:dyDescent="0.2">
      <c r="A62" s="10">
        <v>40756</v>
      </c>
      <c r="B62" s="18">
        <f>IF(VLOOKUP(A62,'DB Country PMI'!$A:$AZ,MATCH($A$1,'DB Country PMI'!$A$1:$AZ$1,),)=0,#N/A,VLOOKUP(A62,'DB Country PMI'!$A:$AZ,MATCH($A$1,'DB Country PMI'!$A$1:$AZ$1,),))</f>
        <v>45.3</v>
      </c>
      <c r="C62" s="24">
        <f>Table1346811121415161718[[#This Row],[PMI]]-B61</f>
        <v>-0.30000000000000426</v>
      </c>
    </row>
    <row r="63" spans="1:3" x14ac:dyDescent="0.2">
      <c r="A63" s="10">
        <v>40787</v>
      </c>
      <c r="B63" s="18">
        <f>IF(VLOOKUP(A63,'DB Country PMI'!$A:$AZ,MATCH($A$1,'DB Country PMI'!$A$1:$AZ$1,),)=0,#N/A,VLOOKUP(A63,'DB Country PMI'!$A:$AZ,MATCH($A$1,'DB Country PMI'!$A$1:$AZ$1,),))</f>
        <v>43.7</v>
      </c>
      <c r="C63" s="24">
        <f>Table1346811121415161718[[#This Row],[PMI]]-B62</f>
        <v>-1.5999999999999943</v>
      </c>
    </row>
    <row r="64" spans="1:3" x14ac:dyDescent="0.2">
      <c r="A64" s="10">
        <v>40817</v>
      </c>
      <c r="B64" s="18">
        <f>IF(VLOOKUP(A64,'DB Country PMI'!$A:$AZ,MATCH($A$1,'DB Country PMI'!$A$1:$AZ$1,),)=0,#N/A,VLOOKUP(A64,'DB Country PMI'!$A:$AZ,MATCH($A$1,'DB Country PMI'!$A$1:$AZ$1,),))</f>
        <v>43.9</v>
      </c>
      <c r="C64" s="24">
        <f>Table1346811121415161718[[#This Row],[PMI]]-B63</f>
        <v>0.19999999999999574</v>
      </c>
    </row>
    <row r="65" spans="1:3" x14ac:dyDescent="0.2">
      <c r="A65" s="10">
        <v>40848</v>
      </c>
      <c r="B65" s="18">
        <f>IF(VLOOKUP(A65,'DB Country PMI'!$A:$AZ,MATCH($A$1,'DB Country PMI'!$A$1:$AZ$1,),)=0,#N/A,VLOOKUP(A65,'DB Country PMI'!$A:$AZ,MATCH($A$1,'DB Country PMI'!$A$1:$AZ$1,),))</f>
        <v>43.8</v>
      </c>
      <c r="C65" s="24">
        <f>Table1346811121415161718[[#This Row],[PMI]]-B64</f>
        <v>-0.10000000000000142</v>
      </c>
    </row>
    <row r="66" spans="1:3" x14ac:dyDescent="0.2">
      <c r="A66" s="10">
        <v>40878</v>
      </c>
      <c r="B66" s="18">
        <f>IF(VLOOKUP(A66,'DB Country PMI'!$A:$AZ,MATCH($A$1,'DB Country PMI'!$A$1:$AZ$1,),)=0,#N/A,VLOOKUP(A66,'DB Country PMI'!$A:$AZ,MATCH($A$1,'DB Country PMI'!$A$1:$AZ$1,),))</f>
        <v>43.7</v>
      </c>
      <c r="C66" s="24">
        <f>Table1346811121415161718[[#This Row],[PMI]]-B65</f>
        <v>-9.9999999999994316E-2</v>
      </c>
    </row>
    <row r="67" spans="1:3" x14ac:dyDescent="0.2">
      <c r="A67" s="10">
        <v>40909</v>
      </c>
      <c r="B67" s="18">
        <f>IF(VLOOKUP(A67,'DB Country PMI'!$A:$AZ,MATCH($A$1,'DB Country PMI'!$A$1:$AZ$1,),)=0,#N/A,VLOOKUP(A67,'DB Country PMI'!$A:$AZ,MATCH($A$1,'DB Country PMI'!$A$1:$AZ$1,),))</f>
        <v>45.1</v>
      </c>
      <c r="C67" s="24">
        <f>Table1346811121415161718[[#This Row],[PMI]]-B66</f>
        <v>1.3999999999999986</v>
      </c>
    </row>
    <row r="68" spans="1:3" x14ac:dyDescent="0.2">
      <c r="A68" s="10">
        <v>40940</v>
      </c>
      <c r="B68" s="18">
        <f>IF(VLOOKUP(A68,'DB Country PMI'!$A:$AZ,MATCH($A$1,'DB Country PMI'!$A$1:$AZ$1,),)=0,#N/A,VLOOKUP(A68,'DB Country PMI'!$A:$AZ,MATCH($A$1,'DB Country PMI'!$A$1:$AZ$1,),))</f>
        <v>45</v>
      </c>
      <c r="C68" s="24">
        <f>Table1346811121415161718[[#This Row],[PMI]]-B67</f>
        <v>-0.10000000000000142</v>
      </c>
    </row>
    <row r="69" spans="1:3" x14ac:dyDescent="0.2">
      <c r="A69" s="10">
        <v>40969</v>
      </c>
      <c r="B69" s="18">
        <f>IF(VLOOKUP(A69,'DB Country PMI'!$A:$AZ,MATCH($A$1,'DB Country PMI'!$A$1:$AZ$1,),)=0,#N/A,VLOOKUP(A69,'DB Country PMI'!$A:$AZ,MATCH($A$1,'DB Country PMI'!$A$1:$AZ$1,),))</f>
        <v>44.5</v>
      </c>
      <c r="C69" s="24">
        <f>Table1346811121415161718[[#This Row],[PMI]]-B68</f>
        <v>-0.5</v>
      </c>
    </row>
    <row r="70" spans="1:3" x14ac:dyDescent="0.2">
      <c r="A70" s="10">
        <v>41000</v>
      </c>
      <c r="B70" s="18">
        <f>IF(VLOOKUP(A70,'DB Country PMI'!$A:$AZ,MATCH($A$1,'DB Country PMI'!$A$1:$AZ$1,),)=0,#N/A,VLOOKUP(A70,'DB Country PMI'!$A:$AZ,MATCH($A$1,'DB Country PMI'!$A$1:$AZ$1,),))</f>
        <v>43.5</v>
      </c>
      <c r="C70" s="24">
        <f>Table1346811121415161718[[#This Row],[PMI]]-B69</f>
        <v>-1</v>
      </c>
    </row>
    <row r="71" spans="1:3" x14ac:dyDescent="0.2">
      <c r="A71" s="10">
        <v>41030</v>
      </c>
      <c r="B71" s="18">
        <f>IF(VLOOKUP(A71,'DB Country PMI'!$A:$AZ,MATCH($A$1,'DB Country PMI'!$A$1:$AZ$1,),)=0,#N/A,VLOOKUP(A71,'DB Country PMI'!$A:$AZ,MATCH($A$1,'DB Country PMI'!$A$1:$AZ$1,),))</f>
        <v>42</v>
      </c>
      <c r="C71" s="24">
        <f>Table1346811121415161718[[#This Row],[PMI]]-B70</f>
        <v>-1.5</v>
      </c>
    </row>
    <row r="72" spans="1:3" x14ac:dyDescent="0.2">
      <c r="A72" s="10">
        <v>41061</v>
      </c>
      <c r="B72" s="18">
        <f>IF(VLOOKUP(A72,'DB Country PMI'!$A:$AZ,MATCH($A$1,'DB Country PMI'!$A$1:$AZ$1,),)=0,#N/A,VLOOKUP(A72,'DB Country PMI'!$A:$AZ,MATCH($A$1,'DB Country PMI'!$A$1:$AZ$1,),))</f>
        <v>41.1</v>
      </c>
      <c r="C72" s="24">
        <f>Table1346811121415161718[[#This Row],[PMI]]-B71</f>
        <v>-0.89999999999999858</v>
      </c>
    </row>
    <row r="73" spans="1:3" x14ac:dyDescent="0.2">
      <c r="A73" s="10">
        <v>41091</v>
      </c>
      <c r="B73" s="18">
        <f>IF(VLOOKUP(A73,'DB Country PMI'!$A:$AZ,MATCH($A$1,'DB Country PMI'!$A$1:$AZ$1,),)=0,#N/A,VLOOKUP(A73,'DB Country PMI'!$A:$AZ,MATCH($A$1,'DB Country PMI'!$A$1:$AZ$1,),))</f>
        <v>42.3</v>
      </c>
      <c r="C73" s="24">
        <f>Table1346811121415161718[[#This Row],[PMI]]-B72</f>
        <v>1.1999999999999957</v>
      </c>
    </row>
    <row r="74" spans="1:3" x14ac:dyDescent="0.2">
      <c r="A74" s="10">
        <v>41122</v>
      </c>
      <c r="B74" s="18">
        <f>IF(VLOOKUP(A74,'DB Country PMI'!$A:$AZ,MATCH($A$1,'DB Country PMI'!$A$1:$AZ$1,),)=0,#N/A,VLOOKUP(A74,'DB Country PMI'!$A:$AZ,MATCH($A$1,'DB Country PMI'!$A$1:$AZ$1,),))</f>
        <v>44</v>
      </c>
      <c r="C74" s="24">
        <f>Table1346811121415161718[[#This Row],[PMI]]-B73</f>
        <v>1.7000000000000028</v>
      </c>
    </row>
    <row r="75" spans="1:3" x14ac:dyDescent="0.2">
      <c r="A75" s="10">
        <v>41153</v>
      </c>
      <c r="B75" s="18">
        <f>IF(VLOOKUP(A75,'DB Country PMI'!$A:$AZ,MATCH($A$1,'DB Country PMI'!$A$1:$AZ$1,),)=0,#N/A,VLOOKUP(A75,'DB Country PMI'!$A:$AZ,MATCH($A$1,'DB Country PMI'!$A$1:$AZ$1,),))</f>
        <v>44.5</v>
      </c>
      <c r="C75" s="24">
        <f>Table1346811121415161718[[#This Row],[PMI]]-B74</f>
        <v>0.5</v>
      </c>
    </row>
    <row r="76" spans="1:3" x14ac:dyDescent="0.2">
      <c r="A76" s="10">
        <v>41183</v>
      </c>
      <c r="B76" s="18">
        <f>IF(VLOOKUP(A76,'DB Country PMI'!$A:$AZ,MATCH($A$1,'DB Country PMI'!$A$1:$AZ$1,),)=0,#N/A,VLOOKUP(A76,'DB Country PMI'!$A:$AZ,MATCH($A$1,'DB Country PMI'!$A$1:$AZ$1,),))</f>
        <v>43.5</v>
      </c>
      <c r="C76" s="24">
        <f>Table1346811121415161718[[#This Row],[PMI]]-B75</f>
        <v>-1</v>
      </c>
    </row>
    <row r="77" spans="1:3" x14ac:dyDescent="0.2">
      <c r="A77" s="10">
        <v>41214</v>
      </c>
      <c r="B77" s="18">
        <f>IF(VLOOKUP(A77,'DB Country PMI'!$A:$AZ,MATCH($A$1,'DB Country PMI'!$A$1:$AZ$1,),)=0,#N/A,VLOOKUP(A77,'DB Country PMI'!$A:$AZ,MATCH($A$1,'DB Country PMI'!$A$1:$AZ$1,),))</f>
        <v>45.3</v>
      </c>
      <c r="C77" s="24">
        <f>Table1346811121415161718[[#This Row],[PMI]]-B76</f>
        <v>1.7999999999999972</v>
      </c>
    </row>
    <row r="78" spans="1:3" x14ac:dyDescent="0.2">
      <c r="A78" s="10">
        <v>41244</v>
      </c>
      <c r="B78" s="18">
        <f>IF(VLOOKUP(A78,'DB Country PMI'!$A:$AZ,MATCH($A$1,'DB Country PMI'!$A$1:$AZ$1,),)=0,#N/A,VLOOKUP(A78,'DB Country PMI'!$A:$AZ,MATCH($A$1,'DB Country PMI'!$A$1:$AZ$1,),))</f>
        <v>44.6</v>
      </c>
      <c r="C78" s="24">
        <f>Table1346811121415161718[[#This Row],[PMI]]-B77</f>
        <v>-0.69999999999999574</v>
      </c>
    </row>
    <row r="79" spans="1:3" x14ac:dyDescent="0.2">
      <c r="A79" s="10">
        <v>41275</v>
      </c>
      <c r="B79" s="18">
        <f>IF(VLOOKUP(A79,'DB Country PMI'!$A:$AZ,MATCH($A$1,'DB Country PMI'!$A$1:$AZ$1,),)=0,#N/A,VLOOKUP(A79,'DB Country PMI'!$A:$AZ,MATCH($A$1,'DB Country PMI'!$A$1:$AZ$1,),))</f>
        <v>46.1</v>
      </c>
      <c r="C79" s="24">
        <f>Table1346811121415161718[[#This Row],[PMI]]-B78</f>
        <v>1.5</v>
      </c>
    </row>
    <row r="80" spans="1:3" x14ac:dyDescent="0.2">
      <c r="A80" s="10">
        <v>41306</v>
      </c>
      <c r="B80" s="18">
        <f>IF(VLOOKUP(A80,'DB Country PMI'!$A:$AZ,MATCH($A$1,'DB Country PMI'!$A$1:$AZ$1,),)=0,#N/A,VLOOKUP(A80,'DB Country PMI'!$A:$AZ,MATCH($A$1,'DB Country PMI'!$A$1:$AZ$1,),))</f>
        <v>46.8</v>
      </c>
      <c r="C80" s="24">
        <f>Table1346811121415161718[[#This Row],[PMI]]-B79</f>
        <v>0.69999999999999574</v>
      </c>
    </row>
    <row r="81" spans="1:3" x14ac:dyDescent="0.2">
      <c r="A81" s="10">
        <v>41334</v>
      </c>
      <c r="B81" s="18">
        <f>IF(VLOOKUP(A81,'DB Country PMI'!$A:$AZ,MATCH($A$1,'DB Country PMI'!$A$1:$AZ$1,),)=0,#N/A,VLOOKUP(A81,'DB Country PMI'!$A:$AZ,MATCH($A$1,'DB Country PMI'!$A$1:$AZ$1,),))</f>
        <v>44.2</v>
      </c>
      <c r="C81" s="24">
        <f>Table1346811121415161718[[#This Row],[PMI]]-B80</f>
        <v>-2.5999999999999943</v>
      </c>
    </row>
    <row r="82" spans="1:3" x14ac:dyDescent="0.2">
      <c r="A82" s="10">
        <v>41365</v>
      </c>
      <c r="B82" s="18">
        <f>IF(VLOOKUP(A82,'DB Country PMI'!$A:$AZ,MATCH($A$1,'DB Country PMI'!$A$1:$AZ$1,),)=0,#N/A,VLOOKUP(A82,'DB Country PMI'!$A:$AZ,MATCH($A$1,'DB Country PMI'!$A$1:$AZ$1,),))</f>
        <v>44.7</v>
      </c>
      <c r="C82" s="24">
        <f>Table1346811121415161718[[#This Row],[PMI]]-B81</f>
        <v>0.5</v>
      </c>
    </row>
    <row r="83" spans="1:3" x14ac:dyDescent="0.2">
      <c r="A83" s="10">
        <v>41395</v>
      </c>
      <c r="B83" s="18">
        <f>IF(VLOOKUP(A83,'DB Country PMI'!$A:$AZ,MATCH($A$1,'DB Country PMI'!$A$1:$AZ$1,),)=0,#N/A,VLOOKUP(A83,'DB Country PMI'!$A:$AZ,MATCH($A$1,'DB Country PMI'!$A$1:$AZ$1,),))</f>
        <v>48.1</v>
      </c>
      <c r="C83" s="24">
        <f>Table1346811121415161718[[#This Row],[PMI]]-B82</f>
        <v>3.3999999999999986</v>
      </c>
    </row>
    <row r="84" spans="1:3" x14ac:dyDescent="0.2">
      <c r="A84" s="10">
        <v>41426</v>
      </c>
      <c r="B84" s="18">
        <f>IF(VLOOKUP(A84,'DB Country PMI'!$A:$AZ,MATCH($A$1,'DB Country PMI'!$A$1:$AZ$1,),)=0,#N/A,VLOOKUP(A84,'DB Country PMI'!$A:$AZ,MATCH($A$1,'DB Country PMI'!$A$1:$AZ$1,),))</f>
        <v>50</v>
      </c>
      <c r="C84" s="24">
        <f>Table1346811121415161718[[#This Row],[PMI]]-B83</f>
        <v>1.8999999999999986</v>
      </c>
    </row>
    <row r="85" spans="1:3" x14ac:dyDescent="0.2">
      <c r="A85" s="10">
        <v>41456</v>
      </c>
      <c r="B85" s="18">
        <f>IF(VLOOKUP(A85,'DB Country PMI'!$A:$AZ,MATCH($A$1,'DB Country PMI'!$A$1:$AZ$1,),)=0,#N/A,VLOOKUP(A85,'DB Country PMI'!$A:$AZ,MATCH($A$1,'DB Country PMI'!$A$1:$AZ$1,),))</f>
        <v>49.8</v>
      </c>
      <c r="C85" s="24">
        <f>Table1346811121415161718[[#This Row],[PMI]]-B84</f>
        <v>-0.20000000000000284</v>
      </c>
    </row>
    <row r="86" spans="1:3" x14ac:dyDescent="0.2">
      <c r="A86" s="10">
        <v>41487</v>
      </c>
      <c r="B86" s="18">
        <f>IF(VLOOKUP(A86,'DB Country PMI'!$A:$AZ,MATCH($A$1,'DB Country PMI'!$A$1:$AZ$1,),)=0,#N/A,VLOOKUP(A86,'DB Country PMI'!$A:$AZ,MATCH($A$1,'DB Country PMI'!$A$1:$AZ$1,),))</f>
        <v>51.1</v>
      </c>
      <c r="C86" s="24">
        <f>Table1346811121415161718[[#This Row],[PMI]]-B85</f>
        <v>1.3000000000000043</v>
      </c>
    </row>
    <row r="87" spans="1:3" x14ac:dyDescent="0.2">
      <c r="A87" s="10">
        <v>41518</v>
      </c>
      <c r="B87" s="18">
        <f>IF(VLOOKUP(A87,'DB Country PMI'!$A:$AZ,MATCH($A$1,'DB Country PMI'!$A$1:$AZ$1,),)=0,#N/A,VLOOKUP(A87,'DB Country PMI'!$A:$AZ,MATCH($A$1,'DB Country PMI'!$A$1:$AZ$1,),))</f>
        <v>50.7</v>
      </c>
      <c r="C87" s="24">
        <f>Table1346811121415161718[[#This Row],[PMI]]-B86</f>
        <v>-0.39999999999999858</v>
      </c>
    </row>
    <row r="88" spans="1:3" x14ac:dyDescent="0.2">
      <c r="A88" s="10">
        <v>41548</v>
      </c>
      <c r="B88" s="18">
        <f>IF(VLOOKUP(A88,'DB Country PMI'!$A:$AZ,MATCH($A$1,'DB Country PMI'!$A$1:$AZ$1,),)=0,#N/A,VLOOKUP(A88,'DB Country PMI'!$A:$AZ,MATCH($A$1,'DB Country PMI'!$A$1:$AZ$1,),))</f>
        <v>50.9</v>
      </c>
      <c r="C88" s="24">
        <f>Table1346811121415161718[[#This Row],[PMI]]-B87</f>
        <v>0.19999999999999574</v>
      </c>
    </row>
    <row r="89" spans="1:3" x14ac:dyDescent="0.2">
      <c r="A89" s="10">
        <v>41579</v>
      </c>
      <c r="B89" s="18">
        <f>IF(VLOOKUP(A89,'DB Country PMI'!$A:$AZ,MATCH($A$1,'DB Country PMI'!$A$1:$AZ$1,),)=0,#N/A,VLOOKUP(A89,'DB Country PMI'!$A:$AZ,MATCH($A$1,'DB Country PMI'!$A$1:$AZ$1,),))</f>
        <v>48.6</v>
      </c>
      <c r="C89" s="24">
        <f>Table1346811121415161718[[#This Row],[PMI]]-B88</f>
        <v>-2.2999999999999972</v>
      </c>
    </row>
    <row r="90" spans="1:3" x14ac:dyDescent="0.2">
      <c r="A90" s="10">
        <v>41609</v>
      </c>
      <c r="B90" s="18">
        <f>IF(VLOOKUP(A90,'DB Country PMI'!$A:$AZ,MATCH($A$1,'DB Country PMI'!$A$1:$AZ$1,),)=0,#N/A,VLOOKUP(A90,'DB Country PMI'!$A:$AZ,MATCH($A$1,'DB Country PMI'!$A$1:$AZ$1,),))</f>
        <v>50.8</v>
      </c>
      <c r="C90" s="24">
        <f>Table1346811121415161718[[#This Row],[PMI]]-B89</f>
        <v>2.1999999999999957</v>
      </c>
    </row>
    <row r="91" spans="1:3" x14ac:dyDescent="0.2">
      <c r="A91" s="10">
        <v>41640</v>
      </c>
      <c r="B91" s="18">
        <f>IF(VLOOKUP(A91,'DB Country PMI'!$A:$AZ,MATCH($A$1,'DB Country PMI'!$A$1:$AZ$1,),)=0,#N/A,VLOOKUP(A91,'DB Country PMI'!$A:$AZ,MATCH($A$1,'DB Country PMI'!$A$1:$AZ$1,),))</f>
        <v>52.2</v>
      </c>
      <c r="C91" s="24">
        <f>Table1346811121415161718[[#This Row],[PMI]]-B90</f>
        <v>1.4000000000000057</v>
      </c>
    </row>
    <row r="92" spans="1:3" x14ac:dyDescent="0.2">
      <c r="A92" s="10">
        <v>41671</v>
      </c>
      <c r="B92" s="18">
        <f>IF(VLOOKUP(A92,'DB Country PMI'!$A:$AZ,MATCH($A$1,'DB Country PMI'!$A$1:$AZ$1,),)=0,#N/A,VLOOKUP(A92,'DB Country PMI'!$A:$AZ,MATCH($A$1,'DB Country PMI'!$A$1:$AZ$1,),))</f>
        <v>52.5</v>
      </c>
      <c r="C92" s="24">
        <f>Table1346811121415161718[[#This Row],[PMI]]-B91</f>
        <v>0.29999999999999716</v>
      </c>
    </row>
    <row r="93" spans="1:3" x14ac:dyDescent="0.2">
      <c r="A93" s="10">
        <v>41699</v>
      </c>
      <c r="B93" s="18">
        <f>IF(VLOOKUP(A93,'DB Country PMI'!$A:$AZ,MATCH($A$1,'DB Country PMI'!$A$1:$AZ$1,),)=0,#N/A,VLOOKUP(A93,'DB Country PMI'!$A:$AZ,MATCH($A$1,'DB Country PMI'!$A$1:$AZ$1,),))</f>
        <v>52.8</v>
      </c>
      <c r="C93" s="24">
        <f>Table1346811121415161718[[#This Row],[PMI]]-B92</f>
        <v>0.29999999999999716</v>
      </c>
    </row>
    <row r="94" spans="1:3" x14ac:dyDescent="0.2">
      <c r="A94" s="10">
        <v>41730</v>
      </c>
      <c r="B94" s="18">
        <f>IF(VLOOKUP(A94,'DB Country PMI'!$A:$AZ,MATCH($A$1,'DB Country PMI'!$A$1:$AZ$1,),)=0,#N/A,VLOOKUP(A94,'DB Country PMI'!$A:$AZ,MATCH($A$1,'DB Country PMI'!$A$1:$AZ$1,),))</f>
        <v>52.7</v>
      </c>
      <c r="C94" s="24">
        <f>Table1346811121415161718[[#This Row],[PMI]]-B93</f>
        <v>-9.9999999999994316E-2</v>
      </c>
    </row>
    <row r="95" spans="1:3" x14ac:dyDescent="0.2">
      <c r="A95" s="10">
        <v>41760</v>
      </c>
      <c r="B95" s="18">
        <f>IF(VLOOKUP(A95,'DB Country PMI'!$A:$AZ,MATCH($A$1,'DB Country PMI'!$A$1:$AZ$1,),)=0,#N/A,VLOOKUP(A95,'DB Country PMI'!$A:$AZ,MATCH($A$1,'DB Country PMI'!$A$1:$AZ$1,),))</f>
        <v>52.9</v>
      </c>
      <c r="C95" s="24">
        <f>Table1346811121415161718[[#This Row],[PMI]]-B94</f>
        <v>0.19999999999999574</v>
      </c>
    </row>
    <row r="96" spans="1:3" x14ac:dyDescent="0.2">
      <c r="A96" s="10">
        <v>41791</v>
      </c>
      <c r="B96" s="18">
        <f>IF(VLOOKUP(A96,'DB Country PMI'!$A:$AZ,MATCH($A$1,'DB Country PMI'!$A$1:$AZ$1,),)=0,#N/A,VLOOKUP(A96,'DB Country PMI'!$A:$AZ,MATCH($A$1,'DB Country PMI'!$A$1:$AZ$1,),))</f>
        <v>54.6</v>
      </c>
      <c r="C96" s="24">
        <f>Table1346811121415161718[[#This Row],[PMI]]-B95</f>
        <v>1.7000000000000028</v>
      </c>
    </row>
    <row r="97" spans="1:3" x14ac:dyDescent="0.2">
      <c r="A97" s="10">
        <v>41821</v>
      </c>
      <c r="B97" s="18">
        <f>IF(VLOOKUP(A97,'DB Country PMI'!$A:$AZ,MATCH($A$1,'DB Country PMI'!$A$1:$AZ$1,),)=0,#N/A,VLOOKUP(A97,'DB Country PMI'!$A:$AZ,MATCH($A$1,'DB Country PMI'!$A$1:$AZ$1,),))</f>
        <v>53.9</v>
      </c>
      <c r="C97" s="24">
        <f>Table1346811121415161718[[#This Row],[PMI]]-B96</f>
        <v>-0.70000000000000284</v>
      </c>
    </row>
    <row r="98" spans="1:3" x14ac:dyDescent="0.2">
      <c r="A98" s="10">
        <v>41852</v>
      </c>
      <c r="B98" s="18">
        <f>IF(VLOOKUP(A98,'DB Country PMI'!$A:$AZ,MATCH($A$1,'DB Country PMI'!$A$1:$AZ$1,),)=0,#N/A,VLOOKUP(A98,'DB Country PMI'!$A:$AZ,MATCH($A$1,'DB Country PMI'!$A$1:$AZ$1,),))</f>
        <v>52.8</v>
      </c>
      <c r="C98" s="24">
        <f>Table1346811121415161718[[#This Row],[PMI]]-B97</f>
        <v>-1.1000000000000014</v>
      </c>
    </row>
    <row r="99" spans="1:3" x14ac:dyDescent="0.2">
      <c r="A99" s="10">
        <v>41883</v>
      </c>
      <c r="B99" s="18">
        <f>IF(VLOOKUP(A99,'DB Country PMI'!$A:$AZ,MATCH($A$1,'DB Country PMI'!$A$1:$AZ$1,),)=0,#N/A,VLOOKUP(A99,'DB Country PMI'!$A:$AZ,MATCH($A$1,'DB Country PMI'!$A$1:$AZ$1,),))</f>
        <v>52.6</v>
      </c>
      <c r="C99" s="24">
        <f>Table1346811121415161718[[#This Row],[PMI]]-B98</f>
        <v>-0.19999999999999574</v>
      </c>
    </row>
    <row r="100" spans="1:3" x14ac:dyDescent="0.2">
      <c r="A100" s="10">
        <v>41913</v>
      </c>
      <c r="B100" s="18">
        <f>IF(VLOOKUP(A100,'DB Country PMI'!$A:$AZ,MATCH($A$1,'DB Country PMI'!$A$1:$AZ$1,),)=0,#N/A,VLOOKUP(A100,'DB Country PMI'!$A:$AZ,MATCH($A$1,'DB Country PMI'!$A$1:$AZ$1,),))</f>
        <v>52.6</v>
      </c>
      <c r="C100" s="24">
        <f>Table1346811121415161718[[#This Row],[PMI]]-B99</f>
        <v>0</v>
      </c>
    </row>
    <row r="101" spans="1:3" x14ac:dyDescent="0.2">
      <c r="A101" s="10">
        <v>41944</v>
      </c>
      <c r="B101" s="18">
        <f>IF(VLOOKUP(A101,'DB Country PMI'!$A:$AZ,MATCH($A$1,'DB Country PMI'!$A$1:$AZ$1,),)=0,#N/A,VLOOKUP(A101,'DB Country PMI'!$A:$AZ,MATCH($A$1,'DB Country PMI'!$A$1:$AZ$1,),))</f>
        <v>54.7</v>
      </c>
      <c r="C101" s="24">
        <f>Table1346811121415161718[[#This Row],[PMI]]-B100</f>
        <v>2.1000000000000014</v>
      </c>
    </row>
    <row r="102" spans="1:3" x14ac:dyDescent="0.2">
      <c r="A102" s="10">
        <v>41974</v>
      </c>
      <c r="B102" s="18">
        <f>IF(VLOOKUP(A102,'DB Country PMI'!$A:$AZ,MATCH($A$1,'DB Country PMI'!$A$1:$AZ$1,),)=0,#N/A,VLOOKUP(A102,'DB Country PMI'!$A:$AZ,MATCH($A$1,'DB Country PMI'!$A$1:$AZ$1,),))</f>
        <v>53.8</v>
      </c>
      <c r="C102" s="24">
        <f>Table1346811121415161718[[#This Row],[PMI]]-B101</f>
        <v>-0.90000000000000568</v>
      </c>
    </row>
    <row r="103" spans="1:3" x14ac:dyDescent="0.2">
      <c r="A103" s="10">
        <v>42005</v>
      </c>
      <c r="B103" s="18">
        <f>IF(VLOOKUP(A103,'DB Country PMI'!$A:$AZ,MATCH($A$1,'DB Country PMI'!$A$1:$AZ$1,),)=0,#N/A,VLOOKUP(A103,'DB Country PMI'!$A:$AZ,MATCH($A$1,'DB Country PMI'!$A$1:$AZ$1,),))</f>
        <v>54.7</v>
      </c>
      <c r="C103" s="24">
        <f>Table1346811121415161718[[#This Row],[PMI]]-B102</f>
        <v>0.90000000000000568</v>
      </c>
    </row>
    <row r="104" spans="1:3" x14ac:dyDescent="0.2">
      <c r="A104" s="10">
        <v>42036</v>
      </c>
      <c r="B104" s="18">
        <f>IF(VLOOKUP(A104,'DB Country PMI'!$A:$AZ,MATCH($A$1,'DB Country PMI'!$A$1:$AZ$1,),)=0,#N/A,VLOOKUP(A104,'DB Country PMI'!$A:$AZ,MATCH($A$1,'DB Country PMI'!$A$1:$AZ$1,),))</f>
        <v>54.2</v>
      </c>
      <c r="C104" s="24">
        <f>Table1346811121415161718[[#This Row],[PMI]]-B103</f>
        <v>-0.5</v>
      </c>
    </row>
    <row r="105" spans="1:3" x14ac:dyDescent="0.2">
      <c r="A105" s="10">
        <v>42064</v>
      </c>
      <c r="B105" s="18">
        <f>IF(VLOOKUP(A105,'DB Country PMI'!$A:$AZ,MATCH($A$1,'DB Country PMI'!$A$1:$AZ$1,),)=0,#N/A,VLOOKUP(A105,'DB Country PMI'!$A:$AZ,MATCH($A$1,'DB Country PMI'!$A$1:$AZ$1,),))</f>
        <v>54.3</v>
      </c>
      <c r="C105" s="24">
        <f>Table1346811121415161718[[#This Row],[PMI]]-B104</f>
        <v>9.9999999999994316E-2</v>
      </c>
    </row>
    <row r="106" spans="1:3" x14ac:dyDescent="0.2">
      <c r="A106" s="10">
        <v>42095</v>
      </c>
      <c r="B106" s="18">
        <f>IF(VLOOKUP(A106,'DB Country PMI'!$A:$AZ,MATCH($A$1,'DB Country PMI'!$A$1:$AZ$1,),)=0,#N/A,VLOOKUP(A106,'DB Country PMI'!$A:$AZ,MATCH($A$1,'DB Country PMI'!$A$1:$AZ$1,),))</f>
        <v>54.2</v>
      </c>
      <c r="C106" s="24">
        <f>Table1346811121415161718[[#This Row],[PMI]]-B105</f>
        <v>-9.9999999999994316E-2</v>
      </c>
    </row>
    <row r="107" spans="1:3" x14ac:dyDescent="0.2">
      <c r="A107" s="10">
        <v>42125</v>
      </c>
      <c r="B107" s="18">
        <f>IF(VLOOKUP(A107,'DB Country PMI'!$A:$AZ,MATCH($A$1,'DB Country PMI'!$A$1:$AZ$1,),)=0,#N/A,VLOOKUP(A107,'DB Country PMI'!$A:$AZ,MATCH($A$1,'DB Country PMI'!$A$1:$AZ$1,),))</f>
        <v>55.8</v>
      </c>
      <c r="C107" s="24">
        <f>Table1346811121415161718[[#This Row],[PMI]]-B106</f>
        <v>1.5999999999999943</v>
      </c>
    </row>
    <row r="108" spans="1:3" x14ac:dyDescent="0.2">
      <c r="A108" s="10">
        <v>42156</v>
      </c>
      <c r="B108" s="18">
        <f>IF(VLOOKUP(A108,'DB Country PMI'!$A:$AZ,MATCH($A$1,'DB Country PMI'!$A$1:$AZ$1,),)=0,#N/A,VLOOKUP(A108,'DB Country PMI'!$A:$AZ,MATCH($A$1,'DB Country PMI'!$A$1:$AZ$1,),))</f>
        <v>54.5</v>
      </c>
      <c r="C108" s="24">
        <f>Table1346811121415161718[[#This Row],[PMI]]-B107</f>
        <v>-1.2999999999999972</v>
      </c>
    </row>
    <row r="109" spans="1:3" x14ac:dyDescent="0.2">
      <c r="A109" s="10">
        <v>42186</v>
      </c>
      <c r="B109" s="18">
        <f>IF(VLOOKUP(A109,'DB Country PMI'!$A:$AZ,MATCH($A$1,'DB Country PMI'!$A$1:$AZ$1,),)=0,#N/A,VLOOKUP(A109,'DB Country PMI'!$A:$AZ,MATCH($A$1,'DB Country PMI'!$A$1:$AZ$1,),))</f>
        <v>53.6</v>
      </c>
      <c r="C109" s="24">
        <f>Table1346811121415161718[[#This Row],[PMI]]-B108</f>
        <v>-0.89999999999999858</v>
      </c>
    </row>
    <row r="110" spans="1:3" x14ac:dyDescent="0.2">
      <c r="A110" s="10">
        <v>42217</v>
      </c>
      <c r="B110" s="18">
        <f>IF(VLOOKUP(A110,'DB Country PMI'!$A:$AZ,MATCH($A$1,'DB Country PMI'!$A$1:$AZ$1,),)=0,#N/A,VLOOKUP(A110,'DB Country PMI'!$A:$AZ,MATCH($A$1,'DB Country PMI'!$A$1:$AZ$1,),))</f>
        <v>53.2</v>
      </c>
      <c r="C110" s="24">
        <f>Table1346811121415161718[[#This Row],[PMI]]-B109</f>
        <v>-0.39999999999999858</v>
      </c>
    </row>
    <row r="111" spans="1:3" x14ac:dyDescent="0.2">
      <c r="A111" s="10">
        <v>42248</v>
      </c>
      <c r="B111" s="18">
        <f>IF(VLOOKUP(A111,'DB Country PMI'!$A:$AZ,MATCH($A$1,'DB Country PMI'!$A$1:$AZ$1,),)=0,#N/A,VLOOKUP(A111,'DB Country PMI'!$A:$AZ,MATCH($A$1,'DB Country PMI'!$A$1:$AZ$1,),))</f>
        <v>51.7</v>
      </c>
      <c r="C111" s="24">
        <f>Table1346811121415161718[[#This Row],[PMI]]-B110</f>
        <v>-1.5</v>
      </c>
    </row>
    <row r="112" spans="1:3" x14ac:dyDescent="0.2">
      <c r="A112" s="10">
        <v>42278</v>
      </c>
      <c r="B112" s="18">
        <f>IF(VLOOKUP(A112,'DB Country PMI'!$A:$AZ,MATCH($A$1,'DB Country PMI'!$A$1:$AZ$1,),)=0,#N/A,VLOOKUP(A112,'DB Country PMI'!$A:$AZ,MATCH($A$1,'DB Country PMI'!$A$1:$AZ$1,),))</f>
        <v>51.3</v>
      </c>
      <c r="C112" s="24">
        <f>Table1346811121415161718[[#This Row],[PMI]]-B111</f>
        <v>-0.40000000000000568</v>
      </c>
    </row>
    <row r="113" spans="1:3" x14ac:dyDescent="0.2">
      <c r="A113" s="10">
        <v>42309</v>
      </c>
      <c r="B113" s="18">
        <f>IF(VLOOKUP(A113,'DB Country PMI'!$A:$AZ,MATCH($A$1,'DB Country PMI'!$A$1:$AZ$1,),)=0,#N/A,VLOOKUP(A113,'DB Country PMI'!$A:$AZ,MATCH($A$1,'DB Country PMI'!$A$1:$AZ$1,),))</f>
        <v>53.1</v>
      </c>
      <c r="C113" s="24">
        <f>Table1346811121415161718[[#This Row],[PMI]]-B112</f>
        <v>1.8000000000000043</v>
      </c>
    </row>
    <row r="114" spans="1:3" x14ac:dyDescent="0.2">
      <c r="A114" s="10">
        <v>42339</v>
      </c>
      <c r="B114" s="18">
        <f>IF(VLOOKUP(A114,'DB Country PMI'!$A:$AZ,MATCH($A$1,'DB Country PMI'!$A$1:$AZ$1,),)=0,#N/A,VLOOKUP(A114,'DB Country PMI'!$A:$AZ,MATCH($A$1,'DB Country PMI'!$A$1:$AZ$1,),))</f>
        <v>53</v>
      </c>
      <c r="C114" s="24">
        <f>Table1346811121415161718[[#This Row],[PMI]]-B113</f>
        <v>-0.10000000000000142</v>
      </c>
    </row>
    <row r="115" spans="1:3" x14ac:dyDescent="0.2">
      <c r="A115" s="10">
        <v>42370</v>
      </c>
      <c r="B115" s="18">
        <f>IF(VLOOKUP(A115,'DB Country PMI'!$A:$AZ,MATCH($A$1,'DB Country PMI'!$A$1:$AZ$1,),)=0,#N/A,VLOOKUP(A115,'DB Country PMI'!$A:$AZ,MATCH($A$1,'DB Country PMI'!$A$1:$AZ$1,),))</f>
        <v>55.4</v>
      </c>
      <c r="C115" s="24">
        <f>Table1346811121415161718[[#This Row],[PMI]]-B114</f>
        <v>2.3999999999999986</v>
      </c>
    </row>
    <row r="116" spans="1:3" x14ac:dyDescent="0.2">
      <c r="A116" s="10">
        <v>42401</v>
      </c>
      <c r="B116" s="18">
        <f>IF(VLOOKUP(A116,'DB Country PMI'!$A:$AZ,MATCH($A$1,'DB Country PMI'!$A$1:$AZ$1,),)=0,#N/A,VLOOKUP(A116,'DB Country PMI'!$A:$AZ,MATCH($A$1,'DB Country PMI'!$A$1:$AZ$1,),))</f>
        <v>54.1</v>
      </c>
      <c r="C116" s="24">
        <f>Table1346811121415161718[[#This Row],[PMI]]-B115</f>
        <v>-1.2999999999999972</v>
      </c>
    </row>
    <row r="117" spans="1:3" x14ac:dyDescent="0.2">
      <c r="A117" s="10">
        <v>42430</v>
      </c>
      <c r="B117" s="18">
        <f>IF(VLOOKUP(A117,'DB Country PMI'!$A:$AZ,MATCH($A$1,'DB Country PMI'!$A$1:$AZ$1,),)=0,#N/A,VLOOKUP(A117,'DB Country PMI'!$A:$AZ,MATCH($A$1,'DB Country PMI'!$A$1:$AZ$1,),))</f>
        <v>53.4</v>
      </c>
      <c r="C117" s="24">
        <f>Table1346811121415161718[[#This Row],[PMI]]-B116</f>
        <v>-0.70000000000000284</v>
      </c>
    </row>
    <row r="118" spans="1:3" x14ac:dyDescent="0.2">
      <c r="A118" s="10">
        <v>42461</v>
      </c>
      <c r="B118" s="18">
        <f>IF(VLOOKUP(A118,'DB Country PMI'!$A:$AZ,MATCH($A$1,'DB Country PMI'!$A$1:$AZ$1,),)=0,#N/A,VLOOKUP(A118,'DB Country PMI'!$A:$AZ,MATCH($A$1,'DB Country PMI'!$A$1:$AZ$1,),))</f>
        <v>53.5</v>
      </c>
      <c r="C118" s="24">
        <f>Table1346811121415161718[[#This Row],[PMI]]-B117</f>
        <v>0.10000000000000142</v>
      </c>
    </row>
    <row r="119" spans="1:3" x14ac:dyDescent="0.2">
      <c r="A119" s="10">
        <v>42491</v>
      </c>
      <c r="B119" s="18">
        <f>IF(VLOOKUP(A119,'DB Country PMI'!$A:$AZ,MATCH($A$1,'DB Country PMI'!$A$1:$AZ$1,),)=0,#N/A,VLOOKUP(A119,'DB Country PMI'!$A:$AZ,MATCH($A$1,'DB Country PMI'!$A$1:$AZ$1,),))</f>
        <v>51.8</v>
      </c>
      <c r="C119" s="24">
        <f>Table1346811121415161718[[#This Row],[PMI]]-B118</f>
        <v>-1.7000000000000028</v>
      </c>
    </row>
    <row r="120" spans="1:3" x14ac:dyDescent="0.2">
      <c r="A120" s="10">
        <v>42522</v>
      </c>
      <c r="B120" s="18">
        <f>IF(VLOOKUP(A120,'DB Country PMI'!$A:$AZ,MATCH($A$1,'DB Country PMI'!$A$1:$AZ$1,),)=0,#N/A,VLOOKUP(A120,'DB Country PMI'!$A:$AZ,MATCH($A$1,'DB Country PMI'!$A$1:$AZ$1,),))</f>
        <v>52.2</v>
      </c>
      <c r="C120" s="24">
        <f>Table1346811121415161718[[#This Row],[PMI]]-B119</f>
        <v>0.40000000000000568</v>
      </c>
    </row>
    <row r="121" spans="1:3" x14ac:dyDescent="0.2">
      <c r="A121" s="10">
        <v>42552</v>
      </c>
      <c r="B121" s="18">
        <f>IF(VLOOKUP(A121,'DB Country PMI'!$A:$AZ,MATCH($A$1,'DB Country PMI'!$A$1:$AZ$1,),)=0,#N/A,VLOOKUP(A121,'DB Country PMI'!$A:$AZ,MATCH($A$1,'DB Country PMI'!$A$1:$AZ$1,),))</f>
        <v>51</v>
      </c>
      <c r="C121" s="24">
        <f>Table1346811121415161718[[#This Row],[PMI]]-B120</f>
        <v>-1.2000000000000028</v>
      </c>
    </row>
    <row r="122" spans="1:3" x14ac:dyDescent="0.2">
      <c r="A122" s="10">
        <v>42583</v>
      </c>
      <c r="B122" s="18">
        <f>IF(VLOOKUP(A122,'DB Country PMI'!$A:$AZ,MATCH($A$1,'DB Country PMI'!$A$1:$AZ$1,),)=0,#N/A,VLOOKUP(A122,'DB Country PMI'!$A:$AZ,MATCH($A$1,'DB Country PMI'!$A$1:$AZ$1,),))</f>
        <v>51</v>
      </c>
      <c r="C122" s="24">
        <f>Table1346811121415161718[[#This Row],[PMI]]-B121</f>
        <v>0</v>
      </c>
    </row>
    <row r="123" spans="1:3" x14ac:dyDescent="0.2">
      <c r="A123" s="10">
        <v>42614</v>
      </c>
      <c r="B123" s="18">
        <f>IF(VLOOKUP(A123,'DB Country PMI'!$A:$AZ,MATCH($A$1,'DB Country PMI'!$A$1:$AZ$1,),)=0,#N/A,VLOOKUP(A123,'DB Country PMI'!$A:$AZ,MATCH($A$1,'DB Country PMI'!$A$1:$AZ$1,),))</f>
        <v>52.3</v>
      </c>
      <c r="C123" s="24">
        <f>Table1346811121415161718[[#This Row],[PMI]]-B122</f>
        <v>1.2999999999999972</v>
      </c>
    </row>
    <row r="124" spans="1:3" x14ac:dyDescent="0.2">
      <c r="A124" s="10">
        <v>42644</v>
      </c>
      <c r="B124" s="18">
        <f>IF(VLOOKUP(A124,'DB Country PMI'!$A:$AZ,MATCH($A$1,'DB Country PMI'!$A$1:$AZ$1,),)=0,#N/A,VLOOKUP(A124,'DB Country PMI'!$A:$AZ,MATCH($A$1,'DB Country PMI'!$A$1:$AZ$1,),))</f>
        <v>53.3</v>
      </c>
      <c r="C124" s="24">
        <f>Table1346811121415161718[[#This Row],[PMI]]-B123</f>
        <v>1</v>
      </c>
    </row>
    <row r="125" spans="1:3" x14ac:dyDescent="0.2">
      <c r="A125" s="10">
        <v>42675</v>
      </c>
      <c r="B125" s="18">
        <f>IF(VLOOKUP(A125,'DB Country PMI'!$A:$AZ,MATCH($A$1,'DB Country PMI'!$A$1:$AZ$1,),)=0,#N/A,VLOOKUP(A125,'DB Country PMI'!$A:$AZ,MATCH($A$1,'DB Country PMI'!$A$1:$AZ$1,),))</f>
        <v>54.5</v>
      </c>
      <c r="C125" s="24">
        <f>Table1346811121415161718[[#This Row],[PMI]]-B124</f>
        <v>1.2000000000000028</v>
      </c>
    </row>
    <row r="126" spans="1:3" x14ac:dyDescent="0.2">
      <c r="A126" s="10">
        <v>42705</v>
      </c>
      <c r="B126" s="18">
        <f>IF(VLOOKUP(A126,'DB Country PMI'!$A:$AZ,MATCH($A$1,'DB Country PMI'!$A$1:$AZ$1,),)=0,#N/A,VLOOKUP(A126,'DB Country PMI'!$A:$AZ,MATCH($A$1,'DB Country PMI'!$A$1:$AZ$1,),))</f>
        <v>55.3</v>
      </c>
      <c r="C126" s="24">
        <f>Table1346811121415161718[[#This Row],[PMI]]-B125</f>
        <v>0.79999999999999716</v>
      </c>
    </row>
    <row r="127" spans="1:3" x14ac:dyDescent="0.2">
      <c r="A127" s="10">
        <v>42736</v>
      </c>
      <c r="B127" s="18">
        <f>IF(VLOOKUP(A127,'DB Country PMI'!$A:$AZ,MATCH($A$1,'DB Country PMI'!$A$1:$AZ$1,),)=0,#N/A,VLOOKUP(A127,'DB Country PMI'!$A:$AZ,MATCH($A$1,'DB Country PMI'!$A$1:$AZ$1,),))</f>
        <v>55.6</v>
      </c>
      <c r="C127" s="24">
        <f>Table1346811121415161718[[#This Row],[PMI]]-B126</f>
        <v>0.30000000000000426</v>
      </c>
    </row>
    <row r="128" spans="1:3" x14ac:dyDescent="0.2">
      <c r="A128" s="10">
        <v>42767</v>
      </c>
      <c r="B128" s="18">
        <f>IF(VLOOKUP(A128,'DB Country PMI'!$A:$AZ,MATCH($A$1,'DB Country PMI'!$A$1:$AZ$1,),)=0,#N/A,VLOOKUP(A128,'DB Country PMI'!$A:$AZ,MATCH($A$1,'DB Country PMI'!$A$1:$AZ$1,),))</f>
        <v>54.8</v>
      </c>
      <c r="C128" s="24">
        <f>Table1346811121415161718[[#This Row],[PMI]]-B127</f>
        <v>-0.80000000000000426</v>
      </c>
    </row>
    <row r="129" spans="1:3" x14ac:dyDescent="0.2">
      <c r="A129" s="10">
        <v>42795</v>
      </c>
      <c r="B129" s="18">
        <f>IF(VLOOKUP(A129,'DB Country PMI'!$A:$AZ,MATCH($A$1,'DB Country PMI'!$A$1:$AZ$1,),)=0,#N/A,VLOOKUP(A129,'DB Country PMI'!$A:$AZ,MATCH($A$1,'DB Country PMI'!$A$1:$AZ$1,),))</f>
        <v>53.9</v>
      </c>
      <c r="C129" s="24">
        <f>Table1346811121415161718[[#This Row],[PMI]]-B128</f>
        <v>-0.89999999999999858</v>
      </c>
    </row>
    <row r="130" spans="1:3" x14ac:dyDescent="0.2">
      <c r="A130" s="10">
        <v>42826</v>
      </c>
      <c r="B130" s="18">
        <f>IF(VLOOKUP(A130,'DB Country PMI'!$A:$AZ,MATCH($A$1,'DB Country PMI'!$A$1:$AZ$1,),)=0,#N/A,VLOOKUP(A130,'DB Country PMI'!$A:$AZ,MATCH($A$1,'DB Country PMI'!$A$1:$AZ$1,),))</f>
        <v>54.5</v>
      </c>
      <c r="C130" s="24">
        <f>Table1346811121415161718[[#This Row],[PMI]]-B129</f>
        <v>0.60000000000000142</v>
      </c>
    </row>
    <row r="131" spans="1:3" x14ac:dyDescent="0.2">
      <c r="A131" s="10">
        <v>42856</v>
      </c>
      <c r="B131" s="18">
        <f>IF(VLOOKUP(A131,'DB Country PMI'!$A:$AZ,MATCH($A$1,'DB Country PMI'!$A$1:$AZ$1,),)=0,#N/A,VLOOKUP(A131,'DB Country PMI'!$A:$AZ,MATCH($A$1,'DB Country PMI'!$A$1:$AZ$1,),))</f>
        <v>55.4</v>
      </c>
      <c r="C131" s="24">
        <f>Table1346811121415161718[[#This Row],[PMI]]-B130</f>
        <v>0.89999999999999858</v>
      </c>
    </row>
    <row r="132" spans="1:3" x14ac:dyDescent="0.2">
      <c r="A132" s="10">
        <v>42887</v>
      </c>
      <c r="B132" s="18">
        <f>IF(VLOOKUP(A132,'DB Country PMI'!$A:$AZ,MATCH($A$1,'DB Country PMI'!$A$1:$AZ$1,),)=0,#N/A,VLOOKUP(A132,'DB Country PMI'!$A:$AZ,MATCH($A$1,'DB Country PMI'!$A$1:$AZ$1,),))</f>
        <v>54.7</v>
      </c>
      <c r="C132" s="24">
        <f>Table1346811121415161718[[#This Row],[PMI]]-B131</f>
        <v>-0.69999999999999574</v>
      </c>
    </row>
    <row r="133" spans="1:3" x14ac:dyDescent="0.2">
      <c r="A133" s="10">
        <v>42917</v>
      </c>
      <c r="B133" s="18">
        <f>IF(VLOOKUP(A133,'DB Country PMI'!$A:$AZ,MATCH($A$1,'DB Country PMI'!$A$1:$AZ$1,),)=0,#N/A,VLOOKUP(A133,'DB Country PMI'!$A:$AZ,MATCH($A$1,'DB Country PMI'!$A$1:$AZ$1,),))</f>
        <v>54</v>
      </c>
      <c r="C133" s="24">
        <f>Table1346811121415161718[[#This Row],[PMI]]-B132</f>
        <v>-0.70000000000000284</v>
      </c>
    </row>
    <row r="134" spans="1:3" x14ac:dyDescent="0.2">
      <c r="A134" s="10">
        <v>42948</v>
      </c>
      <c r="B134" s="18">
        <f>IF(VLOOKUP(A134,'DB Country PMI'!$A:$AZ,MATCH($A$1,'DB Country PMI'!$A$1:$AZ$1,),)=0,#N/A,VLOOKUP(A134,'DB Country PMI'!$A:$AZ,MATCH($A$1,'DB Country PMI'!$A$1:$AZ$1,),))</f>
        <v>52.4</v>
      </c>
      <c r="C134" s="24">
        <f>Table1346811121415161718[[#This Row],[PMI]]-B133</f>
        <v>-1.6000000000000014</v>
      </c>
    </row>
    <row r="135" spans="1:3" x14ac:dyDescent="0.2">
      <c r="A135" s="10">
        <v>42979</v>
      </c>
      <c r="B135" s="18">
        <f>IF(VLOOKUP(A135,'DB Country PMI'!$A:$AZ,MATCH($A$1,'DB Country PMI'!$A$1:$AZ$1,),)=0,#N/A,VLOOKUP(A135,'DB Country PMI'!$A:$AZ,MATCH($A$1,'DB Country PMI'!$A$1:$AZ$1,),))</f>
        <v>54.3</v>
      </c>
      <c r="C135" s="24">
        <f>Table1346811121415161718[[#This Row],[PMI]]-B134</f>
        <v>1.8999999999999986</v>
      </c>
    </row>
    <row r="136" spans="1:3" x14ac:dyDescent="0.2">
      <c r="A136" s="10">
        <v>43009</v>
      </c>
      <c r="B136" s="18">
        <f>IF(VLOOKUP(A136,'DB Country PMI'!$A:$AZ,MATCH($A$1,'DB Country PMI'!$A$1:$AZ$1,),)=0,#N/A,VLOOKUP(A136,'DB Country PMI'!$A:$AZ,MATCH($A$1,'DB Country PMI'!$A$1:$AZ$1,),))</f>
        <v>55.8</v>
      </c>
      <c r="C136" s="24">
        <f>Table1346811121415161718[[#This Row],[PMI]]-B135</f>
        <v>1.5</v>
      </c>
    </row>
    <row r="137" spans="1:3" x14ac:dyDescent="0.2">
      <c r="A137" s="10">
        <v>43040</v>
      </c>
      <c r="B137" s="18">
        <f>IF(VLOOKUP(A137,'DB Country PMI'!$A:$AZ,MATCH($A$1,'DB Country PMI'!$A$1:$AZ$1,),)=0,#N/A,VLOOKUP(A137,'DB Country PMI'!$A:$AZ,MATCH($A$1,'DB Country PMI'!$A$1:$AZ$1,),))</f>
        <v>56.1</v>
      </c>
      <c r="C137" s="24">
        <f>Table1346811121415161718[[#This Row],[PMI]]-B136</f>
        <v>0.30000000000000426</v>
      </c>
    </row>
    <row r="138" spans="1:3" x14ac:dyDescent="0.2">
      <c r="A138" s="10">
        <v>43070</v>
      </c>
      <c r="B138" s="18">
        <f>IF(VLOOKUP(A138,'DB Country PMI'!$A:$AZ,MATCH($A$1,'DB Country PMI'!$A$1:$AZ$1,),)=0,#N/A,VLOOKUP(A138,'DB Country PMI'!$A:$AZ,MATCH($A$1,'DB Country PMI'!$A$1:$AZ$1,),))</f>
        <v>55.8</v>
      </c>
      <c r="C138" s="24">
        <f>Table1346811121415161718[[#This Row],[PMI]]-B137</f>
        <v>-0.30000000000000426</v>
      </c>
    </row>
    <row r="139" spans="1:3" x14ac:dyDescent="0.2">
      <c r="A139" s="10">
        <v>43101</v>
      </c>
      <c r="B139" s="18">
        <f>IF(VLOOKUP(A139,'DB Country PMI'!$A:$AZ,MATCH($A$1,'DB Country PMI'!$A$1:$AZ$1,),)=0,#N/A,VLOOKUP(A139,'DB Country PMI'!$A:$AZ,MATCH($A$1,'DB Country PMI'!$A$1:$AZ$1,),))</f>
        <v>55.2</v>
      </c>
      <c r="C139" s="24">
        <f>Table1346811121415161718[[#This Row],[PMI]]-B138</f>
        <v>-0.59999999999999432</v>
      </c>
    </row>
    <row r="140" spans="1:3" x14ac:dyDescent="0.2">
      <c r="A140" s="10">
        <v>43132</v>
      </c>
      <c r="B140" s="18">
        <f>IF(VLOOKUP(A140,'DB Country PMI'!$A:$AZ,MATCH($A$1,'DB Country PMI'!$A$1:$AZ$1,),)=0,#N/A,VLOOKUP(A140,'DB Country PMI'!$A:$AZ,MATCH($A$1,'DB Country PMI'!$A$1:$AZ$1,),))</f>
        <v>56</v>
      </c>
      <c r="C140" s="24">
        <f>Table1346811121415161718[[#This Row],[PMI]]-B139</f>
        <v>0.79999999999999716</v>
      </c>
    </row>
    <row r="141" spans="1:3" x14ac:dyDescent="0.2">
      <c r="A141" s="10">
        <v>43160</v>
      </c>
      <c r="B141" s="18">
        <f>IF(VLOOKUP(A141,'DB Country PMI'!$A:$AZ,MATCH($A$1,'DB Country PMI'!$A$1:$AZ$1,),)=0,#N/A,VLOOKUP(A141,'DB Country PMI'!$A:$AZ,MATCH($A$1,'DB Country PMI'!$A$1:$AZ$1,),))</f>
        <v>54.8</v>
      </c>
      <c r="C141" s="24">
        <f>Table1346811121415161718[[#This Row],[PMI]]-B140</f>
        <v>-1.2000000000000028</v>
      </c>
    </row>
    <row r="142" spans="1:3" x14ac:dyDescent="0.2">
      <c r="A142" s="10">
        <v>43191</v>
      </c>
      <c r="B142" s="18">
        <f>IF(VLOOKUP(A142,'DB Country PMI'!$A:$AZ,MATCH($A$1,'DB Country PMI'!$A$1:$AZ$1,),)=0,#N/A,VLOOKUP(A142,'DB Country PMI'!$A:$AZ,MATCH($A$1,'DB Country PMI'!$A$1:$AZ$1,),))</f>
        <v>54.4</v>
      </c>
      <c r="C142" s="24">
        <f>Table1346811121415161718[[#This Row],[PMI]]-B141</f>
        <v>-0.39999999999999858</v>
      </c>
    </row>
    <row r="143" spans="1:3" x14ac:dyDescent="0.2">
      <c r="A143" s="10">
        <v>43221</v>
      </c>
      <c r="B143" s="18">
        <f>IF(VLOOKUP(A143,'DB Country PMI'!$A:$AZ,MATCH($A$1,'DB Country PMI'!$A$1:$AZ$1,),)=0,#N/A,VLOOKUP(A143,'DB Country PMI'!$A:$AZ,MATCH($A$1,'DB Country PMI'!$A$1:$AZ$1,),))</f>
        <v>53.4</v>
      </c>
      <c r="C143" s="24">
        <f>Table1346811121415161718[[#This Row],[PMI]]-B142</f>
        <v>-1</v>
      </c>
    </row>
    <row r="144" spans="1:3" x14ac:dyDescent="0.2">
      <c r="A144" s="10">
        <v>43252</v>
      </c>
      <c r="B144" s="18">
        <f>IF(VLOOKUP(A144,'DB Country PMI'!$A:$AZ,MATCH($A$1,'DB Country PMI'!$A$1:$AZ$1,),)=0,#N/A,VLOOKUP(A144,'DB Country PMI'!$A:$AZ,MATCH($A$1,'DB Country PMI'!$A$1:$AZ$1,),))</f>
        <v>53.4</v>
      </c>
      <c r="C144" s="24">
        <f>Table1346811121415161718[[#This Row],[PMI]]-B143</f>
        <v>0</v>
      </c>
    </row>
    <row r="145" spans="1:3" x14ac:dyDescent="0.2">
      <c r="A145" s="10">
        <v>43282</v>
      </c>
      <c r="B145" s="18">
        <f>IF(VLOOKUP(A145,'DB Country PMI'!$A:$AZ,MATCH($A$1,'DB Country PMI'!$A$1:$AZ$1,),)=0,#N/A,VLOOKUP(A145,'DB Country PMI'!$A:$AZ,MATCH($A$1,'DB Country PMI'!$A$1:$AZ$1,),))</f>
        <v>52.9</v>
      </c>
      <c r="C145" s="24">
        <f>Table1346811121415161718[[#This Row],[PMI]]-B144</f>
        <v>-0.5</v>
      </c>
    </row>
    <row r="146" spans="1:3" x14ac:dyDescent="0.2">
      <c r="A146" s="10">
        <v>43313</v>
      </c>
      <c r="B146" s="18">
        <f>IF(VLOOKUP(A146,'DB Country PMI'!$A:$AZ,MATCH($A$1,'DB Country PMI'!$A$1:$AZ$1,),)=0,#N/A,VLOOKUP(A146,'DB Country PMI'!$A:$AZ,MATCH($A$1,'DB Country PMI'!$A$1:$AZ$1,),))</f>
        <v>53</v>
      </c>
      <c r="C146" s="24">
        <f>Table1346811121415161718[[#This Row],[PMI]]-B145</f>
        <v>0.10000000000000142</v>
      </c>
    </row>
    <row r="147" spans="1:3" x14ac:dyDescent="0.2">
      <c r="A147" s="10">
        <v>43344</v>
      </c>
      <c r="B147" s="18">
        <f>IF(VLOOKUP(A147,'DB Country PMI'!$A:$AZ,MATCH($A$1,'DB Country PMI'!$A$1:$AZ$1,),)=0,#N/A,VLOOKUP(A147,'DB Country PMI'!$A:$AZ,MATCH($A$1,'DB Country PMI'!$A$1:$AZ$1,),))</f>
        <v>51.4</v>
      </c>
      <c r="C147" s="24">
        <f>Table1346811121415161718[[#This Row],[PMI]]-B146</f>
        <v>-1.6000000000000014</v>
      </c>
    </row>
    <row r="148" spans="1:3" x14ac:dyDescent="0.2">
      <c r="A148" s="10">
        <v>43374</v>
      </c>
      <c r="B148" s="18">
        <f>IF(VLOOKUP(A148,'DB Country PMI'!$A:$AZ,MATCH($A$1,'DB Country PMI'!$A$1:$AZ$1,),)=0,#N/A,VLOOKUP(A148,'DB Country PMI'!$A:$AZ,MATCH($A$1,'DB Country PMI'!$A$1:$AZ$1,),))</f>
        <v>51.8</v>
      </c>
      <c r="C148" s="24">
        <f>Table1346811121415161718[[#This Row],[PMI]]-B147</f>
        <v>0.39999999999999858</v>
      </c>
    </row>
    <row r="149" spans="1:3" x14ac:dyDescent="0.2">
      <c r="A149" s="10">
        <v>43405</v>
      </c>
      <c r="B149" s="18">
        <f>IF(VLOOKUP(A149,'DB Country PMI'!$A:$AZ,MATCH($A$1,'DB Country PMI'!$A$1:$AZ$1,),)=0,#N/A,VLOOKUP(A149,'DB Country PMI'!$A:$AZ,MATCH($A$1,'DB Country PMI'!$A$1:$AZ$1,),))</f>
        <v>52.6</v>
      </c>
      <c r="C149" s="24">
        <f>Table1346811121415161718[[#This Row],[PMI]]-B148</f>
        <v>0.80000000000000426</v>
      </c>
    </row>
    <row r="150" spans="1:3" x14ac:dyDescent="0.2">
      <c r="A150" s="10">
        <v>43435</v>
      </c>
      <c r="B150" s="18">
        <f>IF(VLOOKUP(A150,'DB Country PMI'!$A:$AZ,MATCH($A$1,'DB Country PMI'!$A$1:$AZ$1,),)=0,#N/A,VLOOKUP(A150,'DB Country PMI'!$A:$AZ,MATCH($A$1,'DB Country PMI'!$A$1:$AZ$1,),))</f>
        <v>51.1</v>
      </c>
      <c r="C150" s="24">
        <f>Table1346811121415161718[[#This Row],[PMI]]-B149</f>
        <v>-1.5</v>
      </c>
    </row>
    <row r="151" spans="1:3" x14ac:dyDescent="0.2">
      <c r="A151" s="10">
        <v>43466</v>
      </c>
      <c r="B151" s="18">
        <f>IF(VLOOKUP(A151,'DB Country PMI'!$A:$AZ,MATCH($A$1,'DB Country PMI'!$A$1:$AZ$1,),)=0,#N/A,VLOOKUP(A151,'DB Country PMI'!$A:$AZ,MATCH($A$1,'DB Country PMI'!$A$1:$AZ$1,),))</f>
        <v>52.4</v>
      </c>
      <c r="C151" s="24">
        <f>Table1346811121415161718[[#This Row],[PMI]]-B150</f>
        <v>1.2999999999999972</v>
      </c>
    </row>
    <row r="152" spans="1:3" x14ac:dyDescent="0.2">
      <c r="A152" s="10">
        <v>43497</v>
      </c>
      <c r="B152" s="18">
        <f>IF(VLOOKUP(A152,'DB Country PMI'!$A:$AZ,MATCH($A$1,'DB Country PMI'!$A$1:$AZ$1,),)=0,#N/A,VLOOKUP(A152,'DB Country PMI'!$A:$AZ,MATCH($A$1,'DB Country PMI'!$A$1:$AZ$1,),))</f>
        <v>49.9</v>
      </c>
      <c r="C152" s="24">
        <f>Table1346811121415161718[[#This Row],[PMI]]-B151</f>
        <v>-2.5</v>
      </c>
    </row>
    <row r="153" spans="1:3" x14ac:dyDescent="0.2">
      <c r="A153" s="10">
        <v>43525</v>
      </c>
      <c r="B153" s="18">
        <f>IF(VLOOKUP(A153,'DB Country PMI'!$A:$AZ,MATCH($A$1,'DB Country PMI'!$A$1:$AZ$1,),)=0,#N/A,VLOOKUP(A153,'DB Country PMI'!$A:$AZ,MATCH($A$1,'DB Country PMI'!$A$1:$AZ$1,),))</f>
        <v>50.9</v>
      </c>
      <c r="C153" s="24">
        <f>Table1346811121415161718[[#This Row],[PMI]]-B152</f>
        <v>1</v>
      </c>
    </row>
    <row r="154" spans="1:3" x14ac:dyDescent="0.2">
      <c r="A154" s="10">
        <v>43556</v>
      </c>
      <c r="B154" s="18">
        <f>IF(VLOOKUP(A154,'DB Country PMI'!$A:$AZ,MATCH($A$1,'DB Country PMI'!$A$1:$AZ$1,),)=0,#N/A,VLOOKUP(A154,'DB Country PMI'!$A:$AZ,MATCH($A$1,'DB Country PMI'!$A$1:$AZ$1,),))</f>
        <v>51.8</v>
      </c>
      <c r="C154" s="24">
        <f>Table1346811121415161718[[#This Row],[PMI]]-B153</f>
        <v>0.89999999999999858</v>
      </c>
    </row>
    <row r="155" spans="1:3" x14ac:dyDescent="0.2">
      <c r="A155" s="10">
        <v>43586</v>
      </c>
      <c r="B155" s="18">
        <f>IF(VLOOKUP(A155,'DB Country PMI'!$A:$AZ,MATCH($A$1,'DB Country PMI'!$A$1:$AZ$1,),)=0,#N/A,VLOOKUP(A155,'DB Country PMI'!$A:$AZ,MATCH($A$1,'DB Country PMI'!$A$1:$AZ$1,),))</f>
        <v>50.1</v>
      </c>
      <c r="C155" s="24">
        <f>Table1346811121415161718[[#This Row],[PMI]]-B154</f>
        <v>-1.6999999999999957</v>
      </c>
    </row>
    <row r="156" spans="1:3" x14ac:dyDescent="0.2">
      <c r="A156" s="10">
        <v>43617</v>
      </c>
      <c r="B156" s="18">
        <f>IF(VLOOKUP(A156,'DB Country PMI'!$A:$AZ,MATCH($A$1,'DB Country PMI'!$A$1:$AZ$1,),)=0,#N/A,VLOOKUP(A156,'DB Country PMI'!$A:$AZ,MATCH($A$1,'DB Country PMI'!$A$1:$AZ$1,),))</f>
        <v>47.9</v>
      </c>
      <c r="C156" s="24">
        <f>Table1346811121415161718[[#This Row],[PMI]]-B155</f>
        <v>-2.2000000000000028</v>
      </c>
    </row>
    <row r="157" spans="1:3" x14ac:dyDescent="0.2">
      <c r="A157" s="10">
        <v>43647</v>
      </c>
      <c r="B157" s="18">
        <f>IF(VLOOKUP(A157,'DB Country PMI'!$A:$AZ,MATCH($A$1,'DB Country PMI'!$A$1:$AZ$1,),)=0,#N/A,VLOOKUP(A157,'DB Country PMI'!$A:$AZ,MATCH($A$1,'DB Country PMI'!$A$1:$AZ$1,),))</f>
        <v>48.2</v>
      </c>
      <c r="C157" s="24">
        <f>Table1346811121415161718[[#This Row],[PMI]]-B156</f>
        <v>0.30000000000000426</v>
      </c>
    </row>
    <row r="158" spans="1:3" x14ac:dyDescent="0.2">
      <c r="A158" s="10">
        <v>43678</v>
      </c>
      <c r="B158" s="18">
        <f>IF(VLOOKUP(A158,'DB Country PMI'!$A:$AZ,MATCH($A$1,'DB Country PMI'!$A$1:$AZ$1,),)=0,#N/A,VLOOKUP(A158,'DB Country PMI'!$A:$AZ,MATCH($A$1,'DB Country PMI'!$A$1:$AZ$1,),))</f>
        <v>48.8</v>
      </c>
      <c r="C158" s="24">
        <f>Table1346811121415161718[[#This Row],[PMI]]-B157</f>
        <v>0.59999999999999432</v>
      </c>
    </row>
    <row r="159" spans="1:3" x14ac:dyDescent="0.2">
      <c r="A159" s="10">
        <v>43709</v>
      </c>
      <c r="B159" s="18">
        <f>IF(VLOOKUP(A159,'DB Country PMI'!$A:$AZ,MATCH($A$1,'DB Country PMI'!$A$1:$AZ$1,),)=0,#N/A,VLOOKUP(A159,'DB Country PMI'!$A:$AZ,MATCH($A$1,'DB Country PMI'!$A$1:$AZ$1,),))</f>
        <v>47.7</v>
      </c>
      <c r="C159" s="24">
        <f>Table1346811121415161718[[#This Row],[PMI]]-B158</f>
        <v>-1.0999999999999943</v>
      </c>
    </row>
    <row r="160" spans="1:3" x14ac:dyDescent="0.2">
      <c r="A160" s="10">
        <v>43739</v>
      </c>
      <c r="B160" s="18">
        <f>IF(VLOOKUP(A160,'DB Country PMI'!$A:$AZ,MATCH($A$1,'DB Country PMI'!$A$1:$AZ$1,),)=0,#N/A,VLOOKUP(A160,'DB Country PMI'!$A:$AZ,MATCH($A$1,'DB Country PMI'!$A$1:$AZ$1,),))</f>
        <v>46.8</v>
      </c>
      <c r="C160" s="24">
        <f>Table1346811121415161718[[#This Row],[PMI]]-B159</f>
        <v>-0.90000000000000568</v>
      </c>
    </row>
    <row r="161" spans="1:3" x14ac:dyDescent="0.2">
      <c r="A161" s="10">
        <v>43770</v>
      </c>
      <c r="B161" s="18">
        <f>IF(VLOOKUP(A161,'DB Country PMI'!$A:$AZ,MATCH($A$1,'DB Country PMI'!$A$1:$AZ$1,),)=0,#N/A,VLOOKUP(A161,'DB Country PMI'!$A:$AZ,MATCH($A$1,'DB Country PMI'!$A$1:$AZ$1,),))</f>
        <v>47.5</v>
      </c>
      <c r="C161" s="24">
        <f>Table1346811121415161718[[#This Row],[PMI]]-B160</f>
        <v>0.70000000000000284</v>
      </c>
    </row>
    <row r="162" spans="1:3" x14ac:dyDescent="0.2">
      <c r="A162" s="10">
        <v>43800</v>
      </c>
      <c r="B162" s="18">
        <f>IF(VLOOKUP(A162,'DB Country PMI'!$A:$AZ,MATCH($A$1,'DB Country PMI'!$A$1:$AZ$1,),)=0,#N/A,VLOOKUP(A162,'DB Country PMI'!$A:$AZ,MATCH($A$1,'DB Country PMI'!$A$1:$AZ$1,),))</f>
        <v>47.4</v>
      </c>
      <c r="C162" s="24">
        <f>Table1346811121415161718[[#This Row],[PMI]]-B161</f>
        <v>-0.10000000000000142</v>
      </c>
    </row>
    <row r="163" spans="1:3" x14ac:dyDescent="0.2">
      <c r="A163" s="10">
        <v>43831</v>
      </c>
      <c r="B163" s="18">
        <f>IF(VLOOKUP(A163,'DB Country PMI'!$A:$AZ,MATCH($A$1,'DB Country PMI'!$A$1:$AZ$1,),)=0,#N/A,VLOOKUP(A163,'DB Country PMI'!$A:$AZ,MATCH($A$1,'DB Country PMI'!$A$1:$AZ$1,),))</f>
        <v>48.5</v>
      </c>
      <c r="C163" s="24">
        <f>Table1346811121415161718[[#This Row],[PMI]]-B162</f>
        <v>1.1000000000000014</v>
      </c>
    </row>
    <row r="164" spans="1:3" x14ac:dyDescent="0.2">
      <c r="A164" s="10">
        <v>43862</v>
      </c>
      <c r="B164" s="18">
        <f>IF(VLOOKUP(A164,'DB Country PMI'!$A:$AZ,MATCH($A$1,'DB Country PMI'!$A$1:$AZ$1,),)=0,#N/A,VLOOKUP(A164,'DB Country PMI'!$A:$AZ,MATCH($A$1,'DB Country PMI'!$A$1:$AZ$1,),))</f>
        <v>50.4</v>
      </c>
      <c r="C164" s="24">
        <f>Table1346811121415161718[[#This Row],[PMI]]-B163</f>
        <v>1.8999999999999986</v>
      </c>
    </row>
    <row r="165" spans="1:3" x14ac:dyDescent="0.2">
      <c r="A165" s="10">
        <v>43891</v>
      </c>
      <c r="B165" s="18">
        <f>IF(VLOOKUP(A165,'DB Country PMI'!$A:$AZ,MATCH($A$1,'DB Country PMI'!$A$1:$AZ$1,),)=0,#N/A,VLOOKUP(A165,'DB Country PMI'!$A:$AZ,MATCH($A$1,'DB Country PMI'!$A$1:$AZ$1,),))</f>
        <v>45.7</v>
      </c>
      <c r="C165" s="24">
        <f>Table1346811121415161718[[#This Row],[PMI]]-B164</f>
        <v>-4.6999999999999957</v>
      </c>
    </row>
    <row r="166" spans="1:3" x14ac:dyDescent="0.2">
      <c r="A166" s="10">
        <v>43922</v>
      </c>
      <c r="B166" s="18">
        <f>IF(VLOOKUP(A166,'DB Country PMI'!$A:$AZ,MATCH($A$1,'DB Country PMI'!$A$1:$AZ$1,),)=0,#N/A,VLOOKUP(A166,'DB Country PMI'!$A:$AZ,MATCH($A$1,'DB Country PMI'!$A$1:$AZ$1,),))</f>
        <v>30.8</v>
      </c>
      <c r="C166" s="24">
        <f>Table1346811121415161718[[#This Row],[PMI]]-B165</f>
        <v>-14.900000000000002</v>
      </c>
    </row>
    <row r="167" spans="1:3" x14ac:dyDescent="0.2">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2">
      <c r="A168" s="10">
        <v>43983</v>
      </c>
      <c r="B168" s="18">
        <f>IF(VLOOKUP(A168,'DB Country PMI'!$A:$AZ,MATCH($A$1,'DB Country PMI'!$A$1:$AZ$1,),)=0,#N/A,VLOOKUP(A168,'DB Country PMI'!$A:$AZ,MATCH($A$1,'DB Country PMI'!$A$1:$AZ$1,),))</f>
        <v>49</v>
      </c>
      <c r="C168" s="24">
        <f>Table1346811121415161718[[#This Row],[PMI]]-B167</f>
        <v>10.700000000000003</v>
      </c>
    </row>
    <row r="169" spans="1:3" x14ac:dyDescent="0.2">
      <c r="A169" s="10">
        <v>44013</v>
      </c>
      <c r="B169" s="18">
        <f>IF(VLOOKUP(A169,'DB Country PMI'!$A:$AZ,MATCH($A$1,'DB Country PMI'!$A$1:$AZ$1,),)=0,#N/A,VLOOKUP(A169,'DB Country PMI'!$A:$AZ,MATCH($A$1,'DB Country PMI'!$A$1:$AZ$1,),))</f>
        <v>53.5</v>
      </c>
      <c r="C169" s="24">
        <f>Table1346811121415161718[[#This Row],[PMI]]-B168</f>
        <v>4.5</v>
      </c>
    </row>
    <row r="170" spans="1:3" x14ac:dyDescent="0.2">
      <c r="A170" s="10">
        <v>44044</v>
      </c>
      <c r="B170" s="18">
        <f>IF(VLOOKUP(A170,'DB Country PMI'!$A:$AZ,MATCH($A$1,'DB Country PMI'!$A$1:$AZ$1,),)=0,#N/A,VLOOKUP(A170,'DB Country PMI'!$A:$AZ,MATCH($A$1,'DB Country PMI'!$A$1:$AZ$1,),))</f>
        <v>49.9</v>
      </c>
      <c r="C170" s="24">
        <f>Table1346811121415161718[[#This Row],[PMI]]-B169</f>
        <v>-3.6000000000000014</v>
      </c>
    </row>
    <row r="171" spans="1:3" x14ac:dyDescent="0.2">
      <c r="A171" s="10">
        <v>44075</v>
      </c>
      <c r="B171" s="18">
        <f>IF(VLOOKUP(A171,'DB Country PMI'!$A:$AZ,MATCH($A$1,'DB Country PMI'!$A$1:$AZ$1,),)=0,#N/A,VLOOKUP(A171,'DB Country PMI'!$A:$AZ,MATCH($A$1,'DB Country PMI'!$A$1:$AZ$1,),))</f>
        <v>50.8</v>
      </c>
      <c r="C171" s="24">
        <f>Table1346811121415161718[[#This Row],[PMI]]-B170</f>
        <v>0.89999999999999858</v>
      </c>
    </row>
    <row r="172" spans="1:3" x14ac:dyDescent="0.2">
      <c r="A172" s="10">
        <v>44105</v>
      </c>
      <c r="B172" s="18">
        <f>IF(VLOOKUP(A172,'DB Country PMI'!$A:$AZ,MATCH($A$1,'DB Country PMI'!$A$1:$AZ$1,),)=0,#N/A,VLOOKUP(A172,'DB Country PMI'!$A:$AZ,MATCH($A$1,'DB Country PMI'!$A$1:$AZ$1,),))</f>
        <v>52.5</v>
      </c>
      <c r="C172" s="24">
        <f>Table1346811121415161718[[#This Row],[PMI]]-B171</f>
        <v>1.7000000000000028</v>
      </c>
    </row>
    <row r="173" spans="1:3" x14ac:dyDescent="0.2">
      <c r="A173" s="10">
        <v>44136</v>
      </c>
      <c r="B173" s="18">
        <f>IF(VLOOKUP(A173,'DB Country PMI'!$A:$AZ,MATCH($A$1,'DB Country PMI'!$A$1:$AZ$1,),)=0,#N/A,VLOOKUP(A173,'DB Country PMI'!$A:$AZ,MATCH($A$1,'DB Country PMI'!$A$1:$AZ$1,),))</f>
        <v>49.8</v>
      </c>
      <c r="C173" s="24">
        <f>Table1346811121415161718[[#This Row],[PMI]]-B172</f>
        <v>-2.7000000000000028</v>
      </c>
    </row>
    <row r="174" spans="1:3" x14ac:dyDescent="0.2">
      <c r="A174" s="10">
        <v>44166</v>
      </c>
      <c r="B174" s="18">
        <f>IF(VLOOKUP(A174,'DB Country PMI'!$A:$AZ,MATCH($A$1,'DB Country PMI'!$A$1:$AZ$1,),)=0,#N/A,VLOOKUP(A174,'DB Country PMI'!$A:$AZ,MATCH($A$1,'DB Country PMI'!$A$1:$AZ$1,),))</f>
        <v>51</v>
      </c>
      <c r="C174" s="24">
        <f>Table1346811121415161718[[#This Row],[PMI]]-B173</f>
        <v>1.2000000000000028</v>
      </c>
    </row>
    <row r="175" spans="1:3" x14ac:dyDescent="0.2">
      <c r="A175" s="10">
        <v>44197</v>
      </c>
      <c r="B175" s="18">
        <f>IF(VLOOKUP(A175,'DB Country PMI'!$A:$AZ,MATCH($A$1,'DB Country PMI'!$A$1:$AZ$1,),)=0,#N/A,VLOOKUP(A175,'DB Country PMI'!$A:$AZ,MATCH($A$1,'DB Country PMI'!$A$1:$AZ$1,),))</f>
        <v>49.3</v>
      </c>
      <c r="C175" s="24">
        <f>Table1346811121415161718[[#This Row],[PMI]]-B174</f>
        <v>-1.7000000000000028</v>
      </c>
    </row>
    <row r="176" spans="1:3" x14ac:dyDescent="0.2">
      <c r="A176" s="10">
        <v>44228</v>
      </c>
      <c r="B176" s="18">
        <f>IF(VLOOKUP(A176,'DB Country PMI'!$A:$AZ,MATCH($A$1,'DB Country PMI'!$A$1:$AZ$1,),)=0,#N/A,VLOOKUP(A176,'DB Country PMI'!$A:$AZ,MATCH($A$1,'DB Country PMI'!$A$1:$AZ$1,),))</f>
        <v>52.9</v>
      </c>
      <c r="C176" s="24">
        <f>Table1346811121415161718[[#This Row],[PMI]]-B175</f>
        <v>3.6000000000000014</v>
      </c>
    </row>
    <row r="177" spans="1:3" x14ac:dyDescent="0.2">
      <c r="A177" s="10">
        <v>44256</v>
      </c>
      <c r="B177" s="18">
        <f>IF(VLOOKUP(A177,'DB Country PMI'!$A:$AZ,MATCH($A$1,'DB Country PMI'!$A$1:$AZ$1,),)=0,#N/A,VLOOKUP(A177,'DB Country PMI'!$A:$AZ,MATCH($A$1,'DB Country PMI'!$A$1:$AZ$1,),))</f>
        <v>56.9</v>
      </c>
      <c r="C177" s="24">
        <f>Table1346811121415161718[[#This Row],[PMI]]-B176</f>
        <v>4</v>
      </c>
    </row>
    <row r="178" spans="1:3" x14ac:dyDescent="0.2">
      <c r="A178" s="10">
        <v>44287</v>
      </c>
      <c r="B178" s="18">
        <f>IF(VLOOKUP(A178,'DB Country PMI'!$A:$AZ,MATCH($A$1,'DB Country PMI'!$A$1:$AZ$1,),)=0,#N/A,VLOOKUP(A178,'DB Country PMI'!$A:$AZ,MATCH($A$1,'DB Country PMI'!$A$1:$AZ$1,),))</f>
        <v>57.7</v>
      </c>
      <c r="C178" s="24">
        <f>Table1346811121415161718[[#This Row],[PMI]]-B177</f>
        <v>0.80000000000000426</v>
      </c>
    </row>
    <row r="179" spans="1:3" x14ac:dyDescent="0.2">
      <c r="A179" s="10">
        <v>44317</v>
      </c>
      <c r="B179" s="18">
        <f>IF(VLOOKUP(A179,'DB Country PMI'!$A:$AZ,MATCH($A$1,'DB Country PMI'!$A$1:$AZ$1,),)=0,#N/A,VLOOKUP(A179,'DB Country PMI'!$A:$AZ,MATCH($A$1,'DB Country PMI'!$A$1:$AZ$1,),))</f>
        <v>59.4</v>
      </c>
      <c r="C179" s="24">
        <f>Table1346811121415161718[[#This Row],[PMI]]-B178</f>
        <v>1.6999999999999957</v>
      </c>
    </row>
    <row r="180" spans="1:3" x14ac:dyDescent="0.2">
      <c r="A180" s="10">
        <v>44348</v>
      </c>
      <c r="B180" s="18">
        <f>IF(VLOOKUP(A180,'DB Country PMI'!$A:$AZ,MATCH($A$1,'DB Country PMI'!$A$1:$AZ$1,),)=0,#N/A,VLOOKUP(A180,'DB Country PMI'!$A:$AZ,MATCH($A$1,'DB Country PMI'!$A$1:$AZ$1,),))</f>
        <v>60.4</v>
      </c>
      <c r="C180" s="24">
        <f>Table1346811121415161718[[#This Row],[PMI]]-B179</f>
        <v>1</v>
      </c>
    </row>
    <row r="181" spans="1:3" x14ac:dyDescent="0.2">
      <c r="A181" s="10">
        <v>44378</v>
      </c>
      <c r="B181" s="18">
        <f>IF(VLOOKUP(A181,'DB Country PMI'!$A:$AZ,MATCH($A$1,'DB Country PMI'!$A$1:$AZ$1,),)=0,#N/A,VLOOKUP(A181,'DB Country PMI'!$A:$AZ,MATCH($A$1,'DB Country PMI'!$A$1:$AZ$1,),))</f>
        <v>59</v>
      </c>
      <c r="C181" s="24">
        <f>Table1346811121415161718[[#This Row],[PMI]]-B180</f>
        <v>-1.3999999999999986</v>
      </c>
    </row>
    <row r="182" spans="1:3" x14ac:dyDescent="0.2">
      <c r="A182" s="10">
        <v>44409</v>
      </c>
      <c r="B182" s="18">
        <f>IF(VLOOKUP(A182,'DB Country PMI'!$A:$AZ,MATCH($A$1,'DB Country PMI'!$A$1:$AZ$1,),)=0,#N/A,VLOOKUP(A182,'DB Country PMI'!$A:$AZ,MATCH($A$1,'DB Country PMI'!$A$1:$AZ$1,),))</f>
        <v>59.5</v>
      </c>
      <c r="C182" s="24">
        <f>Table1346811121415161718[[#This Row],[PMI]]-B181</f>
        <v>0.5</v>
      </c>
    </row>
    <row r="183" spans="1:3" x14ac:dyDescent="0.2">
      <c r="A183" s="10">
        <v>44440</v>
      </c>
      <c r="B183" s="18">
        <f>IF(VLOOKUP(A183,'DB Country PMI'!$A:$AZ,MATCH($A$1,'DB Country PMI'!$A$1:$AZ$1,),)=0,#N/A,VLOOKUP(A183,'DB Country PMI'!$A:$AZ,MATCH($A$1,'DB Country PMI'!$A$1:$AZ$1,),))</f>
        <v>58.1</v>
      </c>
      <c r="C183" s="24">
        <f>Table1346811121415161718[[#This Row],[PMI]]-B182</f>
        <v>-1.3999999999999986</v>
      </c>
    </row>
    <row r="184" spans="1:3" x14ac:dyDescent="0.2">
      <c r="A184" s="10">
        <v>44470</v>
      </c>
      <c r="B184" s="18">
        <f>IF(VLOOKUP(A184,'DB Country PMI'!$A:$AZ,MATCH($A$1,'DB Country PMI'!$A$1:$AZ$1,),)=0,#N/A,VLOOKUP(A184,'DB Country PMI'!$A:$AZ,MATCH($A$1,'DB Country PMI'!$A$1:$AZ$1,),))</f>
        <v>57.4</v>
      </c>
      <c r="C184" s="24">
        <f>Table1346811121415161718[[#This Row],[PMI]]-B183</f>
        <v>-0.70000000000000284</v>
      </c>
    </row>
    <row r="185" spans="1:3" x14ac:dyDescent="0.2">
      <c r="A185" s="10">
        <v>44501</v>
      </c>
      <c r="B185" s="18">
        <f>IF(VLOOKUP(A185,'DB Country PMI'!$A:$AZ,MATCH($A$1,'DB Country PMI'!$A$1:$AZ$1,),)=0,#N/A,VLOOKUP(A185,'DB Country PMI'!$A:$AZ,MATCH($A$1,'DB Country PMI'!$A$1:$AZ$1,),))</f>
        <v>57.1</v>
      </c>
      <c r="C185" s="24">
        <f>Table1346811121415161718[[#This Row],[PMI]]-B184</f>
        <v>-0.29999999999999716</v>
      </c>
    </row>
    <row r="186" spans="1:3" x14ac:dyDescent="0.2">
      <c r="A186" s="10">
        <v>44531</v>
      </c>
      <c r="B186" s="18">
        <f>IF(VLOOKUP(A186,'DB Country PMI'!$A:$AZ,MATCH($A$1,'DB Country PMI'!$A$1:$AZ$1,),)=0,#N/A,VLOOKUP(A186,'DB Country PMI'!$A:$AZ,MATCH($A$1,'DB Country PMI'!$A$1:$AZ$1,),))</f>
        <v>56.2</v>
      </c>
      <c r="C186" s="24">
        <f>Table1346811121415161718[[#This Row],[PMI]]-B185</f>
        <v>-0.89999999999999858</v>
      </c>
    </row>
    <row r="187" spans="1:3" x14ac:dyDescent="0.2">
      <c r="A187" s="10">
        <v>44562</v>
      </c>
      <c r="B187" s="18">
        <f>IF(VLOOKUP(A187,'DB Country PMI'!$A:$AZ,MATCH($A$1,'DB Country PMI'!$A$1:$AZ$1,),)=0,#N/A,VLOOKUP(A187,'DB Country PMI'!$A:$AZ,MATCH($A$1,'DB Country PMI'!$A$1:$AZ$1,),))</f>
        <v>56.2</v>
      </c>
      <c r="C187" s="24">
        <f>Table1346811121415161718[[#This Row],[PMI]]-B186</f>
        <v>0</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41"/>
  <sheetViews>
    <sheetView zoomScale="150" zoomScaleNormal="150" workbookViewId="0">
      <pane ySplit="5" topLeftCell="A108" activePane="bottomLeft" state="frozen"/>
      <selection pane="bottomLeft" activeCell="D143" sqref="D143"/>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29</v>
      </c>
      <c r="K1" s="63" t="s">
        <v>107</v>
      </c>
    </row>
    <row r="2" spans="1:11" x14ac:dyDescent="0.2">
      <c r="K2" s="63" t="str">
        <f>A1&amp;K1</f>
        <v>Brazil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49.5</v>
      </c>
      <c r="C6" s="18"/>
    </row>
    <row r="7" spans="1:11" x14ac:dyDescent="0.2">
      <c r="A7" s="10">
        <v>40483</v>
      </c>
      <c r="B7" s="18">
        <f>IF(VLOOKUP(A7,'DB Country PMI'!$A:$AZ,MATCH($A$1,'DB Country PMI'!$A$1:$AZ$1,),)=0,#N/A,VLOOKUP(A7,'DB Country PMI'!$A:$AZ,MATCH($A$1,'DB Country PMI'!$A$1:$AZ$1,),))</f>
        <v>49.9</v>
      </c>
      <c r="C7" s="24">
        <f>Table134681112141516171819202223[[#This Row],[PMI]]-B6</f>
        <v>0.39999999999999858</v>
      </c>
    </row>
    <row r="8" spans="1:11" x14ac:dyDescent="0.2">
      <c r="A8" s="10">
        <v>40513</v>
      </c>
      <c r="B8" s="18">
        <f>IF(VLOOKUP(A8,'DB Country PMI'!$A:$AZ,MATCH($A$1,'DB Country PMI'!$A$1:$AZ$1,),)=0,#N/A,VLOOKUP(A8,'DB Country PMI'!$A:$AZ,MATCH($A$1,'DB Country PMI'!$A$1:$AZ$1,),))</f>
        <v>52.4</v>
      </c>
      <c r="C8" s="24">
        <f>Table134681112141516171819202223[[#This Row],[PMI]]-B7</f>
        <v>2.5</v>
      </c>
    </row>
    <row r="9" spans="1:11" x14ac:dyDescent="0.2">
      <c r="A9" s="10">
        <v>40544</v>
      </c>
      <c r="B9" s="18">
        <f>IF(VLOOKUP(A9,'DB Country PMI'!$A:$AZ,MATCH($A$1,'DB Country PMI'!$A$1:$AZ$1,),)=0,#N/A,VLOOKUP(A9,'DB Country PMI'!$A:$AZ,MATCH($A$1,'DB Country PMI'!$A$1:$AZ$1,),))</f>
        <v>53.1</v>
      </c>
      <c r="C9" s="24">
        <f>Table134681112141516171819202223[[#This Row],[PMI]]-B8</f>
        <v>0.70000000000000284</v>
      </c>
    </row>
    <row r="10" spans="1:11" x14ac:dyDescent="0.2">
      <c r="A10" s="10">
        <v>40575</v>
      </c>
      <c r="B10" s="18">
        <f>IF(VLOOKUP(A10,'DB Country PMI'!$A:$AZ,MATCH($A$1,'DB Country PMI'!$A$1:$AZ$1,),)=0,#N/A,VLOOKUP(A10,'DB Country PMI'!$A:$AZ,MATCH($A$1,'DB Country PMI'!$A$1:$AZ$1,),))</f>
        <v>54.6</v>
      </c>
      <c r="C10" s="24">
        <f>Table134681112141516171819202223[[#This Row],[PMI]]-B9</f>
        <v>1.5</v>
      </c>
    </row>
    <row r="11" spans="1:11" x14ac:dyDescent="0.2">
      <c r="A11" s="10">
        <v>40603</v>
      </c>
      <c r="B11" s="18">
        <f>IF(VLOOKUP(A11,'DB Country PMI'!$A:$AZ,MATCH($A$1,'DB Country PMI'!$A$1:$AZ$1,),)=0,#N/A,VLOOKUP(A11,'DB Country PMI'!$A:$AZ,MATCH($A$1,'DB Country PMI'!$A$1:$AZ$1,),))</f>
        <v>53.2</v>
      </c>
      <c r="C11" s="24">
        <f>Table134681112141516171819202223[[#This Row],[PMI]]-B10</f>
        <v>-1.3999999999999986</v>
      </c>
    </row>
    <row r="12" spans="1:11" x14ac:dyDescent="0.2">
      <c r="A12" s="10">
        <v>40634</v>
      </c>
      <c r="B12" s="18">
        <f>IF(VLOOKUP(A12,'DB Country PMI'!$A:$AZ,MATCH($A$1,'DB Country PMI'!$A$1:$AZ$1,),)=0,#N/A,VLOOKUP(A12,'DB Country PMI'!$A:$AZ,MATCH($A$1,'DB Country PMI'!$A$1:$AZ$1,),))</f>
        <v>52.5</v>
      </c>
      <c r="C12" s="24">
        <f>Table134681112141516171819202223[[#This Row],[PMI]]-B11</f>
        <v>-0.70000000000000284</v>
      </c>
    </row>
    <row r="13" spans="1:11" x14ac:dyDescent="0.2">
      <c r="A13" s="10">
        <v>40664</v>
      </c>
      <c r="B13" s="18">
        <f>IF(VLOOKUP(A13,'DB Country PMI'!$A:$AZ,MATCH($A$1,'DB Country PMI'!$A$1:$AZ$1,),)=0,#N/A,VLOOKUP(A13,'DB Country PMI'!$A:$AZ,MATCH($A$1,'DB Country PMI'!$A$1:$AZ$1,),))</f>
        <v>53</v>
      </c>
      <c r="C13" s="24">
        <f>Table134681112141516171819202223[[#This Row],[PMI]]-B12</f>
        <v>0.5</v>
      </c>
    </row>
    <row r="14" spans="1:11" x14ac:dyDescent="0.2">
      <c r="A14" s="10">
        <v>40695</v>
      </c>
      <c r="B14" s="18">
        <f>IF(VLOOKUP(A14,'DB Country PMI'!$A:$AZ,MATCH($A$1,'DB Country PMI'!$A$1:$AZ$1,),)=0,#N/A,VLOOKUP(A14,'DB Country PMI'!$A:$AZ,MATCH($A$1,'DB Country PMI'!$A$1:$AZ$1,),))</f>
        <v>49</v>
      </c>
      <c r="C14" s="24">
        <f>Table134681112141516171819202223[[#This Row],[PMI]]-B13</f>
        <v>-4</v>
      </c>
    </row>
    <row r="15" spans="1:11" x14ac:dyDescent="0.2">
      <c r="A15" s="10">
        <v>40725</v>
      </c>
      <c r="B15" s="18">
        <f>IF(VLOOKUP(A15,'DB Country PMI'!$A:$AZ,MATCH($A$1,'DB Country PMI'!$A$1:$AZ$1,),)=0,#N/A,VLOOKUP(A15,'DB Country PMI'!$A:$AZ,MATCH($A$1,'DB Country PMI'!$A$1:$AZ$1,),))</f>
        <v>47.8</v>
      </c>
      <c r="C15" s="24">
        <f>Table134681112141516171819202223[[#This Row],[PMI]]-B14</f>
        <v>-1.2000000000000028</v>
      </c>
    </row>
    <row r="16" spans="1:11" x14ac:dyDescent="0.2">
      <c r="A16" s="10">
        <v>40756</v>
      </c>
      <c r="B16" s="18">
        <f>IF(VLOOKUP(A16,'DB Country PMI'!$A:$AZ,MATCH($A$1,'DB Country PMI'!$A$1:$AZ$1,),)=0,#N/A,VLOOKUP(A16,'DB Country PMI'!$A:$AZ,MATCH($A$1,'DB Country PMI'!$A$1:$AZ$1,),))</f>
        <v>46</v>
      </c>
      <c r="C16" s="24">
        <f>Table134681112141516171819202223[[#This Row],[PMI]]-B15</f>
        <v>-1.7999999999999972</v>
      </c>
    </row>
    <row r="17" spans="1:3" x14ac:dyDescent="0.2">
      <c r="A17" s="10">
        <v>40787</v>
      </c>
      <c r="B17" s="18">
        <f>IF(VLOOKUP(A17,'DB Country PMI'!$A:$AZ,MATCH($A$1,'DB Country PMI'!$A$1:$AZ$1,),)=0,#N/A,VLOOKUP(A17,'DB Country PMI'!$A:$AZ,MATCH($A$1,'DB Country PMI'!$A$1:$AZ$1,),))</f>
        <v>45.5</v>
      </c>
      <c r="C17" s="24">
        <f>Table134681112141516171819202223[[#This Row],[PMI]]-B16</f>
        <v>-0.5</v>
      </c>
    </row>
    <row r="18" spans="1:3" x14ac:dyDescent="0.2">
      <c r="A18" s="10">
        <v>40817</v>
      </c>
      <c r="B18" s="18">
        <f>IF(VLOOKUP(A18,'DB Country PMI'!$A:$AZ,MATCH($A$1,'DB Country PMI'!$A$1:$AZ$1,),)=0,#N/A,VLOOKUP(A18,'DB Country PMI'!$A:$AZ,MATCH($A$1,'DB Country PMI'!$A$1:$AZ$1,),))</f>
        <v>46.5</v>
      </c>
      <c r="C18" s="24">
        <f>Table134681112141516171819202223[[#This Row],[PMI]]-B17</f>
        <v>1</v>
      </c>
    </row>
    <row r="19" spans="1:3" x14ac:dyDescent="0.2">
      <c r="A19" s="10">
        <v>40848</v>
      </c>
      <c r="B19" s="18">
        <f>IF(VLOOKUP(A19,'DB Country PMI'!$A:$AZ,MATCH($A$1,'DB Country PMI'!$A$1:$AZ$1,),)=0,#N/A,VLOOKUP(A19,'DB Country PMI'!$A:$AZ,MATCH($A$1,'DB Country PMI'!$A$1:$AZ$1,),))</f>
        <v>48.7</v>
      </c>
      <c r="C19" s="24">
        <f>Table134681112141516171819202223[[#This Row],[PMI]]-B18</f>
        <v>2.2000000000000028</v>
      </c>
    </row>
    <row r="20" spans="1:3" x14ac:dyDescent="0.2">
      <c r="A20" s="10">
        <v>40878</v>
      </c>
      <c r="B20" s="18">
        <f>IF(VLOOKUP(A20,'DB Country PMI'!$A:$AZ,MATCH($A$1,'DB Country PMI'!$A$1:$AZ$1,),)=0,#N/A,VLOOKUP(A20,'DB Country PMI'!$A:$AZ,MATCH($A$1,'DB Country PMI'!$A$1:$AZ$1,),))</f>
        <v>49.3</v>
      </c>
      <c r="C20" s="24">
        <f>Table134681112141516171819202223[[#This Row],[PMI]]-B19</f>
        <v>0.59999999999999432</v>
      </c>
    </row>
    <row r="21" spans="1:3" x14ac:dyDescent="0.2">
      <c r="A21" s="10">
        <v>40909</v>
      </c>
      <c r="B21" s="18">
        <f>IF(VLOOKUP(A21,'DB Country PMI'!$A:$AZ,MATCH($A$1,'DB Country PMI'!$A$1:$AZ$1,),)=0,#N/A,VLOOKUP(A21,'DB Country PMI'!$A:$AZ,MATCH($A$1,'DB Country PMI'!$A$1:$AZ$1,),))</f>
        <v>50.6</v>
      </c>
      <c r="C21" s="24">
        <f>Table134681112141516171819202223[[#This Row],[PMI]]-B20</f>
        <v>1.3000000000000043</v>
      </c>
    </row>
    <row r="22" spans="1:3" x14ac:dyDescent="0.2">
      <c r="A22" s="10">
        <v>40940</v>
      </c>
      <c r="B22" s="18">
        <f>IF(VLOOKUP(A22,'DB Country PMI'!$A:$AZ,MATCH($A$1,'DB Country PMI'!$A$1:$AZ$1,),)=0,#N/A,VLOOKUP(A22,'DB Country PMI'!$A:$AZ,MATCH($A$1,'DB Country PMI'!$A$1:$AZ$1,),))</f>
        <v>51.4</v>
      </c>
      <c r="C22" s="24">
        <f>Table134681112141516171819202223[[#This Row],[PMI]]-B21</f>
        <v>0.79999999999999716</v>
      </c>
    </row>
    <row r="23" spans="1:3" x14ac:dyDescent="0.2">
      <c r="A23" s="10">
        <v>40969</v>
      </c>
      <c r="B23" s="18">
        <f>IF(VLOOKUP(A23,'DB Country PMI'!$A:$AZ,MATCH($A$1,'DB Country PMI'!$A$1:$AZ$1,),)=0,#N/A,VLOOKUP(A23,'DB Country PMI'!$A:$AZ,MATCH($A$1,'DB Country PMI'!$A$1:$AZ$1,),))</f>
        <v>51.1</v>
      </c>
      <c r="C23" s="24">
        <f>Table134681112141516171819202223[[#This Row],[PMI]]-B22</f>
        <v>-0.29999999999999716</v>
      </c>
    </row>
    <row r="24" spans="1:3" x14ac:dyDescent="0.2">
      <c r="A24" s="10">
        <v>41000</v>
      </c>
      <c r="B24" s="18">
        <f>IF(VLOOKUP(A24,'DB Country PMI'!$A:$AZ,MATCH($A$1,'DB Country PMI'!$A$1:$AZ$1,),)=0,#N/A,VLOOKUP(A24,'DB Country PMI'!$A:$AZ,MATCH($A$1,'DB Country PMI'!$A$1:$AZ$1,),))</f>
        <v>49.3</v>
      </c>
      <c r="C24" s="24">
        <f>Table134681112141516171819202223[[#This Row],[PMI]]-B23</f>
        <v>-1.8000000000000043</v>
      </c>
    </row>
    <row r="25" spans="1:3" x14ac:dyDescent="0.2">
      <c r="A25" s="10">
        <v>41030</v>
      </c>
      <c r="B25" s="18">
        <f>IF(VLOOKUP(A25,'DB Country PMI'!$A:$AZ,MATCH($A$1,'DB Country PMI'!$A$1:$AZ$1,),)=0,#N/A,VLOOKUP(A25,'DB Country PMI'!$A:$AZ,MATCH($A$1,'DB Country PMI'!$A$1:$AZ$1,),))</f>
        <v>49.3</v>
      </c>
      <c r="C25" s="24">
        <f>Table134681112141516171819202223[[#This Row],[PMI]]-B24</f>
        <v>0</v>
      </c>
    </row>
    <row r="26" spans="1:3" x14ac:dyDescent="0.2">
      <c r="A26" s="10">
        <v>41061</v>
      </c>
      <c r="B26" s="18">
        <f>IF(VLOOKUP(A26,'DB Country PMI'!$A:$AZ,MATCH($A$1,'DB Country PMI'!$A$1:$AZ$1,),)=0,#N/A,VLOOKUP(A26,'DB Country PMI'!$A:$AZ,MATCH($A$1,'DB Country PMI'!$A$1:$AZ$1,),))</f>
        <v>48.5</v>
      </c>
      <c r="C26" s="24">
        <f>Table134681112141516171819202223[[#This Row],[PMI]]-B25</f>
        <v>-0.79999999999999716</v>
      </c>
    </row>
    <row r="27" spans="1:3" x14ac:dyDescent="0.2">
      <c r="A27" s="10">
        <v>41091</v>
      </c>
      <c r="B27" s="18">
        <f>IF(VLOOKUP(A27,'DB Country PMI'!$A:$AZ,MATCH($A$1,'DB Country PMI'!$A$1:$AZ$1,),)=0,#N/A,VLOOKUP(A27,'DB Country PMI'!$A:$AZ,MATCH($A$1,'DB Country PMI'!$A$1:$AZ$1,),))</f>
        <v>48.7</v>
      </c>
      <c r="C27" s="24">
        <f>Table134681112141516171819202223[[#This Row],[PMI]]-B26</f>
        <v>0.20000000000000284</v>
      </c>
    </row>
    <row r="28" spans="1:3" x14ac:dyDescent="0.2">
      <c r="A28" s="10">
        <v>41122</v>
      </c>
      <c r="B28" s="18">
        <f>IF(VLOOKUP(A28,'DB Country PMI'!$A:$AZ,MATCH($A$1,'DB Country PMI'!$A$1:$AZ$1,),)=0,#N/A,VLOOKUP(A28,'DB Country PMI'!$A:$AZ,MATCH($A$1,'DB Country PMI'!$A$1:$AZ$1,),))</f>
        <v>49.3</v>
      </c>
      <c r="C28" s="24">
        <f>Table134681112141516171819202223[[#This Row],[PMI]]-B27</f>
        <v>0.59999999999999432</v>
      </c>
    </row>
    <row r="29" spans="1:3" x14ac:dyDescent="0.2">
      <c r="A29" s="10">
        <v>41153</v>
      </c>
      <c r="B29" s="18">
        <f>IF(VLOOKUP(A29,'DB Country PMI'!$A:$AZ,MATCH($A$1,'DB Country PMI'!$A$1:$AZ$1,),)=0,#N/A,VLOOKUP(A29,'DB Country PMI'!$A:$AZ,MATCH($A$1,'DB Country PMI'!$A$1:$AZ$1,),))</f>
        <v>49.8</v>
      </c>
      <c r="C29" s="24">
        <f>Table134681112141516171819202223[[#This Row],[PMI]]-B28</f>
        <v>0.5</v>
      </c>
    </row>
    <row r="30" spans="1:3" x14ac:dyDescent="0.2">
      <c r="A30" s="10">
        <v>41183</v>
      </c>
      <c r="B30" s="18">
        <f>IF(VLOOKUP(A30,'DB Country PMI'!$A:$AZ,MATCH($A$1,'DB Country PMI'!$A$1:$AZ$1,),)=0,#N/A,VLOOKUP(A30,'DB Country PMI'!$A:$AZ,MATCH($A$1,'DB Country PMI'!$A$1:$AZ$1,),))</f>
        <v>50.2</v>
      </c>
      <c r="C30" s="24">
        <f>Table134681112141516171819202223[[#This Row],[PMI]]-B29</f>
        <v>0.40000000000000568</v>
      </c>
    </row>
    <row r="31" spans="1:3" x14ac:dyDescent="0.2">
      <c r="A31" s="10">
        <v>41214</v>
      </c>
      <c r="B31" s="18">
        <f>IF(VLOOKUP(A31,'DB Country PMI'!$A:$AZ,MATCH($A$1,'DB Country PMI'!$A$1:$AZ$1,),)=0,#N/A,VLOOKUP(A31,'DB Country PMI'!$A:$AZ,MATCH($A$1,'DB Country PMI'!$A$1:$AZ$1,),))</f>
        <v>52.2</v>
      </c>
      <c r="C31" s="24">
        <f>Table134681112141516171819202223[[#This Row],[PMI]]-B30</f>
        <v>2</v>
      </c>
    </row>
    <row r="32" spans="1:3" x14ac:dyDescent="0.2">
      <c r="A32" s="10">
        <v>41244</v>
      </c>
      <c r="B32" s="18">
        <f>IF(VLOOKUP(A32,'DB Country PMI'!$A:$AZ,MATCH($A$1,'DB Country PMI'!$A$1:$AZ$1,),)=0,#N/A,VLOOKUP(A32,'DB Country PMI'!$A:$AZ,MATCH($A$1,'DB Country PMI'!$A$1:$AZ$1,),))</f>
        <v>51.1</v>
      </c>
      <c r="C32" s="24">
        <f>Table134681112141516171819202223[[#This Row],[PMI]]-B31</f>
        <v>-1.1000000000000014</v>
      </c>
    </row>
    <row r="33" spans="1:3" x14ac:dyDescent="0.2">
      <c r="A33" s="10">
        <v>41275</v>
      </c>
      <c r="B33" s="18">
        <f>IF(VLOOKUP(A33,'DB Country PMI'!$A:$AZ,MATCH($A$1,'DB Country PMI'!$A$1:$AZ$1,),)=0,#N/A,VLOOKUP(A33,'DB Country PMI'!$A:$AZ,MATCH($A$1,'DB Country PMI'!$A$1:$AZ$1,),))</f>
        <v>53.2</v>
      </c>
      <c r="C33" s="24">
        <f>Table134681112141516171819202223[[#This Row],[PMI]]-B32</f>
        <v>2.1000000000000014</v>
      </c>
    </row>
    <row r="34" spans="1:3" x14ac:dyDescent="0.2">
      <c r="A34" s="10">
        <v>41306</v>
      </c>
      <c r="B34" s="18">
        <f>IF(VLOOKUP(A34,'DB Country PMI'!$A:$AZ,MATCH($A$1,'DB Country PMI'!$A$1:$AZ$1,),)=0,#N/A,VLOOKUP(A34,'DB Country PMI'!$A:$AZ,MATCH($A$1,'DB Country PMI'!$A$1:$AZ$1,),))</f>
        <v>52.5</v>
      </c>
      <c r="C34" s="24">
        <f>Table134681112141516171819202223[[#This Row],[PMI]]-B33</f>
        <v>-0.70000000000000284</v>
      </c>
    </row>
    <row r="35" spans="1:3" x14ac:dyDescent="0.2">
      <c r="A35" s="10">
        <v>41334</v>
      </c>
      <c r="B35" s="18">
        <f>IF(VLOOKUP(A35,'DB Country PMI'!$A:$AZ,MATCH($A$1,'DB Country PMI'!$A$1:$AZ$1,),)=0,#N/A,VLOOKUP(A35,'DB Country PMI'!$A:$AZ,MATCH($A$1,'DB Country PMI'!$A$1:$AZ$1,),))</f>
        <v>51.8</v>
      </c>
      <c r="C35" s="24">
        <f>Table134681112141516171819202223[[#This Row],[PMI]]-B34</f>
        <v>-0.70000000000000284</v>
      </c>
    </row>
    <row r="36" spans="1:3" x14ac:dyDescent="0.2">
      <c r="A36" s="10">
        <v>41365</v>
      </c>
      <c r="B36" s="18">
        <f>IF(VLOOKUP(A36,'DB Country PMI'!$A:$AZ,MATCH($A$1,'DB Country PMI'!$A$1:$AZ$1,),)=0,#N/A,VLOOKUP(A36,'DB Country PMI'!$A:$AZ,MATCH($A$1,'DB Country PMI'!$A$1:$AZ$1,),))</f>
        <v>50.8</v>
      </c>
      <c r="C36" s="24">
        <f>Table134681112141516171819202223[[#This Row],[PMI]]-B35</f>
        <v>-1</v>
      </c>
    </row>
    <row r="37" spans="1:3" x14ac:dyDescent="0.2">
      <c r="A37" s="10">
        <v>41395</v>
      </c>
      <c r="B37" s="18">
        <f>IF(VLOOKUP(A37,'DB Country PMI'!$A:$AZ,MATCH($A$1,'DB Country PMI'!$A$1:$AZ$1,),)=0,#N/A,VLOOKUP(A37,'DB Country PMI'!$A:$AZ,MATCH($A$1,'DB Country PMI'!$A$1:$AZ$1,),))</f>
        <v>50.4</v>
      </c>
      <c r="C37" s="24">
        <f>Table134681112141516171819202223[[#This Row],[PMI]]-B36</f>
        <v>-0.39999999999999858</v>
      </c>
    </row>
    <row r="38" spans="1:3" x14ac:dyDescent="0.2">
      <c r="A38" s="10">
        <v>41426</v>
      </c>
      <c r="B38" s="18">
        <f>IF(VLOOKUP(A38,'DB Country PMI'!$A:$AZ,MATCH($A$1,'DB Country PMI'!$A$1:$AZ$1,),)=0,#N/A,VLOOKUP(A38,'DB Country PMI'!$A:$AZ,MATCH($A$1,'DB Country PMI'!$A$1:$AZ$1,),))</f>
        <v>50.4</v>
      </c>
      <c r="C38" s="24">
        <f>Table134681112141516171819202223[[#This Row],[PMI]]-B37</f>
        <v>0</v>
      </c>
    </row>
    <row r="39" spans="1:3" x14ac:dyDescent="0.2">
      <c r="A39" s="10">
        <v>41456</v>
      </c>
      <c r="B39" s="18">
        <f>IF(VLOOKUP(A39,'DB Country PMI'!$A:$AZ,MATCH($A$1,'DB Country PMI'!$A$1:$AZ$1,),)=0,#N/A,VLOOKUP(A39,'DB Country PMI'!$A:$AZ,MATCH($A$1,'DB Country PMI'!$A$1:$AZ$1,),))</f>
        <v>48.5</v>
      </c>
      <c r="C39" s="24">
        <f>Table134681112141516171819202223[[#This Row],[PMI]]-B38</f>
        <v>-1.8999999999999986</v>
      </c>
    </row>
    <row r="40" spans="1:3" x14ac:dyDescent="0.2">
      <c r="A40" s="10">
        <v>41487</v>
      </c>
      <c r="B40" s="18">
        <f>IF(VLOOKUP(A40,'DB Country PMI'!$A:$AZ,MATCH($A$1,'DB Country PMI'!$A$1:$AZ$1,),)=0,#N/A,VLOOKUP(A40,'DB Country PMI'!$A:$AZ,MATCH($A$1,'DB Country PMI'!$A$1:$AZ$1,),))</f>
        <v>49.4</v>
      </c>
      <c r="C40" s="24">
        <f>Table134681112141516171819202223[[#This Row],[PMI]]-B39</f>
        <v>0.89999999999999858</v>
      </c>
    </row>
    <row r="41" spans="1:3" x14ac:dyDescent="0.2">
      <c r="A41" s="10">
        <v>41518</v>
      </c>
      <c r="B41" s="18">
        <f>IF(VLOOKUP(A41,'DB Country PMI'!$A:$AZ,MATCH($A$1,'DB Country PMI'!$A$1:$AZ$1,),)=0,#N/A,VLOOKUP(A41,'DB Country PMI'!$A:$AZ,MATCH($A$1,'DB Country PMI'!$A$1:$AZ$1,),))</f>
        <v>49.9</v>
      </c>
      <c r="C41" s="24">
        <f>Table134681112141516171819202223[[#This Row],[PMI]]-B40</f>
        <v>0.5</v>
      </c>
    </row>
    <row r="42" spans="1:3" x14ac:dyDescent="0.2">
      <c r="A42" s="10">
        <v>41548</v>
      </c>
      <c r="B42" s="18">
        <f>IF(VLOOKUP(A42,'DB Country PMI'!$A:$AZ,MATCH($A$1,'DB Country PMI'!$A$1:$AZ$1,),)=0,#N/A,VLOOKUP(A42,'DB Country PMI'!$A:$AZ,MATCH($A$1,'DB Country PMI'!$A$1:$AZ$1,),))</f>
        <v>50.2</v>
      </c>
      <c r="C42" s="24">
        <f>Table134681112141516171819202223[[#This Row],[PMI]]-B41</f>
        <v>0.30000000000000426</v>
      </c>
    </row>
    <row r="43" spans="1:3" x14ac:dyDescent="0.2">
      <c r="A43" s="10">
        <v>41579</v>
      </c>
      <c r="B43" s="18">
        <f>IF(VLOOKUP(A43,'DB Country PMI'!$A:$AZ,MATCH($A$1,'DB Country PMI'!$A$1:$AZ$1,),)=0,#N/A,VLOOKUP(A43,'DB Country PMI'!$A:$AZ,MATCH($A$1,'DB Country PMI'!$A$1:$AZ$1,),))</f>
        <v>49.7</v>
      </c>
      <c r="C43" s="24">
        <f>Table134681112141516171819202223[[#This Row],[PMI]]-B42</f>
        <v>-0.5</v>
      </c>
    </row>
    <row r="44" spans="1:3" x14ac:dyDescent="0.2">
      <c r="A44" s="10">
        <v>41609</v>
      </c>
      <c r="B44" s="18">
        <f>IF(VLOOKUP(A44,'DB Country PMI'!$A:$AZ,MATCH($A$1,'DB Country PMI'!$A$1:$AZ$1,),)=0,#N/A,VLOOKUP(A44,'DB Country PMI'!$A:$AZ,MATCH($A$1,'DB Country PMI'!$A$1:$AZ$1,),))</f>
        <v>50.5</v>
      </c>
      <c r="C44" s="24">
        <f>Table134681112141516171819202223[[#This Row],[PMI]]-B43</f>
        <v>0.79999999999999716</v>
      </c>
    </row>
    <row r="45" spans="1:3" x14ac:dyDescent="0.2">
      <c r="A45" s="10">
        <v>41640</v>
      </c>
      <c r="B45" s="18">
        <f>IF(VLOOKUP(A45,'DB Country PMI'!$A:$AZ,MATCH($A$1,'DB Country PMI'!$A$1:$AZ$1,),)=0,#N/A,VLOOKUP(A45,'DB Country PMI'!$A:$AZ,MATCH($A$1,'DB Country PMI'!$A$1:$AZ$1,),))</f>
        <v>51.7</v>
      </c>
      <c r="C45" s="24">
        <f>Table134681112141516171819202223[[#This Row],[PMI]]-B44</f>
        <v>1.2000000000000028</v>
      </c>
    </row>
    <row r="46" spans="1:3" x14ac:dyDescent="0.2">
      <c r="A46" s="10">
        <v>41671</v>
      </c>
      <c r="B46" s="18">
        <f>IF(VLOOKUP(A46,'DB Country PMI'!$A:$AZ,MATCH($A$1,'DB Country PMI'!$A$1:$AZ$1,),)=0,#N/A,VLOOKUP(A46,'DB Country PMI'!$A:$AZ,MATCH($A$1,'DB Country PMI'!$A$1:$AZ$1,),))</f>
        <v>50.4</v>
      </c>
      <c r="C46" s="24">
        <f>Table134681112141516171819202223[[#This Row],[PMI]]-B45</f>
        <v>-1.3000000000000043</v>
      </c>
    </row>
    <row r="47" spans="1:3" x14ac:dyDescent="0.2">
      <c r="A47" s="10">
        <v>41699</v>
      </c>
      <c r="B47" s="18">
        <f>IF(VLOOKUP(A47,'DB Country PMI'!$A:$AZ,MATCH($A$1,'DB Country PMI'!$A$1:$AZ$1,),)=0,#N/A,VLOOKUP(A47,'DB Country PMI'!$A:$AZ,MATCH($A$1,'DB Country PMI'!$A$1:$AZ$1,),))</f>
        <v>50.6</v>
      </c>
      <c r="C47" s="24">
        <f>Table134681112141516171819202223[[#This Row],[PMI]]-B46</f>
        <v>0.20000000000000284</v>
      </c>
    </row>
    <row r="48" spans="1:3" x14ac:dyDescent="0.2">
      <c r="A48" s="10">
        <v>41730</v>
      </c>
      <c r="B48" s="18">
        <f>IF(VLOOKUP(A48,'DB Country PMI'!$A:$AZ,MATCH($A$1,'DB Country PMI'!$A$1:$AZ$1,),)=0,#N/A,VLOOKUP(A48,'DB Country PMI'!$A:$AZ,MATCH($A$1,'DB Country PMI'!$A$1:$AZ$1,),))</f>
        <v>49.3</v>
      </c>
      <c r="C48" s="24">
        <f>Table134681112141516171819202223[[#This Row],[PMI]]-B47</f>
        <v>-1.3000000000000043</v>
      </c>
    </row>
    <row r="49" spans="1:3" x14ac:dyDescent="0.2">
      <c r="A49" s="10">
        <v>41760</v>
      </c>
      <c r="B49" s="18">
        <f>IF(VLOOKUP(A49,'DB Country PMI'!$A:$AZ,MATCH($A$1,'DB Country PMI'!$A$1:$AZ$1,),)=0,#N/A,VLOOKUP(A49,'DB Country PMI'!$A:$AZ,MATCH($A$1,'DB Country PMI'!$A$1:$AZ$1,),))</f>
        <v>48.8</v>
      </c>
      <c r="C49" s="24">
        <f>Table134681112141516171819202223[[#This Row],[PMI]]-B48</f>
        <v>-0.5</v>
      </c>
    </row>
    <row r="50" spans="1:3" x14ac:dyDescent="0.2">
      <c r="A50" s="10">
        <v>41791</v>
      </c>
      <c r="B50" s="18">
        <f>IF(VLOOKUP(A50,'DB Country PMI'!$A:$AZ,MATCH($A$1,'DB Country PMI'!$A$1:$AZ$1,),)=0,#N/A,VLOOKUP(A50,'DB Country PMI'!$A:$AZ,MATCH($A$1,'DB Country PMI'!$A$1:$AZ$1,),))</f>
        <v>48.7</v>
      </c>
      <c r="C50" s="24">
        <f>Table134681112141516171819202223[[#This Row],[PMI]]-B49</f>
        <v>-9.9999999999994316E-2</v>
      </c>
    </row>
    <row r="51" spans="1:3" x14ac:dyDescent="0.2">
      <c r="A51" s="10">
        <v>41821</v>
      </c>
      <c r="B51" s="18">
        <f>IF(VLOOKUP(A51,'DB Country PMI'!$A:$AZ,MATCH($A$1,'DB Country PMI'!$A$1:$AZ$1,),)=0,#N/A,VLOOKUP(A51,'DB Country PMI'!$A:$AZ,MATCH($A$1,'DB Country PMI'!$A$1:$AZ$1,),))</f>
        <v>49.1</v>
      </c>
      <c r="C51" s="24">
        <f>Table134681112141516171819202223[[#This Row],[PMI]]-B50</f>
        <v>0.39999999999999858</v>
      </c>
    </row>
    <row r="52" spans="1:3" x14ac:dyDescent="0.2">
      <c r="A52" s="10">
        <v>41852</v>
      </c>
      <c r="B52" s="18">
        <f>IF(VLOOKUP(A52,'DB Country PMI'!$A:$AZ,MATCH($A$1,'DB Country PMI'!$A$1:$AZ$1,),)=0,#N/A,VLOOKUP(A52,'DB Country PMI'!$A:$AZ,MATCH($A$1,'DB Country PMI'!$A$1:$AZ$1,),))</f>
        <v>50.2</v>
      </c>
      <c r="C52" s="24">
        <f>Table134681112141516171819202223[[#This Row],[PMI]]-B51</f>
        <v>1.1000000000000014</v>
      </c>
    </row>
    <row r="53" spans="1:3" x14ac:dyDescent="0.2">
      <c r="A53" s="10">
        <v>41883</v>
      </c>
      <c r="B53" s="18">
        <f>IF(VLOOKUP(A53,'DB Country PMI'!$A:$AZ,MATCH($A$1,'DB Country PMI'!$A$1:$AZ$1,),)=0,#N/A,VLOOKUP(A53,'DB Country PMI'!$A:$AZ,MATCH($A$1,'DB Country PMI'!$A$1:$AZ$1,),))</f>
        <v>49.3</v>
      </c>
      <c r="C53" s="24">
        <f>Table134681112141516171819202223[[#This Row],[PMI]]-B52</f>
        <v>-0.90000000000000568</v>
      </c>
    </row>
    <row r="54" spans="1:3" x14ac:dyDescent="0.2">
      <c r="A54" s="10">
        <v>41913</v>
      </c>
      <c r="B54" s="18">
        <f>IF(VLOOKUP(A54,'DB Country PMI'!$A:$AZ,MATCH($A$1,'DB Country PMI'!$A$1:$AZ$1,),)=0,#N/A,VLOOKUP(A54,'DB Country PMI'!$A:$AZ,MATCH($A$1,'DB Country PMI'!$A$1:$AZ$1,),))</f>
        <v>49.1</v>
      </c>
      <c r="C54" s="24">
        <f>Table134681112141516171819202223[[#This Row],[PMI]]-B53</f>
        <v>-0.19999999999999574</v>
      </c>
    </row>
    <row r="55" spans="1:3" x14ac:dyDescent="0.2">
      <c r="A55" s="10">
        <v>41944</v>
      </c>
      <c r="B55" s="18">
        <f>IF(VLOOKUP(A55,'DB Country PMI'!$A:$AZ,MATCH($A$1,'DB Country PMI'!$A$1:$AZ$1,),)=0,#N/A,VLOOKUP(A55,'DB Country PMI'!$A:$AZ,MATCH($A$1,'DB Country PMI'!$A$1:$AZ$1,),))</f>
        <v>48.7</v>
      </c>
      <c r="C55" s="24">
        <f>Table134681112141516171819202223[[#This Row],[PMI]]-B54</f>
        <v>-0.39999999999999858</v>
      </c>
    </row>
    <row r="56" spans="1:3" x14ac:dyDescent="0.2">
      <c r="A56" s="10">
        <v>41974</v>
      </c>
      <c r="B56" s="18">
        <f>IF(VLOOKUP(A56,'DB Country PMI'!$A:$AZ,MATCH($A$1,'DB Country PMI'!$A$1:$AZ$1,),)=0,#N/A,VLOOKUP(A56,'DB Country PMI'!$A:$AZ,MATCH($A$1,'DB Country PMI'!$A$1:$AZ$1,),))</f>
        <v>50.2</v>
      </c>
      <c r="C56" s="24">
        <f>Table134681112141516171819202223[[#This Row],[PMI]]-B55</f>
        <v>1.5</v>
      </c>
    </row>
    <row r="57" spans="1:3" x14ac:dyDescent="0.2">
      <c r="A57" s="10">
        <v>42005</v>
      </c>
      <c r="B57" s="18">
        <f>IF(VLOOKUP(A57,'DB Country PMI'!$A:$AZ,MATCH($A$1,'DB Country PMI'!$A$1:$AZ$1,),)=0,#N/A,VLOOKUP(A57,'DB Country PMI'!$A:$AZ,MATCH($A$1,'DB Country PMI'!$A$1:$AZ$1,),))</f>
        <v>50.7</v>
      </c>
      <c r="C57" s="24">
        <f>Table134681112141516171819202223[[#This Row],[PMI]]-B56</f>
        <v>0.5</v>
      </c>
    </row>
    <row r="58" spans="1:3" x14ac:dyDescent="0.2">
      <c r="A58" s="10">
        <v>42036</v>
      </c>
      <c r="B58" s="18">
        <f>IF(VLOOKUP(A58,'DB Country PMI'!$A:$AZ,MATCH($A$1,'DB Country PMI'!$A$1:$AZ$1,),)=0,#N/A,VLOOKUP(A58,'DB Country PMI'!$A:$AZ,MATCH($A$1,'DB Country PMI'!$A$1:$AZ$1,),))</f>
        <v>49.6</v>
      </c>
      <c r="C58" s="24">
        <f>Table134681112141516171819202223[[#This Row],[PMI]]-B57</f>
        <v>-1.1000000000000014</v>
      </c>
    </row>
    <row r="59" spans="1:3" x14ac:dyDescent="0.2">
      <c r="A59" s="10">
        <v>42064</v>
      </c>
      <c r="B59" s="18">
        <f>IF(VLOOKUP(A59,'DB Country PMI'!$A:$AZ,MATCH($A$1,'DB Country PMI'!$A$1:$AZ$1,),)=0,#N/A,VLOOKUP(A59,'DB Country PMI'!$A:$AZ,MATCH($A$1,'DB Country PMI'!$A$1:$AZ$1,),))</f>
        <v>46.2</v>
      </c>
      <c r="C59" s="24">
        <f>Table134681112141516171819202223[[#This Row],[PMI]]-B58</f>
        <v>-3.3999999999999986</v>
      </c>
    </row>
    <row r="60" spans="1:3" x14ac:dyDescent="0.2">
      <c r="A60" s="10">
        <v>42095</v>
      </c>
      <c r="B60" s="18">
        <f>IF(VLOOKUP(A60,'DB Country PMI'!$A:$AZ,MATCH($A$1,'DB Country PMI'!$A$1:$AZ$1,),)=0,#N/A,VLOOKUP(A60,'DB Country PMI'!$A:$AZ,MATCH($A$1,'DB Country PMI'!$A$1:$AZ$1,),))</f>
        <v>46</v>
      </c>
      <c r="C60" s="24">
        <f>Table134681112141516171819202223[[#This Row],[PMI]]-B59</f>
        <v>-0.20000000000000284</v>
      </c>
    </row>
    <row r="61" spans="1:3" x14ac:dyDescent="0.2">
      <c r="A61" s="10">
        <v>42125</v>
      </c>
      <c r="B61" s="18">
        <f>IF(VLOOKUP(A61,'DB Country PMI'!$A:$AZ,MATCH($A$1,'DB Country PMI'!$A$1:$AZ$1,),)=0,#N/A,VLOOKUP(A61,'DB Country PMI'!$A:$AZ,MATCH($A$1,'DB Country PMI'!$A$1:$AZ$1,),))</f>
        <v>45.9</v>
      </c>
      <c r="C61" s="24">
        <f>Table134681112141516171819202223[[#This Row],[PMI]]-B60</f>
        <v>-0.10000000000000142</v>
      </c>
    </row>
    <row r="62" spans="1:3" x14ac:dyDescent="0.2">
      <c r="A62" s="10">
        <v>42156</v>
      </c>
      <c r="B62" s="18">
        <f>IF(VLOOKUP(A62,'DB Country PMI'!$A:$AZ,MATCH($A$1,'DB Country PMI'!$A$1:$AZ$1,),)=0,#N/A,VLOOKUP(A62,'DB Country PMI'!$A:$AZ,MATCH($A$1,'DB Country PMI'!$A$1:$AZ$1,),))</f>
        <v>46.5</v>
      </c>
      <c r="C62" s="24">
        <f>Table134681112141516171819202223[[#This Row],[PMI]]-B61</f>
        <v>0.60000000000000142</v>
      </c>
    </row>
    <row r="63" spans="1:3" x14ac:dyDescent="0.2">
      <c r="A63" s="10">
        <v>42186</v>
      </c>
      <c r="B63" s="18">
        <f>IF(VLOOKUP(A63,'DB Country PMI'!$A:$AZ,MATCH($A$1,'DB Country PMI'!$A$1:$AZ$1,),)=0,#N/A,VLOOKUP(A63,'DB Country PMI'!$A:$AZ,MATCH($A$1,'DB Country PMI'!$A$1:$AZ$1,),))</f>
        <v>47.2</v>
      </c>
      <c r="C63" s="24">
        <f>Table134681112141516171819202223[[#This Row],[PMI]]-B62</f>
        <v>0.70000000000000284</v>
      </c>
    </row>
    <row r="64" spans="1:3" x14ac:dyDescent="0.2">
      <c r="A64" s="10">
        <v>42217</v>
      </c>
      <c r="B64" s="18">
        <f>IF(VLOOKUP(A64,'DB Country PMI'!$A:$AZ,MATCH($A$1,'DB Country PMI'!$A$1:$AZ$1,),)=0,#N/A,VLOOKUP(A64,'DB Country PMI'!$A:$AZ,MATCH($A$1,'DB Country PMI'!$A$1:$AZ$1,),))</f>
        <v>45.8</v>
      </c>
      <c r="C64" s="24">
        <f>Table134681112141516171819202223[[#This Row],[PMI]]-B63</f>
        <v>-1.4000000000000057</v>
      </c>
    </row>
    <row r="65" spans="1:3" x14ac:dyDescent="0.2">
      <c r="A65" s="10">
        <v>42248</v>
      </c>
      <c r="B65" s="18">
        <f>IF(VLOOKUP(A65,'DB Country PMI'!$A:$AZ,MATCH($A$1,'DB Country PMI'!$A$1:$AZ$1,),)=0,#N/A,VLOOKUP(A65,'DB Country PMI'!$A:$AZ,MATCH($A$1,'DB Country PMI'!$A$1:$AZ$1,),))</f>
        <v>47</v>
      </c>
      <c r="C65" s="24">
        <f>Table134681112141516171819202223[[#This Row],[PMI]]-B64</f>
        <v>1.2000000000000028</v>
      </c>
    </row>
    <row r="66" spans="1:3" x14ac:dyDescent="0.2">
      <c r="A66" s="10">
        <v>42278</v>
      </c>
      <c r="B66" s="18">
        <f>IF(VLOOKUP(A66,'DB Country PMI'!$A:$AZ,MATCH($A$1,'DB Country PMI'!$A$1:$AZ$1,),)=0,#N/A,VLOOKUP(A66,'DB Country PMI'!$A:$AZ,MATCH($A$1,'DB Country PMI'!$A$1:$AZ$1,),))</f>
        <v>44.1</v>
      </c>
      <c r="C66" s="24">
        <f>Table134681112141516171819202223[[#This Row],[PMI]]-B65</f>
        <v>-2.8999999999999986</v>
      </c>
    </row>
    <row r="67" spans="1:3" x14ac:dyDescent="0.2">
      <c r="A67" s="10">
        <v>42309</v>
      </c>
      <c r="B67" s="18">
        <f>IF(VLOOKUP(A67,'DB Country PMI'!$A:$AZ,MATCH($A$1,'DB Country PMI'!$A$1:$AZ$1,),)=0,#N/A,VLOOKUP(A67,'DB Country PMI'!$A:$AZ,MATCH($A$1,'DB Country PMI'!$A$1:$AZ$1,),))</f>
        <v>43.8</v>
      </c>
      <c r="C67" s="24">
        <f>Table134681112141516171819202223[[#This Row],[PMI]]-B66</f>
        <v>-0.30000000000000426</v>
      </c>
    </row>
    <row r="68" spans="1:3" x14ac:dyDescent="0.2">
      <c r="A68" s="10">
        <v>42339</v>
      </c>
      <c r="B68" s="18">
        <f>IF(VLOOKUP(A68,'DB Country PMI'!$A:$AZ,MATCH($A$1,'DB Country PMI'!$A$1:$AZ$1,),)=0,#N/A,VLOOKUP(A68,'DB Country PMI'!$A:$AZ,MATCH($A$1,'DB Country PMI'!$A$1:$AZ$1,),))</f>
        <v>45.6</v>
      </c>
      <c r="C68" s="24">
        <f>Table134681112141516171819202223[[#This Row],[PMI]]-B67</f>
        <v>1.8000000000000043</v>
      </c>
    </row>
    <row r="69" spans="1:3" x14ac:dyDescent="0.2">
      <c r="A69" s="10">
        <v>42370</v>
      </c>
      <c r="B69" s="18">
        <f>IF(VLOOKUP(A69,'DB Country PMI'!$A:$AZ,MATCH($A$1,'DB Country PMI'!$A$1:$AZ$1,),)=0,#N/A,VLOOKUP(A69,'DB Country PMI'!$A:$AZ,MATCH($A$1,'DB Country PMI'!$A$1:$AZ$1,),))</f>
        <v>47.4</v>
      </c>
      <c r="C69" s="24">
        <f>Table134681112141516171819202223[[#This Row],[PMI]]-B68</f>
        <v>1.7999999999999972</v>
      </c>
    </row>
    <row r="70" spans="1:3" x14ac:dyDescent="0.2">
      <c r="A70" s="10">
        <v>42401</v>
      </c>
      <c r="B70" s="18">
        <f>IF(VLOOKUP(A70,'DB Country PMI'!$A:$AZ,MATCH($A$1,'DB Country PMI'!$A$1:$AZ$1,),)=0,#N/A,VLOOKUP(A70,'DB Country PMI'!$A:$AZ,MATCH($A$1,'DB Country PMI'!$A$1:$AZ$1,),))</f>
        <v>44.5</v>
      </c>
      <c r="C70" s="24">
        <f>Table134681112141516171819202223[[#This Row],[PMI]]-B69</f>
        <v>-2.8999999999999986</v>
      </c>
    </row>
    <row r="71" spans="1:3" x14ac:dyDescent="0.2">
      <c r="A71" s="10">
        <v>42430</v>
      </c>
      <c r="B71" s="18">
        <f>IF(VLOOKUP(A71,'DB Country PMI'!$A:$AZ,MATCH($A$1,'DB Country PMI'!$A$1:$AZ$1,),)=0,#N/A,VLOOKUP(A71,'DB Country PMI'!$A:$AZ,MATCH($A$1,'DB Country PMI'!$A$1:$AZ$1,),))</f>
        <v>46</v>
      </c>
      <c r="C71" s="24">
        <f>Table134681112141516171819202223[[#This Row],[PMI]]-B70</f>
        <v>1.5</v>
      </c>
    </row>
    <row r="72" spans="1:3" x14ac:dyDescent="0.2">
      <c r="A72" s="10">
        <v>42461</v>
      </c>
      <c r="B72" s="18">
        <f>IF(VLOOKUP(A72,'DB Country PMI'!$A:$AZ,MATCH($A$1,'DB Country PMI'!$A$1:$AZ$1,),)=0,#N/A,VLOOKUP(A72,'DB Country PMI'!$A:$AZ,MATCH($A$1,'DB Country PMI'!$A$1:$AZ$1,),))</f>
        <v>42.6</v>
      </c>
      <c r="C72" s="24">
        <f>Table134681112141516171819202223[[#This Row],[PMI]]-B71</f>
        <v>-3.3999999999999986</v>
      </c>
    </row>
    <row r="73" spans="1:3" x14ac:dyDescent="0.2">
      <c r="A73" s="10">
        <v>42491</v>
      </c>
      <c r="B73" s="18">
        <f>IF(VLOOKUP(A73,'DB Country PMI'!$A:$AZ,MATCH($A$1,'DB Country PMI'!$A$1:$AZ$1,),)=0,#N/A,VLOOKUP(A73,'DB Country PMI'!$A:$AZ,MATCH($A$1,'DB Country PMI'!$A$1:$AZ$1,),))</f>
        <v>41.6</v>
      </c>
      <c r="C73" s="24">
        <f>Table134681112141516171819202223[[#This Row],[PMI]]-B72</f>
        <v>-1</v>
      </c>
    </row>
    <row r="74" spans="1:3" x14ac:dyDescent="0.2">
      <c r="A74" s="10">
        <v>42522</v>
      </c>
      <c r="B74" s="18">
        <f>IF(VLOOKUP(A74,'DB Country PMI'!$A:$AZ,MATCH($A$1,'DB Country PMI'!$A$1:$AZ$1,),)=0,#N/A,VLOOKUP(A74,'DB Country PMI'!$A:$AZ,MATCH($A$1,'DB Country PMI'!$A$1:$AZ$1,),))</f>
        <v>43.2</v>
      </c>
      <c r="C74" s="24">
        <f>Table134681112141516171819202223[[#This Row],[PMI]]-B73</f>
        <v>1.6000000000000014</v>
      </c>
    </row>
    <row r="75" spans="1:3" x14ac:dyDescent="0.2">
      <c r="A75" s="10">
        <v>42552</v>
      </c>
      <c r="B75" s="18">
        <f>IF(VLOOKUP(A75,'DB Country PMI'!$A:$AZ,MATCH($A$1,'DB Country PMI'!$A$1:$AZ$1,),)=0,#N/A,VLOOKUP(A75,'DB Country PMI'!$A:$AZ,MATCH($A$1,'DB Country PMI'!$A$1:$AZ$1,),))</f>
        <v>46</v>
      </c>
      <c r="C75" s="24">
        <f>Table134681112141516171819202223[[#This Row],[PMI]]-B74</f>
        <v>2.7999999999999972</v>
      </c>
    </row>
    <row r="76" spans="1:3" x14ac:dyDescent="0.2">
      <c r="A76" s="10">
        <v>42583</v>
      </c>
      <c r="B76" s="18">
        <f>IF(VLOOKUP(A76,'DB Country PMI'!$A:$AZ,MATCH($A$1,'DB Country PMI'!$A$1:$AZ$1,),)=0,#N/A,VLOOKUP(A76,'DB Country PMI'!$A:$AZ,MATCH($A$1,'DB Country PMI'!$A$1:$AZ$1,),))</f>
        <v>45.7</v>
      </c>
      <c r="C76" s="24">
        <f>Table134681112141516171819202223[[#This Row],[PMI]]-B75</f>
        <v>-0.29999999999999716</v>
      </c>
    </row>
    <row r="77" spans="1:3" x14ac:dyDescent="0.2">
      <c r="A77" s="10">
        <v>42614</v>
      </c>
      <c r="B77" s="18">
        <f>IF(VLOOKUP(A77,'DB Country PMI'!$A:$AZ,MATCH($A$1,'DB Country PMI'!$A$1:$AZ$1,),)=0,#N/A,VLOOKUP(A77,'DB Country PMI'!$A:$AZ,MATCH($A$1,'DB Country PMI'!$A$1:$AZ$1,),))</f>
        <v>46</v>
      </c>
      <c r="C77" s="24">
        <f>Table134681112141516171819202223[[#This Row],[PMI]]-B76</f>
        <v>0.29999999999999716</v>
      </c>
    </row>
    <row r="78" spans="1:3" x14ac:dyDescent="0.2">
      <c r="A78" s="10">
        <v>42644</v>
      </c>
      <c r="B78" s="18">
        <f>IF(VLOOKUP(A78,'DB Country PMI'!$A:$AZ,MATCH($A$1,'DB Country PMI'!$A$1:$AZ$1,),)=0,#N/A,VLOOKUP(A78,'DB Country PMI'!$A:$AZ,MATCH($A$1,'DB Country PMI'!$A$1:$AZ$1,),))</f>
        <v>46.3</v>
      </c>
      <c r="C78" s="24">
        <f>Table134681112141516171819202223[[#This Row],[PMI]]-B77</f>
        <v>0.29999999999999716</v>
      </c>
    </row>
    <row r="79" spans="1:3" x14ac:dyDescent="0.2">
      <c r="A79" s="10">
        <v>42675</v>
      </c>
      <c r="B79" s="18">
        <f>IF(VLOOKUP(A79,'DB Country PMI'!$A:$AZ,MATCH($A$1,'DB Country PMI'!$A$1:$AZ$1,),)=0,#N/A,VLOOKUP(A79,'DB Country PMI'!$A:$AZ,MATCH($A$1,'DB Country PMI'!$A$1:$AZ$1,),))</f>
        <v>46.2</v>
      </c>
      <c r="C79" s="24">
        <f>Table134681112141516171819202223[[#This Row],[PMI]]-B78</f>
        <v>-9.9999999999994316E-2</v>
      </c>
    </row>
    <row r="80" spans="1:3" x14ac:dyDescent="0.2">
      <c r="A80" s="10">
        <v>42705</v>
      </c>
      <c r="B80" s="18">
        <f>IF(VLOOKUP(A80,'DB Country PMI'!$A:$AZ,MATCH($A$1,'DB Country PMI'!$A$1:$AZ$1,),)=0,#N/A,VLOOKUP(A80,'DB Country PMI'!$A:$AZ,MATCH($A$1,'DB Country PMI'!$A$1:$AZ$1,),))</f>
        <v>45.2</v>
      </c>
      <c r="C80" s="24">
        <f>Table134681112141516171819202223[[#This Row],[PMI]]-B79</f>
        <v>-1</v>
      </c>
    </row>
    <row r="81" spans="1:3" x14ac:dyDescent="0.2">
      <c r="A81" s="10">
        <v>42736</v>
      </c>
      <c r="B81" s="18">
        <f>IF(VLOOKUP(A81,'DB Country PMI'!$A:$AZ,MATCH($A$1,'DB Country PMI'!$A$1:$AZ$1,),)=0,#N/A,VLOOKUP(A81,'DB Country PMI'!$A:$AZ,MATCH($A$1,'DB Country PMI'!$A$1:$AZ$1,),))</f>
        <v>44</v>
      </c>
      <c r="C81" s="24">
        <f>Table134681112141516171819202223[[#This Row],[PMI]]-B80</f>
        <v>-1.2000000000000028</v>
      </c>
    </row>
    <row r="82" spans="1:3" x14ac:dyDescent="0.2">
      <c r="A82" s="10">
        <v>42767</v>
      </c>
      <c r="B82" s="18">
        <f>IF(VLOOKUP(A82,'DB Country PMI'!$A:$AZ,MATCH($A$1,'DB Country PMI'!$A$1:$AZ$1,),)=0,#N/A,VLOOKUP(A82,'DB Country PMI'!$A:$AZ,MATCH($A$1,'DB Country PMI'!$A$1:$AZ$1,),))</f>
        <v>46.9</v>
      </c>
      <c r="C82" s="24">
        <f>Table134681112141516171819202223[[#This Row],[PMI]]-B81</f>
        <v>2.8999999999999986</v>
      </c>
    </row>
    <row r="83" spans="1:3" x14ac:dyDescent="0.2">
      <c r="A83" s="10">
        <v>42795</v>
      </c>
      <c r="B83" s="18">
        <f>IF(VLOOKUP(A83,'DB Country PMI'!$A:$AZ,MATCH($A$1,'DB Country PMI'!$A$1:$AZ$1,),)=0,#N/A,VLOOKUP(A83,'DB Country PMI'!$A:$AZ,MATCH($A$1,'DB Country PMI'!$A$1:$AZ$1,),))</f>
        <v>49.6</v>
      </c>
      <c r="C83" s="24">
        <f>Table134681112141516171819202223[[#This Row],[PMI]]-B82</f>
        <v>2.7000000000000028</v>
      </c>
    </row>
    <row r="84" spans="1:3" x14ac:dyDescent="0.2">
      <c r="A84" s="10">
        <v>42826</v>
      </c>
      <c r="B84" s="18">
        <f>IF(VLOOKUP(A84,'DB Country PMI'!$A:$AZ,MATCH($A$1,'DB Country PMI'!$A$1:$AZ$1,),)=0,#N/A,VLOOKUP(A84,'DB Country PMI'!$A:$AZ,MATCH($A$1,'DB Country PMI'!$A$1:$AZ$1,),))</f>
        <v>50.1</v>
      </c>
      <c r="C84" s="24">
        <f>Table134681112141516171819202223[[#This Row],[PMI]]-B83</f>
        <v>0.5</v>
      </c>
    </row>
    <row r="85" spans="1:3" x14ac:dyDescent="0.2">
      <c r="A85" s="10">
        <v>42856</v>
      </c>
      <c r="B85" s="18">
        <f>IF(VLOOKUP(A85,'DB Country PMI'!$A:$AZ,MATCH($A$1,'DB Country PMI'!$A$1:$AZ$1,),)=0,#N/A,VLOOKUP(A85,'DB Country PMI'!$A:$AZ,MATCH($A$1,'DB Country PMI'!$A$1:$AZ$1,),))</f>
        <v>52</v>
      </c>
      <c r="C85" s="24">
        <f>Table134681112141516171819202223[[#This Row],[PMI]]-B84</f>
        <v>1.8999999999999986</v>
      </c>
    </row>
    <row r="86" spans="1:3" x14ac:dyDescent="0.2">
      <c r="A86" s="10">
        <v>42887</v>
      </c>
      <c r="B86" s="18">
        <f>IF(VLOOKUP(A86,'DB Country PMI'!$A:$AZ,MATCH($A$1,'DB Country PMI'!$A$1:$AZ$1,),)=0,#N/A,VLOOKUP(A86,'DB Country PMI'!$A:$AZ,MATCH($A$1,'DB Country PMI'!$A$1:$AZ$1,),))</f>
        <v>50.5</v>
      </c>
      <c r="C86" s="24">
        <f>Table134681112141516171819202223[[#This Row],[PMI]]-B85</f>
        <v>-1.5</v>
      </c>
    </row>
    <row r="87" spans="1:3" x14ac:dyDescent="0.2">
      <c r="A87" s="10">
        <v>42917</v>
      </c>
      <c r="B87" s="18">
        <f>IF(VLOOKUP(A87,'DB Country PMI'!$A:$AZ,MATCH($A$1,'DB Country PMI'!$A$1:$AZ$1,),)=0,#N/A,VLOOKUP(A87,'DB Country PMI'!$A:$AZ,MATCH($A$1,'DB Country PMI'!$A$1:$AZ$1,),))</f>
        <v>50</v>
      </c>
      <c r="C87" s="24">
        <f>Table134681112141516171819202223[[#This Row],[PMI]]-B86</f>
        <v>-0.5</v>
      </c>
    </row>
    <row r="88" spans="1:3" x14ac:dyDescent="0.2">
      <c r="A88" s="10">
        <v>42948</v>
      </c>
      <c r="B88" s="18">
        <f>IF(VLOOKUP(A88,'DB Country PMI'!$A:$AZ,MATCH($A$1,'DB Country PMI'!$A$1:$AZ$1,),)=0,#N/A,VLOOKUP(A88,'DB Country PMI'!$A:$AZ,MATCH($A$1,'DB Country PMI'!$A$1:$AZ$1,),))</f>
        <v>50.9</v>
      </c>
      <c r="C88" s="24">
        <f>Table134681112141516171819202223[[#This Row],[PMI]]-B87</f>
        <v>0.89999999999999858</v>
      </c>
    </row>
    <row r="89" spans="1:3" x14ac:dyDescent="0.2">
      <c r="A89" s="10">
        <v>42979</v>
      </c>
      <c r="B89" s="18">
        <f>IF(VLOOKUP(A89,'DB Country PMI'!$A:$AZ,MATCH($A$1,'DB Country PMI'!$A$1:$AZ$1,),)=0,#N/A,VLOOKUP(A89,'DB Country PMI'!$A:$AZ,MATCH($A$1,'DB Country PMI'!$A$1:$AZ$1,),))</f>
        <v>50.9</v>
      </c>
      <c r="C89" s="24">
        <f>Table134681112141516171819202223[[#This Row],[PMI]]-B88</f>
        <v>0</v>
      </c>
    </row>
    <row r="90" spans="1:3" x14ac:dyDescent="0.2">
      <c r="A90" s="10">
        <v>43009</v>
      </c>
      <c r="B90" s="18">
        <f>IF(VLOOKUP(A90,'DB Country PMI'!$A:$AZ,MATCH($A$1,'DB Country PMI'!$A$1:$AZ$1,),)=0,#N/A,VLOOKUP(A90,'DB Country PMI'!$A:$AZ,MATCH($A$1,'DB Country PMI'!$A$1:$AZ$1,),))</f>
        <v>51.2</v>
      </c>
      <c r="C90" s="24">
        <f>Table134681112141516171819202223[[#This Row],[PMI]]-B89</f>
        <v>0.30000000000000426</v>
      </c>
    </row>
    <row r="91" spans="1:3" x14ac:dyDescent="0.2">
      <c r="A91" s="10">
        <v>43040</v>
      </c>
      <c r="B91" s="18">
        <f>IF(VLOOKUP(A91,'DB Country PMI'!$A:$AZ,MATCH($A$1,'DB Country PMI'!$A$1:$AZ$1,),)=0,#N/A,VLOOKUP(A91,'DB Country PMI'!$A:$AZ,MATCH($A$1,'DB Country PMI'!$A$1:$AZ$1,),))</f>
        <v>53.5</v>
      </c>
      <c r="C91" s="24">
        <f>Table134681112141516171819202223[[#This Row],[PMI]]-B90</f>
        <v>2.2999999999999972</v>
      </c>
    </row>
    <row r="92" spans="1:3" x14ac:dyDescent="0.2">
      <c r="A92" s="10">
        <v>43070</v>
      </c>
      <c r="B92" s="18">
        <f>IF(VLOOKUP(A92,'DB Country PMI'!$A:$AZ,MATCH($A$1,'DB Country PMI'!$A$1:$AZ$1,),)=0,#N/A,VLOOKUP(A92,'DB Country PMI'!$A:$AZ,MATCH($A$1,'DB Country PMI'!$A$1:$AZ$1,),))</f>
        <v>52.4</v>
      </c>
      <c r="C92" s="24">
        <f>Table134681112141516171819202223[[#This Row],[PMI]]-B91</f>
        <v>-1.1000000000000014</v>
      </c>
    </row>
    <row r="93" spans="1:3" x14ac:dyDescent="0.2">
      <c r="A93" s="10">
        <v>43101</v>
      </c>
      <c r="B93" s="18">
        <f>IF(VLOOKUP(A93,'DB Country PMI'!$A:$AZ,MATCH($A$1,'DB Country PMI'!$A$1:$AZ$1,),)=0,#N/A,VLOOKUP(A93,'DB Country PMI'!$A:$AZ,MATCH($A$1,'DB Country PMI'!$A$1:$AZ$1,),))</f>
        <v>51.2</v>
      </c>
      <c r="C93" s="24">
        <f>Table134681112141516171819202223[[#This Row],[PMI]]-B92</f>
        <v>-1.1999999999999957</v>
      </c>
    </row>
    <row r="94" spans="1:3" x14ac:dyDescent="0.2">
      <c r="A94" s="10">
        <v>43132</v>
      </c>
      <c r="B94" s="18">
        <f>IF(VLOOKUP(A94,'DB Country PMI'!$A:$AZ,MATCH($A$1,'DB Country PMI'!$A$1:$AZ$1,),)=0,#N/A,VLOOKUP(A94,'DB Country PMI'!$A:$AZ,MATCH($A$1,'DB Country PMI'!$A$1:$AZ$1,),))</f>
        <v>53.2</v>
      </c>
      <c r="C94" s="24">
        <f>Table134681112141516171819202223[[#This Row],[PMI]]-B93</f>
        <v>2</v>
      </c>
    </row>
    <row r="95" spans="1:3" x14ac:dyDescent="0.2">
      <c r="A95" s="10">
        <v>43160</v>
      </c>
      <c r="B95" s="18">
        <f>IF(VLOOKUP(A95,'DB Country PMI'!$A:$AZ,MATCH($A$1,'DB Country PMI'!$A$1:$AZ$1,),)=0,#N/A,VLOOKUP(A95,'DB Country PMI'!$A:$AZ,MATCH($A$1,'DB Country PMI'!$A$1:$AZ$1,),))</f>
        <v>53.4</v>
      </c>
      <c r="C95" s="24">
        <f>Table134681112141516171819202223[[#This Row],[PMI]]-B94</f>
        <v>0.19999999999999574</v>
      </c>
    </row>
    <row r="96" spans="1:3" x14ac:dyDescent="0.2">
      <c r="A96" s="10">
        <v>43191</v>
      </c>
      <c r="B96" s="18">
        <f>IF(VLOOKUP(A96,'DB Country PMI'!$A:$AZ,MATCH($A$1,'DB Country PMI'!$A$1:$AZ$1,),)=0,#N/A,VLOOKUP(A96,'DB Country PMI'!$A:$AZ,MATCH($A$1,'DB Country PMI'!$A$1:$AZ$1,),))</f>
        <v>52.3</v>
      </c>
      <c r="C96" s="24">
        <f>Table134681112141516171819202223[[#This Row],[PMI]]-B95</f>
        <v>-1.1000000000000014</v>
      </c>
    </row>
    <row r="97" spans="1:3" x14ac:dyDescent="0.2">
      <c r="A97" s="10">
        <v>43221</v>
      </c>
      <c r="B97" s="18">
        <f>IF(VLOOKUP(A97,'DB Country PMI'!$A:$AZ,MATCH($A$1,'DB Country PMI'!$A$1:$AZ$1,),)=0,#N/A,VLOOKUP(A97,'DB Country PMI'!$A:$AZ,MATCH($A$1,'DB Country PMI'!$A$1:$AZ$1,),))</f>
        <v>50.7</v>
      </c>
      <c r="C97" s="24">
        <f>Table134681112141516171819202223[[#This Row],[PMI]]-B96</f>
        <v>-1.5999999999999943</v>
      </c>
    </row>
    <row r="98" spans="1:3" x14ac:dyDescent="0.2">
      <c r="A98" s="10">
        <v>43252</v>
      </c>
      <c r="B98" s="18">
        <f>IF(VLOOKUP(A98,'DB Country PMI'!$A:$AZ,MATCH($A$1,'DB Country PMI'!$A$1:$AZ$1,),)=0,#N/A,VLOOKUP(A98,'DB Country PMI'!$A:$AZ,MATCH($A$1,'DB Country PMI'!$A$1:$AZ$1,),))</f>
        <v>49.8</v>
      </c>
      <c r="C98" s="24">
        <f>Table134681112141516171819202223[[#This Row],[PMI]]-B97</f>
        <v>-0.90000000000000568</v>
      </c>
    </row>
    <row r="99" spans="1:3" x14ac:dyDescent="0.2">
      <c r="A99" s="10">
        <v>43282</v>
      </c>
      <c r="B99" s="18">
        <f>IF(VLOOKUP(A99,'DB Country PMI'!$A:$AZ,MATCH($A$1,'DB Country PMI'!$A$1:$AZ$1,),)=0,#N/A,VLOOKUP(A99,'DB Country PMI'!$A:$AZ,MATCH($A$1,'DB Country PMI'!$A$1:$AZ$1,),))</f>
        <v>50.5</v>
      </c>
      <c r="C99" s="24">
        <f>Table134681112141516171819202223[[#This Row],[PMI]]-B98</f>
        <v>0.70000000000000284</v>
      </c>
    </row>
    <row r="100" spans="1:3" x14ac:dyDescent="0.2">
      <c r="A100" s="10">
        <v>43313</v>
      </c>
      <c r="B100" s="18">
        <f>IF(VLOOKUP(A100,'DB Country PMI'!$A:$AZ,MATCH($A$1,'DB Country PMI'!$A$1:$AZ$1,),)=0,#N/A,VLOOKUP(A100,'DB Country PMI'!$A:$AZ,MATCH($A$1,'DB Country PMI'!$A$1:$AZ$1,),))</f>
        <v>51.1</v>
      </c>
      <c r="C100" s="24">
        <f>Table134681112141516171819202223[[#This Row],[PMI]]-B99</f>
        <v>0.60000000000000142</v>
      </c>
    </row>
    <row r="101" spans="1:3" x14ac:dyDescent="0.2">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2">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2">
      <c r="A103" s="10">
        <v>43405</v>
      </c>
      <c r="B103" s="18">
        <f>IF(VLOOKUP(A103,'DB Country PMI'!$A:$AZ,MATCH($A$1,'DB Country PMI'!$A$1:$AZ$1,),)=0,#N/A,VLOOKUP(A103,'DB Country PMI'!$A:$AZ,MATCH($A$1,'DB Country PMI'!$A$1:$AZ$1,),))</f>
        <v>52.7</v>
      </c>
      <c r="C103" s="24">
        <f>Table134681112141516171819202223[[#This Row],[PMI]]-B102</f>
        <v>1.6000000000000014</v>
      </c>
    </row>
    <row r="104" spans="1:3" x14ac:dyDescent="0.2">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2">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2">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2">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2">
      <c r="A108" s="10">
        <v>43556</v>
      </c>
      <c r="B108" s="18">
        <f>IF(VLOOKUP(A108,'DB Country PMI'!$A:$AZ,MATCH($A$1,'DB Country PMI'!$A$1:$AZ$1,),)=0,#N/A,VLOOKUP(A108,'DB Country PMI'!$A:$AZ,MATCH($A$1,'DB Country PMI'!$A$1:$AZ$1,),))</f>
        <v>51.5</v>
      </c>
      <c r="C108" s="24">
        <f>Table134681112141516171819202223[[#This Row],[PMI]]-B107</f>
        <v>-1.2999999999999972</v>
      </c>
    </row>
    <row r="109" spans="1:3" x14ac:dyDescent="0.2">
      <c r="A109" s="10">
        <v>43586</v>
      </c>
      <c r="B109" s="18">
        <f>IF(VLOOKUP(A109,'DB Country PMI'!$A:$AZ,MATCH($A$1,'DB Country PMI'!$A$1:$AZ$1,),)=0,#N/A,VLOOKUP(A109,'DB Country PMI'!$A:$AZ,MATCH($A$1,'DB Country PMI'!$A$1:$AZ$1,),))</f>
        <v>50.2</v>
      </c>
      <c r="C109" s="24">
        <f>Table134681112141516171819202223[[#This Row],[PMI]]-B108</f>
        <v>-1.2999999999999972</v>
      </c>
    </row>
    <row r="110" spans="1:3" x14ac:dyDescent="0.2">
      <c r="A110" s="10">
        <v>43617</v>
      </c>
      <c r="B110" s="18">
        <f>IF(VLOOKUP(A110,'DB Country PMI'!$A:$AZ,MATCH($A$1,'DB Country PMI'!$A$1:$AZ$1,),)=0,#N/A,VLOOKUP(A110,'DB Country PMI'!$A:$AZ,MATCH($A$1,'DB Country PMI'!$A$1:$AZ$1,),))</f>
        <v>51</v>
      </c>
      <c r="C110" s="24">
        <f>Table134681112141516171819202223[[#This Row],[PMI]]-B109</f>
        <v>0.79999999999999716</v>
      </c>
    </row>
    <row r="111" spans="1:3" x14ac:dyDescent="0.2">
      <c r="A111" s="10">
        <v>43647</v>
      </c>
      <c r="B111" s="18">
        <f>IF(VLOOKUP(A111,'DB Country PMI'!$A:$AZ,MATCH($A$1,'DB Country PMI'!$A$1:$AZ$1,),)=0,#N/A,VLOOKUP(A111,'DB Country PMI'!$A:$AZ,MATCH($A$1,'DB Country PMI'!$A$1:$AZ$1,),))</f>
        <v>49.9</v>
      </c>
      <c r="C111" s="24">
        <f>Table134681112141516171819202223[[#This Row],[PMI]]-B110</f>
        <v>-1.1000000000000014</v>
      </c>
    </row>
    <row r="112" spans="1:3" x14ac:dyDescent="0.2">
      <c r="A112" s="10">
        <v>43678</v>
      </c>
      <c r="B112" s="18">
        <f>IF(VLOOKUP(A112,'DB Country PMI'!$A:$AZ,MATCH($A$1,'DB Country PMI'!$A$1:$AZ$1,),)=0,#N/A,VLOOKUP(A112,'DB Country PMI'!$A:$AZ,MATCH($A$1,'DB Country PMI'!$A$1:$AZ$1,),))</f>
        <v>52.5</v>
      </c>
      <c r="C112" s="24">
        <f>Table134681112141516171819202223[[#This Row],[PMI]]-B111</f>
        <v>2.6000000000000014</v>
      </c>
    </row>
    <row r="113" spans="1:3" x14ac:dyDescent="0.2">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2">
      <c r="A114" s="10">
        <v>43739</v>
      </c>
      <c r="B114" s="18">
        <f>IF(VLOOKUP(A114,'DB Country PMI'!$A:$AZ,MATCH($A$1,'DB Country PMI'!$A$1:$AZ$1,),)=0,#N/A,VLOOKUP(A114,'DB Country PMI'!$A:$AZ,MATCH($A$1,'DB Country PMI'!$A$1:$AZ$1,),))</f>
        <v>52.2</v>
      </c>
      <c r="C114" s="24">
        <f>Table134681112141516171819202223[[#This Row],[PMI]]-B113</f>
        <v>-1.1999999999999957</v>
      </c>
    </row>
    <row r="115" spans="1:3" x14ac:dyDescent="0.2">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2">
      <c r="A116" s="10">
        <v>43800</v>
      </c>
      <c r="B116" s="18">
        <f>IF(VLOOKUP(A116,'DB Country PMI'!$A:$AZ,MATCH($A$1,'DB Country PMI'!$A$1:$AZ$1,),)=0,#N/A,VLOOKUP(A116,'DB Country PMI'!$A:$AZ,MATCH($A$1,'DB Country PMI'!$A$1:$AZ$1,),))</f>
        <v>50.2</v>
      </c>
      <c r="C116" s="24">
        <f>Table134681112141516171819202223[[#This Row],[PMI]]-B115</f>
        <v>-2.6999999999999957</v>
      </c>
    </row>
    <row r="117" spans="1:3" x14ac:dyDescent="0.2">
      <c r="A117" s="10">
        <v>43831</v>
      </c>
      <c r="B117" s="18">
        <f>IF(VLOOKUP(A117,'DB Country PMI'!$A:$AZ,MATCH($A$1,'DB Country PMI'!$A$1:$AZ$1,),)=0,#N/A,VLOOKUP(A117,'DB Country PMI'!$A:$AZ,MATCH($A$1,'DB Country PMI'!$A$1:$AZ$1,),))</f>
        <v>51</v>
      </c>
      <c r="C117" s="24">
        <f>Table134681112141516171819202223[[#This Row],[PMI]]-B116</f>
        <v>0.79999999999999716</v>
      </c>
    </row>
    <row r="118" spans="1:3" x14ac:dyDescent="0.2">
      <c r="A118" s="10">
        <v>43862</v>
      </c>
      <c r="B118" s="18">
        <f>IF(VLOOKUP(A118,'DB Country PMI'!$A:$AZ,MATCH($A$1,'DB Country PMI'!$A$1:$AZ$1,),)=0,#N/A,VLOOKUP(A118,'DB Country PMI'!$A:$AZ,MATCH($A$1,'DB Country PMI'!$A$1:$AZ$1,),))</f>
        <v>52.3</v>
      </c>
      <c r="C118" s="24">
        <f>Table134681112141516171819202223[[#This Row],[PMI]]-B117</f>
        <v>1.2999999999999972</v>
      </c>
    </row>
    <row r="119" spans="1:3" x14ac:dyDescent="0.2">
      <c r="A119" s="10">
        <v>43891</v>
      </c>
      <c r="B119" s="18">
        <f>IF(VLOOKUP(A119,'DB Country PMI'!$A:$AZ,MATCH($A$1,'DB Country PMI'!$A$1:$AZ$1,),)=0,#N/A,VLOOKUP(A119,'DB Country PMI'!$A:$AZ,MATCH($A$1,'DB Country PMI'!$A$1:$AZ$1,),))</f>
        <v>48.4</v>
      </c>
      <c r="C119" s="24">
        <f>Table134681112141516171819202223[[#This Row],[PMI]]-B118</f>
        <v>-3.8999999999999986</v>
      </c>
    </row>
    <row r="120" spans="1:3" x14ac:dyDescent="0.2">
      <c r="A120" s="10">
        <v>43922</v>
      </c>
      <c r="B120" s="18">
        <f>IF(VLOOKUP(A120,'DB Country PMI'!$A:$AZ,MATCH($A$1,'DB Country PMI'!$A$1:$AZ$1,),)=0,#N/A,VLOOKUP(A120,'DB Country PMI'!$A:$AZ,MATCH($A$1,'DB Country PMI'!$A$1:$AZ$1,),))</f>
        <v>36</v>
      </c>
      <c r="C120" s="24">
        <f>Table134681112141516171819202223[[#This Row],[PMI]]-B119</f>
        <v>-12.399999999999999</v>
      </c>
    </row>
    <row r="121" spans="1:3" x14ac:dyDescent="0.2">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2">
      <c r="A122" s="10">
        <v>43983</v>
      </c>
      <c r="B122" s="18">
        <f>IF(VLOOKUP(A122,'DB Country PMI'!$A:$AZ,MATCH($A$1,'DB Country PMI'!$A$1:$AZ$1,),)=0,#N/A,VLOOKUP(A122,'DB Country PMI'!$A:$AZ,MATCH($A$1,'DB Country PMI'!$A$1:$AZ$1,),))</f>
        <v>51.6</v>
      </c>
      <c r="C122" s="24">
        <f>Table134681112141516171819202223[[#This Row],[PMI]]-B121</f>
        <v>13.300000000000004</v>
      </c>
    </row>
    <row r="123" spans="1:3" x14ac:dyDescent="0.2">
      <c r="A123" s="10">
        <v>44013</v>
      </c>
      <c r="B123" s="18">
        <f>IF(VLOOKUP(A123,'DB Country PMI'!$A:$AZ,MATCH($A$1,'DB Country PMI'!$A$1:$AZ$1,),)=0,#N/A,VLOOKUP(A123,'DB Country PMI'!$A:$AZ,MATCH($A$1,'DB Country PMI'!$A$1:$AZ$1,),))</f>
        <v>58.2</v>
      </c>
      <c r="C123" s="24">
        <f>Table134681112141516171819202223[[#This Row],[PMI]]-B122</f>
        <v>6.6000000000000014</v>
      </c>
    </row>
    <row r="124" spans="1:3" x14ac:dyDescent="0.2">
      <c r="A124" s="10">
        <v>44044</v>
      </c>
      <c r="B124" s="18">
        <f>IF(VLOOKUP(A124,'DB Country PMI'!$A:$AZ,MATCH($A$1,'DB Country PMI'!$A$1:$AZ$1,),)=0,#N/A,VLOOKUP(A124,'DB Country PMI'!$A:$AZ,MATCH($A$1,'DB Country PMI'!$A$1:$AZ$1,),))</f>
        <v>64.7</v>
      </c>
      <c r="C124" s="24">
        <f>Table134681112141516171819202223[[#This Row],[PMI]]-B123</f>
        <v>6.5</v>
      </c>
    </row>
    <row r="125" spans="1:3" x14ac:dyDescent="0.2">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2">
      <c r="A126" s="10">
        <v>44105</v>
      </c>
      <c r="B126" s="18">
        <f>IF(VLOOKUP(A126,'DB Country PMI'!$A:$AZ,MATCH($A$1,'DB Country PMI'!$A$1:$AZ$1,),)=0,#N/A,VLOOKUP(A126,'DB Country PMI'!$A:$AZ,MATCH($A$1,'DB Country PMI'!$A$1:$AZ$1,),))</f>
        <v>66.7</v>
      </c>
      <c r="C126" s="24">
        <f>Table134681112141516171819202223[[#This Row],[PMI]]-B125</f>
        <v>1.7999999999999972</v>
      </c>
    </row>
    <row r="127" spans="1:3" x14ac:dyDescent="0.2">
      <c r="A127" s="10">
        <v>44136</v>
      </c>
      <c r="B127" s="18">
        <f>IF(VLOOKUP(A127,'DB Country PMI'!$A:$AZ,MATCH($A$1,'DB Country PMI'!$A$1:$AZ$1,),)=0,#N/A,VLOOKUP(A127,'DB Country PMI'!$A:$AZ,MATCH($A$1,'DB Country PMI'!$A$1:$AZ$1,),))</f>
        <v>64</v>
      </c>
      <c r="C127" s="24">
        <f>Table134681112141516171819202223[[#This Row],[PMI]]-B126</f>
        <v>-2.7000000000000028</v>
      </c>
    </row>
    <row r="128" spans="1:3" x14ac:dyDescent="0.2">
      <c r="A128" s="10">
        <v>44166</v>
      </c>
      <c r="B128" s="18">
        <f>IF(VLOOKUP(A128,'DB Country PMI'!$A:$AZ,MATCH($A$1,'DB Country PMI'!$A$1:$AZ$1,),)=0,#N/A,VLOOKUP(A128,'DB Country PMI'!$A:$AZ,MATCH($A$1,'DB Country PMI'!$A$1:$AZ$1,),))</f>
        <v>61.5</v>
      </c>
      <c r="C128" s="24">
        <f>Table134681112141516171819202223[[#This Row],[PMI]]-B127</f>
        <v>-2.5</v>
      </c>
    </row>
    <row r="129" spans="1:3" x14ac:dyDescent="0.2">
      <c r="A129" s="10">
        <v>44197</v>
      </c>
      <c r="B129" s="18">
        <f>IF(VLOOKUP(A129,'DB Country PMI'!$A:$AZ,MATCH($A$1,'DB Country PMI'!$A$1:$AZ$1,),)=0,#N/A,VLOOKUP(A129,'DB Country PMI'!$A:$AZ,MATCH($A$1,'DB Country PMI'!$A$1:$AZ$1,),))</f>
        <v>56.5</v>
      </c>
      <c r="C129" s="24">
        <f>Table134681112141516171819202223[[#This Row],[PMI]]-B128</f>
        <v>-5</v>
      </c>
    </row>
    <row r="130" spans="1:3" x14ac:dyDescent="0.2">
      <c r="A130" s="10">
        <v>44228</v>
      </c>
      <c r="B130" s="18">
        <f>IF(VLOOKUP(A130,'DB Country PMI'!$A:$AZ,MATCH($A$1,'DB Country PMI'!$A$1:$AZ$1,),)=0,#N/A,VLOOKUP(A130,'DB Country PMI'!$A:$AZ,MATCH($A$1,'DB Country PMI'!$A$1:$AZ$1,),))</f>
        <v>58.4</v>
      </c>
      <c r="C130" s="24">
        <f>Table134681112141516171819202223[[#This Row],[PMI]]-B129</f>
        <v>1.8999999999999986</v>
      </c>
    </row>
    <row r="131" spans="1:3" x14ac:dyDescent="0.2">
      <c r="A131" s="10">
        <v>44256</v>
      </c>
      <c r="B131" s="18">
        <f>IF(VLOOKUP(A131,'DB Country PMI'!$A:$AZ,MATCH($A$1,'DB Country PMI'!$A$1:$AZ$1,),)=0,#N/A,VLOOKUP(A131,'DB Country PMI'!$A:$AZ,MATCH($A$1,'DB Country PMI'!$A$1:$AZ$1,),))</f>
        <v>52.8</v>
      </c>
      <c r="C131" s="24">
        <f>Table134681112141516171819202223[[#This Row],[PMI]]-B130</f>
        <v>-5.6000000000000014</v>
      </c>
    </row>
    <row r="132" spans="1:3" x14ac:dyDescent="0.2">
      <c r="A132" s="10">
        <v>44287</v>
      </c>
      <c r="B132" s="18">
        <f>IF(VLOOKUP(A132,'DB Country PMI'!$A:$AZ,MATCH($A$1,'DB Country PMI'!$A$1:$AZ$1,),)=0,#N/A,VLOOKUP(A132,'DB Country PMI'!$A:$AZ,MATCH($A$1,'DB Country PMI'!$A$1:$AZ$1,),))</f>
        <v>52.3</v>
      </c>
      <c r="C132" s="24">
        <f>Table134681112141516171819202223[[#This Row],[PMI]]-B131</f>
        <v>-0.5</v>
      </c>
    </row>
    <row r="133" spans="1:3" x14ac:dyDescent="0.2">
      <c r="A133" s="10">
        <v>44317</v>
      </c>
      <c r="B133" s="18">
        <f>IF(VLOOKUP(A133,'DB Country PMI'!$A:$AZ,MATCH($A$1,'DB Country PMI'!$A$1:$AZ$1,),)=0,#N/A,VLOOKUP(A133,'DB Country PMI'!$A:$AZ,MATCH($A$1,'DB Country PMI'!$A$1:$AZ$1,),))</f>
        <v>53.7</v>
      </c>
      <c r="C133" s="24">
        <f>Table134681112141516171819202223[[#This Row],[PMI]]-B132</f>
        <v>1.4000000000000057</v>
      </c>
    </row>
    <row r="134" spans="1:3" x14ac:dyDescent="0.2">
      <c r="A134" s="10">
        <v>44348</v>
      </c>
      <c r="B134" s="18">
        <f>IF(VLOOKUP(A134,'DB Country PMI'!$A:$AZ,MATCH($A$1,'DB Country PMI'!$A$1:$AZ$1,),)=0,#N/A,VLOOKUP(A134,'DB Country PMI'!$A:$AZ,MATCH($A$1,'DB Country PMI'!$A$1:$AZ$1,),))</f>
        <v>56.4</v>
      </c>
      <c r="C134" s="24">
        <f>Table134681112141516171819202223[[#This Row],[PMI]]-B133</f>
        <v>2.6999999999999957</v>
      </c>
    </row>
    <row r="135" spans="1:3" x14ac:dyDescent="0.2">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2">
      <c r="A136" s="10">
        <v>44409</v>
      </c>
      <c r="B136" s="18">
        <f>IF(VLOOKUP(A136,'DB Country PMI'!$A:$AZ,MATCH($A$1,'DB Country PMI'!$A$1:$AZ$1,),)=0,#N/A,VLOOKUP(A136,'DB Country PMI'!$A:$AZ,MATCH($A$1,'DB Country PMI'!$A$1:$AZ$1,),))</f>
        <v>53.6</v>
      </c>
      <c r="C136" s="24">
        <f>Table134681112141516171819202223[[#This Row],[PMI]]-B135</f>
        <v>-3.1000000000000014</v>
      </c>
    </row>
    <row r="137" spans="1:3" x14ac:dyDescent="0.2">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2">
      <c r="A138" s="10">
        <v>44470</v>
      </c>
      <c r="B138" s="18">
        <f>IF(VLOOKUP(A138,'DB Country PMI'!$A:$AZ,MATCH($A$1,'DB Country PMI'!$A$1:$AZ$1,),)=0,#N/A,VLOOKUP(A138,'DB Country PMI'!$A:$AZ,MATCH($A$1,'DB Country PMI'!$A$1:$AZ$1,),))</f>
        <v>51.7</v>
      </c>
      <c r="C138" s="24">
        <f>Table134681112141516171819202223[[#This Row],[PMI]]-B137</f>
        <v>-2.6999999999999957</v>
      </c>
    </row>
    <row r="139" spans="1:3" x14ac:dyDescent="0.2">
      <c r="A139" s="10">
        <v>44501</v>
      </c>
      <c r="B139" s="18">
        <f>IF(VLOOKUP(A139,'DB Country PMI'!$A:$AZ,MATCH($A$1,'DB Country PMI'!$A$1:$AZ$1,),)=0,#N/A,VLOOKUP(A139,'DB Country PMI'!$A:$AZ,MATCH($A$1,'DB Country PMI'!$A$1:$AZ$1,),))</f>
        <v>49.8</v>
      </c>
      <c r="C139" s="24">
        <f>Table134681112141516171819202223[[#This Row],[PMI]]-B138</f>
        <v>-1.9000000000000057</v>
      </c>
    </row>
    <row r="140" spans="1:3" x14ac:dyDescent="0.2">
      <c r="A140" s="10">
        <v>44531</v>
      </c>
      <c r="B140" s="18">
        <f>IF(VLOOKUP(A140,'DB Country PMI'!$A:$AZ,MATCH($A$1,'DB Country PMI'!$A$1:$AZ$1,),)=0,#N/A,VLOOKUP(A140,'DB Country PMI'!$A:$AZ,MATCH($A$1,'DB Country PMI'!$A$1:$AZ$1,),))</f>
        <v>49.8</v>
      </c>
      <c r="C140" s="24">
        <f>Table134681112141516171819202223[[#This Row],[PMI]]-B139</f>
        <v>0</v>
      </c>
    </row>
    <row r="141" spans="1:3" x14ac:dyDescent="0.2">
      <c r="A141" s="10">
        <v>44562</v>
      </c>
      <c r="B141" s="18">
        <f>IF(VLOOKUP(A141,'DB Country PMI'!$A:$AZ,MATCH($A$1,'DB Country PMI'!$A$1:$AZ$1,),)=0,#N/A,VLOOKUP(A141,'DB Country PMI'!$A:$AZ,MATCH($A$1,'DB Country PMI'!$A$1:$AZ$1,),))</f>
        <v>47.8</v>
      </c>
      <c r="C141" s="24">
        <f>Table134681112141516171819202223[[#This Row],[PMI]]-B140</f>
        <v>-2</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35"/>
  <sheetViews>
    <sheetView zoomScale="150" zoomScaleNormal="150" workbookViewId="0">
      <pane ySplit="5" topLeftCell="A94" activePane="bottomLeft" state="frozen"/>
      <selection pane="bottomLeft" activeCell="T113" sqref="T113"/>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30</v>
      </c>
      <c r="K1" s="63" t="s">
        <v>107</v>
      </c>
    </row>
    <row r="2" spans="1:11" x14ac:dyDescent="0.2">
      <c r="K2" s="63" t="str">
        <f>A1&amp;K1</f>
        <v>Mexico Manufacturing PMI</v>
      </c>
    </row>
    <row r="4" spans="1:11" ht="16" customHeight="1" thickBot="1" x14ac:dyDescent="0.25"/>
    <row r="5" spans="1:11" ht="16" customHeight="1" thickBot="1" x14ac:dyDescent="0.25">
      <c r="A5" s="21" t="s">
        <v>44</v>
      </c>
      <c r="B5" s="22" t="s">
        <v>103</v>
      </c>
      <c r="C5" s="22" t="s">
        <v>104</v>
      </c>
    </row>
    <row r="6" spans="1:11" x14ac:dyDescent="0.2">
      <c r="A6" s="17">
        <v>40634</v>
      </c>
      <c r="B6" s="18">
        <f>IF(VLOOKUP(A6,'DB Country PMI'!$A:$AZ,MATCH($A$1,'DB Country PMI'!$A$1:$AZ$1,),)=0,#N/A,VLOOKUP(A6,'DB Country PMI'!$A:$AZ,MATCH($A$1,'DB Country PMI'!$A$1:$AZ$1,),))</f>
        <v>56.1</v>
      </c>
      <c r="C6" s="18"/>
    </row>
    <row r="7" spans="1:11" x14ac:dyDescent="0.2">
      <c r="A7" s="10">
        <v>40664</v>
      </c>
      <c r="B7" s="18">
        <f>IF(VLOOKUP(A7,'DB Country PMI'!$A:$AZ,MATCH($A$1,'DB Country PMI'!$A$1:$AZ$1,),)=0,#N/A,VLOOKUP(A7,'DB Country PMI'!$A:$AZ,MATCH($A$1,'DB Country PMI'!$A$1:$AZ$1,),))</f>
        <v>54.5</v>
      </c>
      <c r="C7" s="24">
        <f>Table13468111214151617181920222526[[#This Row],[PMI]]-B6</f>
        <v>-1.6000000000000014</v>
      </c>
    </row>
    <row r="8" spans="1:11" x14ac:dyDescent="0.2">
      <c r="A8" s="10">
        <v>40695</v>
      </c>
      <c r="B8" s="18">
        <f>IF(VLOOKUP(A8,'DB Country PMI'!$A:$AZ,MATCH($A$1,'DB Country PMI'!$A$1:$AZ$1,),)=0,#N/A,VLOOKUP(A8,'DB Country PMI'!$A:$AZ,MATCH($A$1,'DB Country PMI'!$A$1:$AZ$1,),))</f>
        <v>55.1</v>
      </c>
      <c r="C8" s="24">
        <f>Table13468111214151617181920222526[[#This Row],[PMI]]-B7</f>
        <v>0.60000000000000142</v>
      </c>
    </row>
    <row r="9" spans="1:11" x14ac:dyDescent="0.2">
      <c r="A9" s="10">
        <v>40725</v>
      </c>
      <c r="B9" s="18">
        <f>IF(VLOOKUP(A9,'DB Country PMI'!$A:$AZ,MATCH($A$1,'DB Country PMI'!$A$1:$AZ$1,),)=0,#N/A,VLOOKUP(A9,'DB Country PMI'!$A:$AZ,MATCH($A$1,'DB Country PMI'!$A$1:$AZ$1,),))</f>
        <v>54.8</v>
      </c>
      <c r="C9" s="24">
        <f>Table13468111214151617181920222526[[#This Row],[PMI]]-B8</f>
        <v>-0.30000000000000426</v>
      </c>
    </row>
    <row r="10" spans="1:11" x14ac:dyDescent="0.2">
      <c r="A10" s="10">
        <v>40756</v>
      </c>
      <c r="B10" s="18">
        <f>IF(VLOOKUP(A10,'DB Country PMI'!$A:$AZ,MATCH($A$1,'DB Country PMI'!$A$1:$AZ$1,),)=0,#N/A,VLOOKUP(A10,'DB Country PMI'!$A:$AZ,MATCH($A$1,'DB Country PMI'!$A$1:$AZ$1,),))</f>
        <v>51.7</v>
      </c>
      <c r="C10" s="24">
        <f>Table13468111214151617181920222526[[#This Row],[PMI]]-B9</f>
        <v>-3.0999999999999943</v>
      </c>
    </row>
    <row r="11" spans="1:11" x14ac:dyDescent="0.2">
      <c r="A11" s="10">
        <v>40787</v>
      </c>
      <c r="B11" s="18">
        <f>IF(VLOOKUP(A11,'DB Country PMI'!$A:$AZ,MATCH($A$1,'DB Country PMI'!$A$1:$AZ$1,),)=0,#N/A,VLOOKUP(A11,'DB Country PMI'!$A:$AZ,MATCH($A$1,'DB Country PMI'!$A$1:$AZ$1,),))</f>
        <v>53.2</v>
      </c>
      <c r="C11" s="24">
        <f>Table13468111214151617181920222526[[#This Row],[PMI]]-B10</f>
        <v>1.5</v>
      </c>
    </row>
    <row r="12" spans="1:11" x14ac:dyDescent="0.2">
      <c r="A12" s="10">
        <v>40817</v>
      </c>
      <c r="B12" s="18">
        <f>IF(VLOOKUP(A12,'DB Country PMI'!$A:$AZ,MATCH($A$1,'DB Country PMI'!$A$1:$AZ$1,),)=0,#N/A,VLOOKUP(A12,'DB Country PMI'!$A:$AZ,MATCH($A$1,'DB Country PMI'!$A$1:$AZ$1,),))</f>
        <v>54.8</v>
      </c>
      <c r="C12" s="24">
        <f>Table13468111214151617181920222526[[#This Row],[PMI]]-B11</f>
        <v>1.5999999999999943</v>
      </c>
    </row>
    <row r="13" spans="1:11" x14ac:dyDescent="0.2">
      <c r="A13" s="10">
        <v>40848</v>
      </c>
      <c r="B13" s="18">
        <f>IF(VLOOKUP(A13,'DB Country PMI'!$A:$AZ,MATCH($A$1,'DB Country PMI'!$A$1:$AZ$1,),)=0,#N/A,VLOOKUP(A13,'DB Country PMI'!$A:$AZ,MATCH($A$1,'DB Country PMI'!$A$1:$AZ$1,),))</f>
        <v>53.9</v>
      </c>
      <c r="C13" s="24">
        <f>Table13468111214151617181920222526[[#This Row],[PMI]]-B12</f>
        <v>-0.89999999999999858</v>
      </c>
    </row>
    <row r="14" spans="1:11" x14ac:dyDescent="0.2">
      <c r="A14" s="10">
        <v>40878</v>
      </c>
      <c r="B14" s="18">
        <f>IF(VLOOKUP(A14,'DB Country PMI'!$A:$AZ,MATCH($A$1,'DB Country PMI'!$A$1:$AZ$1,),)=0,#N/A,VLOOKUP(A14,'DB Country PMI'!$A:$AZ,MATCH($A$1,'DB Country PMI'!$A$1:$AZ$1,),))</f>
        <v>53.1</v>
      </c>
      <c r="C14" s="24">
        <f>Table13468111214151617181920222526[[#This Row],[PMI]]-B13</f>
        <v>-0.79999999999999716</v>
      </c>
    </row>
    <row r="15" spans="1:11" x14ac:dyDescent="0.2">
      <c r="A15" s="10">
        <v>40909</v>
      </c>
      <c r="B15" s="18">
        <f>IF(VLOOKUP(A15,'DB Country PMI'!$A:$AZ,MATCH($A$1,'DB Country PMI'!$A$1:$AZ$1,),)=0,#N/A,VLOOKUP(A15,'DB Country PMI'!$A:$AZ,MATCH($A$1,'DB Country PMI'!$A$1:$AZ$1,),))</f>
        <v>52.2</v>
      </c>
      <c r="C15" s="24">
        <f>Table13468111214151617181920222526[[#This Row],[PMI]]-B14</f>
        <v>-0.89999999999999858</v>
      </c>
    </row>
    <row r="16" spans="1:11" x14ac:dyDescent="0.2">
      <c r="A16" s="10">
        <v>40940</v>
      </c>
      <c r="B16" s="18">
        <f>IF(VLOOKUP(A16,'DB Country PMI'!$A:$AZ,MATCH($A$1,'DB Country PMI'!$A$1:$AZ$1,),)=0,#N/A,VLOOKUP(A16,'DB Country PMI'!$A:$AZ,MATCH($A$1,'DB Country PMI'!$A$1:$AZ$1,),))</f>
        <v>53.7</v>
      </c>
      <c r="C16" s="24">
        <f>Table13468111214151617181920222526[[#This Row],[PMI]]-B15</f>
        <v>1.5</v>
      </c>
    </row>
    <row r="17" spans="1:3" x14ac:dyDescent="0.2">
      <c r="A17" s="10">
        <v>40969</v>
      </c>
      <c r="B17" s="18">
        <f>IF(VLOOKUP(A17,'DB Country PMI'!$A:$AZ,MATCH($A$1,'DB Country PMI'!$A$1:$AZ$1,),)=0,#N/A,VLOOKUP(A17,'DB Country PMI'!$A:$AZ,MATCH($A$1,'DB Country PMI'!$A$1:$AZ$1,),))</f>
        <v>53.8</v>
      </c>
      <c r="C17" s="24">
        <f>Table13468111214151617181920222526[[#This Row],[PMI]]-B16</f>
        <v>9.9999999999994316E-2</v>
      </c>
    </row>
    <row r="18" spans="1:3" x14ac:dyDescent="0.2">
      <c r="A18" s="10">
        <v>41000</v>
      </c>
      <c r="B18" s="18">
        <f>IF(VLOOKUP(A18,'DB Country PMI'!$A:$AZ,MATCH($A$1,'DB Country PMI'!$A$1:$AZ$1,),)=0,#N/A,VLOOKUP(A18,'DB Country PMI'!$A:$AZ,MATCH($A$1,'DB Country PMI'!$A$1:$AZ$1,),))</f>
        <v>56.3</v>
      </c>
      <c r="C18" s="24">
        <f>Table13468111214151617181920222526[[#This Row],[PMI]]-B17</f>
        <v>2.5</v>
      </c>
    </row>
    <row r="19" spans="1:3" x14ac:dyDescent="0.2">
      <c r="A19" s="10">
        <v>41030</v>
      </c>
      <c r="B19" s="18">
        <f>IF(VLOOKUP(A19,'DB Country PMI'!$A:$AZ,MATCH($A$1,'DB Country PMI'!$A$1:$AZ$1,),)=0,#N/A,VLOOKUP(A19,'DB Country PMI'!$A:$AZ,MATCH($A$1,'DB Country PMI'!$A$1:$AZ$1,),))</f>
        <v>55.2</v>
      </c>
      <c r="C19" s="24">
        <f>Table13468111214151617181920222526[[#This Row],[PMI]]-B18</f>
        <v>-1.0999999999999943</v>
      </c>
    </row>
    <row r="20" spans="1:3" x14ac:dyDescent="0.2">
      <c r="A20" s="10">
        <v>41061</v>
      </c>
      <c r="B20" s="18">
        <f>IF(VLOOKUP(A20,'DB Country PMI'!$A:$AZ,MATCH($A$1,'DB Country PMI'!$A$1:$AZ$1,),)=0,#N/A,VLOOKUP(A20,'DB Country PMI'!$A:$AZ,MATCH($A$1,'DB Country PMI'!$A$1:$AZ$1,),))</f>
        <v>55.9</v>
      </c>
      <c r="C20" s="24">
        <f>Table13468111214151617181920222526[[#This Row],[PMI]]-B19</f>
        <v>0.69999999999999574</v>
      </c>
    </row>
    <row r="21" spans="1:3" x14ac:dyDescent="0.2">
      <c r="A21" s="10">
        <v>41091</v>
      </c>
      <c r="B21" s="18">
        <f>IF(VLOOKUP(A21,'DB Country PMI'!$A:$AZ,MATCH($A$1,'DB Country PMI'!$A$1:$AZ$1,),)=0,#N/A,VLOOKUP(A21,'DB Country PMI'!$A:$AZ,MATCH($A$1,'DB Country PMI'!$A$1:$AZ$1,),))</f>
        <v>55.2</v>
      </c>
      <c r="C21" s="24">
        <f>Table13468111214151617181920222526[[#This Row],[PMI]]-B20</f>
        <v>-0.69999999999999574</v>
      </c>
    </row>
    <row r="22" spans="1:3" x14ac:dyDescent="0.2">
      <c r="A22" s="10">
        <v>41122</v>
      </c>
      <c r="B22" s="18">
        <f>IF(VLOOKUP(A22,'DB Country PMI'!$A:$AZ,MATCH($A$1,'DB Country PMI'!$A$1:$AZ$1,),)=0,#N/A,VLOOKUP(A22,'DB Country PMI'!$A:$AZ,MATCH($A$1,'DB Country PMI'!$A$1:$AZ$1,),))</f>
        <v>55.1</v>
      </c>
      <c r="C22" s="24">
        <f>Table13468111214151617181920222526[[#This Row],[PMI]]-B21</f>
        <v>-0.10000000000000142</v>
      </c>
    </row>
    <row r="23" spans="1:3" x14ac:dyDescent="0.2">
      <c r="A23" s="10">
        <v>41153</v>
      </c>
      <c r="B23" s="18">
        <f>IF(VLOOKUP(A23,'DB Country PMI'!$A:$AZ,MATCH($A$1,'DB Country PMI'!$A$1:$AZ$1,),)=0,#N/A,VLOOKUP(A23,'DB Country PMI'!$A:$AZ,MATCH($A$1,'DB Country PMI'!$A$1:$AZ$1,),))</f>
        <v>54.4</v>
      </c>
      <c r="C23" s="24">
        <f>Table13468111214151617181920222526[[#This Row],[PMI]]-B22</f>
        <v>-0.70000000000000284</v>
      </c>
    </row>
    <row r="24" spans="1:3" x14ac:dyDescent="0.2">
      <c r="A24" s="10">
        <v>41183</v>
      </c>
      <c r="B24" s="18">
        <f>IF(VLOOKUP(A24,'DB Country PMI'!$A:$AZ,MATCH($A$1,'DB Country PMI'!$A$1:$AZ$1,),)=0,#N/A,VLOOKUP(A24,'DB Country PMI'!$A:$AZ,MATCH($A$1,'DB Country PMI'!$A$1:$AZ$1,),))</f>
        <v>55.5</v>
      </c>
      <c r="C24" s="24">
        <f>Table13468111214151617181920222526[[#This Row],[PMI]]-B23</f>
        <v>1.1000000000000014</v>
      </c>
    </row>
    <row r="25" spans="1:3" x14ac:dyDescent="0.2">
      <c r="A25" s="10">
        <v>41214</v>
      </c>
      <c r="B25" s="18">
        <f>IF(VLOOKUP(A25,'DB Country PMI'!$A:$AZ,MATCH($A$1,'DB Country PMI'!$A$1:$AZ$1,),)=0,#N/A,VLOOKUP(A25,'DB Country PMI'!$A:$AZ,MATCH($A$1,'DB Country PMI'!$A$1:$AZ$1,),))</f>
        <v>55.6</v>
      </c>
      <c r="C25" s="24">
        <f>Table13468111214151617181920222526[[#This Row],[PMI]]-B24</f>
        <v>0.10000000000000142</v>
      </c>
    </row>
    <row r="26" spans="1:3" x14ac:dyDescent="0.2">
      <c r="A26" s="10">
        <v>41244</v>
      </c>
      <c r="B26" s="18">
        <f>IF(VLOOKUP(A26,'DB Country PMI'!$A:$AZ,MATCH($A$1,'DB Country PMI'!$A$1:$AZ$1,),)=0,#N/A,VLOOKUP(A26,'DB Country PMI'!$A:$AZ,MATCH($A$1,'DB Country PMI'!$A$1:$AZ$1,),))</f>
        <v>57.1</v>
      </c>
      <c r="C26" s="24">
        <f>Table13468111214151617181920222526[[#This Row],[PMI]]-B25</f>
        <v>1.5</v>
      </c>
    </row>
    <row r="27" spans="1:3" x14ac:dyDescent="0.2">
      <c r="A27" s="10">
        <v>41275</v>
      </c>
      <c r="B27" s="18">
        <f>IF(VLOOKUP(A27,'DB Country PMI'!$A:$AZ,MATCH($A$1,'DB Country PMI'!$A$1:$AZ$1,),)=0,#N/A,VLOOKUP(A27,'DB Country PMI'!$A:$AZ,MATCH($A$1,'DB Country PMI'!$A$1:$AZ$1,),))</f>
        <v>55</v>
      </c>
      <c r="C27" s="24">
        <f>Table13468111214151617181920222526[[#This Row],[PMI]]-B26</f>
        <v>-2.1000000000000014</v>
      </c>
    </row>
    <row r="28" spans="1:3" x14ac:dyDescent="0.2">
      <c r="A28" s="10">
        <v>41306</v>
      </c>
      <c r="B28" s="18">
        <f>IF(VLOOKUP(A28,'DB Country PMI'!$A:$AZ,MATCH($A$1,'DB Country PMI'!$A$1:$AZ$1,),)=0,#N/A,VLOOKUP(A28,'DB Country PMI'!$A:$AZ,MATCH($A$1,'DB Country PMI'!$A$1:$AZ$1,),))</f>
        <v>53.4</v>
      </c>
      <c r="C28" s="24">
        <f>Table13468111214151617181920222526[[#This Row],[PMI]]-B27</f>
        <v>-1.6000000000000014</v>
      </c>
    </row>
    <row r="29" spans="1:3" x14ac:dyDescent="0.2">
      <c r="A29" s="10">
        <v>41334</v>
      </c>
      <c r="B29" s="18">
        <f>IF(VLOOKUP(A29,'DB Country PMI'!$A:$AZ,MATCH($A$1,'DB Country PMI'!$A$1:$AZ$1,),)=0,#N/A,VLOOKUP(A29,'DB Country PMI'!$A:$AZ,MATCH($A$1,'DB Country PMI'!$A$1:$AZ$1,),))</f>
        <v>52.2</v>
      </c>
      <c r="C29" s="24">
        <f>Table13468111214151617181920222526[[#This Row],[PMI]]-B28</f>
        <v>-1.1999999999999957</v>
      </c>
    </row>
    <row r="30" spans="1:3" x14ac:dyDescent="0.2">
      <c r="A30" s="10">
        <v>41365</v>
      </c>
      <c r="B30" s="18">
        <f>IF(VLOOKUP(A30,'DB Country PMI'!$A:$AZ,MATCH($A$1,'DB Country PMI'!$A$1:$AZ$1,),)=0,#N/A,VLOOKUP(A30,'DB Country PMI'!$A:$AZ,MATCH($A$1,'DB Country PMI'!$A$1:$AZ$1,),))</f>
        <v>51.7</v>
      </c>
      <c r="C30" s="24">
        <f>Table13468111214151617181920222526[[#This Row],[PMI]]-B29</f>
        <v>-0.5</v>
      </c>
    </row>
    <row r="31" spans="1:3" x14ac:dyDescent="0.2">
      <c r="A31" s="10">
        <v>41395</v>
      </c>
      <c r="B31" s="18">
        <f>IF(VLOOKUP(A31,'DB Country PMI'!$A:$AZ,MATCH($A$1,'DB Country PMI'!$A$1:$AZ$1,),)=0,#N/A,VLOOKUP(A31,'DB Country PMI'!$A:$AZ,MATCH($A$1,'DB Country PMI'!$A$1:$AZ$1,),))</f>
        <v>51.8</v>
      </c>
      <c r="C31" s="24">
        <f>Table13468111214151617181920222526[[#This Row],[PMI]]-B30</f>
        <v>9.9999999999994316E-2</v>
      </c>
    </row>
    <row r="32" spans="1:3" x14ac:dyDescent="0.2">
      <c r="A32" s="10">
        <v>41426</v>
      </c>
      <c r="B32" s="18">
        <f>IF(VLOOKUP(A32,'DB Country PMI'!$A:$AZ,MATCH($A$1,'DB Country PMI'!$A$1:$AZ$1,),)=0,#N/A,VLOOKUP(A32,'DB Country PMI'!$A:$AZ,MATCH($A$1,'DB Country PMI'!$A$1:$AZ$1,),))</f>
        <v>51.3</v>
      </c>
      <c r="C32" s="24">
        <f>Table13468111214151617181920222526[[#This Row],[PMI]]-B31</f>
        <v>-0.5</v>
      </c>
    </row>
    <row r="33" spans="1:3" x14ac:dyDescent="0.2">
      <c r="A33" s="10">
        <v>41456</v>
      </c>
      <c r="B33" s="18">
        <f>IF(VLOOKUP(A33,'DB Country PMI'!$A:$AZ,MATCH($A$1,'DB Country PMI'!$A$1:$AZ$1,),)=0,#N/A,VLOOKUP(A33,'DB Country PMI'!$A:$AZ,MATCH($A$1,'DB Country PMI'!$A$1:$AZ$1,),))</f>
        <v>49.7</v>
      </c>
      <c r="C33" s="24">
        <f>Table13468111214151617181920222526[[#This Row],[PMI]]-B32</f>
        <v>-1.5999999999999943</v>
      </c>
    </row>
    <row r="34" spans="1:3" x14ac:dyDescent="0.2">
      <c r="A34" s="10">
        <v>41487</v>
      </c>
      <c r="B34" s="18">
        <f>IF(VLOOKUP(A34,'DB Country PMI'!$A:$AZ,MATCH($A$1,'DB Country PMI'!$A$1:$AZ$1,),)=0,#N/A,VLOOKUP(A34,'DB Country PMI'!$A:$AZ,MATCH($A$1,'DB Country PMI'!$A$1:$AZ$1,),))</f>
        <v>50.8</v>
      </c>
      <c r="C34" s="24">
        <f>Table13468111214151617181920222526[[#This Row],[PMI]]-B33</f>
        <v>1.0999999999999943</v>
      </c>
    </row>
    <row r="35" spans="1:3" x14ac:dyDescent="0.2">
      <c r="A35" s="10">
        <v>41518</v>
      </c>
      <c r="B35" s="18">
        <f>IF(VLOOKUP(A35,'DB Country PMI'!$A:$AZ,MATCH($A$1,'DB Country PMI'!$A$1:$AZ$1,),)=0,#N/A,VLOOKUP(A35,'DB Country PMI'!$A:$AZ,MATCH($A$1,'DB Country PMI'!$A$1:$AZ$1,),))</f>
        <v>50</v>
      </c>
      <c r="C35" s="24">
        <f>Table13468111214151617181920222526[[#This Row],[PMI]]-B34</f>
        <v>-0.79999999999999716</v>
      </c>
    </row>
    <row r="36" spans="1:3" x14ac:dyDescent="0.2">
      <c r="A36" s="10">
        <v>41548</v>
      </c>
      <c r="B36" s="18">
        <f>IF(VLOOKUP(A36,'DB Country PMI'!$A:$AZ,MATCH($A$1,'DB Country PMI'!$A$1:$AZ$1,),)=0,#N/A,VLOOKUP(A36,'DB Country PMI'!$A:$AZ,MATCH($A$1,'DB Country PMI'!$A$1:$AZ$1,),))</f>
        <v>50.2</v>
      </c>
      <c r="C36" s="24">
        <f>Table13468111214151617181920222526[[#This Row],[PMI]]-B35</f>
        <v>0.20000000000000284</v>
      </c>
    </row>
    <row r="37" spans="1:3" x14ac:dyDescent="0.2">
      <c r="A37" s="10">
        <v>41579</v>
      </c>
      <c r="B37" s="18">
        <f>IF(VLOOKUP(A37,'DB Country PMI'!$A:$AZ,MATCH($A$1,'DB Country PMI'!$A$1:$AZ$1,),)=0,#N/A,VLOOKUP(A37,'DB Country PMI'!$A:$AZ,MATCH($A$1,'DB Country PMI'!$A$1:$AZ$1,),))</f>
        <v>51.9</v>
      </c>
      <c r="C37" s="24">
        <f>Table13468111214151617181920222526[[#This Row],[PMI]]-B36</f>
        <v>1.6999999999999957</v>
      </c>
    </row>
    <row r="38" spans="1:3" x14ac:dyDescent="0.2">
      <c r="A38" s="10">
        <v>41609</v>
      </c>
      <c r="B38" s="18">
        <f>IF(VLOOKUP(A38,'DB Country PMI'!$A:$AZ,MATCH($A$1,'DB Country PMI'!$A$1:$AZ$1,),)=0,#N/A,VLOOKUP(A38,'DB Country PMI'!$A:$AZ,MATCH($A$1,'DB Country PMI'!$A$1:$AZ$1,),))</f>
        <v>52.6</v>
      </c>
      <c r="C38" s="24">
        <f>Table13468111214151617181920222526[[#This Row],[PMI]]-B37</f>
        <v>0.70000000000000284</v>
      </c>
    </row>
    <row r="39" spans="1:3" x14ac:dyDescent="0.2">
      <c r="A39" s="10">
        <v>41640</v>
      </c>
      <c r="B39" s="18">
        <f>IF(VLOOKUP(A39,'DB Country PMI'!$A:$AZ,MATCH($A$1,'DB Country PMI'!$A$1:$AZ$1,),)=0,#N/A,VLOOKUP(A39,'DB Country PMI'!$A:$AZ,MATCH($A$1,'DB Country PMI'!$A$1:$AZ$1,),))</f>
        <v>54</v>
      </c>
      <c r="C39" s="24">
        <f>Table13468111214151617181920222526[[#This Row],[PMI]]-B38</f>
        <v>1.3999999999999986</v>
      </c>
    </row>
    <row r="40" spans="1:3" x14ac:dyDescent="0.2">
      <c r="A40" s="10">
        <v>41671</v>
      </c>
      <c r="B40" s="18">
        <f>IF(VLOOKUP(A40,'DB Country PMI'!$A:$AZ,MATCH($A$1,'DB Country PMI'!$A$1:$AZ$1,),)=0,#N/A,VLOOKUP(A40,'DB Country PMI'!$A:$AZ,MATCH($A$1,'DB Country PMI'!$A$1:$AZ$1,),))</f>
        <v>52</v>
      </c>
      <c r="C40" s="24">
        <f>Table13468111214151617181920222526[[#This Row],[PMI]]-B39</f>
        <v>-2</v>
      </c>
    </row>
    <row r="41" spans="1:3" x14ac:dyDescent="0.2">
      <c r="A41" s="10">
        <v>41699</v>
      </c>
      <c r="B41" s="18">
        <f>IF(VLOOKUP(A41,'DB Country PMI'!$A:$AZ,MATCH($A$1,'DB Country PMI'!$A$1:$AZ$1,),)=0,#N/A,VLOOKUP(A41,'DB Country PMI'!$A:$AZ,MATCH($A$1,'DB Country PMI'!$A$1:$AZ$1,),))</f>
        <v>51.7</v>
      </c>
      <c r="C41" s="24">
        <f>Table13468111214151617181920222526[[#This Row],[PMI]]-B40</f>
        <v>-0.29999999999999716</v>
      </c>
    </row>
    <row r="42" spans="1:3" x14ac:dyDescent="0.2">
      <c r="A42" s="10">
        <v>41730</v>
      </c>
      <c r="B42" s="18">
        <f>IF(VLOOKUP(A42,'DB Country PMI'!$A:$AZ,MATCH($A$1,'DB Country PMI'!$A$1:$AZ$1,),)=0,#N/A,VLOOKUP(A42,'DB Country PMI'!$A:$AZ,MATCH($A$1,'DB Country PMI'!$A$1:$AZ$1,),))</f>
        <v>51.8</v>
      </c>
      <c r="C42" s="24">
        <f>Table13468111214151617181920222526[[#This Row],[PMI]]-B41</f>
        <v>9.9999999999994316E-2</v>
      </c>
    </row>
    <row r="43" spans="1:3" x14ac:dyDescent="0.2">
      <c r="A43" s="10">
        <v>41760</v>
      </c>
      <c r="B43" s="18">
        <f>IF(VLOOKUP(A43,'DB Country PMI'!$A:$AZ,MATCH($A$1,'DB Country PMI'!$A$1:$AZ$1,),)=0,#N/A,VLOOKUP(A43,'DB Country PMI'!$A:$AZ,MATCH($A$1,'DB Country PMI'!$A$1:$AZ$1,),))</f>
        <v>51.9</v>
      </c>
      <c r="C43" s="24">
        <f>Table13468111214151617181920222526[[#This Row],[PMI]]-B42</f>
        <v>0.10000000000000142</v>
      </c>
    </row>
    <row r="44" spans="1:3" x14ac:dyDescent="0.2">
      <c r="A44" s="10">
        <v>41791</v>
      </c>
      <c r="B44" s="18">
        <f>IF(VLOOKUP(A44,'DB Country PMI'!$A:$AZ,MATCH($A$1,'DB Country PMI'!$A$1:$AZ$1,),)=0,#N/A,VLOOKUP(A44,'DB Country PMI'!$A:$AZ,MATCH($A$1,'DB Country PMI'!$A$1:$AZ$1,),))</f>
        <v>51.8</v>
      </c>
      <c r="C44" s="24">
        <f>Table13468111214151617181920222526[[#This Row],[PMI]]-B43</f>
        <v>-0.10000000000000142</v>
      </c>
    </row>
    <row r="45" spans="1:3" x14ac:dyDescent="0.2">
      <c r="A45" s="10">
        <v>41821</v>
      </c>
      <c r="B45" s="18">
        <f>IF(VLOOKUP(A45,'DB Country PMI'!$A:$AZ,MATCH($A$1,'DB Country PMI'!$A$1:$AZ$1,),)=0,#N/A,VLOOKUP(A45,'DB Country PMI'!$A:$AZ,MATCH($A$1,'DB Country PMI'!$A$1:$AZ$1,),))</f>
        <v>51.5</v>
      </c>
      <c r="C45" s="24">
        <f>Table13468111214151617181920222526[[#This Row],[PMI]]-B44</f>
        <v>-0.29999999999999716</v>
      </c>
    </row>
    <row r="46" spans="1:3" x14ac:dyDescent="0.2">
      <c r="A46" s="10">
        <v>41852</v>
      </c>
      <c r="B46" s="18">
        <f>IF(VLOOKUP(A46,'DB Country PMI'!$A:$AZ,MATCH($A$1,'DB Country PMI'!$A$1:$AZ$1,),)=0,#N/A,VLOOKUP(A46,'DB Country PMI'!$A:$AZ,MATCH($A$1,'DB Country PMI'!$A$1:$AZ$1,),))</f>
        <v>52.1</v>
      </c>
      <c r="C46" s="24">
        <f>Table13468111214151617181920222526[[#This Row],[PMI]]-B45</f>
        <v>0.60000000000000142</v>
      </c>
    </row>
    <row r="47" spans="1:3" x14ac:dyDescent="0.2">
      <c r="A47" s="10">
        <v>41883</v>
      </c>
      <c r="B47" s="18">
        <f>IF(VLOOKUP(A47,'DB Country PMI'!$A:$AZ,MATCH($A$1,'DB Country PMI'!$A$1:$AZ$1,),)=0,#N/A,VLOOKUP(A47,'DB Country PMI'!$A:$AZ,MATCH($A$1,'DB Country PMI'!$A$1:$AZ$1,),))</f>
        <v>52.6</v>
      </c>
      <c r="C47" s="24">
        <f>Table13468111214151617181920222526[[#This Row],[PMI]]-B46</f>
        <v>0.5</v>
      </c>
    </row>
    <row r="48" spans="1:3" x14ac:dyDescent="0.2">
      <c r="A48" s="10">
        <v>41913</v>
      </c>
      <c r="B48" s="18">
        <f>IF(VLOOKUP(A48,'DB Country PMI'!$A:$AZ,MATCH($A$1,'DB Country PMI'!$A$1:$AZ$1,),)=0,#N/A,VLOOKUP(A48,'DB Country PMI'!$A:$AZ,MATCH($A$1,'DB Country PMI'!$A$1:$AZ$1,),))</f>
        <v>53.3</v>
      </c>
      <c r="C48" s="24">
        <f>Table13468111214151617181920222526[[#This Row],[PMI]]-B47</f>
        <v>0.69999999999999574</v>
      </c>
    </row>
    <row r="49" spans="1:3" x14ac:dyDescent="0.2">
      <c r="A49" s="10">
        <v>41944</v>
      </c>
      <c r="B49" s="18">
        <f>IF(VLOOKUP(A49,'DB Country PMI'!$A:$AZ,MATCH($A$1,'DB Country PMI'!$A$1:$AZ$1,),)=0,#N/A,VLOOKUP(A49,'DB Country PMI'!$A:$AZ,MATCH($A$1,'DB Country PMI'!$A$1:$AZ$1,),))</f>
        <v>54.3</v>
      </c>
      <c r="C49" s="24">
        <f>Table13468111214151617181920222526[[#This Row],[PMI]]-B48</f>
        <v>1</v>
      </c>
    </row>
    <row r="50" spans="1:3" x14ac:dyDescent="0.2">
      <c r="A50" s="10">
        <v>41974</v>
      </c>
      <c r="B50" s="18">
        <f>IF(VLOOKUP(A50,'DB Country PMI'!$A:$AZ,MATCH($A$1,'DB Country PMI'!$A$1:$AZ$1,),)=0,#N/A,VLOOKUP(A50,'DB Country PMI'!$A:$AZ,MATCH($A$1,'DB Country PMI'!$A$1:$AZ$1,),))</f>
        <v>55.3</v>
      </c>
      <c r="C50" s="24">
        <f>Table13468111214151617181920222526[[#This Row],[PMI]]-B49</f>
        <v>1</v>
      </c>
    </row>
    <row r="51" spans="1:3" x14ac:dyDescent="0.2">
      <c r="A51" s="10">
        <v>42005</v>
      </c>
      <c r="B51" s="18">
        <f>IF(VLOOKUP(A51,'DB Country PMI'!$A:$AZ,MATCH($A$1,'DB Country PMI'!$A$1:$AZ$1,),)=0,#N/A,VLOOKUP(A51,'DB Country PMI'!$A:$AZ,MATCH($A$1,'DB Country PMI'!$A$1:$AZ$1,),))</f>
        <v>55.6</v>
      </c>
      <c r="C51" s="24">
        <f>Table13468111214151617181920222526[[#This Row],[PMI]]-B50</f>
        <v>0.30000000000000426</v>
      </c>
    </row>
    <row r="52" spans="1:3" x14ac:dyDescent="0.2">
      <c r="A52" s="10">
        <v>42036</v>
      </c>
      <c r="B52" s="18">
        <f>IF(VLOOKUP(A52,'DB Country PMI'!$A:$AZ,MATCH($A$1,'DB Country PMI'!$A$1:$AZ$1,),)=0,#N/A,VLOOKUP(A52,'DB Country PMI'!$A:$AZ,MATCH($A$1,'DB Country PMI'!$A$1:$AZ$1,),))</f>
        <v>54.4</v>
      </c>
      <c r="C52" s="24">
        <f>Table13468111214151617181920222526[[#This Row],[PMI]]-B51</f>
        <v>-1.2000000000000028</v>
      </c>
    </row>
    <row r="53" spans="1:3" x14ac:dyDescent="0.2">
      <c r="A53" s="10">
        <v>42064</v>
      </c>
      <c r="B53" s="18">
        <f>IF(VLOOKUP(A53,'DB Country PMI'!$A:$AZ,MATCH($A$1,'DB Country PMI'!$A$1:$AZ$1,),)=0,#N/A,VLOOKUP(A53,'DB Country PMI'!$A:$AZ,MATCH($A$1,'DB Country PMI'!$A$1:$AZ$1,),))</f>
        <v>53.8</v>
      </c>
      <c r="C53" s="24">
        <f>Table13468111214151617181920222526[[#This Row],[PMI]]-B52</f>
        <v>-0.60000000000000142</v>
      </c>
    </row>
    <row r="54" spans="1:3" x14ac:dyDescent="0.2">
      <c r="A54" s="10">
        <v>42095</v>
      </c>
      <c r="B54" s="18">
        <f>IF(VLOOKUP(A54,'DB Country PMI'!$A:$AZ,MATCH($A$1,'DB Country PMI'!$A$1:$AZ$1,),)=0,#N/A,VLOOKUP(A54,'DB Country PMI'!$A:$AZ,MATCH($A$1,'DB Country PMI'!$A$1:$AZ$1,),))</f>
        <v>53.8</v>
      </c>
      <c r="C54" s="24">
        <f>Table13468111214151617181920222526[[#This Row],[PMI]]-B53</f>
        <v>0</v>
      </c>
    </row>
    <row r="55" spans="1:3" x14ac:dyDescent="0.2">
      <c r="A55" s="10">
        <v>42125</v>
      </c>
      <c r="B55" s="18">
        <f>IF(VLOOKUP(A55,'DB Country PMI'!$A:$AZ,MATCH($A$1,'DB Country PMI'!$A$1:$AZ$1,),)=0,#N/A,VLOOKUP(A55,'DB Country PMI'!$A:$AZ,MATCH($A$1,'DB Country PMI'!$A$1:$AZ$1,),))</f>
        <v>53.3</v>
      </c>
      <c r="C55" s="24">
        <f>Table13468111214151617181920222526[[#This Row],[PMI]]-B54</f>
        <v>-0.5</v>
      </c>
    </row>
    <row r="56" spans="1:3" x14ac:dyDescent="0.2">
      <c r="A56" s="10">
        <v>42156</v>
      </c>
      <c r="B56" s="18">
        <f>IF(VLOOKUP(A56,'DB Country PMI'!$A:$AZ,MATCH($A$1,'DB Country PMI'!$A$1:$AZ$1,),)=0,#N/A,VLOOKUP(A56,'DB Country PMI'!$A:$AZ,MATCH($A$1,'DB Country PMI'!$A$1:$AZ$1,),))</f>
        <v>52</v>
      </c>
      <c r="C56" s="24">
        <f>Table13468111214151617181920222526[[#This Row],[PMI]]-B55</f>
        <v>-1.2999999999999972</v>
      </c>
    </row>
    <row r="57" spans="1:3" x14ac:dyDescent="0.2">
      <c r="A57" s="10">
        <v>42186</v>
      </c>
      <c r="B57" s="18">
        <f>IF(VLOOKUP(A57,'DB Country PMI'!$A:$AZ,MATCH($A$1,'DB Country PMI'!$A$1:$AZ$1,),)=0,#N/A,VLOOKUP(A57,'DB Country PMI'!$A:$AZ,MATCH($A$1,'DB Country PMI'!$A$1:$AZ$1,),))</f>
        <v>52.9</v>
      </c>
      <c r="C57" s="24">
        <f>Table13468111214151617181920222526[[#This Row],[PMI]]-B56</f>
        <v>0.89999999999999858</v>
      </c>
    </row>
    <row r="58" spans="1:3" x14ac:dyDescent="0.2">
      <c r="A58" s="10">
        <v>42217</v>
      </c>
      <c r="B58" s="18">
        <f>IF(VLOOKUP(A58,'DB Country PMI'!$A:$AZ,MATCH($A$1,'DB Country PMI'!$A$1:$AZ$1,),)=0,#N/A,VLOOKUP(A58,'DB Country PMI'!$A:$AZ,MATCH($A$1,'DB Country PMI'!$A$1:$AZ$1,),))</f>
        <v>52.4</v>
      </c>
      <c r="C58" s="24">
        <f>Table13468111214151617181920222526[[#This Row],[PMI]]-B57</f>
        <v>-0.5</v>
      </c>
    </row>
    <row r="59" spans="1:3" x14ac:dyDescent="0.2">
      <c r="A59" s="10">
        <v>42248</v>
      </c>
      <c r="B59" s="18">
        <f>IF(VLOOKUP(A59,'DB Country PMI'!$A:$AZ,MATCH($A$1,'DB Country PMI'!$A$1:$AZ$1,),)=0,#N/A,VLOOKUP(A59,'DB Country PMI'!$A:$AZ,MATCH($A$1,'DB Country PMI'!$A$1:$AZ$1,),))</f>
        <v>52.1</v>
      </c>
      <c r="C59" s="24">
        <f>Table13468111214151617181920222526[[#This Row],[PMI]]-B58</f>
        <v>-0.29999999999999716</v>
      </c>
    </row>
    <row r="60" spans="1:3" x14ac:dyDescent="0.2">
      <c r="A60" s="10">
        <v>42278</v>
      </c>
      <c r="B60" s="18">
        <f>IF(VLOOKUP(A60,'DB Country PMI'!$A:$AZ,MATCH($A$1,'DB Country PMI'!$A$1:$AZ$1,),)=0,#N/A,VLOOKUP(A60,'DB Country PMI'!$A:$AZ,MATCH($A$1,'DB Country PMI'!$A$1:$AZ$1,),))</f>
        <v>53</v>
      </c>
      <c r="C60" s="24">
        <f>Table13468111214151617181920222526[[#This Row],[PMI]]-B59</f>
        <v>0.89999999999999858</v>
      </c>
    </row>
    <row r="61" spans="1:3" x14ac:dyDescent="0.2">
      <c r="A61" s="10">
        <v>42309</v>
      </c>
      <c r="B61" s="18">
        <f>IF(VLOOKUP(A61,'DB Country PMI'!$A:$AZ,MATCH($A$1,'DB Country PMI'!$A$1:$AZ$1,),)=0,#N/A,VLOOKUP(A61,'DB Country PMI'!$A:$AZ,MATCH($A$1,'DB Country PMI'!$A$1:$AZ$1,),))</f>
        <v>53</v>
      </c>
      <c r="C61" s="24">
        <f>Table13468111214151617181920222526[[#This Row],[PMI]]-B60</f>
        <v>0</v>
      </c>
    </row>
    <row r="62" spans="1:3" x14ac:dyDescent="0.2">
      <c r="A62" s="10">
        <v>42339</v>
      </c>
      <c r="B62" s="18">
        <f>IF(VLOOKUP(A62,'DB Country PMI'!$A:$AZ,MATCH($A$1,'DB Country PMI'!$A$1:$AZ$1,),)=0,#N/A,VLOOKUP(A62,'DB Country PMI'!$A:$AZ,MATCH($A$1,'DB Country PMI'!$A$1:$AZ$1,),))</f>
        <v>52.4</v>
      </c>
      <c r="C62" s="24">
        <f>Table13468111214151617181920222526[[#This Row],[PMI]]-B61</f>
        <v>-0.60000000000000142</v>
      </c>
    </row>
    <row r="63" spans="1:3" x14ac:dyDescent="0.2">
      <c r="A63" s="10">
        <v>42370</v>
      </c>
      <c r="B63" s="18">
        <f>IF(VLOOKUP(A63,'DB Country PMI'!$A:$AZ,MATCH($A$1,'DB Country PMI'!$A$1:$AZ$1,),)=0,#N/A,VLOOKUP(A63,'DB Country PMI'!$A:$AZ,MATCH($A$1,'DB Country PMI'!$A$1:$AZ$1,),))</f>
        <v>52.2</v>
      </c>
      <c r="C63" s="24">
        <f>Table13468111214151617181920222526[[#This Row],[PMI]]-B62</f>
        <v>-0.19999999999999574</v>
      </c>
    </row>
    <row r="64" spans="1:3" x14ac:dyDescent="0.2">
      <c r="A64" s="10">
        <v>42401</v>
      </c>
      <c r="B64" s="18">
        <f>IF(VLOOKUP(A64,'DB Country PMI'!$A:$AZ,MATCH($A$1,'DB Country PMI'!$A$1:$AZ$1,),)=0,#N/A,VLOOKUP(A64,'DB Country PMI'!$A:$AZ,MATCH($A$1,'DB Country PMI'!$A$1:$AZ$1,),))</f>
        <v>53.1</v>
      </c>
      <c r="C64" s="24">
        <f>Table13468111214151617181920222526[[#This Row],[PMI]]-B63</f>
        <v>0.89999999999999858</v>
      </c>
    </row>
    <row r="65" spans="1:3" x14ac:dyDescent="0.2">
      <c r="A65" s="10">
        <v>42430</v>
      </c>
      <c r="B65" s="18">
        <f>IF(VLOOKUP(A65,'DB Country PMI'!$A:$AZ,MATCH($A$1,'DB Country PMI'!$A$1:$AZ$1,),)=0,#N/A,VLOOKUP(A65,'DB Country PMI'!$A:$AZ,MATCH($A$1,'DB Country PMI'!$A$1:$AZ$1,),))</f>
        <v>53.2</v>
      </c>
      <c r="C65" s="24">
        <f>Table13468111214151617181920222526[[#This Row],[PMI]]-B64</f>
        <v>0.10000000000000142</v>
      </c>
    </row>
    <row r="66" spans="1:3" x14ac:dyDescent="0.2">
      <c r="A66" s="10">
        <v>42461</v>
      </c>
      <c r="B66" s="18">
        <f>IF(VLOOKUP(A66,'DB Country PMI'!$A:$AZ,MATCH($A$1,'DB Country PMI'!$A$1:$AZ$1,),)=0,#N/A,VLOOKUP(A66,'DB Country PMI'!$A:$AZ,MATCH($A$1,'DB Country PMI'!$A$1:$AZ$1,),))</f>
        <v>52.4</v>
      </c>
      <c r="C66" s="24">
        <f>Table13468111214151617181920222526[[#This Row],[PMI]]-B65</f>
        <v>-0.80000000000000426</v>
      </c>
    </row>
    <row r="67" spans="1:3" x14ac:dyDescent="0.2">
      <c r="A67" s="10">
        <v>42491</v>
      </c>
      <c r="B67" s="18">
        <f>IF(VLOOKUP(A67,'DB Country PMI'!$A:$AZ,MATCH($A$1,'DB Country PMI'!$A$1:$AZ$1,),)=0,#N/A,VLOOKUP(A67,'DB Country PMI'!$A:$AZ,MATCH($A$1,'DB Country PMI'!$A$1:$AZ$1,),))</f>
        <v>53.6</v>
      </c>
      <c r="C67" s="24">
        <f>Table13468111214151617181920222526[[#This Row],[PMI]]-B66</f>
        <v>1.2000000000000028</v>
      </c>
    </row>
    <row r="68" spans="1:3" x14ac:dyDescent="0.2">
      <c r="A68" s="10">
        <v>42522</v>
      </c>
      <c r="B68" s="18">
        <f>IF(VLOOKUP(A68,'DB Country PMI'!$A:$AZ,MATCH($A$1,'DB Country PMI'!$A$1:$AZ$1,),)=0,#N/A,VLOOKUP(A68,'DB Country PMI'!$A:$AZ,MATCH($A$1,'DB Country PMI'!$A$1:$AZ$1,),))</f>
        <v>51.1</v>
      </c>
      <c r="C68" s="24">
        <f>Table13468111214151617181920222526[[#This Row],[PMI]]-B67</f>
        <v>-2.5</v>
      </c>
    </row>
    <row r="69" spans="1:3" x14ac:dyDescent="0.2">
      <c r="A69" s="10">
        <v>42552</v>
      </c>
      <c r="B69" s="18">
        <f>IF(VLOOKUP(A69,'DB Country PMI'!$A:$AZ,MATCH($A$1,'DB Country PMI'!$A$1:$AZ$1,),)=0,#N/A,VLOOKUP(A69,'DB Country PMI'!$A:$AZ,MATCH($A$1,'DB Country PMI'!$A$1:$AZ$1,),))</f>
        <v>50.6</v>
      </c>
      <c r="C69" s="24">
        <f>Table13468111214151617181920222526[[#This Row],[PMI]]-B68</f>
        <v>-0.5</v>
      </c>
    </row>
    <row r="70" spans="1:3" x14ac:dyDescent="0.2">
      <c r="A70" s="10">
        <v>42583</v>
      </c>
      <c r="B70" s="18">
        <f>IF(VLOOKUP(A70,'DB Country PMI'!$A:$AZ,MATCH($A$1,'DB Country PMI'!$A$1:$AZ$1,),)=0,#N/A,VLOOKUP(A70,'DB Country PMI'!$A:$AZ,MATCH($A$1,'DB Country PMI'!$A$1:$AZ$1,),))</f>
        <v>50.9</v>
      </c>
      <c r="C70" s="24">
        <f>Table13468111214151617181920222526[[#This Row],[PMI]]-B69</f>
        <v>0.29999999999999716</v>
      </c>
    </row>
    <row r="71" spans="1:3" x14ac:dyDescent="0.2">
      <c r="A71" s="10">
        <v>42614</v>
      </c>
      <c r="B71" s="18">
        <f>IF(VLOOKUP(A71,'DB Country PMI'!$A:$AZ,MATCH($A$1,'DB Country PMI'!$A$1:$AZ$1,),)=0,#N/A,VLOOKUP(A71,'DB Country PMI'!$A:$AZ,MATCH($A$1,'DB Country PMI'!$A$1:$AZ$1,),))</f>
        <v>51.9</v>
      </c>
      <c r="C71" s="24">
        <f>Table13468111214151617181920222526[[#This Row],[PMI]]-B70</f>
        <v>1</v>
      </c>
    </row>
    <row r="72" spans="1:3" x14ac:dyDescent="0.2">
      <c r="A72" s="10">
        <v>42644</v>
      </c>
      <c r="B72" s="18">
        <f>IF(VLOOKUP(A72,'DB Country PMI'!$A:$AZ,MATCH($A$1,'DB Country PMI'!$A$1:$AZ$1,),)=0,#N/A,VLOOKUP(A72,'DB Country PMI'!$A:$AZ,MATCH($A$1,'DB Country PMI'!$A$1:$AZ$1,),))</f>
        <v>51.8</v>
      </c>
      <c r="C72" s="24">
        <f>Table13468111214151617181920222526[[#This Row],[PMI]]-B71</f>
        <v>-0.10000000000000142</v>
      </c>
    </row>
    <row r="73" spans="1:3" x14ac:dyDescent="0.2">
      <c r="A73" s="10">
        <v>42675</v>
      </c>
      <c r="B73" s="18">
        <f>IF(VLOOKUP(A73,'DB Country PMI'!$A:$AZ,MATCH($A$1,'DB Country PMI'!$A$1:$AZ$1,),)=0,#N/A,VLOOKUP(A73,'DB Country PMI'!$A:$AZ,MATCH($A$1,'DB Country PMI'!$A$1:$AZ$1,),))</f>
        <v>51.1</v>
      </c>
      <c r="C73" s="24">
        <f>Table13468111214151617181920222526[[#This Row],[PMI]]-B72</f>
        <v>-0.69999999999999574</v>
      </c>
    </row>
    <row r="74" spans="1:3" x14ac:dyDescent="0.2">
      <c r="A74" s="10">
        <v>42705</v>
      </c>
      <c r="B74" s="18">
        <f>IF(VLOOKUP(A74,'DB Country PMI'!$A:$AZ,MATCH($A$1,'DB Country PMI'!$A$1:$AZ$1,),)=0,#N/A,VLOOKUP(A74,'DB Country PMI'!$A:$AZ,MATCH($A$1,'DB Country PMI'!$A$1:$AZ$1,),))</f>
        <v>50.2</v>
      </c>
      <c r="C74" s="24">
        <f>Table13468111214151617181920222526[[#This Row],[PMI]]-B73</f>
        <v>-0.89999999999999858</v>
      </c>
    </row>
    <row r="75" spans="1:3" x14ac:dyDescent="0.2">
      <c r="A75" s="10">
        <v>42736</v>
      </c>
      <c r="B75" s="18">
        <f>IF(VLOOKUP(A75,'DB Country PMI'!$A:$AZ,MATCH($A$1,'DB Country PMI'!$A$1:$AZ$1,),)=0,#N/A,VLOOKUP(A75,'DB Country PMI'!$A:$AZ,MATCH($A$1,'DB Country PMI'!$A$1:$AZ$1,),))</f>
        <v>50.8</v>
      </c>
      <c r="C75" s="24">
        <f>Table13468111214151617181920222526[[#This Row],[PMI]]-B74</f>
        <v>0.59999999999999432</v>
      </c>
    </row>
    <row r="76" spans="1:3" x14ac:dyDescent="0.2">
      <c r="A76" s="10">
        <v>42767</v>
      </c>
      <c r="B76" s="18">
        <f>IF(VLOOKUP(A76,'DB Country PMI'!$A:$AZ,MATCH($A$1,'DB Country PMI'!$A$1:$AZ$1,),)=0,#N/A,VLOOKUP(A76,'DB Country PMI'!$A:$AZ,MATCH($A$1,'DB Country PMI'!$A$1:$AZ$1,),))</f>
        <v>50.6</v>
      </c>
      <c r="C76" s="24">
        <f>Table13468111214151617181920222526[[#This Row],[PMI]]-B75</f>
        <v>-0.19999999999999574</v>
      </c>
    </row>
    <row r="77" spans="1:3" x14ac:dyDescent="0.2">
      <c r="A77" s="10">
        <v>42795</v>
      </c>
      <c r="B77" s="18">
        <f>IF(VLOOKUP(A77,'DB Country PMI'!$A:$AZ,MATCH($A$1,'DB Country PMI'!$A$1:$AZ$1,),)=0,#N/A,VLOOKUP(A77,'DB Country PMI'!$A:$AZ,MATCH($A$1,'DB Country PMI'!$A$1:$AZ$1,),))</f>
        <v>51.5</v>
      </c>
      <c r="C77" s="24">
        <f>Table13468111214151617181920222526[[#This Row],[PMI]]-B76</f>
        <v>0.89999999999999858</v>
      </c>
    </row>
    <row r="78" spans="1:3" x14ac:dyDescent="0.2">
      <c r="A78" s="10">
        <v>42826</v>
      </c>
      <c r="B78" s="18">
        <f>IF(VLOOKUP(A78,'DB Country PMI'!$A:$AZ,MATCH($A$1,'DB Country PMI'!$A$1:$AZ$1,),)=0,#N/A,VLOOKUP(A78,'DB Country PMI'!$A:$AZ,MATCH($A$1,'DB Country PMI'!$A$1:$AZ$1,),))</f>
        <v>50.7</v>
      </c>
      <c r="C78" s="24">
        <f>Table13468111214151617181920222526[[#This Row],[PMI]]-B77</f>
        <v>-0.79999999999999716</v>
      </c>
    </row>
    <row r="79" spans="1:3" x14ac:dyDescent="0.2">
      <c r="A79" s="10">
        <v>42856</v>
      </c>
      <c r="B79" s="18">
        <f>IF(VLOOKUP(A79,'DB Country PMI'!$A:$AZ,MATCH($A$1,'DB Country PMI'!$A$1:$AZ$1,),)=0,#N/A,VLOOKUP(A79,'DB Country PMI'!$A:$AZ,MATCH($A$1,'DB Country PMI'!$A$1:$AZ$1,),))</f>
        <v>51.2</v>
      </c>
      <c r="C79" s="24">
        <f>Table13468111214151617181920222526[[#This Row],[PMI]]-B78</f>
        <v>0.5</v>
      </c>
    </row>
    <row r="80" spans="1:3" x14ac:dyDescent="0.2">
      <c r="A80" s="10">
        <v>42887</v>
      </c>
      <c r="B80" s="18">
        <f>IF(VLOOKUP(A80,'DB Country PMI'!$A:$AZ,MATCH($A$1,'DB Country PMI'!$A$1:$AZ$1,),)=0,#N/A,VLOOKUP(A80,'DB Country PMI'!$A:$AZ,MATCH($A$1,'DB Country PMI'!$A$1:$AZ$1,),))</f>
        <v>52.3</v>
      </c>
      <c r="C80" s="24">
        <f>Table13468111214151617181920222526[[#This Row],[PMI]]-B79</f>
        <v>1.0999999999999943</v>
      </c>
    </row>
    <row r="81" spans="1:3" x14ac:dyDescent="0.2">
      <c r="A81" s="10">
        <v>42917</v>
      </c>
      <c r="B81" s="18">
        <f>IF(VLOOKUP(A81,'DB Country PMI'!$A:$AZ,MATCH($A$1,'DB Country PMI'!$A$1:$AZ$1,),)=0,#N/A,VLOOKUP(A81,'DB Country PMI'!$A:$AZ,MATCH($A$1,'DB Country PMI'!$A$1:$AZ$1,),))</f>
        <v>51.2</v>
      </c>
      <c r="C81" s="24">
        <f>Table13468111214151617181920222526[[#This Row],[PMI]]-B80</f>
        <v>-1.0999999999999943</v>
      </c>
    </row>
    <row r="82" spans="1:3" x14ac:dyDescent="0.2">
      <c r="A82" s="10">
        <v>42948</v>
      </c>
      <c r="B82" s="18">
        <f>IF(VLOOKUP(A82,'DB Country PMI'!$A:$AZ,MATCH($A$1,'DB Country PMI'!$A$1:$AZ$1,),)=0,#N/A,VLOOKUP(A82,'DB Country PMI'!$A:$AZ,MATCH($A$1,'DB Country PMI'!$A$1:$AZ$1,),))</f>
        <v>52.2</v>
      </c>
      <c r="C82" s="24">
        <f>Table13468111214151617181920222526[[#This Row],[PMI]]-B81</f>
        <v>1</v>
      </c>
    </row>
    <row r="83" spans="1:3" x14ac:dyDescent="0.2">
      <c r="A83" s="10">
        <v>42979</v>
      </c>
      <c r="B83" s="18">
        <f>IF(VLOOKUP(A83,'DB Country PMI'!$A:$AZ,MATCH($A$1,'DB Country PMI'!$A$1:$AZ$1,),)=0,#N/A,VLOOKUP(A83,'DB Country PMI'!$A:$AZ,MATCH($A$1,'DB Country PMI'!$A$1:$AZ$1,),))</f>
        <v>52.8</v>
      </c>
      <c r="C83" s="24">
        <f>Table13468111214151617181920222526[[#This Row],[PMI]]-B82</f>
        <v>0.59999999999999432</v>
      </c>
    </row>
    <row r="84" spans="1:3" x14ac:dyDescent="0.2">
      <c r="A84" s="10">
        <v>43009</v>
      </c>
      <c r="B84" s="18">
        <f>IF(VLOOKUP(A84,'DB Country PMI'!$A:$AZ,MATCH($A$1,'DB Country PMI'!$A$1:$AZ$1,),)=0,#N/A,VLOOKUP(A84,'DB Country PMI'!$A:$AZ,MATCH($A$1,'DB Country PMI'!$A$1:$AZ$1,),))</f>
        <v>49.2</v>
      </c>
      <c r="C84" s="24">
        <f>Table13468111214151617181920222526[[#This Row],[PMI]]-B83</f>
        <v>-3.5999999999999943</v>
      </c>
    </row>
    <row r="85" spans="1:3" x14ac:dyDescent="0.2">
      <c r="A85" s="10">
        <v>43040</v>
      </c>
      <c r="B85" s="18">
        <f>IF(VLOOKUP(A85,'DB Country PMI'!$A:$AZ,MATCH($A$1,'DB Country PMI'!$A$1:$AZ$1,),)=0,#N/A,VLOOKUP(A85,'DB Country PMI'!$A:$AZ,MATCH($A$1,'DB Country PMI'!$A$1:$AZ$1,),))</f>
        <v>52.4</v>
      </c>
      <c r="C85" s="24">
        <f>Table13468111214151617181920222526[[#This Row],[PMI]]-B84</f>
        <v>3.1999999999999957</v>
      </c>
    </row>
    <row r="86" spans="1:3" x14ac:dyDescent="0.2">
      <c r="A86" s="10">
        <v>43070</v>
      </c>
      <c r="B86" s="18">
        <f>IF(VLOOKUP(A86,'DB Country PMI'!$A:$AZ,MATCH($A$1,'DB Country PMI'!$A$1:$AZ$1,),)=0,#N/A,VLOOKUP(A86,'DB Country PMI'!$A:$AZ,MATCH($A$1,'DB Country PMI'!$A$1:$AZ$1,),))</f>
        <v>51.7</v>
      </c>
      <c r="C86" s="24">
        <f>Table13468111214151617181920222526[[#This Row],[PMI]]-B85</f>
        <v>-0.69999999999999574</v>
      </c>
    </row>
    <row r="87" spans="1:3" x14ac:dyDescent="0.2">
      <c r="A87" s="10">
        <v>43101</v>
      </c>
      <c r="B87" s="18">
        <f>IF(VLOOKUP(A87,'DB Country PMI'!$A:$AZ,MATCH($A$1,'DB Country PMI'!$A$1:$AZ$1,),)=0,#N/A,VLOOKUP(A87,'DB Country PMI'!$A:$AZ,MATCH($A$1,'DB Country PMI'!$A$1:$AZ$1,),))</f>
        <v>52.6</v>
      </c>
      <c r="C87" s="24">
        <f>Table13468111214151617181920222526[[#This Row],[PMI]]-B86</f>
        <v>0.89999999999999858</v>
      </c>
    </row>
    <row r="88" spans="1:3" x14ac:dyDescent="0.2">
      <c r="A88" s="10">
        <v>43132</v>
      </c>
      <c r="B88" s="18">
        <f>IF(VLOOKUP(A88,'DB Country PMI'!$A:$AZ,MATCH($A$1,'DB Country PMI'!$A$1:$AZ$1,),)=0,#N/A,VLOOKUP(A88,'DB Country PMI'!$A:$AZ,MATCH($A$1,'DB Country PMI'!$A$1:$AZ$1,),))</f>
        <v>51.6</v>
      </c>
      <c r="C88" s="24">
        <f>Table13468111214151617181920222526[[#This Row],[PMI]]-B87</f>
        <v>-1</v>
      </c>
    </row>
    <row r="89" spans="1:3" x14ac:dyDescent="0.2">
      <c r="A89" s="10">
        <v>43160</v>
      </c>
      <c r="B89" s="18">
        <f>IF(VLOOKUP(A89,'DB Country PMI'!$A:$AZ,MATCH($A$1,'DB Country PMI'!$A$1:$AZ$1,),)=0,#N/A,VLOOKUP(A89,'DB Country PMI'!$A:$AZ,MATCH($A$1,'DB Country PMI'!$A$1:$AZ$1,),))</f>
        <v>52.4</v>
      </c>
      <c r="C89" s="24">
        <f>Table13468111214151617181920222526[[#This Row],[PMI]]-B88</f>
        <v>0.79999999999999716</v>
      </c>
    </row>
    <row r="90" spans="1:3" x14ac:dyDescent="0.2">
      <c r="A90" s="10">
        <v>43191</v>
      </c>
      <c r="B90" s="18">
        <f>IF(VLOOKUP(A90,'DB Country PMI'!$A:$AZ,MATCH($A$1,'DB Country PMI'!$A$1:$AZ$1,),)=0,#N/A,VLOOKUP(A90,'DB Country PMI'!$A:$AZ,MATCH($A$1,'DB Country PMI'!$A$1:$AZ$1,),))</f>
        <v>51.6</v>
      </c>
      <c r="C90" s="24">
        <f>Table13468111214151617181920222526[[#This Row],[PMI]]-B89</f>
        <v>-0.79999999999999716</v>
      </c>
    </row>
    <row r="91" spans="1:3" x14ac:dyDescent="0.2">
      <c r="A91" s="10">
        <v>43221</v>
      </c>
      <c r="B91" s="18">
        <f>IF(VLOOKUP(A91,'DB Country PMI'!$A:$AZ,MATCH($A$1,'DB Country PMI'!$A$1:$AZ$1,),)=0,#N/A,VLOOKUP(A91,'DB Country PMI'!$A:$AZ,MATCH($A$1,'DB Country PMI'!$A$1:$AZ$1,),))</f>
        <v>51</v>
      </c>
      <c r="C91" s="24">
        <f>Table13468111214151617181920222526[[#This Row],[PMI]]-B90</f>
        <v>-0.60000000000000142</v>
      </c>
    </row>
    <row r="92" spans="1:3" x14ac:dyDescent="0.2">
      <c r="A92" s="10">
        <v>43252</v>
      </c>
      <c r="B92" s="18">
        <f>IF(VLOOKUP(A92,'DB Country PMI'!$A:$AZ,MATCH($A$1,'DB Country PMI'!$A$1:$AZ$1,),)=0,#N/A,VLOOKUP(A92,'DB Country PMI'!$A:$AZ,MATCH($A$1,'DB Country PMI'!$A$1:$AZ$1,),))</f>
        <v>52.1</v>
      </c>
      <c r="C92" s="24">
        <f>Table13468111214151617181920222526[[#This Row],[PMI]]-B91</f>
        <v>1.1000000000000014</v>
      </c>
    </row>
    <row r="93" spans="1:3" x14ac:dyDescent="0.2">
      <c r="A93" s="10">
        <v>43282</v>
      </c>
      <c r="B93" s="18">
        <f>IF(VLOOKUP(A93,'DB Country PMI'!$A:$AZ,MATCH($A$1,'DB Country PMI'!$A$1:$AZ$1,),)=0,#N/A,VLOOKUP(A93,'DB Country PMI'!$A:$AZ,MATCH($A$1,'DB Country PMI'!$A$1:$AZ$1,),))</f>
        <v>52.1</v>
      </c>
      <c r="C93" s="24">
        <f>Table13468111214151617181920222526[[#This Row],[PMI]]-B92</f>
        <v>0</v>
      </c>
    </row>
    <row r="94" spans="1:3" x14ac:dyDescent="0.2">
      <c r="A94" s="10">
        <v>43313</v>
      </c>
      <c r="B94" s="18">
        <f>IF(VLOOKUP(A94,'DB Country PMI'!$A:$AZ,MATCH($A$1,'DB Country PMI'!$A$1:$AZ$1,),)=0,#N/A,VLOOKUP(A94,'DB Country PMI'!$A:$AZ,MATCH($A$1,'DB Country PMI'!$A$1:$AZ$1,),))</f>
        <v>50.7</v>
      </c>
      <c r="C94" s="24">
        <f>Table13468111214151617181920222526[[#This Row],[PMI]]-B93</f>
        <v>-1.3999999999999986</v>
      </c>
    </row>
    <row r="95" spans="1:3" x14ac:dyDescent="0.2">
      <c r="A95" s="10">
        <v>43344</v>
      </c>
      <c r="B95" s="18">
        <f>IF(VLOOKUP(A95,'DB Country PMI'!$A:$AZ,MATCH($A$1,'DB Country PMI'!$A$1:$AZ$1,),)=0,#N/A,VLOOKUP(A95,'DB Country PMI'!$A:$AZ,MATCH($A$1,'DB Country PMI'!$A$1:$AZ$1,),))</f>
        <v>51.7</v>
      </c>
      <c r="C95" s="24">
        <f>Table13468111214151617181920222526[[#This Row],[PMI]]-B94</f>
        <v>1</v>
      </c>
    </row>
    <row r="96" spans="1:3" x14ac:dyDescent="0.2">
      <c r="A96" s="10">
        <v>43374</v>
      </c>
      <c r="B96" s="18">
        <f>IF(VLOOKUP(A96,'DB Country PMI'!$A:$AZ,MATCH($A$1,'DB Country PMI'!$A$1:$AZ$1,),)=0,#N/A,VLOOKUP(A96,'DB Country PMI'!$A:$AZ,MATCH($A$1,'DB Country PMI'!$A$1:$AZ$1,),))</f>
        <v>50.7</v>
      </c>
      <c r="C96" s="24">
        <f>Table13468111214151617181920222526[[#This Row],[PMI]]-B95</f>
        <v>-1</v>
      </c>
    </row>
    <row r="97" spans="1:3" x14ac:dyDescent="0.2">
      <c r="A97" s="10">
        <v>43405</v>
      </c>
      <c r="B97" s="18">
        <f>IF(VLOOKUP(A97,'DB Country PMI'!$A:$AZ,MATCH($A$1,'DB Country PMI'!$A$1:$AZ$1,),)=0,#N/A,VLOOKUP(A97,'DB Country PMI'!$A:$AZ,MATCH($A$1,'DB Country PMI'!$A$1:$AZ$1,),))</f>
        <v>49.7</v>
      </c>
      <c r="C97" s="24">
        <f>Table13468111214151617181920222526[[#This Row],[PMI]]-B96</f>
        <v>-1</v>
      </c>
    </row>
    <row r="98" spans="1:3" x14ac:dyDescent="0.2">
      <c r="A98" s="10">
        <v>43435</v>
      </c>
      <c r="B98" s="18">
        <f>IF(VLOOKUP(A98,'DB Country PMI'!$A:$AZ,MATCH($A$1,'DB Country PMI'!$A$1:$AZ$1,),)=0,#N/A,VLOOKUP(A98,'DB Country PMI'!$A:$AZ,MATCH($A$1,'DB Country PMI'!$A$1:$AZ$1,),))</f>
        <v>49.7</v>
      </c>
      <c r="C98" s="24">
        <f>Table13468111214151617181920222526[[#This Row],[PMI]]-B97</f>
        <v>0</v>
      </c>
    </row>
    <row r="99" spans="1:3" x14ac:dyDescent="0.2">
      <c r="A99" s="10">
        <v>43466</v>
      </c>
      <c r="B99" s="18">
        <f>IF(VLOOKUP(A99,'DB Country PMI'!$A:$AZ,MATCH($A$1,'DB Country PMI'!$A$1:$AZ$1,),)=0,#N/A,VLOOKUP(A99,'DB Country PMI'!$A:$AZ,MATCH($A$1,'DB Country PMI'!$A$1:$AZ$1,),))</f>
        <v>50.9</v>
      </c>
      <c r="C99" s="24">
        <f>Table13468111214151617181920222526[[#This Row],[PMI]]-B98</f>
        <v>1.1999999999999957</v>
      </c>
    </row>
    <row r="100" spans="1:3" x14ac:dyDescent="0.2">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2">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2">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2">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2">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2">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2">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2">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2">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2">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2">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2">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2">
      <c r="A112" s="10">
        <v>43862</v>
      </c>
      <c r="B112" s="18">
        <f>IF(VLOOKUP(A112,'DB Country PMI'!$A:$AZ,MATCH($A$1,'DB Country PMI'!$A$1:$AZ$1,),)=0,#N/A,VLOOKUP(A112,'DB Country PMI'!$A:$AZ,MATCH($A$1,'DB Country PMI'!$A$1:$AZ$1,),))</f>
        <v>50</v>
      </c>
      <c r="C112" s="24">
        <f>Table13468111214151617181920222526[[#This Row],[PMI]]-B111</f>
        <v>1</v>
      </c>
    </row>
    <row r="113" spans="1:3" x14ac:dyDescent="0.2">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2">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2">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2">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2">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2">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2">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2">
      <c r="A120" s="10">
        <v>44105</v>
      </c>
      <c r="B120" s="18">
        <f>IF(VLOOKUP(A120,'DB Country PMI'!$A:$AZ,MATCH($A$1,'DB Country PMI'!$A$1:$AZ$1,),)=0,#N/A,VLOOKUP(A120,'DB Country PMI'!$A:$AZ,MATCH($A$1,'DB Country PMI'!$A$1:$AZ$1,),))</f>
        <v>43.6</v>
      </c>
      <c r="C120" s="24">
        <f>Table13468111214151617181920222526[[#This Row],[PMI]]-B119</f>
        <v>1.5</v>
      </c>
    </row>
    <row r="121" spans="1:3" x14ac:dyDescent="0.2">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2">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2">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2">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2">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2">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2">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2">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2">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2">
      <c r="A130" s="10">
        <v>44409</v>
      </c>
      <c r="B130" s="18">
        <f>IF(VLOOKUP(A130,'DB Country PMI'!$A:$AZ,MATCH($A$1,'DB Country PMI'!$A$1:$AZ$1,),)=0,#N/A,VLOOKUP(A130,'DB Country PMI'!$A:$AZ,MATCH($A$1,'DB Country PMI'!$A$1:$AZ$1,),))</f>
        <v>47.1</v>
      </c>
      <c r="C130" s="24">
        <f>Table13468111214151617181920222526[[#This Row],[PMI]]-B129</f>
        <v>-2.5</v>
      </c>
    </row>
    <row r="131" spans="1:3" x14ac:dyDescent="0.2">
      <c r="A131" s="10">
        <v>44440</v>
      </c>
      <c r="B131" s="18">
        <f>IF(VLOOKUP(A131,'DB Country PMI'!$A:$AZ,MATCH($A$1,'DB Country PMI'!$A$1:$AZ$1,),)=0,#N/A,VLOOKUP(A131,'DB Country PMI'!$A:$AZ,MATCH($A$1,'DB Country PMI'!$A$1:$AZ$1,),))</f>
        <v>48.6</v>
      </c>
      <c r="C131" s="24">
        <f>Table13468111214151617181920222526[[#This Row],[PMI]]-B130</f>
        <v>1.5</v>
      </c>
    </row>
    <row r="132" spans="1:3" x14ac:dyDescent="0.2">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2">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2">
      <c r="A134" s="10">
        <v>44531</v>
      </c>
      <c r="B134" s="18">
        <f>IF(VLOOKUP(A134,'DB Country PMI'!$A:$AZ,MATCH($A$1,'DB Country PMI'!$A$1:$AZ$1,),)=0,#N/A,VLOOKUP(A134,'DB Country PMI'!$A:$AZ,MATCH($A$1,'DB Country PMI'!$A$1:$AZ$1,),))</f>
        <v>49.4</v>
      </c>
      <c r="C134" s="24">
        <f>Table13468111214151617181920222526[[#This Row],[PMI]]-B133</f>
        <v>0</v>
      </c>
    </row>
    <row r="135" spans="1:3" x14ac:dyDescent="0.2">
      <c r="A135" s="10">
        <v>44562</v>
      </c>
      <c r="B135" s="18">
        <f>IF(VLOOKUP(A135,'DB Country PMI'!$A:$AZ,MATCH($A$1,'DB Country PMI'!$A$1:$AZ$1,),)=0,#N/A,VLOOKUP(A135,'DB Country PMI'!$A:$AZ,MATCH($A$1,'DB Country PMI'!$A$1:$AZ$1,),))</f>
        <v>46.1</v>
      </c>
      <c r="C135" s="24">
        <f>Table13468111214151617181920222526[[#This Row],[PMI]]-B134</f>
        <v>-3.2999999999999972</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41"/>
  <sheetViews>
    <sheetView zoomScale="150" zoomScaleNormal="150" workbookViewId="0">
      <pane ySplit="5" topLeftCell="A102" activePane="bottomLeft" state="frozen"/>
      <selection pane="bottomLeft" activeCell="S123" sqref="S123"/>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31</v>
      </c>
      <c r="K1" s="63" t="s">
        <v>107</v>
      </c>
    </row>
    <row r="2" spans="1:11" x14ac:dyDescent="0.2">
      <c r="K2" s="63" t="str">
        <f>A1&amp;K1</f>
        <v>Russia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51.8</v>
      </c>
      <c r="C6" s="18"/>
    </row>
    <row r="7" spans="1:11" x14ac:dyDescent="0.2">
      <c r="A7" s="10">
        <v>40483</v>
      </c>
      <c r="B7" s="18">
        <f>IF(VLOOKUP(A7,'DB Country PMI'!$A:$AZ,MATCH($A$1,'DB Country PMI'!$A$1:$AZ$1,),)=0,#N/A,VLOOKUP(A7,'DB Country PMI'!$A:$AZ,MATCH($A$1,'DB Country PMI'!$A$1:$AZ$1,),))</f>
        <v>51.1</v>
      </c>
      <c r="C7" s="24">
        <f>Table134681112141516171819202225[[#This Row],[PMI]]-B6</f>
        <v>-0.69999999999999574</v>
      </c>
    </row>
    <row r="8" spans="1:11" x14ac:dyDescent="0.2">
      <c r="A8" s="10">
        <v>40513</v>
      </c>
      <c r="B8" s="18">
        <f>IF(VLOOKUP(A8,'DB Country PMI'!$A:$AZ,MATCH($A$1,'DB Country PMI'!$A$1:$AZ$1,),)=0,#N/A,VLOOKUP(A8,'DB Country PMI'!$A:$AZ,MATCH($A$1,'DB Country PMI'!$A$1:$AZ$1,),))</f>
        <v>53.5</v>
      </c>
      <c r="C8" s="24">
        <f>Table134681112141516171819202225[[#This Row],[PMI]]-B7</f>
        <v>2.3999999999999986</v>
      </c>
    </row>
    <row r="9" spans="1:11" x14ac:dyDescent="0.2">
      <c r="A9" s="10">
        <v>40544</v>
      </c>
      <c r="B9" s="18">
        <f>IF(VLOOKUP(A9,'DB Country PMI'!$A:$AZ,MATCH($A$1,'DB Country PMI'!$A$1:$AZ$1,),)=0,#N/A,VLOOKUP(A9,'DB Country PMI'!$A:$AZ,MATCH($A$1,'DB Country PMI'!$A$1:$AZ$1,),))</f>
        <v>53.5</v>
      </c>
      <c r="C9" s="24">
        <f>Table134681112141516171819202225[[#This Row],[PMI]]-B8</f>
        <v>0</v>
      </c>
    </row>
    <row r="10" spans="1:11" x14ac:dyDescent="0.2">
      <c r="A10" s="10">
        <v>40575</v>
      </c>
      <c r="B10" s="18">
        <f>IF(VLOOKUP(A10,'DB Country PMI'!$A:$AZ,MATCH($A$1,'DB Country PMI'!$A$1:$AZ$1,),)=0,#N/A,VLOOKUP(A10,'DB Country PMI'!$A:$AZ,MATCH($A$1,'DB Country PMI'!$A$1:$AZ$1,),))</f>
        <v>56.4</v>
      </c>
      <c r="C10" s="24">
        <f>Table134681112141516171819202225[[#This Row],[PMI]]-B9</f>
        <v>2.8999999999999986</v>
      </c>
    </row>
    <row r="11" spans="1:11" x14ac:dyDescent="0.2">
      <c r="A11" s="10">
        <v>40603</v>
      </c>
      <c r="B11" s="18">
        <f>IF(VLOOKUP(A11,'DB Country PMI'!$A:$AZ,MATCH($A$1,'DB Country PMI'!$A$1:$AZ$1,),)=0,#N/A,VLOOKUP(A11,'DB Country PMI'!$A:$AZ,MATCH($A$1,'DB Country PMI'!$A$1:$AZ$1,),))</f>
        <v>55.1</v>
      </c>
      <c r="C11" s="24">
        <f>Table134681112141516171819202225[[#This Row],[PMI]]-B10</f>
        <v>-1.2999999999999972</v>
      </c>
    </row>
    <row r="12" spans="1:11" x14ac:dyDescent="0.2">
      <c r="A12" s="10">
        <v>40634</v>
      </c>
      <c r="B12" s="18">
        <f>IF(VLOOKUP(A12,'DB Country PMI'!$A:$AZ,MATCH($A$1,'DB Country PMI'!$A$1:$AZ$1,),)=0,#N/A,VLOOKUP(A12,'DB Country PMI'!$A:$AZ,MATCH($A$1,'DB Country PMI'!$A$1:$AZ$1,),))</f>
        <v>52.1</v>
      </c>
      <c r="C12" s="24">
        <f>Table134681112141516171819202225[[#This Row],[PMI]]-B11</f>
        <v>-3</v>
      </c>
    </row>
    <row r="13" spans="1:11" x14ac:dyDescent="0.2">
      <c r="A13" s="10">
        <v>40664</v>
      </c>
      <c r="B13" s="18">
        <f>IF(VLOOKUP(A13,'DB Country PMI'!$A:$AZ,MATCH($A$1,'DB Country PMI'!$A$1:$AZ$1,),)=0,#N/A,VLOOKUP(A13,'DB Country PMI'!$A:$AZ,MATCH($A$1,'DB Country PMI'!$A$1:$AZ$1,),))</f>
        <v>50.9</v>
      </c>
      <c r="C13" s="24">
        <f>Table134681112141516171819202225[[#This Row],[PMI]]-B12</f>
        <v>-1.2000000000000028</v>
      </c>
    </row>
    <row r="14" spans="1:11" x14ac:dyDescent="0.2">
      <c r="A14" s="10">
        <v>40695</v>
      </c>
      <c r="B14" s="18">
        <f>IF(VLOOKUP(A14,'DB Country PMI'!$A:$AZ,MATCH($A$1,'DB Country PMI'!$A$1:$AZ$1,),)=0,#N/A,VLOOKUP(A14,'DB Country PMI'!$A:$AZ,MATCH($A$1,'DB Country PMI'!$A$1:$AZ$1,),))</f>
        <v>50.6</v>
      </c>
      <c r="C14" s="24">
        <f>Table134681112141516171819202225[[#This Row],[PMI]]-B13</f>
        <v>-0.29999999999999716</v>
      </c>
    </row>
    <row r="15" spans="1:11" x14ac:dyDescent="0.2">
      <c r="A15" s="10">
        <v>40725</v>
      </c>
      <c r="B15" s="18">
        <f>IF(VLOOKUP(A15,'DB Country PMI'!$A:$AZ,MATCH($A$1,'DB Country PMI'!$A$1:$AZ$1,),)=0,#N/A,VLOOKUP(A15,'DB Country PMI'!$A:$AZ,MATCH($A$1,'DB Country PMI'!$A$1:$AZ$1,),))</f>
        <v>49.8</v>
      </c>
      <c r="C15" s="24">
        <f>Table134681112141516171819202225[[#This Row],[PMI]]-B14</f>
        <v>-0.80000000000000426</v>
      </c>
    </row>
    <row r="16" spans="1:11" x14ac:dyDescent="0.2">
      <c r="A16" s="10">
        <v>40756</v>
      </c>
      <c r="B16" s="18">
        <f>IF(VLOOKUP(A16,'DB Country PMI'!$A:$AZ,MATCH($A$1,'DB Country PMI'!$A$1:$AZ$1,),)=0,#N/A,VLOOKUP(A16,'DB Country PMI'!$A:$AZ,MATCH($A$1,'DB Country PMI'!$A$1:$AZ$1,),))</f>
        <v>49.9</v>
      </c>
      <c r="C16" s="24">
        <f>Table134681112141516171819202225[[#This Row],[PMI]]-B15</f>
        <v>0.10000000000000142</v>
      </c>
    </row>
    <row r="17" spans="1:3" x14ac:dyDescent="0.2">
      <c r="A17" s="10">
        <v>40787</v>
      </c>
      <c r="B17" s="18">
        <f>IF(VLOOKUP(A17,'DB Country PMI'!$A:$AZ,MATCH($A$1,'DB Country PMI'!$A$1:$AZ$1,),)=0,#N/A,VLOOKUP(A17,'DB Country PMI'!$A:$AZ,MATCH($A$1,'DB Country PMI'!$A$1:$AZ$1,),))</f>
        <v>50</v>
      </c>
      <c r="C17" s="24">
        <f>Table134681112141516171819202225[[#This Row],[PMI]]-B16</f>
        <v>0.10000000000000142</v>
      </c>
    </row>
    <row r="18" spans="1:3" x14ac:dyDescent="0.2">
      <c r="A18" s="10">
        <v>40817</v>
      </c>
      <c r="B18" s="18">
        <f>IF(VLOOKUP(A18,'DB Country PMI'!$A:$AZ,MATCH($A$1,'DB Country PMI'!$A$1:$AZ$1,),)=0,#N/A,VLOOKUP(A18,'DB Country PMI'!$A:$AZ,MATCH($A$1,'DB Country PMI'!$A$1:$AZ$1,),))</f>
        <v>50.4</v>
      </c>
      <c r="C18" s="24">
        <f>Table134681112141516171819202225[[#This Row],[PMI]]-B17</f>
        <v>0.39999999999999858</v>
      </c>
    </row>
    <row r="19" spans="1:3" x14ac:dyDescent="0.2">
      <c r="A19" s="10">
        <v>40848</v>
      </c>
      <c r="B19" s="18">
        <f>IF(VLOOKUP(A19,'DB Country PMI'!$A:$AZ,MATCH($A$1,'DB Country PMI'!$A$1:$AZ$1,),)=0,#N/A,VLOOKUP(A19,'DB Country PMI'!$A:$AZ,MATCH($A$1,'DB Country PMI'!$A$1:$AZ$1,),))</f>
        <v>52.6</v>
      </c>
      <c r="C19" s="24">
        <f>Table134681112141516171819202225[[#This Row],[PMI]]-B18</f>
        <v>2.2000000000000028</v>
      </c>
    </row>
    <row r="20" spans="1:3" x14ac:dyDescent="0.2">
      <c r="A20" s="10">
        <v>40878</v>
      </c>
      <c r="B20" s="18">
        <f>IF(VLOOKUP(A20,'DB Country PMI'!$A:$AZ,MATCH($A$1,'DB Country PMI'!$A$1:$AZ$1,),)=0,#N/A,VLOOKUP(A20,'DB Country PMI'!$A:$AZ,MATCH($A$1,'DB Country PMI'!$A$1:$AZ$1,),))</f>
        <v>51.6</v>
      </c>
      <c r="C20" s="24">
        <f>Table134681112141516171819202225[[#This Row],[PMI]]-B19</f>
        <v>-1</v>
      </c>
    </row>
    <row r="21" spans="1:3" x14ac:dyDescent="0.2">
      <c r="A21" s="10">
        <v>40909</v>
      </c>
      <c r="B21" s="18">
        <f>IF(VLOOKUP(A21,'DB Country PMI'!$A:$AZ,MATCH($A$1,'DB Country PMI'!$A$1:$AZ$1,),)=0,#N/A,VLOOKUP(A21,'DB Country PMI'!$A:$AZ,MATCH($A$1,'DB Country PMI'!$A$1:$AZ$1,),))</f>
        <v>50.8</v>
      </c>
      <c r="C21" s="24">
        <f>Table134681112141516171819202225[[#This Row],[PMI]]-B20</f>
        <v>-0.80000000000000426</v>
      </c>
    </row>
    <row r="22" spans="1:3" x14ac:dyDescent="0.2">
      <c r="A22" s="10">
        <v>40940</v>
      </c>
      <c r="B22" s="18">
        <f>IF(VLOOKUP(A22,'DB Country PMI'!$A:$AZ,MATCH($A$1,'DB Country PMI'!$A$1:$AZ$1,),)=0,#N/A,VLOOKUP(A22,'DB Country PMI'!$A:$AZ,MATCH($A$1,'DB Country PMI'!$A$1:$AZ$1,),))</f>
        <v>50.7</v>
      </c>
      <c r="C22" s="24">
        <f>Table134681112141516171819202225[[#This Row],[PMI]]-B21</f>
        <v>-9.9999999999994316E-2</v>
      </c>
    </row>
    <row r="23" spans="1:3" x14ac:dyDescent="0.2">
      <c r="A23" s="10">
        <v>40969</v>
      </c>
      <c r="B23" s="18">
        <f>IF(VLOOKUP(A23,'DB Country PMI'!$A:$AZ,MATCH($A$1,'DB Country PMI'!$A$1:$AZ$1,),)=0,#N/A,VLOOKUP(A23,'DB Country PMI'!$A:$AZ,MATCH($A$1,'DB Country PMI'!$A$1:$AZ$1,),))</f>
        <v>50.8</v>
      </c>
      <c r="C23" s="24">
        <f>Table134681112141516171819202225[[#This Row],[PMI]]-B22</f>
        <v>9.9999999999994316E-2</v>
      </c>
    </row>
    <row r="24" spans="1:3" x14ac:dyDescent="0.2">
      <c r="A24" s="10">
        <v>41000</v>
      </c>
      <c r="B24" s="18">
        <f>IF(VLOOKUP(A24,'DB Country PMI'!$A:$AZ,MATCH($A$1,'DB Country PMI'!$A$1:$AZ$1,),)=0,#N/A,VLOOKUP(A24,'DB Country PMI'!$A:$AZ,MATCH($A$1,'DB Country PMI'!$A$1:$AZ$1,),))</f>
        <v>52.9</v>
      </c>
      <c r="C24" s="24">
        <f>Table134681112141516171819202225[[#This Row],[PMI]]-B23</f>
        <v>2.1000000000000014</v>
      </c>
    </row>
    <row r="25" spans="1:3" x14ac:dyDescent="0.2">
      <c r="A25" s="10">
        <v>41030</v>
      </c>
      <c r="B25" s="18">
        <f>IF(VLOOKUP(A25,'DB Country PMI'!$A:$AZ,MATCH($A$1,'DB Country PMI'!$A$1:$AZ$1,),)=0,#N/A,VLOOKUP(A25,'DB Country PMI'!$A:$AZ,MATCH($A$1,'DB Country PMI'!$A$1:$AZ$1,),))</f>
        <v>53.2</v>
      </c>
      <c r="C25" s="24">
        <f>Table134681112141516171819202225[[#This Row],[PMI]]-B24</f>
        <v>0.30000000000000426</v>
      </c>
    </row>
    <row r="26" spans="1:3" x14ac:dyDescent="0.2">
      <c r="A26" s="10">
        <v>41061</v>
      </c>
      <c r="B26" s="18">
        <f>IF(VLOOKUP(A26,'DB Country PMI'!$A:$AZ,MATCH($A$1,'DB Country PMI'!$A$1:$AZ$1,),)=0,#N/A,VLOOKUP(A26,'DB Country PMI'!$A:$AZ,MATCH($A$1,'DB Country PMI'!$A$1:$AZ$1,),))</f>
        <v>51</v>
      </c>
      <c r="C26" s="24">
        <f>Table134681112141516171819202225[[#This Row],[PMI]]-B25</f>
        <v>-2.2000000000000028</v>
      </c>
    </row>
    <row r="27" spans="1:3" x14ac:dyDescent="0.2">
      <c r="A27" s="10">
        <v>41091</v>
      </c>
      <c r="B27" s="18">
        <f>IF(VLOOKUP(A27,'DB Country PMI'!$A:$AZ,MATCH($A$1,'DB Country PMI'!$A$1:$AZ$1,),)=0,#N/A,VLOOKUP(A27,'DB Country PMI'!$A:$AZ,MATCH($A$1,'DB Country PMI'!$A$1:$AZ$1,),))</f>
        <v>52</v>
      </c>
      <c r="C27" s="24">
        <f>Table134681112141516171819202225[[#This Row],[PMI]]-B26</f>
        <v>1</v>
      </c>
    </row>
    <row r="28" spans="1:3" x14ac:dyDescent="0.2">
      <c r="A28" s="10">
        <v>41122</v>
      </c>
      <c r="B28" s="18">
        <f>IF(VLOOKUP(A28,'DB Country PMI'!$A:$AZ,MATCH($A$1,'DB Country PMI'!$A$1:$AZ$1,),)=0,#N/A,VLOOKUP(A28,'DB Country PMI'!$A:$AZ,MATCH($A$1,'DB Country PMI'!$A$1:$AZ$1,),))</f>
        <v>51</v>
      </c>
      <c r="C28" s="24">
        <f>Table134681112141516171819202225[[#This Row],[PMI]]-B27</f>
        <v>-1</v>
      </c>
    </row>
    <row r="29" spans="1:3" x14ac:dyDescent="0.2">
      <c r="A29" s="10">
        <v>41153</v>
      </c>
      <c r="B29" s="18">
        <f>IF(VLOOKUP(A29,'DB Country PMI'!$A:$AZ,MATCH($A$1,'DB Country PMI'!$A$1:$AZ$1,),)=0,#N/A,VLOOKUP(A29,'DB Country PMI'!$A:$AZ,MATCH($A$1,'DB Country PMI'!$A$1:$AZ$1,),))</f>
        <v>52.4</v>
      </c>
      <c r="C29" s="24">
        <f>Table134681112141516171819202225[[#This Row],[PMI]]-B28</f>
        <v>1.3999999999999986</v>
      </c>
    </row>
    <row r="30" spans="1:3" x14ac:dyDescent="0.2">
      <c r="A30" s="10">
        <v>41183</v>
      </c>
      <c r="B30" s="18">
        <f>IF(VLOOKUP(A30,'DB Country PMI'!$A:$AZ,MATCH($A$1,'DB Country PMI'!$A$1:$AZ$1,),)=0,#N/A,VLOOKUP(A30,'DB Country PMI'!$A:$AZ,MATCH($A$1,'DB Country PMI'!$A$1:$AZ$1,),))</f>
        <v>52.9</v>
      </c>
      <c r="C30" s="24">
        <f>Table134681112141516171819202225[[#This Row],[PMI]]-B29</f>
        <v>0.5</v>
      </c>
    </row>
    <row r="31" spans="1:3" x14ac:dyDescent="0.2">
      <c r="A31" s="10">
        <v>41214</v>
      </c>
      <c r="B31" s="18">
        <f>IF(VLOOKUP(A31,'DB Country PMI'!$A:$AZ,MATCH($A$1,'DB Country PMI'!$A$1:$AZ$1,),)=0,#N/A,VLOOKUP(A31,'DB Country PMI'!$A:$AZ,MATCH($A$1,'DB Country PMI'!$A$1:$AZ$1,),))</f>
        <v>52.2</v>
      </c>
      <c r="C31" s="24">
        <f>Table134681112141516171819202225[[#This Row],[PMI]]-B30</f>
        <v>-0.69999999999999574</v>
      </c>
    </row>
    <row r="32" spans="1:3" x14ac:dyDescent="0.2">
      <c r="A32" s="10">
        <v>41244</v>
      </c>
      <c r="B32" s="18">
        <f>IF(VLOOKUP(A32,'DB Country PMI'!$A:$AZ,MATCH($A$1,'DB Country PMI'!$A$1:$AZ$1,),)=0,#N/A,VLOOKUP(A32,'DB Country PMI'!$A:$AZ,MATCH($A$1,'DB Country PMI'!$A$1:$AZ$1,),))</f>
        <v>50</v>
      </c>
      <c r="C32" s="24">
        <f>Table134681112141516171819202225[[#This Row],[PMI]]-B31</f>
        <v>-2.2000000000000028</v>
      </c>
    </row>
    <row r="33" spans="1:3" x14ac:dyDescent="0.2">
      <c r="A33" s="10">
        <v>41275</v>
      </c>
      <c r="B33" s="18">
        <f>IF(VLOOKUP(A33,'DB Country PMI'!$A:$AZ,MATCH($A$1,'DB Country PMI'!$A$1:$AZ$1,),)=0,#N/A,VLOOKUP(A33,'DB Country PMI'!$A:$AZ,MATCH($A$1,'DB Country PMI'!$A$1:$AZ$1,),))</f>
        <v>52</v>
      </c>
      <c r="C33" s="24">
        <f>Table134681112141516171819202225[[#This Row],[PMI]]-B32</f>
        <v>2</v>
      </c>
    </row>
    <row r="34" spans="1:3" x14ac:dyDescent="0.2">
      <c r="A34" s="10">
        <v>41306</v>
      </c>
      <c r="B34" s="18">
        <f>IF(VLOOKUP(A34,'DB Country PMI'!$A:$AZ,MATCH($A$1,'DB Country PMI'!$A$1:$AZ$1,),)=0,#N/A,VLOOKUP(A34,'DB Country PMI'!$A:$AZ,MATCH($A$1,'DB Country PMI'!$A$1:$AZ$1,),))</f>
        <v>52</v>
      </c>
      <c r="C34" s="24">
        <f>Table134681112141516171819202225[[#This Row],[PMI]]-B33</f>
        <v>0</v>
      </c>
    </row>
    <row r="35" spans="1:3" x14ac:dyDescent="0.2">
      <c r="A35" s="10">
        <v>41334</v>
      </c>
      <c r="B35" s="18">
        <f>IF(VLOOKUP(A35,'DB Country PMI'!$A:$AZ,MATCH($A$1,'DB Country PMI'!$A$1:$AZ$1,),)=0,#N/A,VLOOKUP(A35,'DB Country PMI'!$A:$AZ,MATCH($A$1,'DB Country PMI'!$A$1:$AZ$1,),))</f>
        <v>50.8</v>
      </c>
      <c r="C35" s="24">
        <f>Table134681112141516171819202225[[#This Row],[PMI]]-B34</f>
        <v>-1.2000000000000028</v>
      </c>
    </row>
    <row r="36" spans="1:3" x14ac:dyDescent="0.2">
      <c r="A36" s="10">
        <v>41365</v>
      </c>
      <c r="B36" s="18">
        <f>IF(VLOOKUP(A36,'DB Country PMI'!$A:$AZ,MATCH($A$1,'DB Country PMI'!$A$1:$AZ$1,),)=0,#N/A,VLOOKUP(A36,'DB Country PMI'!$A:$AZ,MATCH($A$1,'DB Country PMI'!$A$1:$AZ$1,),))</f>
        <v>50.6</v>
      </c>
      <c r="C36" s="24">
        <f>Table134681112141516171819202225[[#This Row],[PMI]]-B35</f>
        <v>-0.19999999999999574</v>
      </c>
    </row>
    <row r="37" spans="1:3" x14ac:dyDescent="0.2">
      <c r="A37" s="10">
        <v>41395</v>
      </c>
      <c r="B37" s="18">
        <f>IF(VLOOKUP(A37,'DB Country PMI'!$A:$AZ,MATCH($A$1,'DB Country PMI'!$A$1:$AZ$1,),)=0,#N/A,VLOOKUP(A37,'DB Country PMI'!$A:$AZ,MATCH($A$1,'DB Country PMI'!$A$1:$AZ$1,),))</f>
        <v>50.4</v>
      </c>
      <c r="C37" s="24">
        <f>Table134681112141516171819202225[[#This Row],[PMI]]-B36</f>
        <v>-0.20000000000000284</v>
      </c>
    </row>
    <row r="38" spans="1:3" x14ac:dyDescent="0.2">
      <c r="A38" s="10">
        <v>41426</v>
      </c>
      <c r="B38" s="18">
        <f>IF(VLOOKUP(A38,'DB Country PMI'!$A:$AZ,MATCH($A$1,'DB Country PMI'!$A$1:$AZ$1,),)=0,#N/A,VLOOKUP(A38,'DB Country PMI'!$A:$AZ,MATCH($A$1,'DB Country PMI'!$A$1:$AZ$1,),))</f>
        <v>51.7</v>
      </c>
      <c r="C38" s="24">
        <f>Table134681112141516171819202225[[#This Row],[PMI]]-B37</f>
        <v>1.3000000000000043</v>
      </c>
    </row>
    <row r="39" spans="1:3" x14ac:dyDescent="0.2">
      <c r="A39" s="10">
        <v>41456</v>
      </c>
      <c r="B39" s="18">
        <f>IF(VLOOKUP(A39,'DB Country PMI'!$A:$AZ,MATCH($A$1,'DB Country PMI'!$A$1:$AZ$1,),)=0,#N/A,VLOOKUP(A39,'DB Country PMI'!$A:$AZ,MATCH($A$1,'DB Country PMI'!$A$1:$AZ$1,),))</f>
        <v>49.2</v>
      </c>
      <c r="C39" s="24">
        <f>Table134681112141516171819202225[[#This Row],[PMI]]-B38</f>
        <v>-2.5</v>
      </c>
    </row>
    <row r="40" spans="1:3" x14ac:dyDescent="0.2">
      <c r="A40" s="10">
        <v>41487</v>
      </c>
      <c r="B40" s="18">
        <f>IF(VLOOKUP(A40,'DB Country PMI'!$A:$AZ,MATCH($A$1,'DB Country PMI'!$A$1:$AZ$1,),)=0,#N/A,VLOOKUP(A40,'DB Country PMI'!$A:$AZ,MATCH($A$1,'DB Country PMI'!$A$1:$AZ$1,),))</f>
        <v>49.4</v>
      </c>
      <c r="C40" s="24">
        <f>Table134681112141516171819202225[[#This Row],[PMI]]-B39</f>
        <v>0.19999999999999574</v>
      </c>
    </row>
    <row r="41" spans="1:3" x14ac:dyDescent="0.2">
      <c r="A41" s="10">
        <v>41518</v>
      </c>
      <c r="B41" s="18">
        <f>IF(VLOOKUP(A41,'DB Country PMI'!$A:$AZ,MATCH($A$1,'DB Country PMI'!$A$1:$AZ$1,),)=0,#N/A,VLOOKUP(A41,'DB Country PMI'!$A:$AZ,MATCH($A$1,'DB Country PMI'!$A$1:$AZ$1,),))</f>
        <v>49.4</v>
      </c>
      <c r="C41" s="24">
        <f>Table134681112141516171819202225[[#This Row],[PMI]]-B40</f>
        <v>0</v>
      </c>
    </row>
    <row r="42" spans="1:3" x14ac:dyDescent="0.2">
      <c r="A42" s="10">
        <v>41548</v>
      </c>
      <c r="B42" s="18">
        <f>IF(VLOOKUP(A42,'DB Country PMI'!$A:$AZ,MATCH($A$1,'DB Country PMI'!$A$1:$AZ$1,),)=0,#N/A,VLOOKUP(A42,'DB Country PMI'!$A:$AZ,MATCH($A$1,'DB Country PMI'!$A$1:$AZ$1,),))</f>
        <v>51.8</v>
      </c>
      <c r="C42" s="24">
        <f>Table134681112141516171819202225[[#This Row],[PMI]]-B41</f>
        <v>2.3999999999999986</v>
      </c>
    </row>
    <row r="43" spans="1:3" x14ac:dyDescent="0.2">
      <c r="A43" s="10">
        <v>41579</v>
      </c>
      <c r="B43" s="18">
        <f>IF(VLOOKUP(A43,'DB Country PMI'!$A:$AZ,MATCH($A$1,'DB Country PMI'!$A$1:$AZ$1,),)=0,#N/A,VLOOKUP(A43,'DB Country PMI'!$A:$AZ,MATCH($A$1,'DB Country PMI'!$A$1:$AZ$1,),))</f>
        <v>49.4</v>
      </c>
      <c r="C43" s="24">
        <f>Table134681112141516171819202225[[#This Row],[PMI]]-B42</f>
        <v>-2.3999999999999986</v>
      </c>
    </row>
    <row r="44" spans="1:3" x14ac:dyDescent="0.2">
      <c r="A44" s="10">
        <v>41609</v>
      </c>
      <c r="B44" s="18">
        <f>IF(VLOOKUP(A44,'DB Country PMI'!$A:$AZ,MATCH($A$1,'DB Country PMI'!$A$1:$AZ$1,),)=0,#N/A,VLOOKUP(A44,'DB Country PMI'!$A:$AZ,MATCH($A$1,'DB Country PMI'!$A$1:$AZ$1,),))</f>
        <v>48.8</v>
      </c>
      <c r="C44" s="24">
        <f>Table134681112141516171819202225[[#This Row],[PMI]]-B43</f>
        <v>-0.60000000000000142</v>
      </c>
    </row>
    <row r="45" spans="1:3" x14ac:dyDescent="0.2">
      <c r="A45" s="10">
        <v>41640</v>
      </c>
      <c r="B45" s="18">
        <f>IF(VLOOKUP(A45,'DB Country PMI'!$A:$AZ,MATCH($A$1,'DB Country PMI'!$A$1:$AZ$1,),)=0,#N/A,VLOOKUP(A45,'DB Country PMI'!$A:$AZ,MATCH($A$1,'DB Country PMI'!$A$1:$AZ$1,),))</f>
        <v>48</v>
      </c>
      <c r="C45" s="24">
        <f>Table134681112141516171819202225[[#This Row],[PMI]]-B44</f>
        <v>-0.79999999999999716</v>
      </c>
    </row>
    <row r="46" spans="1:3" x14ac:dyDescent="0.2">
      <c r="A46" s="10">
        <v>41671</v>
      </c>
      <c r="B46" s="18">
        <f>IF(VLOOKUP(A46,'DB Country PMI'!$A:$AZ,MATCH($A$1,'DB Country PMI'!$A$1:$AZ$1,),)=0,#N/A,VLOOKUP(A46,'DB Country PMI'!$A:$AZ,MATCH($A$1,'DB Country PMI'!$A$1:$AZ$1,),))</f>
        <v>48.5</v>
      </c>
      <c r="C46" s="24">
        <f>Table134681112141516171819202225[[#This Row],[PMI]]-B45</f>
        <v>0.5</v>
      </c>
    </row>
    <row r="47" spans="1:3" x14ac:dyDescent="0.2">
      <c r="A47" s="10">
        <v>41699</v>
      </c>
      <c r="B47" s="18">
        <f>IF(VLOOKUP(A47,'DB Country PMI'!$A:$AZ,MATCH($A$1,'DB Country PMI'!$A$1:$AZ$1,),)=0,#N/A,VLOOKUP(A47,'DB Country PMI'!$A:$AZ,MATCH($A$1,'DB Country PMI'!$A$1:$AZ$1,),))</f>
        <v>48.3</v>
      </c>
      <c r="C47" s="24">
        <f>Table134681112141516171819202225[[#This Row],[PMI]]-B46</f>
        <v>-0.20000000000000284</v>
      </c>
    </row>
    <row r="48" spans="1:3" x14ac:dyDescent="0.2">
      <c r="A48" s="10">
        <v>41730</v>
      </c>
      <c r="B48" s="18">
        <f>IF(VLOOKUP(A48,'DB Country PMI'!$A:$AZ,MATCH($A$1,'DB Country PMI'!$A$1:$AZ$1,),)=0,#N/A,VLOOKUP(A48,'DB Country PMI'!$A:$AZ,MATCH($A$1,'DB Country PMI'!$A$1:$AZ$1,),))</f>
        <v>48.5</v>
      </c>
      <c r="C48" s="24">
        <f>Table134681112141516171819202225[[#This Row],[PMI]]-B47</f>
        <v>0.20000000000000284</v>
      </c>
    </row>
    <row r="49" spans="1:3" x14ac:dyDescent="0.2">
      <c r="A49" s="10">
        <v>41760</v>
      </c>
      <c r="B49" s="18">
        <f>IF(VLOOKUP(A49,'DB Country PMI'!$A:$AZ,MATCH($A$1,'DB Country PMI'!$A$1:$AZ$1,),)=0,#N/A,VLOOKUP(A49,'DB Country PMI'!$A:$AZ,MATCH($A$1,'DB Country PMI'!$A$1:$AZ$1,),))</f>
        <v>48.9</v>
      </c>
      <c r="C49" s="24">
        <f>Table134681112141516171819202225[[#This Row],[PMI]]-B48</f>
        <v>0.39999999999999858</v>
      </c>
    </row>
    <row r="50" spans="1:3" x14ac:dyDescent="0.2">
      <c r="A50" s="10">
        <v>41791</v>
      </c>
      <c r="B50" s="18">
        <f>IF(VLOOKUP(A50,'DB Country PMI'!$A:$AZ,MATCH($A$1,'DB Country PMI'!$A$1:$AZ$1,),)=0,#N/A,VLOOKUP(A50,'DB Country PMI'!$A:$AZ,MATCH($A$1,'DB Country PMI'!$A$1:$AZ$1,),))</f>
        <v>49.1</v>
      </c>
      <c r="C50" s="24">
        <f>Table134681112141516171819202225[[#This Row],[PMI]]-B49</f>
        <v>0.20000000000000284</v>
      </c>
    </row>
    <row r="51" spans="1:3" x14ac:dyDescent="0.2">
      <c r="A51" s="10">
        <v>41821</v>
      </c>
      <c r="B51" s="18">
        <f>IF(VLOOKUP(A51,'DB Country PMI'!$A:$AZ,MATCH($A$1,'DB Country PMI'!$A$1:$AZ$1,),)=0,#N/A,VLOOKUP(A51,'DB Country PMI'!$A:$AZ,MATCH($A$1,'DB Country PMI'!$A$1:$AZ$1,),))</f>
        <v>51</v>
      </c>
      <c r="C51" s="24">
        <f>Table134681112141516171819202225[[#This Row],[PMI]]-B50</f>
        <v>1.8999999999999986</v>
      </c>
    </row>
    <row r="52" spans="1:3" x14ac:dyDescent="0.2">
      <c r="A52" s="10">
        <v>41852</v>
      </c>
      <c r="B52" s="18">
        <f>IF(VLOOKUP(A52,'DB Country PMI'!$A:$AZ,MATCH($A$1,'DB Country PMI'!$A$1:$AZ$1,),)=0,#N/A,VLOOKUP(A52,'DB Country PMI'!$A:$AZ,MATCH($A$1,'DB Country PMI'!$A$1:$AZ$1,),))</f>
        <v>51</v>
      </c>
      <c r="C52" s="24">
        <f>Table134681112141516171819202225[[#This Row],[PMI]]-B51</f>
        <v>0</v>
      </c>
    </row>
    <row r="53" spans="1:3" x14ac:dyDescent="0.2">
      <c r="A53" s="10">
        <v>41883</v>
      </c>
      <c r="B53" s="18">
        <f>IF(VLOOKUP(A53,'DB Country PMI'!$A:$AZ,MATCH($A$1,'DB Country PMI'!$A$1:$AZ$1,),)=0,#N/A,VLOOKUP(A53,'DB Country PMI'!$A:$AZ,MATCH($A$1,'DB Country PMI'!$A$1:$AZ$1,),))</f>
        <v>50.4</v>
      </c>
      <c r="C53" s="24">
        <f>Table134681112141516171819202225[[#This Row],[PMI]]-B52</f>
        <v>-0.60000000000000142</v>
      </c>
    </row>
    <row r="54" spans="1:3" x14ac:dyDescent="0.2">
      <c r="A54" s="10">
        <v>41913</v>
      </c>
      <c r="B54" s="18">
        <f>IF(VLOOKUP(A54,'DB Country PMI'!$A:$AZ,MATCH($A$1,'DB Country PMI'!$A$1:$AZ$1,),)=0,#N/A,VLOOKUP(A54,'DB Country PMI'!$A:$AZ,MATCH($A$1,'DB Country PMI'!$A$1:$AZ$1,),))</f>
        <v>50.3</v>
      </c>
      <c r="C54" s="24">
        <f>Table134681112141516171819202225[[#This Row],[PMI]]-B53</f>
        <v>-0.10000000000000142</v>
      </c>
    </row>
    <row r="55" spans="1:3" x14ac:dyDescent="0.2">
      <c r="A55" s="10">
        <v>41944</v>
      </c>
      <c r="B55" s="18">
        <f>IF(VLOOKUP(A55,'DB Country PMI'!$A:$AZ,MATCH($A$1,'DB Country PMI'!$A$1:$AZ$1,),)=0,#N/A,VLOOKUP(A55,'DB Country PMI'!$A:$AZ,MATCH($A$1,'DB Country PMI'!$A$1:$AZ$1,),))</f>
        <v>51.7</v>
      </c>
      <c r="C55" s="24">
        <f>Table134681112141516171819202225[[#This Row],[PMI]]-B54</f>
        <v>1.4000000000000057</v>
      </c>
    </row>
    <row r="56" spans="1:3" x14ac:dyDescent="0.2">
      <c r="A56" s="10">
        <v>41974</v>
      </c>
      <c r="B56" s="18">
        <f>IF(VLOOKUP(A56,'DB Country PMI'!$A:$AZ,MATCH($A$1,'DB Country PMI'!$A$1:$AZ$1,),)=0,#N/A,VLOOKUP(A56,'DB Country PMI'!$A:$AZ,MATCH($A$1,'DB Country PMI'!$A$1:$AZ$1,),))</f>
        <v>48.9</v>
      </c>
      <c r="C56" s="24">
        <f>Table134681112141516171819202225[[#This Row],[PMI]]-B55</f>
        <v>-2.8000000000000043</v>
      </c>
    </row>
    <row r="57" spans="1:3" x14ac:dyDescent="0.2">
      <c r="A57" s="10">
        <v>42005</v>
      </c>
      <c r="B57" s="18">
        <f>IF(VLOOKUP(A57,'DB Country PMI'!$A:$AZ,MATCH($A$1,'DB Country PMI'!$A$1:$AZ$1,),)=0,#N/A,VLOOKUP(A57,'DB Country PMI'!$A:$AZ,MATCH($A$1,'DB Country PMI'!$A$1:$AZ$1,),))</f>
        <v>47.6</v>
      </c>
      <c r="C57" s="24">
        <f>Table134681112141516171819202225[[#This Row],[PMI]]-B56</f>
        <v>-1.2999999999999972</v>
      </c>
    </row>
    <row r="58" spans="1:3" x14ac:dyDescent="0.2">
      <c r="A58" s="10">
        <v>42036</v>
      </c>
      <c r="B58" s="18">
        <f>IF(VLOOKUP(A58,'DB Country PMI'!$A:$AZ,MATCH($A$1,'DB Country PMI'!$A$1:$AZ$1,),)=0,#N/A,VLOOKUP(A58,'DB Country PMI'!$A:$AZ,MATCH($A$1,'DB Country PMI'!$A$1:$AZ$1,),))</f>
        <v>49.7</v>
      </c>
      <c r="C58" s="24">
        <f>Table134681112141516171819202225[[#This Row],[PMI]]-B57</f>
        <v>2.1000000000000014</v>
      </c>
    </row>
    <row r="59" spans="1:3" x14ac:dyDescent="0.2">
      <c r="A59" s="10">
        <v>42064</v>
      </c>
      <c r="B59" s="18">
        <f>IF(VLOOKUP(A59,'DB Country PMI'!$A:$AZ,MATCH($A$1,'DB Country PMI'!$A$1:$AZ$1,),)=0,#N/A,VLOOKUP(A59,'DB Country PMI'!$A:$AZ,MATCH($A$1,'DB Country PMI'!$A$1:$AZ$1,),))</f>
        <v>48.1</v>
      </c>
      <c r="C59" s="24">
        <f>Table134681112141516171819202225[[#This Row],[PMI]]-B58</f>
        <v>-1.6000000000000014</v>
      </c>
    </row>
    <row r="60" spans="1:3" x14ac:dyDescent="0.2">
      <c r="A60" s="10">
        <v>42095</v>
      </c>
      <c r="B60" s="18">
        <f>IF(VLOOKUP(A60,'DB Country PMI'!$A:$AZ,MATCH($A$1,'DB Country PMI'!$A$1:$AZ$1,),)=0,#N/A,VLOOKUP(A60,'DB Country PMI'!$A:$AZ,MATCH($A$1,'DB Country PMI'!$A$1:$AZ$1,),))</f>
        <v>48.9</v>
      </c>
      <c r="C60" s="24">
        <f>Table134681112141516171819202225[[#This Row],[PMI]]-B59</f>
        <v>0.79999999999999716</v>
      </c>
    </row>
    <row r="61" spans="1:3" x14ac:dyDescent="0.2">
      <c r="A61" s="10">
        <v>42125</v>
      </c>
      <c r="B61" s="18">
        <f>IF(VLOOKUP(A61,'DB Country PMI'!$A:$AZ,MATCH($A$1,'DB Country PMI'!$A$1:$AZ$1,),)=0,#N/A,VLOOKUP(A61,'DB Country PMI'!$A:$AZ,MATCH($A$1,'DB Country PMI'!$A$1:$AZ$1,),))</f>
        <v>47.6</v>
      </c>
      <c r="C61" s="24">
        <f>Table134681112141516171819202225[[#This Row],[PMI]]-B60</f>
        <v>-1.2999999999999972</v>
      </c>
    </row>
    <row r="62" spans="1:3" x14ac:dyDescent="0.2">
      <c r="A62" s="10">
        <v>42156</v>
      </c>
      <c r="B62" s="18">
        <f>IF(VLOOKUP(A62,'DB Country PMI'!$A:$AZ,MATCH($A$1,'DB Country PMI'!$A$1:$AZ$1,),)=0,#N/A,VLOOKUP(A62,'DB Country PMI'!$A:$AZ,MATCH($A$1,'DB Country PMI'!$A$1:$AZ$1,),))</f>
        <v>48.7</v>
      </c>
      <c r="C62" s="24">
        <f>Table134681112141516171819202225[[#This Row],[PMI]]-B61</f>
        <v>1.1000000000000014</v>
      </c>
    </row>
    <row r="63" spans="1:3" x14ac:dyDescent="0.2">
      <c r="A63" s="10">
        <v>42186</v>
      </c>
      <c r="B63" s="18">
        <f>IF(VLOOKUP(A63,'DB Country PMI'!$A:$AZ,MATCH($A$1,'DB Country PMI'!$A$1:$AZ$1,),)=0,#N/A,VLOOKUP(A63,'DB Country PMI'!$A:$AZ,MATCH($A$1,'DB Country PMI'!$A$1:$AZ$1,),))</f>
        <v>48.3</v>
      </c>
      <c r="C63" s="24">
        <f>Table134681112141516171819202225[[#This Row],[PMI]]-B62</f>
        <v>-0.40000000000000568</v>
      </c>
    </row>
    <row r="64" spans="1:3" x14ac:dyDescent="0.2">
      <c r="A64" s="10">
        <v>42217</v>
      </c>
      <c r="B64" s="18">
        <f>IF(VLOOKUP(A64,'DB Country PMI'!$A:$AZ,MATCH($A$1,'DB Country PMI'!$A$1:$AZ$1,),)=0,#N/A,VLOOKUP(A64,'DB Country PMI'!$A:$AZ,MATCH($A$1,'DB Country PMI'!$A$1:$AZ$1,),))</f>
        <v>47.9</v>
      </c>
      <c r="C64" s="24">
        <f>Table134681112141516171819202225[[#This Row],[PMI]]-B63</f>
        <v>-0.39999999999999858</v>
      </c>
    </row>
    <row r="65" spans="1:3" x14ac:dyDescent="0.2">
      <c r="A65" s="10">
        <v>42248</v>
      </c>
      <c r="B65" s="18">
        <f>IF(VLOOKUP(A65,'DB Country PMI'!$A:$AZ,MATCH($A$1,'DB Country PMI'!$A$1:$AZ$1,),)=0,#N/A,VLOOKUP(A65,'DB Country PMI'!$A:$AZ,MATCH($A$1,'DB Country PMI'!$A$1:$AZ$1,),))</f>
        <v>49.1</v>
      </c>
      <c r="C65" s="24">
        <f>Table134681112141516171819202225[[#This Row],[PMI]]-B64</f>
        <v>1.2000000000000028</v>
      </c>
    </row>
    <row r="66" spans="1:3" x14ac:dyDescent="0.2">
      <c r="A66" s="10">
        <v>42278</v>
      </c>
      <c r="B66" s="18">
        <f>IF(VLOOKUP(A66,'DB Country PMI'!$A:$AZ,MATCH($A$1,'DB Country PMI'!$A$1:$AZ$1,),)=0,#N/A,VLOOKUP(A66,'DB Country PMI'!$A:$AZ,MATCH($A$1,'DB Country PMI'!$A$1:$AZ$1,),))</f>
        <v>50.2</v>
      </c>
      <c r="C66" s="24">
        <f>Table134681112141516171819202225[[#This Row],[PMI]]-B65</f>
        <v>1.1000000000000014</v>
      </c>
    </row>
    <row r="67" spans="1:3" x14ac:dyDescent="0.2">
      <c r="A67" s="10">
        <v>42309</v>
      </c>
      <c r="B67" s="18">
        <f>IF(VLOOKUP(A67,'DB Country PMI'!$A:$AZ,MATCH($A$1,'DB Country PMI'!$A$1:$AZ$1,),)=0,#N/A,VLOOKUP(A67,'DB Country PMI'!$A:$AZ,MATCH($A$1,'DB Country PMI'!$A$1:$AZ$1,),))</f>
        <v>50.1</v>
      </c>
      <c r="C67" s="24">
        <f>Table134681112141516171819202225[[#This Row],[PMI]]-B66</f>
        <v>-0.10000000000000142</v>
      </c>
    </row>
    <row r="68" spans="1:3" x14ac:dyDescent="0.2">
      <c r="A68" s="10">
        <v>42339</v>
      </c>
      <c r="B68" s="18">
        <f>IF(VLOOKUP(A68,'DB Country PMI'!$A:$AZ,MATCH($A$1,'DB Country PMI'!$A$1:$AZ$1,),)=0,#N/A,VLOOKUP(A68,'DB Country PMI'!$A:$AZ,MATCH($A$1,'DB Country PMI'!$A$1:$AZ$1,),))</f>
        <v>48.7</v>
      </c>
      <c r="C68" s="24">
        <f>Table134681112141516171819202225[[#This Row],[PMI]]-B67</f>
        <v>-1.3999999999999986</v>
      </c>
    </row>
    <row r="69" spans="1:3" x14ac:dyDescent="0.2">
      <c r="A69" s="10">
        <v>42370</v>
      </c>
      <c r="B69" s="18">
        <f>IF(VLOOKUP(A69,'DB Country PMI'!$A:$AZ,MATCH($A$1,'DB Country PMI'!$A$1:$AZ$1,),)=0,#N/A,VLOOKUP(A69,'DB Country PMI'!$A:$AZ,MATCH($A$1,'DB Country PMI'!$A$1:$AZ$1,),))</f>
        <v>49.8</v>
      </c>
      <c r="C69" s="24">
        <f>Table134681112141516171819202225[[#This Row],[PMI]]-B68</f>
        <v>1.0999999999999943</v>
      </c>
    </row>
    <row r="70" spans="1:3" x14ac:dyDescent="0.2">
      <c r="A70" s="10">
        <v>42401</v>
      </c>
      <c r="B70" s="18">
        <f>IF(VLOOKUP(A70,'DB Country PMI'!$A:$AZ,MATCH($A$1,'DB Country PMI'!$A$1:$AZ$1,),)=0,#N/A,VLOOKUP(A70,'DB Country PMI'!$A:$AZ,MATCH($A$1,'DB Country PMI'!$A$1:$AZ$1,),))</f>
        <v>49.3</v>
      </c>
      <c r="C70" s="24">
        <f>Table134681112141516171819202225[[#This Row],[PMI]]-B69</f>
        <v>-0.5</v>
      </c>
    </row>
    <row r="71" spans="1:3" x14ac:dyDescent="0.2">
      <c r="A71" s="10">
        <v>42430</v>
      </c>
      <c r="B71" s="18">
        <f>IF(VLOOKUP(A71,'DB Country PMI'!$A:$AZ,MATCH($A$1,'DB Country PMI'!$A$1:$AZ$1,),)=0,#N/A,VLOOKUP(A71,'DB Country PMI'!$A:$AZ,MATCH($A$1,'DB Country PMI'!$A$1:$AZ$1,),))</f>
        <v>48.3</v>
      </c>
      <c r="C71" s="24">
        <f>Table134681112141516171819202225[[#This Row],[PMI]]-B70</f>
        <v>-1</v>
      </c>
    </row>
    <row r="72" spans="1:3" x14ac:dyDescent="0.2">
      <c r="A72" s="10">
        <v>42461</v>
      </c>
      <c r="B72" s="18">
        <f>IF(VLOOKUP(A72,'DB Country PMI'!$A:$AZ,MATCH($A$1,'DB Country PMI'!$A$1:$AZ$1,),)=0,#N/A,VLOOKUP(A72,'DB Country PMI'!$A:$AZ,MATCH($A$1,'DB Country PMI'!$A$1:$AZ$1,),))</f>
        <v>48</v>
      </c>
      <c r="C72" s="24">
        <f>Table134681112141516171819202225[[#This Row],[PMI]]-B71</f>
        <v>-0.29999999999999716</v>
      </c>
    </row>
    <row r="73" spans="1:3" x14ac:dyDescent="0.2">
      <c r="A73" s="10">
        <v>42491</v>
      </c>
      <c r="B73" s="18">
        <f>IF(VLOOKUP(A73,'DB Country PMI'!$A:$AZ,MATCH($A$1,'DB Country PMI'!$A$1:$AZ$1,),)=0,#N/A,VLOOKUP(A73,'DB Country PMI'!$A:$AZ,MATCH($A$1,'DB Country PMI'!$A$1:$AZ$1,),))</f>
        <v>49.6</v>
      </c>
      <c r="C73" s="24">
        <f>Table134681112141516171819202225[[#This Row],[PMI]]-B72</f>
        <v>1.6000000000000014</v>
      </c>
    </row>
    <row r="74" spans="1:3" x14ac:dyDescent="0.2">
      <c r="A74" s="10">
        <v>42522</v>
      </c>
      <c r="B74" s="18">
        <f>IF(VLOOKUP(A74,'DB Country PMI'!$A:$AZ,MATCH($A$1,'DB Country PMI'!$A$1:$AZ$1,),)=0,#N/A,VLOOKUP(A74,'DB Country PMI'!$A:$AZ,MATCH($A$1,'DB Country PMI'!$A$1:$AZ$1,),))</f>
        <v>51.5</v>
      </c>
      <c r="C74" s="24">
        <f>Table134681112141516171819202225[[#This Row],[PMI]]-B73</f>
        <v>1.8999999999999986</v>
      </c>
    </row>
    <row r="75" spans="1:3" x14ac:dyDescent="0.2">
      <c r="A75" s="10">
        <v>42552</v>
      </c>
      <c r="B75" s="18">
        <f>IF(VLOOKUP(A75,'DB Country PMI'!$A:$AZ,MATCH($A$1,'DB Country PMI'!$A$1:$AZ$1,),)=0,#N/A,VLOOKUP(A75,'DB Country PMI'!$A:$AZ,MATCH($A$1,'DB Country PMI'!$A$1:$AZ$1,),))</f>
        <v>49.5</v>
      </c>
      <c r="C75" s="24">
        <f>Table134681112141516171819202225[[#This Row],[PMI]]-B74</f>
        <v>-2</v>
      </c>
    </row>
    <row r="76" spans="1:3" x14ac:dyDescent="0.2">
      <c r="A76" s="10">
        <v>42583</v>
      </c>
      <c r="B76" s="18">
        <f>IF(VLOOKUP(A76,'DB Country PMI'!$A:$AZ,MATCH($A$1,'DB Country PMI'!$A$1:$AZ$1,),)=0,#N/A,VLOOKUP(A76,'DB Country PMI'!$A:$AZ,MATCH($A$1,'DB Country PMI'!$A$1:$AZ$1,),))</f>
        <v>50.8</v>
      </c>
      <c r="C76" s="24">
        <f>Table134681112141516171819202225[[#This Row],[PMI]]-B75</f>
        <v>1.2999999999999972</v>
      </c>
    </row>
    <row r="77" spans="1:3" x14ac:dyDescent="0.2">
      <c r="A77" s="10">
        <v>42614</v>
      </c>
      <c r="B77" s="18">
        <f>IF(VLOOKUP(A77,'DB Country PMI'!$A:$AZ,MATCH($A$1,'DB Country PMI'!$A$1:$AZ$1,),)=0,#N/A,VLOOKUP(A77,'DB Country PMI'!$A:$AZ,MATCH($A$1,'DB Country PMI'!$A$1:$AZ$1,),))</f>
        <v>51.1</v>
      </c>
      <c r="C77" s="24">
        <f>Table134681112141516171819202225[[#This Row],[PMI]]-B76</f>
        <v>0.30000000000000426</v>
      </c>
    </row>
    <row r="78" spans="1:3" x14ac:dyDescent="0.2">
      <c r="A78" s="10">
        <v>42644</v>
      </c>
      <c r="B78" s="18">
        <f>IF(VLOOKUP(A78,'DB Country PMI'!$A:$AZ,MATCH($A$1,'DB Country PMI'!$A$1:$AZ$1,),)=0,#N/A,VLOOKUP(A78,'DB Country PMI'!$A:$AZ,MATCH($A$1,'DB Country PMI'!$A$1:$AZ$1,),))</f>
        <v>52.4</v>
      </c>
      <c r="C78" s="24">
        <f>Table134681112141516171819202225[[#This Row],[PMI]]-B77</f>
        <v>1.2999999999999972</v>
      </c>
    </row>
    <row r="79" spans="1:3" x14ac:dyDescent="0.2">
      <c r="A79" s="10">
        <v>42675</v>
      </c>
      <c r="B79" s="18">
        <f>IF(VLOOKUP(A79,'DB Country PMI'!$A:$AZ,MATCH($A$1,'DB Country PMI'!$A$1:$AZ$1,),)=0,#N/A,VLOOKUP(A79,'DB Country PMI'!$A:$AZ,MATCH($A$1,'DB Country PMI'!$A$1:$AZ$1,),))</f>
        <v>53.6</v>
      </c>
      <c r="C79" s="24">
        <f>Table134681112141516171819202225[[#This Row],[PMI]]-B78</f>
        <v>1.2000000000000028</v>
      </c>
    </row>
    <row r="80" spans="1:3" x14ac:dyDescent="0.2">
      <c r="A80" s="10">
        <v>42705</v>
      </c>
      <c r="B80" s="18">
        <f>IF(VLOOKUP(A80,'DB Country PMI'!$A:$AZ,MATCH($A$1,'DB Country PMI'!$A$1:$AZ$1,),)=0,#N/A,VLOOKUP(A80,'DB Country PMI'!$A:$AZ,MATCH($A$1,'DB Country PMI'!$A$1:$AZ$1,),))</f>
        <v>53.7</v>
      </c>
      <c r="C80" s="24">
        <f>Table134681112141516171819202225[[#This Row],[PMI]]-B79</f>
        <v>0.10000000000000142</v>
      </c>
    </row>
    <row r="81" spans="1:3" x14ac:dyDescent="0.2">
      <c r="A81" s="10">
        <v>42736</v>
      </c>
      <c r="B81" s="18">
        <f>IF(VLOOKUP(A81,'DB Country PMI'!$A:$AZ,MATCH($A$1,'DB Country PMI'!$A$1:$AZ$1,),)=0,#N/A,VLOOKUP(A81,'DB Country PMI'!$A:$AZ,MATCH($A$1,'DB Country PMI'!$A$1:$AZ$1,),))</f>
        <v>54.7</v>
      </c>
      <c r="C81" s="24">
        <f>Table134681112141516171819202225[[#This Row],[PMI]]-B80</f>
        <v>1</v>
      </c>
    </row>
    <row r="82" spans="1:3" x14ac:dyDescent="0.2">
      <c r="A82" s="10">
        <v>42767</v>
      </c>
      <c r="B82" s="18">
        <f>IF(VLOOKUP(A82,'DB Country PMI'!$A:$AZ,MATCH($A$1,'DB Country PMI'!$A$1:$AZ$1,),)=0,#N/A,VLOOKUP(A82,'DB Country PMI'!$A:$AZ,MATCH($A$1,'DB Country PMI'!$A$1:$AZ$1,),))</f>
        <v>52.5</v>
      </c>
      <c r="C82" s="24">
        <f>Table134681112141516171819202225[[#This Row],[PMI]]-B81</f>
        <v>-2.2000000000000028</v>
      </c>
    </row>
    <row r="83" spans="1:3" x14ac:dyDescent="0.2">
      <c r="A83" s="10">
        <v>42795</v>
      </c>
      <c r="B83" s="18">
        <f>IF(VLOOKUP(A83,'DB Country PMI'!$A:$AZ,MATCH($A$1,'DB Country PMI'!$A$1:$AZ$1,),)=0,#N/A,VLOOKUP(A83,'DB Country PMI'!$A:$AZ,MATCH($A$1,'DB Country PMI'!$A$1:$AZ$1,),))</f>
        <v>52.4</v>
      </c>
      <c r="C83" s="24">
        <f>Table134681112141516171819202225[[#This Row],[PMI]]-B82</f>
        <v>-0.10000000000000142</v>
      </c>
    </row>
    <row r="84" spans="1:3" x14ac:dyDescent="0.2">
      <c r="A84" s="10">
        <v>42826</v>
      </c>
      <c r="B84" s="18">
        <f>IF(VLOOKUP(A84,'DB Country PMI'!$A:$AZ,MATCH($A$1,'DB Country PMI'!$A$1:$AZ$1,),)=0,#N/A,VLOOKUP(A84,'DB Country PMI'!$A:$AZ,MATCH($A$1,'DB Country PMI'!$A$1:$AZ$1,),))</f>
        <v>50.8</v>
      </c>
      <c r="C84" s="24">
        <f>Table134681112141516171819202225[[#This Row],[PMI]]-B83</f>
        <v>-1.6000000000000014</v>
      </c>
    </row>
    <row r="85" spans="1:3" x14ac:dyDescent="0.2">
      <c r="A85" s="10">
        <v>42856</v>
      </c>
      <c r="B85" s="18">
        <f>IF(VLOOKUP(A85,'DB Country PMI'!$A:$AZ,MATCH($A$1,'DB Country PMI'!$A$1:$AZ$1,),)=0,#N/A,VLOOKUP(A85,'DB Country PMI'!$A:$AZ,MATCH($A$1,'DB Country PMI'!$A$1:$AZ$1,),))</f>
        <v>52.4</v>
      </c>
      <c r="C85" s="24">
        <f>Table134681112141516171819202225[[#This Row],[PMI]]-B84</f>
        <v>1.6000000000000014</v>
      </c>
    </row>
    <row r="86" spans="1:3" x14ac:dyDescent="0.2">
      <c r="A86" s="10">
        <v>42887</v>
      </c>
      <c r="B86" s="18">
        <f>IF(VLOOKUP(A86,'DB Country PMI'!$A:$AZ,MATCH($A$1,'DB Country PMI'!$A$1:$AZ$1,),)=0,#N/A,VLOOKUP(A86,'DB Country PMI'!$A:$AZ,MATCH($A$1,'DB Country PMI'!$A$1:$AZ$1,),))</f>
        <v>50.3</v>
      </c>
      <c r="C86" s="24">
        <f>Table134681112141516171819202225[[#This Row],[PMI]]-B85</f>
        <v>-2.1000000000000014</v>
      </c>
    </row>
    <row r="87" spans="1:3" x14ac:dyDescent="0.2">
      <c r="A87" s="10">
        <v>42917</v>
      </c>
      <c r="B87" s="18">
        <f>IF(VLOOKUP(A87,'DB Country PMI'!$A:$AZ,MATCH($A$1,'DB Country PMI'!$A$1:$AZ$1,),)=0,#N/A,VLOOKUP(A87,'DB Country PMI'!$A:$AZ,MATCH($A$1,'DB Country PMI'!$A$1:$AZ$1,),))</f>
        <v>52.7</v>
      </c>
      <c r="C87" s="24">
        <f>Table134681112141516171819202225[[#This Row],[PMI]]-B86</f>
        <v>2.4000000000000057</v>
      </c>
    </row>
    <row r="88" spans="1:3" x14ac:dyDescent="0.2">
      <c r="A88" s="10">
        <v>42948</v>
      </c>
      <c r="B88" s="18">
        <f>IF(VLOOKUP(A88,'DB Country PMI'!$A:$AZ,MATCH($A$1,'DB Country PMI'!$A$1:$AZ$1,),)=0,#N/A,VLOOKUP(A88,'DB Country PMI'!$A:$AZ,MATCH($A$1,'DB Country PMI'!$A$1:$AZ$1,),))</f>
        <v>51.6</v>
      </c>
      <c r="C88" s="24">
        <f>Table134681112141516171819202225[[#This Row],[PMI]]-B87</f>
        <v>-1.1000000000000014</v>
      </c>
    </row>
    <row r="89" spans="1:3" x14ac:dyDescent="0.2">
      <c r="A89" s="10">
        <v>42979</v>
      </c>
      <c r="B89" s="18">
        <f>IF(VLOOKUP(A89,'DB Country PMI'!$A:$AZ,MATCH($A$1,'DB Country PMI'!$A$1:$AZ$1,),)=0,#N/A,VLOOKUP(A89,'DB Country PMI'!$A:$AZ,MATCH($A$1,'DB Country PMI'!$A$1:$AZ$1,),))</f>
        <v>51.9</v>
      </c>
      <c r="C89" s="24">
        <f>Table134681112141516171819202225[[#This Row],[PMI]]-B88</f>
        <v>0.29999999999999716</v>
      </c>
    </row>
    <row r="90" spans="1:3" x14ac:dyDescent="0.2">
      <c r="A90" s="10">
        <v>43009</v>
      </c>
      <c r="B90" s="18">
        <f>IF(VLOOKUP(A90,'DB Country PMI'!$A:$AZ,MATCH($A$1,'DB Country PMI'!$A$1:$AZ$1,),)=0,#N/A,VLOOKUP(A90,'DB Country PMI'!$A:$AZ,MATCH($A$1,'DB Country PMI'!$A$1:$AZ$1,),))</f>
        <v>51.1</v>
      </c>
      <c r="C90" s="24">
        <f>Table134681112141516171819202225[[#This Row],[PMI]]-B89</f>
        <v>-0.79999999999999716</v>
      </c>
    </row>
    <row r="91" spans="1:3" x14ac:dyDescent="0.2">
      <c r="A91" s="10">
        <v>43040</v>
      </c>
      <c r="B91" s="18">
        <f>IF(VLOOKUP(A91,'DB Country PMI'!$A:$AZ,MATCH($A$1,'DB Country PMI'!$A$1:$AZ$1,),)=0,#N/A,VLOOKUP(A91,'DB Country PMI'!$A:$AZ,MATCH($A$1,'DB Country PMI'!$A$1:$AZ$1,),))</f>
        <v>51.5</v>
      </c>
      <c r="C91" s="24">
        <f>Table134681112141516171819202225[[#This Row],[PMI]]-B90</f>
        <v>0.39999999999999858</v>
      </c>
    </row>
    <row r="92" spans="1:3" x14ac:dyDescent="0.2">
      <c r="A92" s="10">
        <v>43070</v>
      </c>
      <c r="B92" s="18">
        <f>IF(VLOOKUP(A92,'DB Country PMI'!$A:$AZ,MATCH($A$1,'DB Country PMI'!$A$1:$AZ$1,),)=0,#N/A,VLOOKUP(A92,'DB Country PMI'!$A:$AZ,MATCH($A$1,'DB Country PMI'!$A$1:$AZ$1,),))</f>
        <v>52</v>
      </c>
      <c r="C92" s="24">
        <f>Table134681112141516171819202225[[#This Row],[PMI]]-B91</f>
        <v>0.5</v>
      </c>
    </row>
    <row r="93" spans="1:3" x14ac:dyDescent="0.2">
      <c r="A93" s="10">
        <v>43101</v>
      </c>
      <c r="B93" s="18">
        <f>IF(VLOOKUP(A93,'DB Country PMI'!$A:$AZ,MATCH($A$1,'DB Country PMI'!$A$1:$AZ$1,),)=0,#N/A,VLOOKUP(A93,'DB Country PMI'!$A:$AZ,MATCH($A$1,'DB Country PMI'!$A$1:$AZ$1,),))</f>
        <v>52.1</v>
      </c>
      <c r="C93" s="24">
        <f>Table134681112141516171819202225[[#This Row],[PMI]]-B92</f>
        <v>0.10000000000000142</v>
      </c>
    </row>
    <row r="94" spans="1:3" x14ac:dyDescent="0.2">
      <c r="A94" s="10">
        <v>43132</v>
      </c>
      <c r="B94" s="18">
        <f>IF(VLOOKUP(A94,'DB Country PMI'!$A:$AZ,MATCH($A$1,'DB Country PMI'!$A$1:$AZ$1,),)=0,#N/A,VLOOKUP(A94,'DB Country PMI'!$A:$AZ,MATCH($A$1,'DB Country PMI'!$A$1:$AZ$1,),))</f>
        <v>50.2</v>
      </c>
      <c r="C94" s="24">
        <f>Table134681112141516171819202225[[#This Row],[PMI]]-B93</f>
        <v>-1.8999999999999986</v>
      </c>
    </row>
    <row r="95" spans="1:3" x14ac:dyDescent="0.2">
      <c r="A95" s="10">
        <v>43160</v>
      </c>
      <c r="B95" s="18">
        <f>IF(VLOOKUP(A95,'DB Country PMI'!$A:$AZ,MATCH($A$1,'DB Country PMI'!$A$1:$AZ$1,),)=0,#N/A,VLOOKUP(A95,'DB Country PMI'!$A:$AZ,MATCH($A$1,'DB Country PMI'!$A$1:$AZ$1,),))</f>
        <v>50.6</v>
      </c>
      <c r="C95" s="24">
        <f>Table134681112141516171819202225[[#This Row],[PMI]]-B94</f>
        <v>0.39999999999999858</v>
      </c>
    </row>
    <row r="96" spans="1:3" x14ac:dyDescent="0.2">
      <c r="A96" s="10">
        <v>43191</v>
      </c>
      <c r="B96" s="18">
        <f>IF(VLOOKUP(A96,'DB Country PMI'!$A:$AZ,MATCH($A$1,'DB Country PMI'!$A$1:$AZ$1,),)=0,#N/A,VLOOKUP(A96,'DB Country PMI'!$A:$AZ,MATCH($A$1,'DB Country PMI'!$A$1:$AZ$1,),))</f>
        <v>51.3</v>
      </c>
      <c r="C96" s="24">
        <f>Table134681112141516171819202225[[#This Row],[PMI]]-B95</f>
        <v>0.69999999999999574</v>
      </c>
    </row>
    <row r="97" spans="1:3" x14ac:dyDescent="0.2">
      <c r="A97" s="10">
        <v>43221</v>
      </c>
      <c r="B97" s="18">
        <f>IF(VLOOKUP(A97,'DB Country PMI'!$A:$AZ,MATCH($A$1,'DB Country PMI'!$A$1:$AZ$1,),)=0,#N/A,VLOOKUP(A97,'DB Country PMI'!$A:$AZ,MATCH($A$1,'DB Country PMI'!$A$1:$AZ$1,),))</f>
        <v>49.8</v>
      </c>
      <c r="C97" s="24">
        <f>Table134681112141516171819202225[[#This Row],[PMI]]-B96</f>
        <v>-1.5</v>
      </c>
    </row>
    <row r="98" spans="1:3" x14ac:dyDescent="0.2">
      <c r="A98" s="10">
        <v>43252</v>
      </c>
      <c r="B98" s="18">
        <f>IF(VLOOKUP(A98,'DB Country PMI'!$A:$AZ,MATCH($A$1,'DB Country PMI'!$A$1:$AZ$1,),)=0,#N/A,VLOOKUP(A98,'DB Country PMI'!$A:$AZ,MATCH($A$1,'DB Country PMI'!$A$1:$AZ$1,),))</f>
        <v>49.5</v>
      </c>
      <c r="C98" s="24">
        <f>Table134681112141516171819202225[[#This Row],[PMI]]-B97</f>
        <v>-0.29999999999999716</v>
      </c>
    </row>
    <row r="99" spans="1:3" x14ac:dyDescent="0.2">
      <c r="A99" s="10">
        <v>43282</v>
      </c>
      <c r="B99" s="18">
        <f>IF(VLOOKUP(A99,'DB Country PMI'!$A:$AZ,MATCH($A$1,'DB Country PMI'!$A$1:$AZ$1,),)=0,#N/A,VLOOKUP(A99,'DB Country PMI'!$A:$AZ,MATCH($A$1,'DB Country PMI'!$A$1:$AZ$1,),))</f>
        <v>48.1</v>
      </c>
      <c r="C99" s="24">
        <f>Table134681112141516171819202225[[#This Row],[PMI]]-B98</f>
        <v>-1.3999999999999986</v>
      </c>
    </row>
    <row r="100" spans="1:3" x14ac:dyDescent="0.2">
      <c r="A100" s="10">
        <v>43313</v>
      </c>
      <c r="B100" s="18">
        <f>IF(VLOOKUP(A100,'DB Country PMI'!$A:$AZ,MATCH($A$1,'DB Country PMI'!$A$1:$AZ$1,),)=0,#N/A,VLOOKUP(A100,'DB Country PMI'!$A:$AZ,MATCH($A$1,'DB Country PMI'!$A$1:$AZ$1,),))</f>
        <v>48.9</v>
      </c>
      <c r="C100" s="24">
        <f>Table134681112141516171819202225[[#This Row],[PMI]]-B99</f>
        <v>0.79999999999999716</v>
      </c>
    </row>
    <row r="101" spans="1:3" x14ac:dyDescent="0.2">
      <c r="A101" s="10">
        <v>43344</v>
      </c>
      <c r="B101" s="18">
        <f>IF(VLOOKUP(A101,'DB Country PMI'!$A:$AZ,MATCH($A$1,'DB Country PMI'!$A$1:$AZ$1,),)=0,#N/A,VLOOKUP(A101,'DB Country PMI'!$A:$AZ,MATCH($A$1,'DB Country PMI'!$A$1:$AZ$1,),))</f>
        <v>50</v>
      </c>
      <c r="C101" s="24">
        <f>Table134681112141516171819202225[[#This Row],[PMI]]-B100</f>
        <v>1.1000000000000014</v>
      </c>
    </row>
    <row r="102" spans="1:3" x14ac:dyDescent="0.2">
      <c r="A102" s="10">
        <v>43374</v>
      </c>
      <c r="B102" s="18">
        <f>IF(VLOOKUP(A102,'DB Country PMI'!$A:$AZ,MATCH($A$1,'DB Country PMI'!$A$1:$AZ$1,),)=0,#N/A,VLOOKUP(A102,'DB Country PMI'!$A:$AZ,MATCH($A$1,'DB Country PMI'!$A$1:$AZ$1,),))</f>
        <v>51.3</v>
      </c>
      <c r="C102" s="24">
        <f>Table134681112141516171819202225[[#This Row],[PMI]]-B101</f>
        <v>1.2999999999999972</v>
      </c>
    </row>
    <row r="103" spans="1:3" x14ac:dyDescent="0.2">
      <c r="A103" s="10">
        <v>43405</v>
      </c>
      <c r="B103" s="18">
        <f>IF(VLOOKUP(A103,'DB Country PMI'!$A:$AZ,MATCH($A$1,'DB Country PMI'!$A$1:$AZ$1,),)=0,#N/A,VLOOKUP(A103,'DB Country PMI'!$A:$AZ,MATCH($A$1,'DB Country PMI'!$A$1:$AZ$1,),))</f>
        <v>52.6</v>
      </c>
      <c r="C103" s="24">
        <f>Table134681112141516171819202225[[#This Row],[PMI]]-B102</f>
        <v>1.3000000000000043</v>
      </c>
    </row>
    <row r="104" spans="1:3" x14ac:dyDescent="0.2">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2">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2">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2">
      <c r="A107" s="10">
        <v>43525</v>
      </c>
      <c r="B107" s="18">
        <f>IF(VLOOKUP(A107,'DB Country PMI'!$A:$AZ,MATCH($A$1,'DB Country PMI'!$A$1:$AZ$1,),)=0,#N/A,VLOOKUP(A107,'DB Country PMI'!$A:$AZ,MATCH($A$1,'DB Country PMI'!$A$1:$AZ$1,),))</f>
        <v>52.8</v>
      </c>
      <c r="C107" s="24">
        <f>Table134681112141516171819202225[[#This Row],[PMI]]-B106</f>
        <v>2.6999999999999957</v>
      </c>
    </row>
    <row r="108" spans="1:3" x14ac:dyDescent="0.2">
      <c r="A108" s="10">
        <v>43556</v>
      </c>
      <c r="B108" s="18">
        <f>IF(VLOOKUP(A108,'DB Country PMI'!$A:$AZ,MATCH($A$1,'DB Country PMI'!$A$1:$AZ$1,),)=0,#N/A,VLOOKUP(A108,'DB Country PMI'!$A:$AZ,MATCH($A$1,'DB Country PMI'!$A$1:$AZ$1,),))</f>
        <v>51.8</v>
      </c>
      <c r="C108" s="24">
        <f>Table134681112141516171819202225[[#This Row],[PMI]]-B107</f>
        <v>-1</v>
      </c>
    </row>
    <row r="109" spans="1:3" x14ac:dyDescent="0.2">
      <c r="A109" s="10">
        <v>43586</v>
      </c>
      <c r="B109" s="18">
        <f>IF(VLOOKUP(A109,'DB Country PMI'!$A:$AZ,MATCH($A$1,'DB Country PMI'!$A$1:$AZ$1,),)=0,#N/A,VLOOKUP(A109,'DB Country PMI'!$A:$AZ,MATCH($A$1,'DB Country PMI'!$A$1:$AZ$1,),))</f>
        <v>49.8</v>
      </c>
      <c r="C109" s="24">
        <f>Table134681112141516171819202225[[#This Row],[PMI]]-B108</f>
        <v>-2</v>
      </c>
    </row>
    <row r="110" spans="1:3" x14ac:dyDescent="0.2">
      <c r="A110" s="10">
        <v>43617</v>
      </c>
      <c r="B110" s="18">
        <f>IF(VLOOKUP(A110,'DB Country PMI'!$A:$AZ,MATCH($A$1,'DB Country PMI'!$A$1:$AZ$1,),)=0,#N/A,VLOOKUP(A110,'DB Country PMI'!$A:$AZ,MATCH($A$1,'DB Country PMI'!$A$1:$AZ$1,),))</f>
        <v>48.6</v>
      </c>
      <c r="C110" s="24">
        <f>Table134681112141516171819202225[[#This Row],[PMI]]-B109</f>
        <v>-1.1999999999999957</v>
      </c>
    </row>
    <row r="111" spans="1:3" x14ac:dyDescent="0.2">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2">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2">
      <c r="A113" s="10">
        <v>43709</v>
      </c>
      <c r="B113" s="18">
        <f>IF(VLOOKUP(A113,'DB Country PMI'!$A:$AZ,MATCH($A$1,'DB Country PMI'!$A$1:$AZ$1,),)=0,#N/A,VLOOKUP(A113,'DB Country PMI'!$A:$AZ,MATCH($A$1,'DB Country PMI'!$A$1:$AZ$1,),))</f>
        <v>46.3</v>
      </c>
      <c r="C113" s="24">
        <f>Table134681112141516171819202225[[#This Row],[PMI]]-B112</f>
        <v>-2.8000000000000043</v>
      </c>
    </row>
    <row r="114" spans="1:3" x14ac:dyDescent="0.2">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2">
      <c r="A115" s="10">
        <v>43770</v>
      </c>
      <c r="B115" s="18">
        <f>IF(VLOOKUP(A115,'DB Country PMI'!$A:$AZ,MATCH($A$1,'DB Country PMI'!$A$1:$AZ$1,),)=0,#N/A,VLOOKUP(A115,'DB Country PMI'!$A:$AZ,MATCH($A$1,'DB Country PMI'!$A$1:$AZ$1,),))</f>
        <v>45.6</v>
      </c>
      <c r="C115" s="24">
        <f>Table134681112141516171819202225[[#This Row],[PMI]]-B114</f>
        <v>-1.6000000000000014</v>
      </c>
    </row>
    <row r="116" spans="1:3" x14ac:dyDescent="0.2">
      <c r="A116" s="10">
        <v>43800</v>
      </c>
      <c r="B116" s="18">
        <f>IF(VLOOKUP(A116,'DB Country PMI'!$A:$AZ,MATCH($A$1,'DB Country PMI'!$A$1:$AZ$1,),)=0,#N/A,VLOOKUP(A116,'DB Country PMI'!$A:$AZ,MATCH($A$1,'DB Country PMI'!$A$1:$AZ$1,),))</f>
        <v>47.5</v>
      </c>
      <c r="C116" s="24">
        <f>Table134681112141516171819202225[[#This Row],[PMI]]-B115</f>
        <v>1.8999999999999986</v>
      </c>
    </row>
    <row r="117" spans="1:3" x14ac:dyDescent="0.2">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2">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2">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2">
      <c r="A120" s="10">
        <v>43922</v>
      </c>
      <c r="B120" s="18">
        <f>IF(VLOOKUP(A120,'DB Country PMI'!$A:$AZ,MATCH($A$1,'DB Country PMI'!$A$1:$AZ$1,),)=0,#N/A,VLOOKUP(A120,'DB Country PMI'!$A:$AZ,MATCH($A$1,'DB Country PMI'!$A$1:$AZ$1,),))</f>
        <v>31.3</v>
      </c>
      <c r="C120" s="24">
        <f>Table134681112141516171819202225[[#This Row],[PMI]]-B119</f>
        <v>-16.2</v>
      </c>
    </row>
    <row r="121" spans="1:3" x14ac:dyDescent="0.2">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2">
      <c r="A122" s="10">
        <v>43983</v>
      </c>
      <c r="B122" s="18">
        <f>IF(VLOOKUP(A122,'DB Country PMI'!$A:$AZ,MATCH($A$1,'DB Country PMI'!$A$1:$AZ$1,),)=0,#N/A,VLOOKUP(A122,'DB Country PMI'!$A:$AZ,MATCH($A$1,'DB Country PMI'!$A$1:$AZ$1,),))</f>
        <v>49.4</v>
      </c>
      <c r="C122" s="24">
        <f>Table134681112141516171819202225[[#This Row],[PMI]]-B121</f>
        <v>13.199999999999996</v>
      </c>
    </row>
    <row r="123" spans="1:3" x14ac:dyDescent="0.2">
      <c r="A123" s="10">
        <v>44013</v>
      </c>
      <c r="B123" s="18">
        <f>IF(VLOOKUP(A123,'DB Country PMI'!$A:$AZ,MATCH($A$1,'DB Country PMI'!$A$1:$AZ$1,),)=0,#N/A,VLOOKUP(A123,'DB Country PMI'!$A:$AZ,MATCH($A$1,'DB Country PMI'!$A$1:$AZ$1,),))</f>
        <v>48.4</v>
      </c>
      <c r="C123" s="24">
        <f>Table134681112141516171819202225[[#This Row],[PMI]]-B122</f>
        <v>-1</v>
      </c>
    </row>
    <row r="124" spans="1:3" x14ac:dyDescent="0.2">
      <c r="A124" s="10">
        <v>44044</v>
      </c>
      <c r="B124" s="18">
        <f>IF(VLOOKUP(A124,'DB Country PMI'!$A:$AZ,MATCH($A$1,'DB Country PMI'!$A$1:$AZ$1,),)=0,#N/A,VLOOKUP(A124,'DB Country PMI'!$A:$AZ,MATCH($A$1,'DB Country PMI'!$A$1:$AZ$1,),))</f>
        <v>51.1</v>
      </c>
      <c r="C124" s="24">
        <f>Table134681112141516171819202225[[#This Row],[PMI]]-B123</f>
        <v>2.7000000000000028</v>
      </c>
    </row>
    <row r="125" spans="1:3" x14ac:dyDescent="0.2">
      <c r="A125" s="10">
        <v>44075</v>
      </c>
      <c r="B125" s="18">
        <f>IF(VLOOKUP(A125,'DB Country PMI'!$A:$AZ,MATCH($A$1,'DB Country PMI'!$A$1:$AZ$1,),)=0,#N/A,VLOOKUP(A125,'DB Country PMI'!$A:$AZ,MATCH($A$1,'DB Country PMI'!$A$1:$AZ$1,),))</f>
        <v>48.9</v>
      </c>
      <c r="C125" s="24">
        <f>Table134681112141516171819202225[[#This Row],[PMI]]-B124</f>
        <v>-2.2000000000000028</v>
      </c>
    </row>
    <row r="126" spans="1:3" x14ac:dyDescent="0.2">
      <c r="A126" s="10">
        <v>44105</v>
      </c>
      <c r="B126" s="18">
        <f>IF(VLOOKUP(A126,'DB Country PMI'!$A:$AZ,MATCH($A$1,'DB Country PMI'!$A$1:$AZ$1,),)=0,#N/A,VLOOKUP(A126,'DB Country PMI'!$A:$AZ,MATCH($A$1,'DB Country PMI'!$A$1:$AZ$1,),))</f>
        <v>46.9</v>
      </c>
      <c r="C126" s="24">
        <f>Table134681112141516171819202225[[#This Row],[PMI]]-B125</f>
        <v>-2</v>
      </c>
    </row>
    <row r="127" spans="1:3" x14ac:dyDescent="0.2">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2">
      <c r="A128" s="10">
        <v>44166</v>
      </c>
      <c r="B128" s="18">
        <f>IF(VLOOKUP(A128,'DB Country PMI'!$A:$AZ,MATCH($A$1,'DB Country PMI'!$A$1:$AZ$1,),)=0,#N/A,VLOOKUP(A128,'DB Country PMI'!$A:$AZ,MATCH($A$1,'DB Country PMI'!$A$1:$AZ$1,),))</f>
        <v>49.7</v>
      </c>
      <c r="C128" s="24">
        <f>Table134681112141516171819202225[[#This Row],[PMI]]-B127</f>
        <v>3.4000000000000057</v>
      </c>
    </row>
    <row r="129" spans="1:3" x14ac:dyDescent="0.2">
      <c r="A129" s="10">
        <v>44197</v>
      </c>
      <c r="B129" s="18">
        <f>IF(VLOOKUP(A129,'DB Country PMI'!$A:$AZ,MATCH($A$1,'DB Country PMI'!$A$1:$AZ$1,),)=0,#N/A,VLOOKUP(A129,'DB Country PMI'!$A:$AZ,MATCH($A$1,'DB Country PMI'!$A$1:$AZ$1,),))</f>
        <v>50.9</v>
      </c>
      <c r="C129" s="24">
        <f>Table134681112141516171819202225[[#This Row],[PMI]]-B128</f>
        <v>1.1999999999999957</v>
      </c>
    </row>
    <row r="130" spans="1:3" x14ac:dyDescent="0.2">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2">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2">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2">
      <c r="A133" s="10">
        <v>44317</v>
      </c>
      <c r="B133" s="18">
        <f>IF(VLOOKUP(A133,'DB Country PMI'!$A:$AZ,MATCH($A$1,'DB Country PMI'!$A$1:$AZ$1,),)=0,#N/A,VLOOKUP(A133,'DB Country PMI'!$A:$AZ,MATCH($A$1,'DB Country PMI'!$A$1:$AZ$1,),))</f>
        <v>51.9</v>
      </c>
      <c r="C133" s="24">
        <f>Table134681112141516171819202225[[#This Row],[PMI]]-B132</f>
        <v>1.5</v>
      </c>
    </row>
    <row r="134" spans="1:3" x14ac:dyDescent="0.2">
      <c r="A134" s="10">
        <v>44348</v>
      </c>
      <c r="B134" s="18">
        <f>IF(VLOOKUP(A134,'DB Country PMI'!$A:$AZ,MATCH($A$1,'DB Country PMI'!$A$1:$AZ$1,),)=0,#N/A,VLOOKUP(A134,'DB Country PMI'!$A:$AZ,MATCH($A$1,'DB Country PMI'!$A$1:$AZ$1,),))</f>
        <v>49.2</v>
      </c>
      <c r="C134" s="24">
        <f>Table134681112141516171819202225[[#This Row],[PMI]]-B133</f>
        <v>-2.6999999999999957</v>
      </c>
    </row>
    <row r="135" spans="1:3" x14ac:dyDescent="0.2">
      <c r="A135" s="10">
        <v>44378</v>
      </c>
      <c r="B135" s="18">
        <f>IF(VLOOKUP(A135,'DB Country PMI'!$A:$AZ,MATCH($A$1,'DB Country PMI'!$A$1:$AZ$1,),)=0,#N/A,VLOOKUP(A135,'DB Country PMI'!$A:$AZ,MATCH($A$1,'DB Country PMI'!$A$1:$AZ$1,),))</f>
        <v>47.5</v>
      </c>
      <c r="C135" s="24">
        <f>Table134681112141516171819202225[[#This Row],[PMI]]-B134</f>
        <v>-1.7000000000000028</v>
      </c>
    </row>
    <row r="136" spans="1:3" x14ac:dyDescent="0.2">
      <c r="A136" s="10">
        <v>44409</v>
      </c>
      <c r="B136" s="18">
        <f>IF(VLOOKUP(A136,'DB Country PMI'!$A:$AZ,MATCH($A$1,'DB Country PMI'!$A$1:$AZ$1,),)=0,#N/A,VLOOKUP(A136,'DB Country PMI'!$A:$AZ,MATCH($A$1,'DB Country PMI'!$A$1:$AZ$1,),))</f>
        <v>46.5</v>
      </c>
      <c r="C136" s="24">
        <f>Table134681112141516171819202225[[#This Row],[PMI]]-B135</f>
        <v>-1</v>
      </c>
    </row>
    <row r="137" spans="1:3" x14ac:dyDescent="0.2">
      <c r="A137" s="10">
        <v>44440</v>
      </c>
      <c r="B137" s="18">
        <f>IF(VLOOKUP(A137,'DB Country PMI'!$A:$AZ,MATCH($A$1,'DB Country PMI'!$A$1:$AZ$1,),)=0,#N/A,VLOOKUP(A137,'DB Country PMI'!$A:$AZ,MATCH($A$1,'DB Country PMI'!$A$1:$AZ$1,),))</f>
        <v>49.8</v>
      </c>
      <c r="C137" s="24">
        <f>Table134681112141516171819202225[[#This Row],[PMI]]-B136</f>
        <v>3.2999999999999972</v>
      </c>
    </row>
    <row r="138" spans="1:3" x14ac:dyDescent="0.2">
      <c r="A138" s="10">
        <v>44470</v>
      </c>
      <c r="B138" s="18">
        <f>IF(VLOOKUP(A138,'DB Country PMI'!$A:$AZ,MATCH($A$1,'DB Country PMI'!$A$1:$AZ$1,),)=0,#N/A,VLOOKUP(A138,'DB Country PMI'!$A:$AZ,MATCH($A$1,'DB Country PMI'!$A$1:$AZ$1,),))</f>
        <v>51.6</v>
      </c>
      <c r="C138" s="24">
        <f>Table134681112141516171819202225[[#This Row],[PMI]]-B137</f>
        <v>1.8000000000000043</v>
      </c>
    </row>
    <row r="139" spans="1:3" x14ac:dyDescent="0.2">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2">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2">
      <c r="A141" s="10">
        <v>44562</v>
      </c>
      <c r="B141" s="18">
        <f>IF(VLOOKUP(A141,'DB Country PMI'!$A:$AZ,MATCH($A$1,'DB Country PMI'!$A$1:$AZ$1,),)=0,#N/A,VLOOKUP(A141,'DB Country PMI'!$A:$AZ,MATCH($A$1,'DB Country PMI'!$A$1:$AZ$1,),))</f>
        <v>51.8</v>
      </c>
      <c r="C141" s="24">
        <f>Table134681112141516171819202225[[#This Row],[PMI]]-B140</f>
        <v>0.19999999999999574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41"/>
  <sheetViews>
    <sheetView zoomScale="160" zoomScaleNormal="160" workbookViewId="0">
      <pane ySplit="5" topLeftCell="A109" activePane="bottomLeft" state="frozen"/>
      <selection pane="bottomLeft" activeCell="S123" sqref="S123"/>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32</v>
      </c>
      <c r="K1" s="63" t="s">
        <v>107</v>
      </c>
    </row>
    <row r="2" spans="1:11" x14ac:dyDescent="0.2">
      <c r="K2" s="63" t="str">
        <f>A1&amp;K1</f>
        <v>India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58.4</v>
      </c>
      <c r="C7" s="24">
        <f>Table13468111214151617181920222324[[#This Row],[PMI]]-B6</f>
        <v>1.1999999999999957</v>
      </c>
    </row>
    <row r="8" spans="1:11" x14ac:dyDescent="0.2">
      <c r="A8" s="10">
        <v>40513</v>
      </c>
      <c r="B8" s="18">
        <f>IF(VLOOKUP(A8,'DB Country PMI'!$A:$AZ,MATCH($A$1,'DB Country PMI'!$A$1:$AZ$1,),)=0,#N/A,VLOOKUP(A8,'DB Country PMI'!$A:$AZ,MATCH($A$1,'DB Country PMI'!$A$1:$AZ$1,),))</f>
        <v>56.7</v>
      </c>
      <c r="C8" s="24">
        <f>Table13468111214151617181920222324[[#This Row],[PMI]]-B7</f>
        <v>-1.6999999999999957</v>
      </c>
    </row>
    <row r="9" spans="1:11" x14ac:dyDescent="0.2">
      <c r="A9" s="10">
        <v>40544</v>
      </c>
      <c r="B9" s="18">
        <f>IF(VLOOKUP(A9,'DB Country PMI'!$A:$AZ,MATCH($A$1,'DB Country PMI'!$A$1:$AZ$1,),)=0,#N/A,VLOOKUP(A9,'DB Country PMI'!$A:$AZ,MATCH($A$1,'DB Country PMI'!$A$1:$AZ$1,),))</f>
        <v>56.8</v>
      </c>
      <c r="C9" s="24">
        <f>Table13468111214151617181920222324[[#This Row],[PMI]]-B8</f>
        <v>9.9999999999994316E-2</v>
      </c>
    </row>
    <row r="10" spans="1:11" x14ac:dyDescent="0.2">
      <c r="A10" s="10">
        <v>40575</v>
      </c>
      <c r="B10" s="18">
        <f>IF(VLOOKUP(A10,'DB Country PMI'!$A:$AZ,MATCH($A$1,'DB Country PMI'!$A$1:$AZ$1,),)=0,#N/A,VLOOKUP(A10,'DB Country PMI'!$A:$AZ,MATCH($A$1,'DB Country PMI'!$A$1:$AZ$1,),))</f>
        <v>57.9</v>
      </c>
      <c r="C10" s="24">
        <f>Table13468111214151617181920222324[[#This Row],[PMI]]-B9</f>
        <v>1.1000000000000014</v>
      </c>
    </row>
    <row r="11" spans="1:11" x14ac:dyDescent="0.2">
      <c r="A11" s="10">
        <v>40603</v>
      </c>
      <c r="B11" s="18">
        <f>IF(VLOOKUP(A11,'DB Country PMI'!$A:$AZ,MATCH($A$1,'DB Country PMI'!$A$1:$AZ$1,),)=0,#N/A,VLOOKUP(A11,'DB Country PMI'!$A:$AZ,MATCH($A$1,'DB Country PMI'!$A$1:$AZ$1,),))</f>
        <v>57.9</v>
      </c>
      <c r="C11" s="24">
        <f>Table13468111214151617181920222324[[#This Row],[PMI]]-B10</f>
        <v>0</v>
      </c>
    </row>
    <row r="12" spans="1:11" x14ac:dyDescent="0.2">
      <c r="A12" s="10">
        <v>40634</v>
      </c>
      <c r="B12" s="18">
        <f>IF(VLOOKUP(A12,'DB Country PMI'!$A:$AZ,MATCH($A$1,'DB Country PMI'!$A$1:$AZ$1,),)=0,#N/A,VLOOKUP(A12,'DB Country PMI'!$A:$AZ,MATCH($A$1,'DB Country PMI'!$A$1:$AZ$1,),))</f>
        <v>58</v>
      </c>
      <c r="C12" s="24">
        <f>Table13468111214151617181920222324[[#This Row],[PMI]]-B11</f>
        <v>0.10000000000000142</v>
      </c>
    </row>
    <row r="13" spans="1:11" x14ac:dyDescent="0.2">
      <c r="A13" s="10">
        <v>40664</v>
      </c>
      <c r="B13" s="18">
        <f>IF(VLOOKUP(A13,'DB Country PMI'!$A:$AZ,MATCH($A$1,'DB Country PMI'!$A$1:$AZ$1,),)=0,#N/A,VLOOKUP(A13,'DB Country PMI'!$A:$AZ,MATCH($A$1,'DB Country PMI'!$A$1:$AZ$1,),))</f>
        <v>57.5</v>
      </c>
      <c r="C13" s="24">
        <f>Table13468111214151617181920222324[[#This Row],[PMI]]-B12</f>
        <v>-0.5</v>
      </c>
    </row>
    <row r="14" spans="1:11" x14ac:dyDescent="0.2">
      <c r="A14" s="10">
        <v>40695</v>
      </c>
      <c r="B14" s="18">
        <f>IF(VLOOKUP(A14,'DB Country PMI'!$A:$AZ,MATCH($A$1,'DB Country PMI'!$A$1:$AZ$1,),)=0,#N/A,VLOOKUP(A14,'DB Country PMI'!$A:$AZ,MATCH($A$1,'DB Country PMI'!$A$1:$AZ$1,),))</f>
        <v>55.3</v>
      </c>
      <c r="C14" s="24">
        <f>Table13468111214151617181920222324[[#This Row],[PMI]]-B13</f>
        <v>-2.2000000000000028</v>
      </c>
    </row>
    <row r="15" spans="1:11" x14ac:dyDescent="0.2">
      <c r="A15" s="10">
        <v>40725</v>
      </c>
      <c r="B15" s="18">
        <f>IF(VLOOKUP(A15,'DB Country PMI'!$A:$AZ,MATCH($A$1,'DB Country PMI'!$A$1:$AZ$1,),)=0,#N/A,VLOOKUP(A15,'DB Country PMI'!$A:$AZ,MATCH($A$1,'DB Country PMI'!$A$1:$AZ$1,),))</f>
        <v>56.3</v>
      </c>
      <c r="C15" s="24">
        <f>Table13468111214151617181920222324[[#This Row],[PMI]]-B14</f>
        <v>1</v>
      </c>
    </row>
    <row r="16" spans="1:11" x14ac:dyDescent="0.2">
      <c r="A16" s="10">
        <v>40756</v>
      </c>
      <c r="B16" s="18">
        <f>IF(VLOOKUP(A16,'DB Country PMI'!$A:$AZ,MATCH($A$1,'DB Country PMI'!$A$1:$AZ$1,),)=0,#N/A,VLOOKUP(A16,'DB Country PMI'!$A:$AZ,MATCH($A$1,'DB Country PMI'!$A$1:$AZ$1,),))</f>
        <v>52.6</v>
      </c>
      <c r="C16" s="24">
        <f>Table13468111214151617181920222324[[#This Row],[PMI]]-B15</f>
        <v>-3.6999999999999957</v>
      </c>
    </row>
    <row r="17" spans="1:3" x14ac:dyDescent="0.2">
      <c r="A17" s="10">
        <v>40787</v>
      </c>
      <c r="B17" s="18">
        <f>IF(VLOOKUP(A17,'DB Country PMI'!$A:$AZ,MATCH($A$1,'DB Country PMI'!$A$1:$AZ$1,),)=0,#N/A,VLOOKUP(A17,'DB Country PMI'!$A:$AZ,MATCH($A$1,'DB Country PMI'!$A$1:$AZ$1,),))</f>
        <v>50.4</v>
      </c>
      <c r="C17" s="24">
        <f>Table13468111214151617181920222324[[#This Row],[PMI]]-B16</f>
        <v>-2.2000000000000028</v>
      </c>
    </row>
    <row r="18" spans="1:3" x14ac:dyDescent="0.2">
      <c r="A18" s="10">
        <v>40817</v>
      </c>
      <c r="B18" s="18">
        <f>IF(VLOOKUP(A18,'DB Country PMI'!$A:$AZ,MATCH($A$1,'DB Country PMI'!$A$1:$AZ$1,),)=0,#N/A,VLOOKUP(A18,'DB Country PMI'!$A:$AZ,MATCH($A$1,'DB Country PMI'!$A$1:$AZ$1,),))</f>
        <v>51</v>
      </c>
      <c r="C18" s="24">
        <f>Table13468111214151617181920222324[[#This Row],[PMI]]-B17</f>
        <v>0.60000000000000142</v>
      </c>
    </row>
    <row r="19" spans="1:3" x14ac:dyDescent="0.2">
      <c r="A19" s="10">
        <v>40848</v>
      </c>
      <c r="B19" s="18">
        <f>IF(VLOOKUP(A19,'DB Country PMI'!$A:$AZ,MATCH($A$1,'DB Country PMI'!$A$1:$AZ$1,),)=0,#N/A,VLOOKUP(A19,'DB Country PMI'!$A:$AZ,MATCH($A$1,'DB Country PMI'!$A$1:$AZ$1,),))</f>
        <v>52</v>
      </c>
      <c r="C19" s="24">
        <f>Table13468111214151617181920222324[[#This Row],[PMI]]-B18</f>
        <v>1</v>
      </c>
    </row>
    <row r="20" spans="1:3" x14ac:dyDescent="0.2">
      <c r="A20" s="10">
        <v>40878</v>
      </c>
      <c r="B20" s="18">
        <f>IF(VLOOKUP(A20,'DB Country PMI'!$A:$AZ,MATCH($A$1,'DB Country PMI'!$A$1:$AZ$1,),)=0,#N/A,VLOOKUP(A20,'DB Country PMI'!$A:$AZ,MATCH($A$1,'DB Country PMI'!$A$1:$AZ$1,),))</f>
        <v>57</v>
      </c>
      <c r="C20" s="24">
        <f>Table13468111214151617181920222324[[#This Row],[PMI]]-B19</f>
        <v>5</v>
      </c>
    </row>
    <row r="21" spans="1:3" x14ac:dyDescent="0.2">
      <c r="A21" s="10">
        <v>40909</v>
      </c>
      <c r="B21" s="18">
        <f>IF(VLOOKUP(A21,'DB Country PMI'!$A:$AZ,MATCH($A$1,'DB Country PMI'!$A$1:$AZ$1,),)=0,#N/A,VLOOKUP(A21,'DB Country PMI'!$A:$AZ,MATCH($A$1,'DB Country PMI'!$A$1:$AZ$1,),))</f>
        <v>57.5</v>
      </c>
      <c r="C21" s="24">
        <f>Table13468111214151617181920222324[[#This Row],[PMI]]-B20</f>
        <v>0.5</v>
      </c>
    </row>
    <row r="22" spans="1:3" x14ac:dyDescent="0.2">
      <c r="A22" s="10">
        <v>40940</v>
      </c>
      <c r="B22" s="18">
        <f>IF(VLOOKUP(A22,'DB Country PMI'!$A:$AZ,MATCH($A$1,'DB Country PMI'!$A$1:$AZ$1,),)=0,#N/A,VLOOKUP(A22,'DB Country PMI'!$A:$AZ,MATCH($A$1,'DB Country PMI'!$A$1:$AZ$1,),))</f>
        <v>56.6</v>
      </c>
      <c r="C22" s="24">
        <f>Table13468111214151617181920222324[[#This Row],[PMI]]-B21</f>
        <v>-0.89999999999999858</v>
      </c>
    </row>
    <row r="23" spans="1:3" x14ac:dyDescent="0.2">
      <c r="A23" s="10">
        <v>40969</v>
      </c>
      <c r="B23" s="18">
        <f>IF(VLOOKUP(A23,'DB Country PMI'!$A:$AZ,MATCH($A$1,'DB Country PMI'!$A$1:$AZ$1,),)=0,#N/A,VLOOKUP(A23,'DB Country PMI'!$A:$AZ,MATCH($A$1,'DB Country PMI'!$A$1:$AZ$1,),))</f>
        <v>54.7</v>
      </c>
      <c r="C23" s="24">
        <f>Table13468111214151617181920222324[[#This Row],[PMI]]-B22</f>
        <v>-1.8999999999999986</v>
      </c>
    </row>
    <row r="24" spans="1:3" x14ac:dyDescent="0.2">
      <c r="A24" s="10">
        <v>41000</v>
      </c>
      <c r="B24" s="18">
        <f>IF(VLOOKUP(A24,'DB Country PMI'!$A:$AZ,MATCH($A$1,'DB Country PMI'!$A$1:$AZ$1,),)=0,#N/A,VLOOKUP(A24,'DB Country PMI'!$A:$AZ,MATCH($A$1,'DB Country PMI'!$A$1:$AZ$1,),))</f>
        <v>54.9</v>
      </c>
      <c r="C24" s="24">
        <f>Table13468111214151617181920222324[[#This Row],[PMI]]-B23</f>
        <v>0.19999999999999574</v>
      </c>
    </row>
    <row r="25" spans="1:3" x14ac:dyDescent="0.2">
      <c r="A25" s="10">
        <v>41030</v>
      </c>
      <c r="B25" s="18">
        <f>IF(VLOOKUP(A25,'DB Country PMI'!$A:$AZ,MATCH($A$1,'DB Country PMI'!$A$1:$AZ$1,),)=0,#N/A,VLOOKUP(A25,'DB Country PMI'!$A:$AZ,MATCH($A$1,'DB Country PMI'!$A$1:$AZ$1,),))</f>
        <v>54.8</v>
      </c>
      <c r="C25" s="24">
        <f>Table13468111214151617181920222324[[#This Row],[PMI]]-B24</f>
        <v>-0.10000000000000142</v>
      </c>
    </row>
    <row r="26" spans="1:3" x14ac:dyDescent="0.2">
      <c r="A26" s="10">
        <v>41061</v>
      </c>
      <c r="B26" s="18">
        <f>IF(VLOOKUP(A26,'DB Country PMI'!$A:$AZ,MATCH($A$1,'DB Country PMI'!$A$1:$AZ$1,),)=0,#N/A,VLOOKUP(A26,'DB Country PMI'!$A:$AZ,MATCH($A$1,'DB Country PMI'!$A$1:$AZ$1,),))</f>
        <v>55</v>
      </c>
      <c r="C26" s="24">
        <f>Table13468111214151617181920222324[[#This Row],[PMI]]-B25</f>
        <v>0.20000000000000284</v>
      </c>
    </row>
    <row r="27" spans="1:3" x14ac:dyDescent="0.2">
      <c r="A27" s="10">
        <v>41091</v>
      </c>
      <c r="B27" s="18">
        <f>IF(VLOOKUP(A27,'DB Country PMI'!$A:$AZ,MATCH($A$1,'DB Country PMI'!$A$1:$AZ$1,),)=0,#N/A,VLOOKUP(A27,'DB Country PMI'!$A:$AZ,MATCH($A$1,'DB Country PMI'!$A$1:$AZ$1,),))</f>
        <v>52.9</v>
      </c>
      <c r="C27" s="24">
        <f>Table13468111214151617181920222324[[#This Row],[PMI]]-B26</f>
        <v>-2.1000000000000014</v>
      </c>
    </row>
    <row r="28" spans="1:3" x14ac:dyDescent="0.2">
      <c r="A28" s="10">
        <v>41122</v>
      </c>
      <c r="B28" s="18">
        <f>IF(VLOOKUP(A28,'DB Country PMI'!$A:$AZ,MATCH($A$1,'DB Country PMI'!$A$1:$AZ$1,),)=0,#N/A,VLOOKUP(A28,'DB Country PMI'!$A:$AZ,MATCH($A$1,'DB Country PMI'!$A$1:$AZ$1,),))</f>
        <v>52.8</v>
      </c>
      <c r="C28" s="24">
        <f>Table13468111214151617181920222324[[#This Row],[PMI]]-B27</f>
        <v>-0.10000000000000142</v>
      </c>
    </row>
    <row r="29" spans="1:3" x14ac:dyDescent="0.2">
      <c r="A29" s="10">
        <v>41153</v>
      </c>
      <c r="B29" s="18">
        <f>IF(VLOOKUP(A29,'DB Country PMI'!$A:$AZ,MATCH($A$1,'DB Country PMI'!$A$1:$AZ$1,),)=0,#N/A,VLOOKUP(A29,'DB Country PMI'!$A:$AZ,MATCH($A$1,'DB Country PMI'!$A$1:$AZ$1,),))</f>
        <v>52.8</v>
      </c>
      <c r="C29" s="24">
        <f>Table13468111214151617181920222324[[#This Row],[PMI]]-B28</f>
        <v>0</v>
      </c>
    </row>
    <row r="30" spans="1:3" x14ac:dyDescent="0.2">
      <c r="A30" s="10">
        <v>41183</v>
      </c>
      <c r="B30" s="18">
        <f>IF(VLOOKUP(A30,'DB Country PMI'!$A:$AZ,MATCH($A$1,'DB Country PMI'!$A$1:$AZ$1,),)=0,#N/A,VLOOKUP(A30,'DB Country PMI'!$A:$AZ,MATCH($A$1,'DB Country PMI'!$A$1:$AZ$1,),))</f>
        <v>52.9</v>
      </c>
      <c r="C30" s="24">
        <f>Table13468111214151617181920222324[[#This Row],[PMI]]-B29</f>
        <v>0.10000000000000142</v>
      </c>
    </row>
    <row r="31" spans="1:3" x14ac:dyDescent="0.2">
      <c r="A31" s="10">
        <v>41214</v>
      </c>
      <c r="B31" s="18">
        <f>IF(VLOOKUP(A31,'DB Country PMI'!$A:$AZ,MATCH($A$1,'DB Country PMI'!$A$1:$AZ$1,),)=0,#N/A,VLOOKUP(A31,'DB Country PMI'!$A:$AZ,MATCH($A$1,'DB Country PMI'!$A$1:$AZ$1,),))</f>
        <v>53.7</v>
      </c>
      <c r="C31" s="24">
        <f>Table13468111214151617181920222324[[#This Row],[PMI]]-B30</f>
        <v>0.80000000000000426</v>
      </c>
    </row>
    <row r="32" spans="1:3" x14ac:dyDescent="0.2">
      <c r="A32" s="10">
        <v>41244</v>
      </c>
      <c r="B32" s="18">
        <f>IF(VLOOKUP(A32,'DB Country PMI'!$A:$AZ,MATCH($A$1,'DB Country PMI'!$A$1:$AZ$1,),)=0,#N/A,VLOOKUP(A32,'DB Country PMI'!$A:$AZ,MATCH($A$1,'DB Country PMI'!$A$1:$AZ$1,),))</f>
        <v>54.7</v>
      </c>
      <c r="C32" s="24">
        <f>Table13468111214151617181920222324[[#This Row],[PMI]]-B31</f>
        <v>1</v>
      </c>
    </row>
    <row r="33" spans="1:3" x14ac:dyDescent="0.2">
      <c r="A33" s="10">
        <v>41275</v>
      </c>
      <c r="B33" s="18">
        <f>IF(VLOOKUP(A33,'DB Country PMI'!$A:$AZ,MATCH($A$1,'DB Country PMI'!$A$1:$AZ$1,),)=0,#N/A,VLOOKUP(A33,'DB Country PMI'!$A:$AZ,MATCH($A$1,'DB Country PMI'!$A$1:$AZ$1,),))</f>
        <v>53.2</v>
      </c>
      <c r="C33" s="24">
        <f>Table13468111214151617181920222324[[#This Row],[PMI]]-B32</f>
        <v>-1.5</v>
      </c>
    </row>
    <row r="34" spans="1:3" x14ac:dyDescent="0.2">
      <c r="A34" s="10">
        <v>41306</v>
      </c>
      <c r="B34" s="18">
        <f>IF(VLOOKUP(A34,'DB Country PMI'!$A:$AZ,MATCH($A$1,'DB Country PMI'!$A$1:$AZ$1,),)=0,#N/A,VLOOKUP(A34,'DB Country PMI'!$A:$AZ,MATCH($A$1,'DB Country PMI'!$A$1:$AZ$1,),))</f>
        <v>54.2</v>
      </c>
      <c r="C34" s="24">
        <f>Table13468111214151617181920222324[[#This Row],[PMI]]-B33</f>
        <v>1</v>
      </c>
    </row>
    <row r="35" spans="1:3" x14ac:dyDescent="0.2">
      <c r="A35" s="10">
        <v>41334</v>
      </c>
      <c r="B35" s="18">
        <f>IF(VLOOKUP(A35,'DB Country PMI'!$A:$AZ,MATCH($A$1,'DB Country PMI'!$A$1:$AZ$1,),)=0,#N/A,VLOOKUP(A35,'DB Country PMI'!$A:$AZ,MATCH($A$1,'DB Country PMI'!$A$1:$AZ$1,),))</f>
        <v>52</v>
      </c>
      <c r="C35" s="24">
        <f>Table13468111214151617181920222324[[#This Row],[PMI]]-B34</f>
        <v>-2.2000000000000028</v>
      </c>
    </row>
    <row r="36" spans="1:3" x14ac:dyDescent="0.2">
      <c r="A36" s="10">
        <v>41365</v>
      </c>
      <c r="B36" s="18">
        <f>IF(VLOOKUP(A36,'DB Country PMI'!$A:$AZ,MATCH($A$1,'DB Country PMI'!$A$1:$AZ$1,),)=0,#N/A,VLOOKUP(A36,'DB Country PMI'!$A:$AZ,MATCH($A$1,'DB Country PMI'!$A$1:$AZ$1,),))</f>
        <v>51</v>
      </c>
      <c r="C36" s="24">
        <f>Table13468111214151617181920222324[[#This Row],[PMI]]-B35</f>
        <v>-1</v>
      </c>
    </row>
    <row r="37" spans="1:3" x14ac:dyDescent="0.2">
      <c r="A37" s="10">
        <v>41395</v>
      </c>
      <c r="B37" s="18">
        <f>IF(VLOOKUP(A37,'DB Country PMI'!$A:$AZ,MATCH($A$1,'DB Country PMI'!$A$1:$AZ$1,),)=0,#N/A,VLOOKUP(A37,'DB Country PMI'!$A:$AZ,MATCH($A$1,'DB Country PMI'!$A$1:$AZ$1,),))</f>
        <v>50.1</v>
      </c>
      <c r="C37" s="24">
        <f>Table13468111214151617181920222324[[#This Row],[PMI]]-B36</f>
        <v>-0.89999999999999858</v>
      </c>
    </row>
    <row r="38" spans="1:3" x14ac:dyDescent="0.2">
      <c r="A38" s="10">
        <v>41426</v>
      </c>
      <c r="B38" s="18">
        <f>IF(VLOOKUP(A38,'DB Country PMI'!$A:$AZ,MATCH($A$1,'DB Country PMI'!$A$1:$AZ$1,),)=0,#N/A,VLOOKUP(A38,'DB Country PMI'!$A:$AZ,MATCH($A$1,'DB Country PMI'!$A$1:$AZ$1,),))</f>
        <v>50.3</v>
      </c>
      <c r="C38" s="24">
        <f>Table13468111214151617181920222324[[#This Row],[PMI]]-B37</f>
        <v>0.19999999999999574</v>
      </c>
    </row>
    <row r="39" spans="1:3" x14ac:dyDescent="0.2">
      <c r="A39" s="10">
        <v>41456</v>
      </c>
      <c r="B39" s="18">
        <f>IF(VLOOKUP(A39,'DB Country PMI'!$A:$AZ,MATCH($A$1,'DB Country PMI'!$A$1:$AZ$1,),)=0,#N/A,VLOOKUP(A39,'DB Country PMI'!$A:$AZ,MATCH($A$1,'DB Country PMI'!$A$1:$AZ$1,),))</f>
        <v>50.1</v>
      </c>
      <c r="C39" s="24">
        <f>Table13468111214151617181920222324[[#This Row],[PMI]]-B38</f>
        <v>-0.19999999999999574</v>
      </c>
    </row>
    <row r="40" spans="1:3" x14ac:dyDescent="0.2">
      <c r="A40" s="10">
        <v>41487</v>
      </c>
      <c r="B40" s="18">
        <f>IF(VLOOKUP(A40,'DB Country PMI'!$A:$AZ,MATCH($A$1,'DB Country PMI'!$A$1:$AZ$1,),)=0,#N/A,VLOOKUP(A40,'DB Country PMI'!$A:$AZ,MATCH($A$1,'DB Country PMI'!$A$1:$AZ$1,),))</f>
        <v>48.5</v>
      </c>
      <c r="C40" s="24">
        <f>Table13468111214151617181920222324[[#This Row],[PMI]]-B39</f>
        <v>-1.6000000000000014</v>
      </c>
    </row>
    <row r="41" spans="1:3" x14ac:dyDescent="0.2">
      <c r="A41" s="10">
        <v>41518</v>
      </c>
      <c r="B41" s="18">
        <f>IF(VLOOKUP(A41,'DB Country PMI'!$A:$AZ,MATCH($A$1,'DB Country PMI'!$A$1:$AZ$1,),)=0,#N/A,VLOOKUP(A41,'DB Country PMI'!$A:$AZ,MATCH($A$1,'DB Country PMI'!$A$1:$AZ$1,),))</f>
        <v>49.6</v>
      </c>
      <c r="C41" s="24">
        <f>Table13468111214151617181920222324[[#This Row],[PMI]]-B40</f>
        <v>1.1000000000000014</v>
      </c>
    </row>
    <row r="42" spans="1:3" x14ac:dyDescent="0.2">
      <c r="A42" s="10">
        <v>41548</v>
      </c>
      <c r="B42" s="18">
        <f>IF(VLOOKUP(A42,'DB Country PMI'!$A:$AZ,MATCH($A$1,'DB Country PMI'!$A$1:$AZ$1,),)=0,#N/A,VLOOKUP(A42,'DB Country PMI'!$A:$AZ,MATCH($A$1,'DB Country PMI'!$A$1:$AZ$1,),))</f>
        <v>49.6</v>
      </c>
      <c r="C42" s="24">
        <f>Table13468111214151617181920222324[[#This Row],[PMI]]-B41</f>
        <v>0</v>
      </c>
    </row>
    <row r="43" spans="1:3" x14ac:dyDescent="0.2">
      <c r="A43" s="10">
        <v>41579</v>
      </c>
      <c r="B43" s="18">
        <f>IF(VLOOKUP(A43,'DB Country PMI'!$A:$AZ,MATCH($A$1,'DB Country PMI'!$A$1:$AZ$1,),)=0,#N/A,VLOOKUP(A43,'DB Country PMI'!$A:$AZ,MATCH($A$1,'DB Country PMI'!$A$1:$AZ$1,),))</f>
        <v>51.3</v>
      </c>
      <c r="C43" s="24">
        <f>Table13468111214151617181920222324[[#This Row],[PMI]]-B42</f>
        <v>1.6999999999999957</v>
      </c>
    </row>
    <row r="44" spans="1:3" x14ac:dyDescent="0.2">
      <c r="A44" s="10">
        <v>41609</v>
      </c>
      <c r="B44" s="18">
        <f>IF(VLOOKUP(A44,'DB Country PMI'!$A:$AZ,MATCH($A$1,'DB Country PMI'!$A$1:$AZ$1,),)=0,#N/A,VLOOKUP(A44,'DB Country PMI'!$A:$AZ,MATCH($A$1,'DB Country PMI'!$A$1:$AZ$1,),))</f>
        <v>50.7</v>
      </c>
      <c r="C44" s="24">
        <f>Table13468111214151617181920222324[[#This Row],[PMI]]-B43</f>
        <v>-0.59999999999999432</v>
      </c>
    </row>
    <row r="45" spans="1:3" x14ac:dyDescent="0.2">
      <c r="A45" s="10">
        <v>41640</v>
      </c>
      <c r="B45" s="18">
        <f>IF(VLOOKUP(A45,'DB Country PMI'!$A:$AZ,MATCH($A$1,'DB Country PMI'!$A$1:$AZ$1,),)=0,#N/A,VLOOKUP(A45,'DB Country PMI'!$A:$AZ,MATCH($A$1,'DB Country PMI'!$A$1:$AZ$1,),))</f>
        <v>51.4</v>
      </c>
      <c r="C45" s="24">
        <f>Table13468111214151617181920222324[[#This Row],[PMI]]-B44</f>
        <v>0.69999999999999574</v>
      </c>
    </row>
    <row r="46" spans="1:3" x14ac:dyDescent="0.2">
      <c r="A46" s="10">
        <v>41671</v>
      </c>
      <c r="B46" s="18">
        <f>IF(VLOOKUP(A46,'DB Country PMI'!$A:$AZ,MATCH($A$1,'DB Country PMI'!$A$1:$AZ$1,),)=0,#N/A,VLOOKUP(A46,'DB Country PMI'!$A:$AZ,MATCH($A$1,'DB Country PMI'!$A$1:$AZ$1,),))</f>
        <v>52.5</v>
      </c>
      <c r="C46" s="24">
        <f>Table13468111214151617181920222324[[#This Row],[PMI]]-B45</f>
        <v>1.1000000000000014</v>
      </c>
    </row>
    <row r="47" spans="1:3" x14ac:dyDescent="0.2">
      <c r="A47" s="10">
        <v>41699</v>
      </c>
      <c r="B47" s="18">
        <f>IF(VLOOKUP(A47,'DB Country PMI'!$A:$AZ,MATCH($A$1,'DB Country PMI'!$A$1:$AZ$1,),)=0,#N/A,VLOOKUP(A47,'DB Country PMI'!$A:$AZ,MATCH($A$1,'DB Country PMI'!$A$1:$AZ$1,),))</f>
        <v>51.3</v>
      </c>
      <c r="C47" s="24">
        <f>Table13468111214151617181920222324[[#This Row],[PMI]]-B46</f>
        <v>-1.2000000000000028</v>
      </c>
    </row>
    <row r="48" spans="1:3" x14ac:dyDescent="0.2">
      <c r="A48" s="10">
        <v>41730</v>
      </c>
      <c r="B48" s="18">
        <f>IF(VLOOKUP(A48,'DB Country PMI'!$A:$AZ,MATCH($A$1,'DB Country PMI'!$A$1:$AZ$1,),)=0,#N/A,VLOOKUP(A48,'DB Country PMI'!$A:$AZ,MATCH($A$1,'DB Country PMI'!$A$1:$AZ$1,),))</f>
        <v>51.3</v>
      </c>
      <c r="C48" s="24">
        <f>Table13468111214151617181920222324[[#This Row],[PMI]]-B47</f>
        <v>0</v>
      </c>
    </row>
    <row r="49" spans="1:3" x14ac:dyDescent="0.2">
      <c r="A49" s="10">
        <v>41760</v>
      </c>
      <c r="B49" s="18">
        <f>IF(VLOOKUP(A49,'DB Country PMI'!$A:$AZ,MATCH($A$1,'DB Country PMI'!$A$1:$AZ$1,),)=0,#N/A,VLOOKUP(A49,'DB Country PMI'!$A:$AZ,MATCH($A$1,'DB Country PMI'!$A$1:$AZ$1,),))</f>
        <v>51.4</v>
      </c>
      <c r="C49" s="24">
        <f>Table13468111214151617181920222324[[#This Row],[PMI]]-B48</f>
        <v>0.10000000000000142</v>
      </c>
    </row>
    <row r="50" spans="1:3" x14ac:dyDescent="0.2">
      <c r="A50" s="10">
        <v>41791</v>
      </c>
      <c r="B50" s="18">
        <f>IF(VLOOKUP(A50,'DB Country PMI'!$A:$AZ,MATCH($A$1,'DB Country PMI'!$A$1:$AZ$1,),)=0,#N/A,VLOOKUP(A50,'DB Country PMI'!$A:$AZ,MATCH($A$1,'DB Country PMI'!$A$1:$AZ$1,),))</f>
        <v>51.5</v>
      </c>
      <c r="C50" s="24">
        <f>Table13468111214151617181920222324[[#This Row],[PMI]]-B49</f>
        <v>0.10000000000000142</v>
      </c>
    </row>
    <row r="51" spans="1:3" x14ac:dyDescent="0.2">
      <c r="A51" s="10">
        <v>41821</v>
      </c>
      <c r="B51" s="18">
        <f>IF(VLOOKUP(A51,'DB Country PMI'!$A:$AZ,MATCH($A$1,'DB Country PMI'!$A$1:$AZ$1,),)=0,#N/A,VLOOKUP(A51,'DB Country PMI'!$A:$AZ,MATCH($A$1,'DB Country PMI'!$A$1:$AZ$1,),))</f>
        <v>53</v>
      </c>
      <c r="C51" s="24">
        <f>Table13468111214151617181920222324[[#This Row],[PMI]]-B50</f>
        <v>1.5</v>
      </c>
    </row>
    <row r="52" spans="1:3" x14ac:dyDescent="0.2">
      <c r="A52" s="10">
        <v>41852</v>
      </c>
      <c r="B52" s="18">
        <f>IF(VLOOKUP(A52,'DB Country PMI'!$A:$AZ,MATCH($A$1,'DB Country PMI'!$A$1:$AZ$1,),)=0,#N/A,VLOOKUP(A52,'DB Country PMI'!$A:$AZ,MATCH($A$1,'DB Country PMI'!$A$1:$AZ$1,),))</f>
        <v>52.4</v>
      </c>
      <c r="C52" s="24">
        <f>Table13468111214151617181920222324[[#This Row],[PMI]]-B51</f>
        <v>-0.60000000000000142</v>
      </c>
    </row>
    <row r="53" spans="1:3" x14ac:dyDescent="0.2">
      <c r="A53" s="10">
        <v>41883</v>
      </c>
      <c r="B53" s="18">
        <f>IF(VLOOKUP(A53,'DB Country PMI'!$A:$AZ,MATCH($A$1,'DB Country PMI'!$A$1:$AZ$1,),)=0,#N/A,VLOOKUP(A53,'DB Country PMI'!$A:$AZ,MATCH($A$1,'DB Country PMI'!$A$1:$AZ$1,),))</f>
        <v>51</v>
      </c>
      <c r="C53" s="24">
        <f>Table13468111214151617181920222324[[#This Row],[PMI]]-B52</f>
        <v>-1.3999999999999986</v>
      </c>
    </row>
    <row r="54" spans="1:3" x14ac:dyDescent="0.2">
      <c r="A54" s="10">
        <v>41913</v>
      </c>
      <c r="B54" s="18">
        <f>IF(VLOOKUP(A54,'DB Country PMI'!$A:$AZ,MATCH($A$1,'DB Country PMI'!$A$1:$AZ$1,),)=0,#N/A,VLOOKUP(A54,'DB Country PMI'!$A:$AZ,MATCH($A$1,'DB Country PMI'!$A$1:$AZ$1,),))</f>
        <v>51.6</v>
      </c>
      <c r="C54" s="24">
        <f>Table13468111214151617181920222324[[#This Row],[PMI]]-B53</f>
        <v>0.60000000000000142</v>
      </c>
    </row>
    <row r="55" spans="1:3" x14ac:dyDescent="0.2">
      <c r="A55" s="10">
        <v>41944</v>
      </c>
      <c r="B55" s="18">
        <f>IF(VLOOKUP(A55,'DB Country PMI'!$A:$AZ,MATCH($A$1,'DB Country PMI'!$A$1:$AZ$1,),)=0,#N/A,VLOOKUP(A55,'DB Country PMI'!$A:$AZ,MATCH($A$1,'DB Country PMI'!$A$1:$AZ$1,),))</f>
        <v>53.3</v>
      </c>
      <c r="C55" s="24">
        <f>Table13468111214151617181920222324[[#This Row],[PMI]]-B54</f>
        <v>1.6999999999999957</v>
      </c>
    </row>
    <row r="56" spans="1:3" x14ac:dyDescent="0.2">
      <c r="A56" s="10">
        <v>41974</v>
      </c>
      <c r="B56" s="18">
        <f>IF(VLOOKUP(A56,'DB Country PMI'!$A:$AZ,MATCH($A$1,'DB Country PMI'!$A$1:$AZ$1,),)=0,#N/A,VLOOKUP(A56,'DB Country PMI'!$A:$AZ,MATCH($A$1,'DB Country PMI'!$A$1:$AZ$1,),))</f>
        <v>54.5</v>
      </c>
      <c r="C56" s="24">
        <f>Table13468111214151617181920222324[[#This Row],[PMI]]-B55</f>
        <v>1.2000000000000028</v>
      </c>
    </row>
    <row r="57" spans="1:3" x14ac:dyDescent="0.2">
      <c r="A57" s="10">
        <v>42005</v>
      </c>
      <c r="B57" s="18">
        <f>IF(VLOOKUP(A57,'DB Country PMI'!$A:$AZ,MATCH($A$1,'DB Country PMI'!$A$1:$AZ$1,),)=0,#N/A,VLOOKUP(A57,'DB Country PMI'!$A:$AZ,MATCH($A$1,'DB Country PMI'!$A$1:$AZ$1,),))</f>
        <v>52.9</v>
      </c>
      <c r="C57" s="24">
        <f>Table13468111214151617181920222324[[#This Row],[PMI]]-B56</f>
        <v>-1.6000000000000014</v>
      </c>
    </row>
    <row r="58" spans="1:3" x14ac:dyDescent="0.2">
      <c r="A58" s="10">
        <v>42036</v>
      </c>
      <c r="B58" s="18">
        <f>IF(VLOOKUP(A58,'DB Country PMI'!$A:$AZ,MATCH($A$1,'DB Country PMI'!$A$1:$AZ$1,),)=0,#N/A,VLOOKUP(A58,'DB Country PMI'!$A:$AZ,MATCH($A$1,'DB Country PMI'!$A$1:$AZ$1,),))</f>
        <v>51.2</v>
      </c>
      <c r="C58" s="24">
        <f>Table13468111214151617181920222324[[#This Row],[PMI]]-B57</f>
        <v>-1.6999999999999957</v>
      </c>
    </row>
    <row r="59" spans="1:3" x14ac:dyDescent="0.2">
      <c r="A59" s="10">
        <v>42064</v>
      </c>
      <c r="B59" s="18">
        <f>IF(VLOOKUP(A59,'DB Country PMI'!$A:$AZ,MATCH($A$1,'DB Country PMI'!$A$1:$AZ$1,),)=0,#N/A,VLOOKUP(A59,'DB Country PMI'!$A:$AZ,MATCH($A$1,'DB Country PMI'!$A$1:$AZ$1,),))</f>
        <v>52.1</v>
      </c>
      <c r="C59" s="24">
        <f>Table13468111214151617181920222324[[#This Row],[PMI]]-B58</f>
        <v>0.89999999999999858</v>
      </c>
    </row>
    <row r="60" spans="1:3" x14ac:dyDescent="0.2">
      <c r="A60" s="10">
        <v>42095</v>
      </c>
      <c r="B60" s="18">
        <f>IF(VLOOKUP(A60,'DB Country PMI'!$A:$AZ,MATCH($A$1,'DB Country PMI'!$A$1:$AZ$1,),)=0,#N/A,VLOOKUP(A60,'DB Country PMI'!$A:$AZ,MATCH($A$1,'DB Country PMI'!$A$1:$AZ$1,),))</f>
        <v>51.3</v>
      </c>
      <c r="C60" s="24">
        <f>Table13468111214151617181920222324[[#This Row],[PMI]]-B59</f>
        <v>-0.80000000000000426</v>
      </c>
    </row>
    <row r="61" spans="1:3" x14ac:dyDescent="0.2">
      <c r="A61" s="10">
        <v>42125</v>
      </c>
      <c r="B61" s="18">
        <f>IF(VLOOKUP(A61,'DB Country PMI'!$A:$AZ,MATCH($A$1,'DB Country PMI'!$A$1:$AZ$1,),)=0,#N/A,VLOOKUP(A61,'DB Country PMI'!$A:$AZ,MATCH($A$1,'DB Country PMI'!$A$1:$AZ$1,),))</f>
        <v>52.6</v>
      </c>
      <c r="C61" s="24">
        <f>Table13468111214151617181920222324[[#This Row],[PMI]]-B60</f>
        <v>1.3000000000000043</v>
      </c>
    </row>
    <row r="62" spans="1:3" x14ac:dyDescent="0.2">
      <c r="A62" s="10">
        <v>42156</v>
      </c>
      <c r="B62" s="18">
        <f>IF(VLOOKUP(A62,'DB Country PMI'!$A:$AZ,MATCH($A$1,'DB Country PMI'!$A$1:$AZ$1,),)=0,#N/A,VLOOKUP(A62,'DB Country PMI'!$A:$AZ,MATCH($A$1,'DB Country PMI'!$A$1:$AZ$1,),))</f>
        <v>51.3</v>
      </c>
      <c r="C62" s="24">
        <f>Table13468111214151617181920222324[[#This Row],[PMI]]-B61</f>
        <v>-1.3000000000000043</v>
      </c>
    </row>
    <row r="63" spans="1:3" x14ac:dyDescent="0.2">
      <c r="A63" s="10">
        <v>42186</v>
      </c>
      <c r="B63" s="18">
        <f>IF(VLOOKUP(A63,'DB Country PMI'!$A:$AZ,MATCH($A$1,'DB Country PMI'!$A$1:$AZ$1,),)=0,#N/A,VLOOKUP(A63,'DB Country PMI'!$A:$AZ,MATCH($A$1,'DB Country PMI'!$A$1:$AZ$1,),))</f>
        <v>52.7</v>
      </c>
      <c r="C63" s="24">
        <f>Table13468111214151617181920222324[[#This Row],[PMI]]-B62</f>
        <v>1.4000000000000057</v>
      </c>
    </row>
    <row r="64" spans="1:3" x14ac:dyDescent="0.2">
      <c r="A64" s="10">
        <v>42217</v>
      </c>
      <c r="B64" s="18">
        <f>IF(VLOOKUP(A64,'DB Country PMI'!$A:$AZ,MATCH($A$1,'DB Country PMI'!$A$1:$AZ$1,),)=0,#N/A,VLOOKUP(A64,'DB Country PMI'!$A:$AZ,MATCH($A$1,'DB Country PMI'!$A$1:$AZ$1,),))</f>
        <v>52.3</v>
      </c>
      <c r="C64" s="24">
        <f>Table13468111214151617181920222324[[#This Row],[PMI]]-B63</f>
        <v>-0.40000000000000568</v>
      </c>
    </row>
    <row r="65" spans="1:3" x14ac:dyDescent="0.2">
      <c r="A65" s="10">
        <v>42248</v>
      </c>
      <c r="B65" s="18">
        <f>IF(VLOOKUP(A65,'DB Country PMI'!$A:$AZ,MATCH($A$1,'DB Country PMI'!$A$1:$AZ$1,),)=0,#N/A,VLOOKUP(A65,'DB Country PMI'!$A:$AZ,MATCH($A$1,'DB Country PMI'!$A$1:$AZ$1,),))</f>
        <v>51.2</v>
      </c>
      <c r="C65" s="24">
        <f>Table13468111214151617181920222324[[#This Row],[PMI]]-B64</f>
        <v>-1.0999999999999943</v>
      </c>
    </row>
    <row r="66" spans="1:3" x14ac:dyDescent="0.2">
      <c r="A66" s="10">
        <v>42278</v>
      </c>
      <c r="B66" s="18">
        <f>IF(VLOOKUP(A66,'DB Country PMI'!$A:$AZ,MATCH($A$1,'DB Country PMI'!$A$1:$AZ$1,),)=0,#N/A,VLOOKUP(A66,'DB Country PMI'!$A:$AZ,MATCH($A$1,'DB Country PMI'!$A$1:$AZ$1,),))</f>
        <v>50.7</v>
      </c>
      <c r="C66" s="24">
        <f>Table13468111214151617181920222324[[#This Row],[PMI]]-B65</f>
        <v>-0.5</v>
      </c>
    </row>
    <row r="67" spans="1:3" x14ac:dyDescent="0.2">
      <c r="A67" s="10">
        <v>42309</v>
      </c>
      <c r="B67" s="18">
        <f>IF(VLOOKUP(A67,'DB Country PMI'!$A:$AZ,MATCH($A$1,'DB Country PMI'!$A$1:$AZ$1,),)=0,#N/A,VLOOKUP(A67,'DB Country PMI'!$A:$AZ,MATCH($A$1,'DB Country PMI'!$A$1:$AZ$1,),))</f>
        <v>50.3</v>
      </c>
      <c r="C67" s="24">
        <f>Table13468111214151617181920222324[[#This Row],[PMI]]-B66</f>
        <v>-0.40000000000000568</v>
      </c>
    </row>
    <row r="68" spans="1:3" x14ac:dyDescent="0.2">
      <c r="A68" s="10">
        <v>42339</v>
      </c>
      <c r="B68" s="18">
        <f>IF(VLOOKUP(A68,'DB Country PMI'!$A:$AZ,MATCH($A$1,'DB Country PMI'!$A$1:$AZ$1,),)=0,#N/A,VLOOKUP(A68,'DB Country PMI'!$A:$AZ,MATCH($A$1,'DB Country PMI'!$A$1:$AZ$1,),))</f>
        <v>49.1</v>
      </c>
      <c r="C68" s="24">
        <f>Table13468111214151617181920222324[[#This Row],[PMI]]-B67</f>
        <v>-1.1999999999999957</v>
      </c>
    </row>
    <row r="69" spans="1:3" x14ac:dyDescent="0.2">
      <c r="A69" s="10">
        <v>42370</v>
      </c>
      <c r="B69" s="18">
        <f>IF(VLOOKUP(A69,'DB Country PMI'!$A:$AZ,MATCH($A$1,'DB Country PMI'!$A$1:$AZ$1,),)=0,#N/A,VLOOKUP(A69,'DB Country PMI'!$A:$AZ,MATCH($A$1,'DB Country PMI'!$A$1:$AZ$1,),))</f>
        <v>51.1</v>
      </c>
      <c r="C69" s="24">
        <f>Table13468111214151617181920222324[[#This Row],[PMI]]-B68</f>
        <v>2</v>
      </c>
    </row>
    <row r="70" spans="1:3" x14ac:dyDescent="0.2">
      <c r="A70" s="10">
        <v>42401</v>
      </c>
      <c r="B70" s="18">
        <f>IF(VLOOKUP(A70,'DB Country PMI'!$A:$AZ,MATCH($A$1,'DB Country PMI'!$A$1:$AZ$1,),)=0,#N/A,VLOOKUP(A70,'DB Country PMI'!$A:$AZ,MATCH($A$1,'DB Country PMI'!$A$1:$AZ$1,),))</f>
        <v>51.1</v>
      </c>
      <c r="C70" s="24">
        <f>Table13468111214151617181920222324[[#This Row],[PMI]]-B69</f>
        <v>0</v>
      </c>
    </row>
    <row r="71" spans="1:3" x14ac:dyDescent="0.2">
      <c r="A71" s="10">
        <v>42430</v>
      </c>
      <c r="B71" s="18">
        <f>IF(VLOOKUP(A71,'DB Country PMI'!$A:$AZ,MATCH($A$1,'DB Country PMI'!$A$1:$AZ$1,),)=0,#N/A,VLOOKUP(A71,'DB Country PMI'!$A:$AZ,MATCH($A$1,'DB Country PMI'!$A$1:$AZ$1,),))</f>
        <v>52.4</v>
      </c>
      <c r="C71" s="24">
        <f>Table13468111214151617181920222324[[#This Row],[PMI]]-B70</f>
        <v>1.2999999999999972</v>
      </c>
    </row>
    <row r="72" spans="1:3" x14ac:dyDescent="0.2">
      <c r="A72" s="10">
        <v>42461</v>
      </c>
      <c r="B72" s="18">
        <f>IF(VLOOKUP(A72,'DB Country PMI'!$A:$AZ,MATCH($A$1,'DB Country PMI'!$A$1:$AZ$1,),)=0,#N/A,VLOOKUP(A72,'DB Country PMI'!$A:$AZ,MATCH($A$1,'DB Country PMI'!$A$1:$AZ$1,),))</f>
        <v>50.5</v>
      </c>
      <c r="C72" s="24">
        <f>Table13468111214151617181920222324[[#This Row],[PMI]]-B71</f>
        <v>-1.8999999999999986</v>
      </c>
    </row>
    <row r="73" spans="1:3" x14ac:dyDescent="0.2">
      <c r="A73" s="10">
        <v>42491</v>
      </c>
      <c r="B73" s="18">
        <f>IF(VLOOKUP(A73,'DB Country PMI'!$A:$AZ,MATCH($A$1,'DB Country PMI'!$A$1:$AZ$1,),)=0,#N/A,VLOOKUP(A73,'DB Country PMI'!$A:$AZ,MATCH($A$1,'DB Country PMI'!$A$1:$AZ$1,),))</f>
        <v>50.7</v>
      </c>
      <c r="C73" s="24">
        <f>Table13468111214151617181920222324[[#This Row],[PMI]]-B72</f>
        <v>0.20000000000000284</v>
      </c>
    </row>
    <row r="74" spans="1:3" x14ac:dyDescent="0.2">
      <c r="A74" s="10">
        <v>42522</v>
      </c>
      <c r="B74" s="18">
        <f>IF(VLOOKUP(A74,'DB Country PMI'!$A:$AZ,MATCH($A$1,'DB Country PMI'!$A$1:$AZ$1,),)=0,#N/A,VLOOKUP(A74,'DB Country PMI'!$A:$AZ,MATCH($A$1,'DB Country PMI'!$A$1:$AZ$1,),))</f>
        <v>51.7</v>
      </c>
      <c r="C74" s="24">
        <f>Table13468111214151617181920222324[[#This Row],[PMI]]-B73</f>
        <v>1</v>
      </c>
    </row>
    <row r="75" spans="1:3" x14ac:dyDescent="0.2">
      <c r="A75" s="10">
        <v>42552</v>
      </c>
      <c r="B75" s="18">
        <f>IF(VLOOKUP(A75,'DB Country PMI'!$A:$AZ,MATCH($A$1,'DB Country PMI'!$A$1:$AZ$1,),)=0,#N/A,VLOOKUP(A75,'DB Country PMI'!$A:$AZ,MATCH($A$1,'DB Country PMI'!$A$1:$AZ$1,),))</f>
        <v>51.8</v>
      </c>
      <c r="C75" s="24">
        <f>Table13468111214151617181920222324[[#This Row],[PMI]]-B74</f>
        <v>9.9999999999994316E-2</v>
      </c>
    </row>
    <row r="76" spans="1:3" x14ac:dyDescent="0.2">
      <c r="A76" s="10">
        <v>42583</v>
      </c>
      <c r="B76" s="18">
        <f>IF(VLOOKUP(A76,'DB Country PMI'!$A:$AZ,MATCH($A$1,'DB Country PMI'!$A$1:$AZ$1,),)=0,#N/A,VLOOKUP(A76,'DB Country PMI'!$A:$AZ,MATCH($A$1,'DB Country PMI'!$A$1:$AZ$1,),))</f>
        <v>52.6</v>
      </c>
      <c r="C76" s="24">
        <f>Table13468111214151617181920222324[[#This Row],[PMI]]-B75</f>
        <v>0.80000000000000426</v>
      </c>
    </row>
    <row r="77" spans="1:3" x14ac:dyDescent="0.2">
      <c r="A77" s="10">
        <v>42614</v>
      </c>
      <c r="B77" s="18">
        <f>IF(VLOOKUP(A77,'DB Country PMI'!$A:$AZ,MATCH($A$1,'DB Country PMI'!$A$1:$AZ$1,),)=0,#N/A,VLOOKUP(A77,'DB Country PMI'!$A:$AZ,MATCH($A$1,'DB Country PMI'!$A$1:$AZ$1,),))</f>
        <v>52.1</v>
      </c>
      <c r="C77" s="24">
        <f>Table13468111214151617181920222324[[#This Row],[PMI]]-B76</f>
        <v>-0.5</v>
      </c>
    </row>
    <row r="78" spans="1:3" x14ac:dyDescent="0.2">
      <c r="A78" s="10">
        <v>42644</v>
      </c>
      <c r="B78" s="18">
        <f>IF(VLOOKUP(A78,'DB Country PMI'!$A:$AZ,MATCH($A$1,'DB Country PMI'!$A$1:$AZ$1,),)=0,#N/A,VLOOKUP(A78,'DB Country PMI'!$A:$AZ,MATCH($A$1,'DB Country PMI'!$A$1:$AZ$1,),))</f>
        <v>54.4</v>
      </c>
      <c r="C78" s="24">
        <f>Table13468111214151617181920222324[[#This Row],[PMI]]-B77</f>
        <v>2.2999999999999972</v>
      </c>
    </row>
    <row r="79" spans="1:3" x14ac:dyDescent="0.2">
      <c r="A79" s="10">
        <v>42675</v>
      </c>
      <c r="B79" s="18">
        <f>IF(VLOOKUP(A79,'DB Country PMI'!$A:$AZ,MATCH($A$1,'DB Country PMI'!$A$1:$AZ$1,),)=0,#N/A,VLOOKUP(A79,'DB Country PMI'!$A:$AZ,MATCH($A$1,'DB Country PMI'!$A$1:$AZ$1,),))</f>
        <v>52.3</v>
      </c>
      <c r="C79" s="24">
        <f>Table13468111214151617181920222324[[#This Row],[PMI]]-B78</f>
        <v>-2.1000000000000014</v>
      </c>
    </row>
    <row r="80" spans="1:3" x14ac:dyDescent="0.2">
      <c r="A80" s="10">
        <v>42705</v>
      </c>
      <c r="B80" s="18">
        <f>IF(VLOOKUP(A80,'DB Country PMI'!$A:$AZ,MATCH($A$1,'DB Country PMI'!$A$1:$AZ$1,),)=0,#N/A,VLOOKUP(A80,'DB Country PMI'!$A:$AZ,MATCH($A$1,'DB Country PMI'!$A$1:$AZ$1,),))</f>
        <v>49.6</v>
      </c>
      <c r="C80" s="24">
        <f>Table13468111214151617181920222324[[#This Row],[PMI]]-B79</f>
        <v>-2.6999999999999957</v>
      </c>
    </row>
    <row r="81" spans="1:3" x14ac:dyDescent="0.2">
      <c r="A81" s="10">
        <v>42736</v>
      </c>
      <c r="B81" s="18">
        <f>IF(VLOOKUP(A81,'DB Country PMI'!$A:$AZ,MATCH($A$1,'DB Country PMI'!$A$1:$AZ$1,),)=0,#N/A,VLOOKUP(A81,'DB Country PMI'!$A:$AZ,MATCH($A$1,'DB Country PMI'!$A$1:$AZ$1,),))</f>
        <v>50.4</v>
      </c>
      <c r="C81" s="24">
        <f>Table13468111214151617181920222324[[#This Row],[PMI]]-B80</f>
        <v>0.79999999999999716</v>
      </c>
    </row>
    <row r="82" spans="1:3" x14ac:dyDescent="0.2">
      <c r="A82" s="10">
        <v>42767</v>
      </c>
      <c r="B82" s="18">
        <f>IF(VLOOKUP(A82,'DB Country PMI'!$A:$AZ,MATCH($A$1,'DB Country PMI'!$A$1:$AZ$1,),)=0,#N/A,VLOOKUP(A82,'DB Country PMI'!$A:$AZ,MATCH($A$1,'DB Country PMI'!$A$1:$AZ$1,),))</f>
        <v>50.7</v>
      </c>
      <c r="C82" s="24">
        <f>Table13468111214151617181920222324[[#This Row],[PMI]]-B81</f>
        <v>0.30000000000000426</v>
      </c>
    </row>
    <row r="83" spans="1:3" x14ac:dyDescent="0.2">
      <c r="A83" s="10">
        <v>42795</v>
      </c>
      <c r="B83" s="18">
        <f>IF(VLOOKUP(A83,'DB Country PMI'!$A:$AZ,MATCH($A$1,'DB Country PMI'!$A$1:$AZ$1,),)=0,#N/A,VLOOKUP(A83,'DB Country PMI'!$A:$AZ,MATCH($A$1,'DB Country PMI'!$A$1:$AZ$1,),))</f>
        <v>52.5</v>
      </c>
      <c r="C83" s="24">
        <f>Table13468111214151617181920222324[[#This Row],[PMI]]-B82</f>
        <v>1.7999999999999972</v>
      </c>
    </row>
    <row r="84" spans="1:3" x14ac:dyDescent="0.2">
      <c r="A84" s="10">
        <v>42826</v>
      </c>
      <c r="B84" s="18">
        <f>IF(VLOOKUP(A84,'DB Country PMI'!$A:$AZ,MATCH($A$1,'DB Country PMI'!$A$1:$AZ$1,),)=0,#N/A,VLOOKUP(A84,'DB Country PMI'!$A:$AZ,MATCH($A$1,'DB Country PMI'!$A$1:$AZ$1,),))</f>
        <v>52.5</v>
      </c>
      <c r="C84" s="24">
        <f>Table13468111214151617181920222324[[#This Row],[PMI]]-B83</f>
        <v>0</v>
      </c>
    </row>
    <row r="85" spans="1:3" x14ac:dyDescent="0.2">
      <c r="A85" s="10">
        <v>42856</v>
      </c>
      <c r="B85" s="18">
        <f>IF(VLOOKUP(A85,'DB Country PMI'!$A:$AZ,MATCH($A$1,'DB Country PMI'!$A$1:$AZ$1,),)=0,#N/A,VLOOKUP(A85,'DB Country PMI'!$A:$AZ,MATCH($A$1,'DB Country PMI'!$A$1:$AZ$1,),))</f>
        <v>51.6</v>
      </c>
      <c r="C85" s="24">
        <f>Table13468111214151617181920222324[[#This Row],[PMI]]-B84</f>
        <v>-0.89999999999999858</v>
      </c>
    </row>
    <row r="86" spans="1:3" x14ac:dyDescent="0.2">
      <c r="A86" s="10">
        <v>42887</v>
      </c>
      <c r="B86" s="18">
        <f>IF(VLOOKUP(A86,'DB Country PMI'!$A:$AZ,MATCH($A$1,'DB Country PMI'!$A$1:$AZ$1,),)=0,#N/A,VLOOKUP(A86,'DB Country PMI'!$A:$AZ,MATCH($A$1,'DB Country PMI'!$A$1:$AZ$1,),))</f>
        <v>50.9</v>
      </c>
      <c r="C86" s="24">
        <f>Table13468111214151617181920222324[[#This Row],[PMI]]-B85</f>
        <v>-0.70000000000000284</v>
      </c>
    </row>
    <row r="87" spans="1:3" x14ac:dyDescent="0.2">
      <c r="A87" s="10">
        <v>42917</v>
      </c>
      <c r="B87" s="18">
        <f>IF(VLOOKUP(A87,'DB Country PMI'!$A:$AZ,MATCH($A$1,'DB Country PMI'!$A$1:$AZ$1,),)=0,#N/A,VLOOKUP(A87,'DB Country PMI'!$A:$AZ,MATCH($A$1,'DB Country PMI'!$A$1:$AZ$1,),))</f>
        <v>47.9</v>
      </c>
      <c r="C87" s="24">
        <f>Table13468111214151617181920222324[[#This Row],[PMI]]-B86</f>
        <v>-3</v>
      </c>
    </row>
    <row r="88" spans="1:3" x14ac:dyDescent="0.2">
      <c r="A88" s="10">
        <v>42948</v>
      </c>
      <c r="B88" s="18">
        <f>IF(VLOOKUP(A88,'DB Country PMI'!$A:$AZ,MATCH($A$1,'DB Country PMI'!$A$1:$AZ$1,),)=0,#N/A,VLOOKUP(A88,'DB Country PMI'!$A:$AZ,MATCH($A$1,'DB Country PMI'!$A$1:$AZ$1,),))</f>
        <v>51.2</v>
      </c>
      <c r="C88" s="24">
        <f>Table13468111214151617181920222324[[#This Row],[PMI]]-B87</f>
        <v>3.3000000000000043</v>
      </c>
    </row>
    <row r="89" spans="1:3" x14ac:dyDescent="0.2">
      <c r="A89" s="10">
        <v>42979</v>
      </c>
      <c r="B89" s="18">
        <f>IF(VLOOKUP(A89,'DB Country PMI'!$A:$AZ,MATCH($A$1,'DB Country PMI'!$A$1:$AZ$1,),)=0,#N/A,VLOOKUP(A89,'DB Country PMI'!$A:$AZ,MATCH($A$1,'DB Country PMI'!$A$1:$AZ$1,),))</f>
        <v>51.2</v>
      </c>
      <c r="C89" s="24">
        <f>Table13468111214151617181920222324[[#This Row],[PMI]]-B88</f>
        <v>0</v>
      </c>
    </row>
    <row r="90" spans="1:3" x14ac:dyDescent="0.2">
      <c r="A90" s="10">
        <v>43009</v>
      </c>
      <c r="B90" s="18">
        <f>IF(VLOOKUP(A90,'DB Country PMI'!$A:$AZ,MATCH($A$1,'DB Country PMI'!$A$1:$AZ$1,),)=0,#N/A,VLOOKUP(A90,'DB Country PMI'!$A:$AZ,MATCH($A$1,'DB Country PMI'!$A$1:$AZ$1,),))</f>
        <v>50.3</v>
      </c>
      <c r="C90" s="24">
        <f>Table13468111214151617181920222324[[#This Row],[PMI]]-B89</f>
        <v>-0.90000000000000568</v>
      </c>
    </row>
    <row r="91" spans="1:3" x14ac:dyDescent="0.2">
      <c r="A91" s="10">
        <v>43040</v>
      </c>
      <c r="B91" s="18">
        <f>IF(VLOOKUP(A91,'DB Country PMI'!$A:$AZ,MATCH($A$1,'DB Country PMI'!$A$1:$AZ$1,),)=0,#N/A,VLOOKUP(A91,'DB Country PMI'!$A:$AZ,MATCH($A$1,'DB Country PMI'!$A$1:$AZ$1,),))</f>
        <v>52.6</v>
      </c>
      <c r="C91" s="24">
        <f>Table13468111214151617181920222324[[#This Row],[PMI]]-B90</f>
        <v>2.3000000000000043</v>
      </c>
    </row>
    <row r="92" spans="1:3" x14ac:dyDescent="0.2">
      <c r="A92" s="10">
        <v>43070</v>
      </c>
      <c r="B92" s="18">
        <f>IF(VLOOKUP(A92,'DB Country PMI'!$A:$AZ,MATCH($A$1,'DB Country PMI'!$A$1:$AZ$1,),)=0,#N/A,VLOOKUP(A92,'DB Country PMI'!$A:$AZ,MATCH($A$1,'DB Country PMI'!$A$1:$AZ$1,),))</f>
        <v>54.7</v>
      </c>
      <c r="C92" s="24">
        <f>Table13468111214151617181920222324[[#This Row],[PMI]]-B91</f>
        <v>2.1000000000000014</v>
      </c>
    </row>
    <row r="93" spans="1:3" x14ac:dyDescent="0.2">
      <c r="A93" s="10">
        <v>43101</v>
      </c>
      <c r="B93" s="18">
        <f>IF(VLOOKUP(A93,'DB Country PMI'!$A:$AZ,MATCH($A$1,'DB Country PMI'!$A$1:$AZ$1,),)=0,#N/A,VLOOKUP(A93,'DB Country PMI'!$A:$AZ,MATCH($A$1,'DB Country PMI'!$A$1:$AZ$1,),))</f>
        <v>52.4</v>
      </c>
      <c r="C93" s="24">
        <f>Table13468111214151617181920222324[[#This Row],[PMI]]-B92</f>
        <v>-2.3000000000000043</v>
      </c>
    </row>
    <row r="94" spans="1:3" x14ac:dyDescent="0.2">
      <c r="A94" s="10">
        <v>43132</v>
      </c>
      <c r="B94" s="18">
        <f>IF(VLOOKUP(A94,'DB Country PMI'!$A:$AZ,MATCH($A$1,'DB Country PMI'!$A$1:$AZ$1,),)=0,#N/A,VLOOKUP(A94,'DB Country PMI'!$A:$AZ,MATCH($A$1,'DB Country PMI'!$A$1:$AZ$1,),))</f>
        <v>52.1</v>
      </c>
      <c r="C94" s="24">
        <f>Table13468111214151617181920222324[[#This Row],[PMI]]-B93</f>
        <v>-0.29999999999999716</v>
      </c>
    </row>
    <row r="95" spans="1:3" x14ac:dyDescent="0.2">
      <c r="A95" s="10">
        <v>43160</v>
      </c>
      <c r="B95" s="18">
        <f>IF(VLOOKUP(A95,'DB Country PMI'!$A:$AZ,MATCH($A$1,'DB Country PMI'!$A$1:$AZ$1,),)=0,#N/A,VLOOKUP(A95,'DB Country PMI'!$A:$AZ,MATCH($A$1,'DB Country PMI'!$A$1:$AZ$1,),))</f>
        <v>51</v>
      </c>
      <c r="C95" s="24">
        <f>Table13468111214151617181920222324[[#This Row],[PMI]]-B94</f>
        <v>-1.1000000000000014</v>
      </c>
    </row>
    <row r="96" spans="1:3" x14ac:dyDescent="0.2">
      <c r="A96" s="10">
        <v>43191</v>
      </c>
      <c r="B96" s="18">
        <f>IF(VLOOKUP(A96,'DB Country PMI'!$A:$AZ,MATCH($A$1,'DB Country PMI'!$A$1:$AZ$1,),)=0,#N/A,VLOOKUP(A96,'DB Country PMI'!$A:$AZ,MATCH($A$1,'DB Country PMI'!$A$1:$AZ$1,),))</f>
        <v>51.6</v>
      </c>
      <c r="C96" s="24">
        <f>Table13468111214151617181920222324[[#This Row],[PMI]]-B95</f>
        <v>0.60000000000000142</v>
      </c>
    </row>
    <row r="97" spans="1:3" x14ac:dyDescent="0.2">
      <c r="A97" s="10">
        <v>43221</v>
      </c>
      <c r="B97" s="18">
        <f>IF(VLOOKUP(A97,'DB Country PMI'!$A:$AZ,MATCH($A$1,'DB Country PMI'!$A$1:$AZ$1,),)=0,#N/A,VLOOKUP(A97,'DB Country PMI'!$A:$AZ,MATCH($A$1,'DB Country PMI'!$A$1:$AZ$1,),))</f>
        <v>51.2</v>
      </c>
      <c r="C97" s="24">
        <f>Table13468111214151617181920222324[[#This Row],[PMI]]-B96</f>
        <v>-0.39999999999999858</v>
      </c>
    </row>
    <row r="98" spans="1:3" x14ac:dyDescent="0.2">
      <c r="A98" s="10">
        <v>43252</v>
      </c>
      <c r="B98" s="18">
        <f>IF(VLOOKUP(A98,'DB Country PMI'!$A:$AZ,MATCH($A$1,'DB Country PMI'!$A$1:$AZ$1,),)=0,#N/A,VLOOKUP(A98,'DB Country PMI'!$A:$AZ,MATCH($A$1,'DB Country PMI'!$A$1:$AZ$1,),))</f>
        <v>53.1</v>
      </c>
      <c r="C98" s="24">
        <f>Table13468111214151617181920222324[[#This Row],[PMI]]-B97</f>
        <v>1.8999999999999986</v>
      </c>
    </row>
    <row r="99" spans="1:3" x14ac:dyDescent="0.2">
      <c r="A99" s="10">
        <v>43282</v>
      </c>
      <c r="B99" s="18">
        <f>IF(VLOOKUP(A99,'DB Country PMI'!$A:$AZ,MATCH($A$1,'DB Country PMI'!$A$1:$AZ$1,),)=0,#N/A,VLOOKUP(A99,'DB Country PMI'!$A:$AZ,MATCH($A$1,'DB Country PMI'!$A$1:$AZ$1,),))</f>
        <v>52.3</v>
      </c>
      <c r="C99" s="24">
        <f>Table13468111214151617181920222324[[#This Row],[PMI]]-B98</f>
        <v>-0.80000000000000426</v>
      </c>
    </row>
    <row r="100" spans="1:3" x14ac:dyDescent="0.2">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2">
      <c r="A101" s="10">
        <v>43344</v>
      </c>
      <c r="B101" s="18">
        <f>IF(VLOOKUP(A101,'DB Country PMI'!$A:$AZ,MATCH($A$1,'DB Country PMI'!$A$1:$AZ$1,),)=0,#N/A,VLOOKUP(A101,'DB Country PMI'!$A:$AZ,MATCH($A$1,'DB Country PMI'!$A$1:$AZ$1,),))</f>
        <v>52.2</v>
      </c>
      <c r="C101" s="24">
        <f>Table13468111214151617181920222324[[#This Row],[PMI]]-B100</f>
        <v>0.5</v>
      </c>
    </row>
    <row r="102" spans="1:3" x14ac:dyDescent="0.2">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2">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2">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2">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2">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2">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2">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2">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2">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2">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2">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2">
      <c r="A113" s="10">
        <v>43709</v>
      </c>
      <c r="B113" s="18">
        <f>IF(VLOOKUP(A113,'DB Country PMI'!$A:$AZ,MATCH($A$1,'DB Country PMI'!$A$1:$AZ$1,),)=0,#N/A,VLOOKUP(A113,'DB Country PMI'!$A:$AZ,MATCH($A$1,'DB Country PMI'!$A$1:$AZ$1,),))</f>
        <v>51.4</v>
      </c>
      <c r="C113" s="24">
        <f>Table13468111214151617181920222324[[#This Row],[PMI]]-B112</f>
        <v>0</v>
      </c>
    </row>
    <row r="114" spans="1:3" x14ac:dyDescent="0.2">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2">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2">
      <c r="A116" s="10">
        <v>43800</v>
      </c>
      <c r="B116" s="18">
        <f>IF(VLOOKUP(A116,'DB Country PMI'!$A:$AZ,MATCH($A$1,'DB Country PMI'!$A$1:$AZ$1,),)=0,#N/A,VLOOKUP(A116,'DB Country PMI'!$A:$AZ,MATCH($A$1,'DB Country PMI'!$A$1:$AZ$1,),))</f>
        <v>52.7</v>
      </c>
      <c r="C116" s="24">
        <f>Table13468111214151617181920222324[[#This Row],[PMI]]-B115</f>
        <v>1.5</v>
      </c>
    </row>
    <row r="117" spans="1:3" x14ac:dyDescent="0.2">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2">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2">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2">
      <c r="A120" s="10">
        <v>43922</v>
      </c>
      <c r="B120" s="18">
        <f>IF(VLOOKUP(A120,'DB Country PMI'!$A:$AZ,MATCH($A$1,'DB Country PMI'!$A$1:$AZ$1,),)=0,#N/A,VLOOKUP(A120,'DB Country PMI'!$A:$AZ,MATCH($A$1,'DB Country PMI'!$A$1:$AZ$1,),))</f>
        <v>27.4</v>
      </c>
      <c r="C120" s="24">
        <f>Table13468111214151617181920222324[[#This Row],[PMI]]-B119</f>
        <v>-24.4</v>
      </c>
    </row>
    <row r="121" spans="1:3" x14ac:dyDescent="0.2">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2">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2">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2">
      <c r="A124" s="10">
        <v>44044</v>
      </c>
      <c r="B124" s="18">
        <f>IF(VLOOKUP(A124,'DB Country PMI'!$A:$AZ,MATCH($A$1,'DB Country PMI'!$A$1:$AZ$1,),)=0,#N/A,VLOOKUP(A124,'DB Country PMI'!$A:$AZ,MATCH($A$1,'DB Country PMI'!$A$1:$AZ$1,),))</f>
        <v>52</v>
      </c>
      <c r="C124" s="24">
        <f>Table13468111214151617181920222324[[#This Row],[PMI]]-B123</f>
        <v>6</v>
      </c>
    </row>
    <row r="125" spans="1:3" x14ac:dyDescent="0.2">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2">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2">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2">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2">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2">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2">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2">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2">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2">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2">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2">
      <c r="A136" s="10">
        <v>44409</v>
      </c>
      <c r="B136" s="18">
        <f>IF(VLOOKUP(A136,'DB Country PMI'!$A:$AZ,MATCH($A$1,'DB Country PMI'!$A$1:$AZ$1,),)=0,#N/A,VLOOKUP(A136,'DB Country PMI'!$A:$AZ,MATCH($A$1,'DB Country PMI'!$A$1:$AZ$1,),))</f>
        <v>52.3</v>
      </c>
      <c r="C136" s="24">
        <f>Table13468111214151617181920222324[[#This Row],[PMI]]-B135</f>
        <v>-3</v>
      </c>
    </row>
    <row r="137" spans="1:3" x14ac:dyDescent="0.2">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2">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2">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2">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2">
      <c r="A141" s="10">
        <v>44562</v>
      </c>
      <c r="B141" s="18">
        <f>IF(VLOOKUP(A141,'DB Country PMI'!$A:$AZ,MATCH($A$1,'DB Country PMI'!$A$1:$AZ$1,),)=0,#N/A,VLOOKUP(A141,'DB Country PMI'!$A:$AZ,MATCH($A$1,'DB Country PMI'!$A$1:$AZ$1,),))</f>
        <v>54</v>
      </c>
      <c r="C141" s="24">
        <f>Table13468111214151617181920222324[[#This Row],[PMI]]-B140</f>
        <v>-1.5</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35"/>
  <sheetViews>
    <sheetView zoomScale="160" zoomScaleNormal="160" workbookViewId="0">
      <pane ySplit="5" topLeftCell="A98" activePane="bottomLeft" state="frozen"/>
      <selection pane="bottomLeft" activeCell="T111" sqref="T111"/>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33</v>
      </c>
      <c r="K1" s="63" t="s">
        <v>107</v>
      </c>
    </row>
    <row r="2" spans="1:11" x14ac:dyDescent="0.2">
      <c r="K2" s="63" t="str">
        <f>A1&amp;K1</f>
        <v>Canada Manufacturing PMI</v>
      </c>
    </row>
    <row r="4" spans="1:11" ht="16" customHeight="1" thickBot="1" x14ac:dyDescent="0.25"/>
    <row r="5" spans="1:11" ht="16" customHeight="1" thickBot="1" x14ac:dyDescent="0.25">
      <c r="A5" s="21" t="s">
        <v>44</v>
      </c>
      <c r="B5" s="22" t="s">
        <v>103</v>
      </c>
      <c r="C5" s="22" t="s">
        <v>104</v>
      </c>
    </row>
    <row r="6" spans="1:11" x14ac:dyDescent="0.2">
      <c r="A6" s="17">
        <v>40634</v>
      </c>
      <c r="B6" s="18">
        <f>IF(VLOOKUP(A6,'DB Country PMI'!$A:$AZ,MATCH($A$1,'DB Country PMI'!$A$1:$AZ$1,),)=0,#N/A,VLOOKUP(A6,'DB Country PMI'!$A:$AZ,MATCH($A$1,'DB Country PMI'!$A$1:$AZ$1,),))</f>
        <v>56.3</v>
      </c>
      <c r="C6" s="18"/>
    </row>
    <row r="7" spans="1:11" x14ac:dyDescent="0.2">
      <c r="A7" s="10">
        <v>40664</v>
      </c>
      <c r="B7" s="18">
        <f>IF(VLOOKUP(A7,'DB Country PMI'!$A:$AZ,MATCH($A$1,'DB Country PMI'!$A$1:$AZ$1,),)=0,#N/A,VLOOKUP(A7,'DB Country PMI'!$A:$AZ,MATCH($A$1,'DB Country PMI'!$A$1:$AZ$1,),))</f>
        <v>54.8</v>
      </c>
      <c r="C7" s="24">
        <f>Table13468[[#This Row],[PMI]]-B6</f>
        <v>-1.5</v>
      </c>
    </row>
    <row r="8" spans="1:11" x14ac:dyDescent="0.2">
      <c r="A8" s="10">
        <v>40695</v>
      </c>
      <c r="B8" s="18">
        <f>IF(VLOOKUP(A8,'DB Country PMI'!$A:$AZ,MATCH($A$1,'DB Country PMI'!$A$1:$AZ$1,),)=0,#N/A,VLOOKUP(A8,'DB Country PMI'!$A:$AZ,MATCH($A$1,'DB Country PMI'!$A$1:$AZ$1,),))</f>
        <v>52.8</v>
      </c>
      <c r="C8" s="24">
        <f>Table13468[[#This Row],[PMI]]-B7</f>
        <v>-2</v>
      </c>
    </row>
    <row r="9" spans="1:11" x14ac:dyDescent="0.2">
      <c r="A9" s="10">
        <v>40725</v>
      </c>
      <c r="B9" s="18">
        <f>IF(VLOOKUP(A9,'DB Country PMI'!$A:$AZ,MATCH($A$1,'DB Country PMI'!$A$1:$AZ$1,),)=0,#N/A,VLOOKUP(A9,'DB Country PMI'!$A:$AZ,MATCH($A$1,'DB Country PMI'!$A$1:$AZ$1,),))</f>
        <v>53.1</v>
      </c>
      <c r="C9" s="24">
        <f>Table13468[[#This Row],[PMI]]-B8</f>
        <v>0.30000000000000426</v>
      </c>
    </row>
    <row r="10" spans="1:11" x14ac:dyDescent="0.2">
      <c r="A10" s="10">
        <v>40756</v>
      </c>
      <c r="B10" s="18">
        <f>IF(VLOOKUP(A10,'DB Country PMI'!$A:$AZ,MATCH($A$1,'DB Country PMI'!$A$1:$AZ$1,),)=0,#N/A,VLOOKUP(A10,'DB Country PMI'!$A:$AZ,MATCH($A$1,'DB Country PMI'!$A$1:$AZ$1,),))</f>
        <v>54.9</v>
      </c>
      <c r="C10" s="24">
        <f>Table13468[[#This Row],[PMI]]-B9</f>
        <v>1.7999999999999972</v>
      </c>
    </row>
    <row r="11" spans="1:11" x14ac:dyDescent="0.2">
      <c r="A11" s="10">
        <v>40787</v>
      </c>
      <c r="B11" s="18">
        <f>IF(VLOOKUP(A11,'DB Country PMI'!$A:$AZ,MATCH($A$1,'DB Country PMI'!$A$1:$AZ$1,),)=0,#N/A,VLOOKUP(A11,'DB Country PMI'!$A:$AZ,MATCH($A$1,'DB Country PMI'!$A$1:$AZ$1,),))</f>
        <v>55</v>
      </c>
      <c r="C11" s="24">
        <f>Table13468[[#This Row],[PMI]]-B10</f>
        <v>0.10000000000000142</v>
      </c>
    </row>
    <row r="12" spans="1:11" x14ac:dyDescent="0.2">
      <c r="A12" s="10">
        <v>40817</v>
      </c>
      <c r="B12" s="18">
        <f>IF(VLOOKUP(A12,'DB Country PMI'!$A:$AZ,MATCH($A$1,'DB Country PMI'!$A$1:$AZ$1,),)=0,#N/A,VLOOKUP(A12,'DB Country PMI'!$A:$AZ,MATCH($A$1,'DB Country PMI'!$A$1:$AZ$1,),))</f>
        <v>53.7</v>
      </c>
      <c r="C12" s="24">
        <f>Table13468[[#This Row],[PMI]]-B11</f>
        <v>-1.2999999999999972</v>
      </c>
    </row>
    <row r="13" spans="1:11" x14ac:dyDescent="0.2">
      <c r="A13" s="10">
        <v>40848</v>
      </c>
      <c r="B13" s="18">
        <f>IF(VLOOKUP(A13,'DB Country PMI'!$A:$AZ,MATCH($A$1,'DB Country PMI'!$A$1:$AZ$1,),)=0,#N/A,VLOOKUP(A13,'DB Country PMI'!$A:$AZ,MATCH($A$1,'DB Country PMI'!$A$1:$AZ$1,),))</f>
        <v>53.3</v>
      </c>
      <c r="C13" s="24">
        <f>Table13468[[#This Row],[PMI]]-B12</f>
        <v>-0.40000000000000568</v>
      </c>
    </row>
    <row r="14" spans="1:11" x14ac:dyDescent="0.2">
      <c r="A14" s="10">
        <v>40878</v>
      </c>
      <c r="B14" s="18">
        <f>IF(VLOOKUP(A14,'DB Country PMI'!$A:$AZ,MATCH($A$1,'DB Country PMI'!$A$1:$AZ$1,),)=0,#N/A,VLOOKUP(A14,'DB Country PMI'!$A:$AZ,MATCH($A$1,'DB Country PMI'!$A$1:$AZ$1,),))</f>
        <v>54</v>
      </c>
      <c r="C14" s="24">
        <f>Table13468[[#This Row],[PMI]]-B13</f>
        <v>0.70000000000000284</v>
      </c>
    </row>
    <row r="15" spans="1:11" x14ac:dyDescent="0.2">
      <c r="A15" s="10">
        <v>40909</v>
      </c>
      <c r="B15" s="18">
        <f>IF(VLOOKUP(A15,'DB Country PMI'!$A:$AZ,MATCH($A$1,'DB Country PMI'!$A$1:$AZ$1,),)=0,#N/A,VLOOKUP(A15,'DB Country PMI'!$A:$AZ,MATCH($A$1,'DB Country PMI'!$A$1:$AZ$1,),))</f>
        <v>50.6</v>
      </c>
      <c r="C15" s="24">
        <f>Table13468[[#This Row],[PMI]]-B14</f>
        <v>-3.3999999999999986</v>
      </c>
    </row>
    <row r="16" spans="1:11" x14ac:dyDescent="0.2">
      <c r="A16" s="10">
        <v>40940</v>
      </c>
      <c r="B16" s="18">
        <f>IF(VLOOKUP(A16,'DB Country PMI'!$A:$AZ,MATCH($A$1,'DB Country PMI'!$A$1:$AZ$1,),)=0,#N/A,VLOOKUP(A16,'DB Country PMI'!$A:$AZ,MATCH($A$1,'DB Country PMI'!$A$1:$AZ$1,),))</f>
        <v>51.8</v>
      </c>
      <c r="C16" s="24">
        <f>Table13468[[#This Row],[PMI]]-B15</f>
        <v>1.1999999999999957</v>
      </c>
    </row>
    <row r="17" spans="1:3" x14ac:dyDescent="0.2">
      <c r="A17" s="10">
        <v>40969</v>
      </c>
      <c r="B17" s="18">
        <f>IF(VLOOKUP(A17,'DB Country PMI'!$A:$AZ,MATCH($A$1,'DB Country PMI'!$A$1:$AZ$1,),)=0,#N/A,VLOOKUP(A17,'DB Country PMI'!$A:$AZ,MATCH($A$1,'DB Country PMI'!$A$1:$AZ$1,),))</f>
        <v>52.4</v>
      </c>
      <c r="C17" s="24">
        <f>Table13468[[#This Row],[PMI]]-B16</f>
        <v>0.60000000000000142</v>
      </c>
    </row>
    <row r="18" spans="1:3" x14ac:dyDescent="0.2">
      <c r="A18" s="10">
        <v>41000</v>
      </c>
      <c r="B18" s="18">
        <f>IF(VLOOKUP(A18,'DB Country PMI'!$A:$AZ,MATCH($A$1,'DB Country PMI'!$A$1:$AZ$1,),)=0,#N/A,VLOOKUP(A18,'DB Country PMI'!$A:$AZ,MATCH($A$1,'DB Country PMI'!$A$1:$AZ$1,),))</f>
        <v>53.3</v>
      </c>
      <c r="C18" s="24">
        <f>Table13468[[#This Row],[PMI]]-B17</f>
        <v>0.89999999999999858</v>
      </c>
    </row>
    <row r="19" spans="1:3" x14ac:dyDescent="0.2">
      <c r="A19" s="10">
        <v>41030</v>
      </c>
      <c r="B19" s="18">
        <f>IF(VLOOKUP(A19,'DB Country PMI'!$A:$AZ,MATCH($A$1,'DB Country PMI'!$A$1:$AZ$1,),)=0,#N/A,VLOOKUP(A19,'DB Country PMI'!$A:$AZ,MATCH($A$1,'DB Country PMI'!$A$1:$AZ$1,),))</f>
        <v>54.7</v>
      </c>
      <c r="C19" s="24">
        <f>Table13468[[#This Row],[PMI]]-B18</f>
        <v>1.4000000000000057</v>
      </c>
    </row>
    <row r="20" spans="1:3" x14ac:dyDescent="0.2">
      <c r="A20" s="10">
        <v>41061</v>
      </c>
      <c r="B20" s="18">
        <f>IF(VLOOKUP(A20,'DB Country PMI'!$A:$AZ,MATCH($A$1,'DB Country PMI'!$A$1:$AZ$1,),)=0,#N/A,VLOOKUP(A20,'DB Country PMI'!$A:$AZ,MATCH($A$1,'DB Country PMI'!$A$1:$AZ$1,),))</f>
        <v>54.8</v>
      </c>
      <c r="C20" s="24">
        <f>Table13468[[#This Row],[PMI]]-B19</f>
        <v>9.9999999999994316E-2</v>
      </c>
    </row>
    <row r="21" spans="1:3" x14ac:dyDescent="0.2">
      <c r="A21" s="10">
        <v>41091</v>
      </c>
      <c r="B21" s="18">
        <f>IF(VLOOKUP(A21,'DB Country PMI'!$A:$AZ,MATCH($A$1,'DB Country PMI'!$A$1:$AZ$1,),)=0,#N/A,VLOOKUP(A21,'DB Country PMI'!$A:$AZ,MATCH($A$1,'DB Country PMI'!$A$1:$AZ$1,),))</f>
        <v>53</v>
      </c>
      <c r="C21" s="24">
        <f>Table13468[[#This Row],[PMI]]-B20</f>
        <v>-1.7999999999999972</v>
      </c>
    </row>
    <row r="22" spans="1:3" x14ac:dyDescent="0.2">
      <c r="A22" s="10">
        <v>41122</v>
      </c>
      <c r="B22" s="18">
        <f>IF(VLOOKUP(A22,'DB Country PMI'!$A:$AZ,MATCH($A$1,'DB Country PMI'!$A$1:$AZ$1,),)=0,#N/A,VLOOKUP(A22,'DB Country PMI'!$A:$AZ,MATCH($A$1,'DB Country PMI'!$A$1:$AZ$1,),))</f>
        <v>53</v>
      </c>
      <c r="C22" s="24">
        <f>Table13468[[#This Row],[PMI]]-B21</f>
        <v>0</v>
      </c>
    </row>
    <row r="23" spans="1:3" x14ac:dyDescent="0.2">
      <c r="A23" s="10">
        <v>41153</v>
      </c>
      <c r="B23" s="18">
        <f>IF(VLOOKUP(A23,'DB Country PMI'!$A:$AZ,MATCH($A$1,'DB Country PMI'!$A$1:$AZ$1,),)=0,#N/A,VLOOKUP(A23,'DB Country PMI'!$A:$AZ,MATCH($A$1,'DB Country PMI'!$A$1:$AZ$1,),))</f>
        <v>52.4</v>
      </c>
      <c r="C23" s="24">
        <f>Table13468[[#This Row],[PMI]]-B22</f>
        <v>-0.60000000000000142</v>
      </c>
    </row>
    <row r="24" spans="1:3" x14ac:dyDescent="0.2">
      <c r="A24" s="10">
        <v>41183</v>
      </c>
      <c r="B24" s="18">
        <f>IF(VLOOKUP(A24,'DB Country PMI'!$A:$AZ,MATCH($A$1,'DB Country PMI'!$A$1:$AZ$1,),)=0,#N/A,VLOOKUP(A24,'DB Country PMI'!$A:$AZ,MATCH($A$1,'DB Country PMI'!$A$1:$AZ$1,),))</f>
        <v>51.4</v>
      </c>
      <c r="C24" s="24">
        <f>Table13468[[#This Row],[PMI]]-B23</f>
        <v>-1</v>
      </c>
    </row>
    <row r="25" spans="1:3" x14ac:dyDescent="0.2">
      <c r="A25" s="10">
        <v>41214</v>
      </c>
      <c r="B25" s="18">
        <f>IF(VLOOKUP(A25,'DB Country PMI'!$A:$AZ,MATCH($A$1,'DB Country PMI'!$A$1:$AZ$1,),)=0,#N/A,VLOOKUP(A25,'DB Country PMI'!$A:$AZ,MATCH($A$1,'DB Country PMI'!$A$1:$AZ$1,),))</f>
        <v>50.4</v>
      </c>
      <c r="C25" s="24">
        <f>Table13468[[#This Row],[PMI]]-B24</f>
        <v>-1</v>
      </c>
    </row>
    <row r="26" spans="1:3" x14ac:dyDescent="0.2">
      <c r="A26" s="10">
        <v>41244</v>
      </c>
      <c r="B26" s="18">
        <f>IF(VLOOKUP(A26,'DB Country PMI'!$A:$AZ,MATCH($A$1,'DB Country PMI'!$A$1:$AZ$1,),)=0,#N/A,VLOOKUP(A26,'DB Country PMI'!$A:$AZ,MATCH($A$1,'DB Country PMI'!$A$1:$AZ$1,),))</f>
        <v>50.4</v>
      </c>
      <c r="C26" s="24">
        <f>Table13468[[#This Row],[PMI]]-B25</f>
        <v>0</v>
      </c>
    </row>
    <row r="27" spans="1:3" x14ac:dyDescent="0.2">
      <c r="A27" s="10">
        <v>41275</v>
      </c>
      <c r="B27" s="18">
        <f>IF(VLOOKUP(A27,'DB Country PMI'!$A:$AZ,MATCH($A$1,'DB Country PMI'!$A$1:$AZ$1,),)=0,#N/A,VLOOKUP(A27,'DB Country PMI'!$A:$AZ,MATCH($A$1,'DB Country PMI'!$A$1:$AZ$1,),))</f>
        <v>50.5</v>
      </c>
      <c r="C27" s="24">
        <f>Table13468[[#This Row],[PMI]]-B26</f>
        <v>0.10000000000000142</v>
      </c>
    </row>
    <row r="28" spans="1:3" x14ac:dyDescent="0.2">
      <c r="A28" s="10">
        <v>41306</v>
      </c>
      <c r="B28" s="18">
        <f>IF(VLOOKUP(A28,'DB Country PMI'!$A:$AZ,MATCH($A$1,'DB Country PMI'!$A$1:$AZ$1,),)=0,#N/A,VLOOKUP(A28,'DB Country PMI'!$A:$AZ,MATCH($A$1,'DB Country PMI'!$A$1:$AZ$1,),))</f>
        <v>51.7</v>
      </c>
      <c r="C28" s="24">
        <f>Table13468[[#This Row],[PMI]]-B27</f>
        <v>1.2000000000000028</v>
      </c>
    </row>
    <row r="29" spans="1:3" x14ac:dyDescent="0.2">
      <c r="A29" s="10">
        <v>41334</v>
      </c>
      <c r="B29" s="18">
        <f>IF(VLOOKUP(A29,'DB Country PMI'!$A:$AZ,MATCH($A$1,'DB Country PMI'!$A$1:$AZ$1,),)=0,#N/A,VLOOKUP(A29,'DB Country PMI'!$A:$AZ,MATCH($A$1,'DB Country PMI'!$A$1:$AZ$1,),))</f>
        <v>49.3</v>
      </c>
      <c r="C29" s="24">
        <f>Table13468[[#This Row],[PMI]]-B28</f>
        <v>-2.4000000000000057</v>
      </c>
    </row>
    <row r="30" spans="1:3" x14ac:dyDescent="0.2">
      <c r="A30" s="10">
        <v>41365</v>
      </c>
      <c r="B30" s="18">
        <f>IF(VLOOKUP(A30,'DB Country PMI'!$A:$AZ,MATCH($A$1,'DB Country PMI'!$A$1:$AZ$1,),)=0,#N/A,VLOOKUP(A30,'DB Country PMI'!$A:$AZ,MATCH($A$1,'DB Country PMI'!$A$1:$AZ$1,),))</f>
        <v>50.1</v>
      </c>
      <c r="C30" s="24">
        <f>Table13468[[#This Row],[PMI]]-B29</f>
        <v>0.80000000000000426</v>
      </c>
    </row>
    <row r="31" spans="1:3" x14ac:dyDescent="0.2">
      <c r="A31" s="10">
        <v>41395</v>
      </c>
      <c r="B31" s="18">
        <f>IF(VLOOKUP(A31,'DB Country PMI'!$A:$AZ,MATCH($A$1,'DB Country PMI'!$A$1:$AZ$1,),)=0,#N/A,VLOOKUP(A31,'DB Country PMI'!$A:$AZ,MATCH($A$1,'DB Country PMI'!$A$1:$AZ$1,),))</f>
        <v>53.2</v>
      </c>
      <c r="C31" s="24">
        <f>Table13468[[#This Row],[PMI]]-B30</f>
        <v>3.1000000000000014</v>
      </c>
    </row>
    <row r="32" spans="1:3" x14ac:dyDescent="0.2">
      <c r="A32" s="10">
        <v>41426</v>
      </c>
      <c r="B32" s="18">
        <f>IF(VLOOKUP(A32,'DB Country PMI'!$A:$AZ,MATCH($A$1,'DB Country PMI'!$A$1:$AZ$1,),)=0,#N/A,VLOOKUP(A32,'DB Country PMI'!$A:$AZ,MATCH($A$1,'DB Country PMI'!$A$1:$AZ$1,),))</f>
        <v>52.4</v>
      </c>
      <c r="C32" s="24">
        <f>Table13468[[#This Row],[PMI]]-B31</f>
        <v>-0.80000000000000426</v>
      </c>
    </row>
    <row r="33" spans="1:3" x14ac:dyDescent="0.2">
      <c r="A33" s="10">
        <v>41456</v>
      </c>
      <c r="B33" s="18">
        <f>IF(VLOOKUP(A33,'DB Country PMI'!$A:$AZ,MATCH($A$1,'DB Country PMI'!$A$1:$AZ$1,),)=0,#N/A,VLOOKUP(A33,'DB Country PMI'!$A:$AZ,MATCH($A$1,'DB Country PMI'!$A$1:$AZ$1,),))</f>
        <v>52</v>
      </c>
      <c r="C33" s="24">
        <f>Table13468[[#This Row],[PMI]]-B32</f>
        <v>-0.39999999999999858</v>
      </c>
    </row>
    <row r="34" spans="1:3" x14ac:dyDescent="0.2">
      <c r="A34" s="10">
        <v>41487</v>
      </c>
      <c r="B34" s="18">
        <f>IF(VLOOKUP(A34,'DB Country PMI'!$A:$AZ,MATCH($A$1,'DB Country PMI'!$A$1:$AZ$1,),)=0,#N/A,VLOOKUP(A34,'DB Country PMI'!$A:$AZ,MATCH($A$1,'DB Country PMI'!$A$1:$AZ$1,),))</f>
        <v>52.1</v>
      </c>
      <c r="C34" s="24">
        <f>Table13468[[#This Row],[PMI]]-B33</f>
        <v>0.10000000000000142</v>
      </c>
    </row>
    <row r="35" spans="1:3" x14ac:dyDescent="0.2">
      <c r="A35" s="10">
        <v>41518</v>
      </c>
      <c r="B35" s="18">
        <f>IF(VLOOKUP(A35,'DB Country PMI'!$A:$AZ,MATCH($A$1,'DB Country PMI'!$A$1:$AZ$1,),)=0,#N/A,VLOOKUP(A35,'DB Country PMI'!$A:$AZ,MATCH($A$1,'DB Country PMI'!$A$1:$AZ$1,),))</f>
        <v>54.2</v>
      </c>
      <c r="C35" s="24">
        <f>Table13468[[#This Row],[PMI]]-B34</f>
        <v>2.1000000000000014</v>
      </c>
    </row>
    <row r="36" spans="1:3" x14ac:dyDescent="0.2">
      <c r="A36" s="10">
        <v>41548</v>
      </c>
      <c r="B36" s="18">
        <f>IF(VLOOKUP(A36,'DB Country PMI'!$A:$AZ,MATCH($A$1,'DB Country PMI'!$A$1:$AZ$1,),)=0,#N/A,VLOOKUP(A36,'DB Country PMI'!$A:$AZ,MATCH($A$1,'DB Country PMI'!$A$1:$AZ$1,),))</f>
        <v>55.6</v>
      </c>
      <c r="C36" s="24">
        <f>Table13468[[#This Row],[PMI]]-B35</f>
        <v>1.3999999999999986</v>
      </c>
    </row>
    <row r="37" spans="1:3" x14ac:dyDescent="0.2">
      <c r="A37" s="10">
        <v>41579</v>
      </c>
      <c r="B37" s="18">
        <f>IF(VLOOKUP(A37,'DB Country PMI'!$A:$AZ,MATCH($A$1,'DB Country PMI'!$A$1:$AZ$1,),)=0,#N/A,VLOOKUP(A37,'DB Country PMI'!$A:$AZ,MATCH($A$1,'DB Country PMI'!$A$1:$AZ$1,),))</f>
        <v>55.3</v>
      </c>
      <c r="C37" s="24">
        <f>Table13468[[#This Row],[PMI]]-B36</f>
        <v>-0.30000000000000426</v>
      </c>
    </row>
    <row r="38" spans="1:3" x14ac:dyDescent="0.2">
      <c r="A38" s="10">
        <v>41609</v>
      </c>
      <c r="B38" s="18">
        <f>IF(VLOOKUP(A38,'DB Country PMI'!$A:$AZ,MATCH($A$1,'DB Country PMI'!$A$1:$AZ$1,),)=0,#N/A,VLOOKUP(A38,'DB Country PMI'!$A:$AZ,MATCH($A$1,'DB Country PMI'!$A$1:$AZ$1,),))</f>
        <v>53.5</v>
      </c>
      <c r="C38" s="24">
        <f>Table13468[[#This Row],[PMI]]-B37</f>
        <v>-1.7999999999999972</v>
      </c>
    </row>
    <row r="39" spans="1:3" x14ac:dyDescent="0.2">
      <c r="A39" s="10">
        <v>41640</v>
      </c>
      <c r="B39" s="18">
        <f>IF(VLOOKUP(A39,'DB Country PMI'!$A:$AZ,MATCH($A$1,'DB Country PMI'!$A$1:$AZ$1,),)=0,#N/A,VLOOKUP(A39,'DB Country PMI'!$A:$AZ,MATCH($A$1,'DB Country PMI'!$A$1:$AZ$1,),))</f>
        <v>51.7</v>
      </c>
      <c r="C39" s="24">
        <f>Table13468[[#This Row],[PMI]]-B38</f>
        <v>-1.7999999999999972</v>
      </c>
    </row>
    <row r="40" spans="1:3" x14ac:dyDescent="0.2">
      <c r="A40" s="10">
        <v>41671</v>
      </c>
      <c r="B40" s="18">
        <f>IF(VLOOKUP(A40,'DB Country PMI'!$A:$AZ,MATCH($A$1,'DB Country PMI'!$A$1:$AZ$1,),)=0,#N/A,VLOOKUP(A40,'DB Country PMI'!$A:$AZ,MATCH($A$1,'DB Country PMI'!$A$1:$AZ$1,),))</f>
        <v>52.9</v>
      </c>
      <c r="C40" s="24">
        <f>Table13468[[#This Row],[PMI]]-B39</f>
        <v>1.1999999999999957</v>
      </c>
    </row>
    <row r="41" spans="1:3" x14ac:dyDescent="0.2">
      <c r="A41" s="10">
        <v>41699</v>
      </c>
      <c r="B41" s="18">
        <f>IF(VLOOKUP(A41,'DB Country PMI'!$A:$AZ,MATCH($A$1,'DB Country PMI'!$A$1:$AZ$1,),)=0,#N/A,VLOOKUP(A41,'DB Country PMI'!$A:$AZ,MATCH($A$1,'DB Country PMI'!$A$1:$AZ$1,),))</f>
        <v>53.3</v>
      </c>
      <c r="C41" s="24">
        <f>Table13468[[#This Row],[PMI]]-B40</f>
        <v>0.39999999999999858</v>
      </c>
    </row>
    <row r="42" spans="1:3" x14ac:dyDescent="0.2">
      <c r="A42" s="10">
        <v>41730</v>
      </c>
      <c r="B42" s="18">
        <f>IF(VLOOKUP(A42,'DB Country PMI'!$A:$AZ,MATCH($A$1,'DB Country PMI'!$A$1:$AZ$1,),)=0,#N/A,VLOOKUP(A42,'DB Country PMI'!$A:$AZ,MATCH($A$1,'DB Country PMI'!$A$1:$AZ$1,),))</f>
        <v>52.9</v>
      </c>
      <c r="C42" s="24">
        <f>Table13468[[#This Row],[PMI]]-B41</f>
        <v>-0.39999999999999858</v>
      </c>
    </row>
    <row r="43" spans="1:3" x14ac:dyDescent="0.2">
      <c r="A43" s="10">
        <v>41760</v>
      </c>
      <c r="B43" s="18">
        <f>IF(VLOOKUP(A43,'DB Country PMI'!$A:$AZ,MATCH($A$1,'DB Country PMI'!$A$1:$AZ$1,),)=0,#N/A,VLOOKUP(A43,'DB Country PMI'!$A:$AZ,MATCH($A$1,'DB Country PMI'!$A$1:$AZ$1,),))</f>
        <v>52.2</v>
      </c>
      <c r="C43" s="24">
        <f>Table13468[[#This Row],[PMI]]-B42</f>
        <v>-0.69999999999999574</v>
      </c>
    </row>
    <row r="44" spans="1:3" x14ac:dyDescent="0.2">
      <c r="A44" s="10">
        <v>41791</v>
      </c>
      <c r="B44" s="18">
        <f>IF(VLOOKUP(A44,'DB Country PMI'!$A:$AZ,MATCH($A$1,'DB Country PMI'!$A$1:$AZ$1,),)=0,#N/A,VLOOKUP(A44,'DB Country PMI'!$A:$AZ,MATCH($A$1,'DB Country PMI'!$A$1:$AZ$1,),))</f>
        <v>53.5</v>
      </c>
      <c r="C44" s="24">
        <f>Table13468[[#This Row],[PMI]]-B43</f>
        <v>1.2999999999999972</v>
      </c>
    </row>
    <row r="45" spans="1:3" x14ac:dyDescent="0.2">
      <c r="A45" s="10">
        <v>41821</v>
      </c>
      <c r="B45" s="18">
        <f>IF(VLOOKUP(A45,'DB Country PMI'!$A:$AZ,MATCH($A$1,'DB Country PMI'!$A$1:$AZ$1,),)=0,#N/A,VLOOKUP(A45,'DB Country PMI'!$A:$AZ,MATCH($A$1,'DB Country PMI'!$A$1:$AZ$1,),))</f>
        <v>54.3</v>
      </c>
      <c r="C45" s="24">
        <f>Table13468[[#This Row],[PMI]]-B44</f>
        <v>0.79999999999999716</v>
      </c>
    </row>
    <row r="46" spans="1:3" x14ac:dyDescent="0.2">
      <c r="A46" s="10">
        <v>41852</v>
      </c>
      <c r="B46" s="18">
        <f>IF(VLOOKUP(A46,'DB Country PMI'!$A:$AZ,MATCH($A$1,'DB Country PMI'!$A$1:$AZ$1,),)=0,#N/A,VLOOKUP(A46,'DB Country PMI'!$A:$AZ,MATCH($A$1,'DB Country PMI'!$A$1:$AZ$1,),))</f>
        <v>54.8</v>
      </c>
      <c r="C46" s="24">
        <f>Table13468[[#This Row],[PMI]]-B45</f>
        <v>0.5</v>
      </c>
    </row>
    <row r="47" spans="1:3" x14ac:dyDescent="0.2">
      <c r="A47" s="10">
        <v>41883</v>
      </c>
      <c r="B47" s="18">
        <f>IF(VLOOKUP(A47,'DB Country PMI'!$A:$AZ,MATCH($A$1,'DB Country PMI'!$A$1:$AZ$1,),)=0,#N/A,VLOOKUP(A47,'DB Country PMI'!$A:$AZ,MATCH($A$1,'DB Country PMI'!$A$1:$AZ$1,),))</f>
        <v>53.5</v>
      </c>
      <c r="C47" s="24">
        <f>Table13468[[#This Row],[PMI]]-B46</f>
        <v>-1.2999999999999972</v>
      </c>
    </row>
    <row r="48" spans="1:3" x14ac:dyDescent="0.2">
      <c r="A48" s="10">
        <v>41913</v>
      </c>
      <c r="B48" s="18">
        <f>IF(VLOOKUP(A48,'DB Country PMI'!$A:$AZ,MATCH($A$1,'DB Country PMI'!$A$1:$AZ$1,),)=0,#N/A,VLOOKUP(A48,'DB Country PMI'!$A:$AZ,MATCH($A$1,'DB Country PMI'!$A$1:$AZ$1,),))</f>
        <v>55.3</v>
      </c>
      <c r="C48" s="24">
        <f>Table13468[[#This Row],[PMI]]-B47</f>
        <v>1.7999999999999972</v>
      </c>
    </row>
    <row r="49" spans="1:3" x14ac:dyDescent="0.2">
      <c r="A49" s="10">
        <v>41944</v>
      </c>
      <c r="B49" s="18">
        <f>IF(VLOOKUP(A49,'DB Country PMI'!$A:$AZ,MATCH($A$1,'DB Country PMI'!$A$1:$AZ$1,),)=0,#N/A,VLOOKUP(A49,'DB Country PMI'!$A:$AZ,MATCH($A$1,'DB Country PMI'!$A$1:$AZ$1,),))</f>
        <v>55.3</v>
      </c>
      <c r="C49" s="24">
        <f>Table13468[[#This Row],[PMI]]-B48</f>
        <v>0</v>
      </c>
    </row>
    <row r="50" spans="1:3" x14ac:dyDescent="0.2">
      <c r="A50" s="10">
        <v>41974</v>
      </c>
      <c r="B50" s="18">
        <f>IF(VLOOKUP(A50,'DB Country PMI'!$A:$AZ,MATCH($A$1,'DB Country PMI'!$A$1:$AZ$1,),)=0,#N/A,VLOOKUP(A50,'DB Country PMI'!$A:$AZ,MATCH($A$1,'DB Country PMI'!$A$1:$AZ$1,),))</f>
        <v>53.9</v>
      </c>
      <c r="C50" s="24">
        <f>Table13468[[#This Row],[PMI]]-B49</f>
        <v>-1.3999999999999986</v>
      </c>
    </row>
    <row r="51" spans="1:3" x14ac:dyDescent="0.2">
      <c r="A51" s="10">
        <v>42005</v>
      </c>
      <c r="B51" s="18">
        <f>IF(VLOOKUP(A51,'DB Country PMI'!$A:$AZ,MATCH($A$1,'DB Country PMI'!$A$1:$AZ$1,),)=0,#N/A,VLOOKUP(A51,'DB Country PMI'!$A:$AZ,MATCH($A$1,'DB Country PMI'!$A$1:$AZ$1,),))</f>
        <v>51</v>
      </c>
      <c r="C51" s="24">
        <f>Table13468[[#This Row],[PMI]]-B50</f>
        <v>-2.8999999999999986</v>
      </c>
    </row>
    <row r="52" spans="1:3" x14ac:dyDescent="0.2">
      <c r="A52" s="10">
        <v>42036</v>
      </c>
      <c r="B52" s="18">
        <f>IF(VLOOKUP(A52,'DB Country PMI'!$A:$AZ,MATCH($A$1,'DB Country PMI'!$A$1:$AZ$1,),)=0,#N/A,VLOOKUP(A52,'DB Country PMI'!$A:$AZ,MATCH($A$1,'DB Country PMI'!$A$1:$AZ$1,),))</f>
        <v>48.7</v>
      </c>
      <c r="C52" s="24">
        <f>Table13468[[#This Row],[PMI]]-B51</f>
        <v>-2.2999999999999972</v>
      </c>
    </row>
    <row r="53" spans="1:3" x14ac:dyDescent="0.2">
      <c r="A53" s="10">
        <v>42064</v>
      </c>
      <c r="B53" s="18">
        <f>IF(VLOOKUP(A53,'DB Country PMI'!$A:$AZ,MATCH($A$1,'DB Country PMI'!$A$1:$AZ$1,),)=0,#N/A,VLOOKUP(A53,'DB Country PMI'!$A:$AZ,MATCH($A$1,'DB Country PMI'!$A$1:$AZ$1,),))</f>
        <v>48.9</v>
      </c>
      <c r="C53" s="24">
        <f>Table13468[[#This Row],[PMI]]-B52</f>
        <v>0.19999999999999574</v>
      </c>
    </row>
    <row r="54" spans="1:3" x14ac:dyDescent="0.2">
      <c r="A54" s="10">
        <v>42095</v>
      </c>
      <c r="B54" s="18">
        <f>IF(VLOOKUP(A54,'DB Country PMI'!$A:$AZ,MATCH($A$1,'DB Country PMI'!$A$1:$AZ$1,),)=0,#N/A,VLOOKUP(A54,'DB Country PMI'!$A:$AZ,MATCH($A$1,'DB Country PMI'!$A$1:$AZ$1,),))</f>
        <v>49</v>
      </c>
      <c r="C54" s="24">
        <f>Table13468[[#This Row],[PMI]]-B53</f>
        <v>0.10000000000000142</v>
      </c>
    </row>
    <row r="55" spans="1:3" x14ac:dyDescent="0.2">
      <c r="A55" s="10">
        <v>42125</v>
      </c>
      <c r="B55" s="18">
        <f>IF(VLOOKUP(A55,'DB Country PMI'!$A:$AZ,MATCH($A$1,'DB Country PMI'!$A$1:$AZ$1,),)=0,#N/A,VLOOKUP(A55,'DB Country PMI'!$A:$AZ,MATCH($A$1,'DB Country PMI'!$A$1:$AZ$1,),))</f>
        <v>49.8</v>
      </c>
      <c r="C55" s="24">
        <f>Table13468[[#This Row],[PMI]]-B54</f>
        <v>0.79999999999999716</v>
      </c>
    </row>
    <row r="56" spans="1:3" x14ac:dyDescent="0.2">
      <c r="A56" s="10">
        <v>42156</v>
      </c>
      <c r="B56" s="18">
        <f>IF(VLOOKUP(A56,'DB Country PMI'!$A:$AZ,MATCH($A$1,'DB Country PMI'!$A$1:$AZ$1,),)=0,#N/A,VLOOKUP(A56,'DB Country PMI'!$A:$AZ,MATCH($A$1,'DB Country PMI'!$A$1:$AZ$1,),))</f>
        <v>51.3</v>
      </c>
      <c r="C56" s="24">
        <f>Table13468[[#This Row],[PMI]]-B55</f>
        <v>1.5</v>
      </c>
    </row>
    <row r="57" spans="1:3" x14ac:dyDescent="0.2">
      <c r="A57" s="10">
        <v>42186</v>
      </c>
      <c r="B57" s="18">
        <f>IF(VLOOKUP(A57,'DB Country PMI'!$A:$AZ,MATCH($A$1,'DB Country PMI'!$A$1:$AZ$1,),)=0,#N/A,VLOOKUP(A57,'DB Country PMI'!$A:$AZ,MATCH($A$1,'DB Country PMI'!$A$1:$AZ$1,),))</f>
        <v>50.8</v>
      </c>
      <c r="C57" s="24">
        <f>Table13468[[#This Row],[PMI]]-B56</f>
        <v>-0.5</v>
      </c>
    </row>
    <row r="58" spans="1:3" x14ac:dyDescent="0.2">
      <c r="A58" s="10">
        <v>42217</v>
      </c>
      <c r="B58" s="18">
        <f>IF(VLOOKUP(A58,'DB Country PMI'!$A:$AZ,MATCH($A$1,'DB Country PMI'!$A$1:$AZ$1,),)=0,#N/A,VLOOKUP(A58,'DB Country PMI'!$A:$AZ,MATCH($A$1,'DB Country PMI'!$A$1:$AZ$1,),))</f>
        <v>49.4</v>
      </c>
      <c r="C58" s="24">
        <f>Table13468[[#This Row],[PMI]]-B57</f>
        <v>-1.3999999999999986</v>
      </c>
    </row>
    <row r="59" spans="1:3" x14ac:dyDescent="0.2">
      <c r="A59" s="10">
        <v>42248</v>
      </c>
      <c r="B59" s="18">
        <f>IF(VLOOKUP(A59,'DB Country PMI'!$A:$AZ,MATCH($A$1,'DB Country PMI'!$A$1:$AZ$1,),)=0,#N/A,VLOOKUP(A59,'DB Country PMI'!$A:$AZ,MATCH($A$1,'DB Country PMI'!$A$1:$AZ$1,),))</f>
        <v>48.6</v>
      </c>
      <c r="C59" s="24">
        <f>Table13468[[#This Row],[PMI]]-B58</f>
        <v>-0.79999999999999716</v>
      </c>
    </row>
    <row r="60" spans="1:3" x14ac:dyDescent="0.2">
      <c r="A60" s="10">
        <v>42278</v>
      </c>
      <c r="B60" s="18">
        <f>IF(VLOOKUP(A60,'DB Country PMI'!$A:$AZ,MATCH($A$1,'DB Country PMI'!$A$1:$AZ$1,),)=0,#N/A,VLOOKUP(A60,'DB Country PMI'!$A:$AZ,MATCH($A$1,'DB Country PMI'!$A$1:$AZ$1,),))</f>
        <v>48</v>
      </c>
      <c r="C60" s="24">
        <f>Table13468[[#This Row],[PMI]]-B59</f>
        <v>-0.60000000000000142</v>
      </c>
    </row>
    <row r="61" spans="1:3" x14ac:dyDescent="0.2">
      <c r="A61" s="10">
        <v>42309</v>
      </c>
      <c r="B61" s="18">
        <f>IF(VLOOKUP(A61,'DB Country PMI'!$A:$AZ,MATCH($A$1,'DB Country PMI'!$A$1:$AZ$1,),)=0,#N/A,VLOOKUP(A61,'DB Country PMI'!$A:$AZ,MATCH($A$1,'DB Country PMI'!$A$1:$AZ$1,),))</f>
        <v>48.6</v>
      </c>
      <c r="C61" s="24">
        <f>Table13468[[#This Row],[PMI]]-B60</f>
        <v>0.60000000000000142</v>
      </c>
    </row>
    <row r="62" spans="1:3" x14ac:dyDescent="0.2">
      <c r="A62" s="10">
        <v>42339</v>
      </c>
      <c r="B62" s="18">
        <f>IF(VLOOKUP(A62,'DB Country PMI'!$A:$AZ,MATCH($A$1,'DB Country PMI'!$A$1:$AZ$1,),)=0,#N/A,VLOOKUP(A62,'DB Country PMI'!$A:$AZ,MATCH($A$1,'DB Country PMI'!$A$1:$AZ$1,),))</f>
        <v>47.5</v>
      </c>
      <c r="C62" s="24">
        <f>Table13468[[#This Row],[PMI]]-B61</f>
        <v>-1.1000000000000014</v>
      </c>
    </row>
    <row r="63" spans="1:3" x14ac:dyDescent="0.2">
      <c r="A63" s="10">
        <v>42370</v>
      </c>
      <c r="B63" s="18">
        <f>IF(VLOOKUP(A63,'DB Country PMI'!$A:$AZ,MATCH($A$1,'DB Country PMI'!$A$1:$AZ$1,),)=0,#N/A,VLOOKUP(A63,'DB Country PMI'!$A:$AZ,MATCH($A$1,'DB Country PMI'!$A$1:$AZ$1,),))</f>
        <v>49.3</v>
      </c>
      <c r="C63" s="24">
        <f>Table13468[[#This Row],[PMI]]-B62</f>
        <v>1.7999999999999972</v>
      </c>
    </row>
    <row r="64" spans="1:3" x14ac:dyDescent="0.2">
      <c r="A64" s="10">
        <v>42401</v>
      </c>
      <c r="B64" s="18">
        <f>IF(VLOOKUP(A64,'DB Country PMI'!$A:$AZ,MATCH($A$1,'DB Country PMI'!$A$1:$AZ$1,),)=0,#N/A,VLOOKUP(A64,'DB Country PMI'!$A:$AZ,MATCH($A$1,'DB Country PMI'!$A$1:$AZ$1,),))</f>
        <v>49.4</v>
      </c>
      <c r="C64" s="24">
        <f>Table13468[[#This Row],[PMI]]-B63</f>
        <v>0.10000000000000142</v>
      </c>
    </row>
    <row r="65" spans="1:3" x14ac:dyDescent="0.2">
      <c r="A65" s="10">
        <v>42430</v>
      </c>
      <c r="B65" s="18">
        <f>IF(VLOOKUP(A65,'DB Country PMI'!$A:$AZ,MATCH($A$1,'DB Country PMI'!$A$1:$AZ$1,),)=0,#N/A,VLOOKUP(A65,'DB Country PMI'!$A:$AZ,MATCH($A$1,'DB Country PMI'!$A$1:$AZ$1,),))</f>
        <v>51.5</v>
      </c>
      <c r="C65" s="24">
        <f>Table13468[[#This Row],[PMI]]-B64</f>
        <v>2.1000000000000014</v>
      </c>
    </row>
    <row r="66" spans="1:3" x14ac:dyDescent="0.2">
      <c r="A66" s="10">
        <v>42461</v>
      </c>
      <c r="B66" s="18">
        <f>IF(VLOOKUP(A66,'DB Country PMI'!$A:$AZ,MATCH($A$1,'DB Country PMI'!$A$1:$AZ$1,),)=0,#N/A,VLOOKUP(A66,'DB Country PMI'!$A:$AZ,MATCH($A$1,'DB Country PMI'!$A$1:$AZ$1,),))</f>
        <v>52.2</v>
      </c>
      <c r="C66" s="24">
        <f>Table13468[[#This Row],[PMI]]-B65</f>
        <v>0.70000000000000284</v>
      </c>
    </row>
    <row r="67" spans="1:3" x14ac:dyDescent="0.2">
      <c r="A67" s="10">
        <v>42491</v>
      </c>
      <c r="B67" s="18">
        <f>IF(VLOOKUP(A67,'DB Country PMI'!$A:$AZ,MATCH($A$1,'DB Country PMI'!$A$1:$AZ$1,),)=0,#N/A,VLOOKUP(A67,'DB Country PMI'!$A:$AZ,MATCH($A$1,'DB Country PMI'!$A$1:$AZ$1,),))</f>
        <v>52.1</v>
      </c>
      <c r="C67" s="24">
        <f>Table13468[[#This Row],[PMI]]-B66</f>
        <v>-0.10000000000000142</v>
      </c>
    </row>
    <row r="68" spans="1:3" x14ac:dyDescent="0.2">
      <c r="A68" s="10">
        <v>42522</v>
      </c>
      <c r="B68" s="18">
        <f>IF(VLOOKUP(A68,'DB Country PMI'!$A:$AZ,MATCH($A$1,'DB Country PMI'!$A$1:$AZ$1,),)=0,#N/A,VLOOKUP(A68,'DB Country PMI'!$A:$AZ,MATCH($A$1,'DB Country PMI'!$A$1:$AZ$1,),))</f>
        <v>51.8</v>
      </c>
      <c r="C68" s="24">
        <f>Table13468[[#This Row],[PMI]]-B67</f>
        <v>-0.30000000000000426</v>
      </c>
    </row>
    <row r="69" spans="1:3" x14ac:dyDescent="0.2">
      <c r="A69" s="10">
        <v>42552</v>
      </c>
      <c r="B69" s="18">
        <f>IF(VLOOKUP(A69,'DB Country PMI'!$A:$AZ,MATCH($A$1,'DB Country PMI'!$A$1:$AZ$1,),)=0,#N/A,VLOOKUP(A69,'DB Country PMI'!$A:$AZ,MATCH($A$1,'DB Country PMI'!$A$1:$AZ$1,),))</f>
        <v>51.9</v>
      </c>
      <c r="C69" s="24">
        <f>Table13468[[#This Row],[PMI]]-B68</f>
        <v>0.10000000000000142</v>
      </c>
    </row>
    <row r="70" spans="1:3" x14ac:dyDescent="0.2">
      <c r="A70" s="10">
        <v>42583</v>
      </c>
      <c r="B70" s="18">
        <f>IF(VLOOKUP(A70,'DB Country PMI'!$A:$AZ,MATCH($A$1,'DB Country PMI'!$A$1:$AZ$1,),)=0,#N/A,VLOOKUP(A70,'DB Country PMI'!$A:$AZ,MATCH($A$1,'DB Country PMI'!$A$1:$AZ$1,),))</f>
        <v>51.1</v>
      </c>
      <c r="C70" s="24">
        <f>Table13468[[#This Row],[PMI]]-B69</f>
        <v>-0.79999999999999716</v>
      </c>
    </row>
    <row r="71" spans="1:3" x14ac:dyDescent="0.2">
      <c r="A71" s="10">
        <v>42614</v>
      </c>
      <c r="B71" s="18">
        <f>IF(VLOOKUP(A71,'DB Country PMI'!$A:$AZ,MATCH($A$1,'DB Country PMI'!$A$1:$AZ$1,),)=0,#N/A,VLOOKUP(A71,'DB Country PMI'!$A:$AZ,MATCH($A$1,'DB Country PMI'!$A$1:$AZ$1,),))</f>
        <v>50.3</v>
      </c>
      <c r="C71" s="24">
        <f>Table13468[[#This Row],[PMI]]-B70</f>
        <v>-0.80000000000000426</v>
      </c>
    </row>
    <row r="72" spans="1:3" x14ac:dyDescent="0.2">
      <c r="A72" s="10">
        <v>42644</v>
      </c>
      <c r="B72" s="18">
        <f>IF(VLOOKUP(A72,'DB Country PMI'!$A:$AZ,MATCH($A$1,'DB Country PMI'!$A$1:$AZ$1,),)=0,#N/A,VLOOKUP(A72,'DB Country PMI'!$A:$AZ,MATCH($A$1,'DB Country PMI'!$A$1:$AZ$1,),))</f>
        <v>51.1</v>
      </c>
      <c r="C72" s="24">
        <f>Table13468[[#This Row],[PMI]]-B71</f>
        <v>0.80000000000000426</v>
      </c>
    </row>
    <row r="73" spans="1:3" x14ac:dyDescent="0.2">
      <c r="A73" s="10">
        <v>42675</v>
      </c>
      <c r="B73" s="18">
        <f>IF(VLOOKUP(A73,'DB Country PMI'!$A:$AZ,MATCH($A$1,'DB Country PMI'!$A$1:$AZ$1,),)=0,#N/A,VLOOKUP(A73,'DB Country PMI'!$A:$AZ,MATCH($A$1,'DB Country PMI'!$A$1:$AZ$1,),))</f>
        <v>51.5</v>
      </c>
      <c r="C73" s="24">
        <f>Table13468[[#This Row],[PMI]]-B72</f>
        <v>0.39999999999999858</v>
      </c>
    </row>
    <row r="74" spans="1:3" x14ac:dyDescent="0.2">
      <c r="A74" s="10">
        <v>42705</v>
      </c>
      <c r="B74" s="18">
        <f>IF(VLOOKUP(A74,'DB Country PMI'!$A:$AZ,MATCH($A$1,'DB Country PMI'!$A$1:$AZ$1,),)=0,#N/A,VLOOKUP(A74,'DB Country PMI'!$A:$AZ,MATCH($A$1,'DB Country PMI'!$A$1:$AZ$1,),))</f>
        <v>51.8</v>
      </c>
      <c r="C74" s="24">
        <f>Table13468[[#This Row],[PMI]]-B73</f>
        <v>0.29999999999999716</v>
      </c>
    </row>
    <row r="75" spans="1:3" x14ac:dyDescent="0.2">
      <c r="A75" s="10">
        <v>42736</v>
      </c>
      <c r="B75" s="18">
        <f>IF(VLOOKUP(A75,'DB Country PMI'!$A:$AZ,MATCH($A$1,'DB Country PMI'!$A$1:$AZ$1,),)=0,#N/A,VLOOKUP(A75,'DB Country PMI'!$A:$AZ,MATCH($A$1,'DB Country PMI'!$A$1:$AZ$1,),))</f>
        <v>53.5</v>
      </c>
      <c r="C75" s="24">
        <f>Table13468[[#This Row],[PMI]]-B74</f>
        <v>1.7000000000000028</v>
      </c>
    </row>
    <row r="76" spans="1:3" x14ac:dyDescent="0.2">
      <c r="A76" s="10">
        <v>42767</v>
      </c>
      <c r="B76" s="18">
        <f>IF(VLOOKUP(A76,'DB Country PMI'!$A:$AZ,MATCH($A$1,'DB Country PMI'!$A$1:$AZ$1,),)=0,#N/A,VLOOKUP(A76,'DB Country PMI'!$A:$AZ,MATCH($A$1,'DB Country PMI'!$A$1:$AZ$1,),))</f>
        <v>54.7</v>
      </c>
      <c r="C76" s="24">
        <f>Table13468[[#This Row],[PMI]]-B75</f>
        <v>1.2000000000000028</v>
      </c>
    </row>
    <row r="77" spans="1:3" x14ac:dyDescent="0.2">
      <c r="A77" s="10">
        <v>42795</v>
      </c>
      <c r="B77" s="18">
        <f>IF(VLOOKUP(A77,'DB Country PMI'!$A:$AZ,MATCH($A$1,'DB Country PMI'!$A$1:$AZ$1,),)=0,#N/A,VLOOKUP(A77,'DB Country PMI'!$A:$AZ,MATCH($A$1,'DB Country PMI'!$A$1:$AZ$1,),))</f>
        <v>55.5</v>
      </c>
      <c r="C77" s="24">
        <f>Table13468[[#This Row],[PMI]]-B76</f>
        <v>0.79999999999999716</v>
      </c>
    </row>
    <row r="78" spans="1:3" x14ac:dyDescent="0.2">
      <c r="A78" s="10">
        <v>42826</v>
      </c>
      <c r="B78" s="18">
        <f>IF(VLOOKUP(A78,'DB Country PMI'!$A:$AZ,MATCH($A$1,'DB Country PMI'!$A$1:$AZ$1,),)=0,#N/A,VLOOKUP(A78,'DB Country PMI'!$A:$AZ,MATCH($A$1,'DB Country PMI'!$A$1:$AZ$1,),))</f>
        <v>55.9</v>
      </c>
      <c r="C78" s="24">
        <f>Table13468[[#This Row],[PMI]]-B77</f>
        <v>0.39999999999999858</v>
      </c>
    </row>
    <row r="79" spans="1:3" x14ac:dyDescent="0.2">
      <c r="A79" s="10">
        <v>42856</v>
      </c>
      <c r="B79" s="18">
        <f>IF(VLOOKUP(A79,'DB Country PMI'!$A:$AZ,MATCH($A$1,'DB Country PMI'!$A$1:$AZ$1,),)=0,#N/A,VLOOKUP(A79,'DB Country PMI'!$A:$AZ,MATCH($A$1,'DB Country PMI'!$A$1:$AZ$1,),))</f>
        <v>55.1</v>
      </c>
      <c r="C79" s="24">
        <f>Table13468[[#This Row],[PMI]]-B78</f>
        <v>-0.79999999999999716</v>
      </c>
    </row>
    <row r="80" spans="1:3" x14ac:dyDescent="0.2">
      <c r="A80" s="10">
        <v>42887</v>
      </c>
      <c r="B80" s="18">
        <f>IF(VLOOKUP(A80,'DB Country PMI'!$A:$AZ,MATCH($A$1,'DB Country PMI'!$A$1:$AZ$1,),)=0,#N/A,VLOOKUP(A80,'DB Country PMI'!$A:$AZ,MATCH($A$1,'DB Country PMI'!$A$1:$AZ$1,),))</f>
        <v>54.7</v>
      </c>
      <c r="C80" s="24">
        <f>Table13468[[#This Row],[PMI]]-B79</f>
        <v>-0.39999999999999858</v>
      </c>
    </row>
    <row r="81" spans="1:3" x14ac:dyDescent="0.2">
      <c r="A81" s="10">
        <v>42917</v>
      </c>
      <c r="B81" s="18">
        <f>IF(VLOOKUP(A81,'DB Country PMI'!$A:$AZ,MATCH($A$1,'DB Country PMI'!$A$1:$AZ$1,),)=0,#N/A,VLOOKUP(A81,'DB Country PMI'!$A:$AZ,MATCH($A$1,'DB Country PMI'!$A$1:$AZ$1,),))</f>
        <v>55.5</v>
      </c>
      <c r="C81" s="24">
        <f>Table13468[[#This Row],[PMI]]-B80</f>
        <v>0.79999999999999716</v>
      </c>
    </row>
    <row r="82" spans="1:3" x14ac:dyDescent="0.2">
      <c r="A82" s="10">
        <v>42948</v>
      </c>
      <c r="B82" s="18">
        <f>IF(VLOOKUP(A82,'DB Country PMI'!$A:$AZ,MATCH($A$1,'DB Country PMI'!$A$1:$AZ$1,),)=0,#N/A,VLOOKUP(A82,'DB Country PMI'!$A:$AZ,MATCH($A$1,'DB Country PMI'!$A$1:$AZ$1,),))</f>
        <v>54.6</v>
      </c>
      <c r="C82" s="24">
        <f>Table13468[[#This Row],[PMI]]-B81</f>
        <v>-0.89999999999999858</v>
      </c>
    </row>
    <row r="83" spans="1:3" x14ac:dyDescent="0.2">
      <c r="A83" s="10">
        <v>42979</v>
      </c>
      <c r="B83" s="18">
        <f>IF(VLOOKUP(A83,'DB Country PMI'!$A:$AZ,MATCH($A$1,'DB Country PMI'!$A$1:$AZ$1,),)=0,#N/A,VLOOKUP(A83,'DB Country PMI'!$A:$AZ,MATCH($A$1,'DB Country PMI'!$A$1:$AZ$1,),))</f>
        <v>55</v>
      </c>
      <c r="C83" s="24">
        <f>Table13468[[#This Row],[PMI]]-B82</f>
        <v>0.39999999999999858</v>
      </c>
    </row>
    <row r="84" spans="1:3" x14ac:dyDescent="0.2">
      <c r="A84" s="10">
        <v>43009</v>
      </c>
      <c r="B84" s="18">
        <f>IF(VLOOKUP(A84,'DB Country PMI'!$A:$AZ,MATCH($A$1,'DB Country PMI'!$A$1:$AZ$1,),)=0,#N/A,VLOOKUP(A84,'DB Country PMI'!$A:$AZ,MATCH($A$1,'DB Country PMI'!$A$1:$AZ$1,),))</f>
        <v>54.3</v>
      </c>
      <c r="C84" s="24">
        <f>Table13468[[#This Row],[PMI]]-B83</f>
        <v>-0.70000000000000284</v>
      </c>
    </row>
    <row r="85" spans="1:3" x14ac:dyDescent="0.2">
      <c r="A85" s="10">
        <v>43040</v>
      </c>
      <c r="B85" s="18">
        <f>IF(VLOOKUP(A85,'DB Country PMI'!$A:$AZ,MATCH($A$1,'DB Country PMI'!$A$1:$AZ$1,),)=0,#N/A,VLOOKUP(A85,'DB Country PMI'!$A:$AZ,MATCH($A$1,'DB Country PMI'!$A$1:$AZ$1,),))</f>
        <v>54.4</v>
      </c>
      <c r="C85" s="24">
        <f>Table13468[[#This Row],[PMI]]-B84</f>
        <v>0.10000000000000142</v>
      </c>
    </row>
    <row r="86" spans="1:3" x14ac:dyDescent="0.2">
      <c r="A86" s="10">
        <v>43070</v>
      </c>
      <c r="B86" s="18">
        <f>IF(VLOOKUP(A86,'DB Country PMI'!$A:$AZ,MATCH($A$1,'DB Country PMI'!$A$1:$AZ$1,),)=0,#N/A,VLOOKUP(A86,'DB Country PMI'!$A:$AZ,MATCH($A$1,'DB Country PMI'!$A$1:$AZ$1,),))</f>
        <v>54.7</v>
      </c>
      <c r="C86" s="24">
        <f>Table13468[[#This Row],[PMI]]-B85</f>
        <v>0.30000000000000426</v>
      </c>
    </row>
    <row r="87" spans="1:3" x14ac:dyDescent="0.2">
      <c r="A87" s="10">
        <v>43101</v>
      </c>
      <c r="B87" s="18">
        <f>IF(VLOOKUP(A87,'DB Country PMI'!$A:$AZ,MATCH($A$1,'DB Country PMI'!$A$1:$AZ$1,),)=0,#N/A,VLOOKUP(A87,'DB Country PMI'!$A:$AZ,MATCH($A$1,'DB Country PMI'!$A$1:$AZ$1,),))</f>
        <v>55.9</v>
      </c>
      <c r="C87" s="24">
        <f>Table13468[[#This Row],[PMI]]-B86</f>
        <v>1.1999999999999957</v>
      </c>
    </row>
    <row r="88" spans="1:3" x14ac:dyDescent="0.2">
      <c r="A88" s="10">
        <v>43132</v>
      </c>
      <c r="B88" s="18">
        <f>IF(VLOOKUP(A88,'DB Country PMI'!$A:$AZ,MATCH($A$1,'DB Country PMI'!$A$1:$AZ$1,),)=0,#N/A,VLOOKUP(A88,'DB Country PMI'!$A:$AZ,MATCH($A$1,'DB Country PMI'!$A$1:$AZ$1,),))</f>
        <v>55.6</v>
      </c>
      <c r="C88" s="24">
        <f>Table13468[[#This Row],[PMI]]-B87</f>
        <v>-0.29999999999999716</v>
      </c>
    </row>
    <row r="89" spans="1:3" x14ac:dyDescent="0.2">
      <c r="A89" s="10">
        <v>43160</v>
      </c>
      <c r="B89" s="18">
        <f>IF(VLOOKUP(A89,'DB Country PMI'!$A:$AZ,MATCH($A$1,'DB Country PMI'!$A$1:$AZ$1,),)=0,#N/A,VLOOKUP(A89,'DB Country PMI'!$A:$AZ,MATCH($A$1,'DB Country PMI'!$A$1:$AZ$1,),))</f>
        <v>55.7</v>
      </c>
      <c r="C89" s="24">
        <f>Table13468[[#This Row],[PMI]]-B88</f>
        <v>0.10000000000000142</v>
      </c>
    </row>
    <row r="90" spans="1:3" x14ac:dyDescent="0.2">
      <c r="A90" s="10">
        <v>43191</v>
      </c>
      <c r="B90" s="18">
        <f>IF(VLOOKUP(A90,'DB Country PMI'!$A:$AZ,MATCH($A$1,'DB Country PMI'!$A$1:$AZ$1,),)=0,#N/A,VLOOKUP(A90,'DB Country PMI'!$A:$AZ,MATCH($A$1,'DB Country PMI'!$A$1:$AZ$1,),))</f>
        <v>55.5</v>
      </c>
      <c r="C90" s="24">
        <f>Table13468[[#This Row],[PMI]]-B89</f>
        <v>-0.20000000000000284</v>
      </c>
    </row>
    <row r="91" spans="1:3" x14ac:dyDescent="0.2">
      <c r="A91" s="10">
        <v>43221</v>
      </c>
      <c r="B91" s="18">
        <f>IF(VLOOKUP(A91,'DB Country PMI'!$A:$AZ,MATCH($A$1,'DB Country PMI'!$A$1:$AZ$1,),)=0,#N/A,VLOOKUP(A91,'DB Country PMI'!$A:$AZ,MATCH($A$1,'DB Country PMI'!$A$1:$AZ$1,),))</f>
        <v>56.2</v>
      </c>
      <c r="C91" s="24">
        <f>Table13468[[#This Row],[PMI]]-B90</f>
        <v>0.70000000000000284</v>
      </c>
    </row>
    <row r="92" spans="1:3" x14ac:dyDescent="0.2">
      <c r="A92" s="10">
        <v>43252</v>
      </c>
      <c r="B92" s="18">
        <f>IF(VLOOKUP(A92,'DB Country PMI'!$A:$AZ,MATCH($A$1,'DB Country PMI'!$A$1:$AZ$1,),)=0,#N/A,VLOOKUP(A92,'DB Country PMI'!$A:$AZ,MATCH($A$1,'DB Country PMI'!$A$1:$AZ$1,),))</f>
        <v>57.1</v>
      </c>
      <c r="C92" s="24">
        <f>Table13468[[#This Row],[PMI]]-B91</f>
        <v>0.89999999999999858</v>
      </c>
    </row>
    <row r="93" spans="1:3" x14ac:dyDescent="0.2">
      <c r="A93" s="10">
        <v>43282</v>
      </c>
      <c r="B93" s="18">
        <f>IF(VLOOKUP(A93,'DB Country PMI'!$A:$AZ,MATCH($A$1,'DB Country PMI'!$A$1:$AZ$1,),)=0,#N/A,VLOOKUP(A93,'DB Country PMI'!$A:$AZ,MATCH($A$1,'DB Country PMI'!$A$1:$AZ$1,),))</f>
        <v>56.9</v>
      </c>
      <c r="C93" s="24">
        <f>Table13468[[#This Row],[PMI]]-B92</f>
        <v>-0.20000000000000284</v>
      </c>
    </row>
    <row r="94" spans="1:3" x14ac:dyDescent="0.2">
      <c r="A94" s="10">
        <v>43313</v>
      </c>
      <c r="B94" s="18">
        <f>IF(VLOOKUP(A94,'DB Country PMI'!$A:$AZ,MATCH($A$1,'DB Country PMI'!$A$1:$AZ$1,),)=0,#N/A,VLOOKUP(A94,'DB Country PMI'!$A:$AZ,MATCH($A$1,'DB Country PMI'!$A$1:$AZ$1,),))</f>
        <v>56.8</v>
      </c>
      <c r="C94" s="24">
        <f>Table13468[[#This Row],[PMI]]-B93</f>
        <v>-0.10000000000000142</v>
      </c>
    </row>
    <row r="95" spans="1:3" x14ac:dyDescent="0.2">
      <c r="A95" s="10">
        <v>43344</v>
      </c>
      <c r="B95" s="18">
        <f>IF(VLOOKUP(A95,'DB Country PMI'!$A:$AZ,MATCH($A$1,'DB Country PMI'!$A$1:$AZ$1,),)=0,#N/A,VLOOKUP(A95,'DB Country PMI'!$A:$AZ,MATCH($A$1,'DB Country PMI'!$A$1:$AZ$1,),))</f>
        <v>54.8</v>
      </c>
      <c r="C95" s="24">
        <f>Table13468[[#This Row],[PMI]]-B94</f>
        <v>-2</v>
      </c>
    </row>
    <row r="96" spans="1:3" x14ac:dyDescent="0.2">
      <c r="A96" s="10">
        <v>43374</v>
      </c>
      <c r="B96" s="18">
        <f>IF(VLOOKUP(A96,'DB Country PMI'!$A:$AZ,MATCH($A$1,'DB Country PMI'!$A$1:$AZ$1,),)=0,#N/A,VLOOKUP(A96,'DB Country PMI'!$A:$AZ,MATCH($A$1,'DB Country PMI'!$A$1:$AZ$1,),))</f>
        <v>53.9</v>
      </c>
      <c r="C96" s="24">
        <f>Table13468[[#This Row],[PMI]]-B95</f>
        <v>-0.89999999999999858</v>
      </c>
    </row>
    <row r="97" spans="1:3" x14ac:dyDescent="0.2">
      <c r="A97" s="10">
        <v>43405</v>
      </c>
      <c r="B97" s="18">
        <f>IF(VLOOKUP(A97,'DB Country PMI'!$A:$AZ,MATCH($A$1,'DB Country PMI'!$A$1:$AZ$1,),)=0,#N/A,VLOOKUP(A97,'DB Country PMI'!$A:$AZ,MATCH($A$1,'DB Country PMI'!$A$1:$AZ$1,),))</f>
        <v>54.9</v>
      </c>
      <c r="C97" s="24">
        <f>Table13468[[#This Row],[PMI]]-B96</f>
        <v>1</v>
      </c>
    </row>
    <row r="98" spans="1:3" x14ac:dyDescent="0.2">
      <c r="A98" s="10">
        <v>43435</v>
      </c>
      <c r="B98" s="18">
        <f>IF(VLOOKUP(A98,'DB Country PMI'!$A:$AZ,MATCH($A$1,'DB Country PMI'!$A$1:$AZ$1,),)=0,#N/A,VLOOKUP(A98,'DB Country PMI'!$A:$AZ,MATCH($A$1,'DB Country PMI'!$A$1:$AZ$1,),))</f>
        <v>53.6</v>
      </c>
      <c r="C98" s="24">
        <f>Table13468[[#This Row],[PMI]]-B97</f>
        <v>-1.2999999999999972</v>
      </c>
    </row>
    <row r="99" spans="1:3" x14ac:dyDescent="0.2">
      <c r="A99" s="10">
        <v>43466</v>
      </c>
      <c r="B99" s="18">
        <f>IF(VLOOKUP(A99,'DB Country PMI'!$A:$AZ,MATCH($A$1,'DB Country PMI'!$A$1:$AZ$1,),)=0,#N/A,VLOOKUP(A99,'DB Country PMI'!$A:$AZ,MATCH($A$1,'DB Country PMI'!$A$1:$AZ$1,),))</f>
        <v>53</v>
      </c>
      <c r="C99" s="24">
        <f>Table13468[[#This Row],[PMI]]-B98</f>
        <v>-0.60000000000000142</v>
      </c>
    </row>
    <row r="100" spans="1:3" x14ac:dyDescent="0.2">
      <c r="A100" s="10">
        <v>43497</v>
      </c>
      <c r="B100" s="18">
        <f>IF(VLOOKUP(A100,'DB Country PMI'!$A:$AZ,MATCH($A$1,'DB Country PMI'!$A$1:$AZ$1,),)=0,#N/A,VLOOKUP(A100,'DB Country PMI'!$A:$AZ,MATCH($A$1,'DB Country PMI'!$A$1:$AZ$1,),))</f>
        <v>52.6</v>
      </c>
      <c r="C100" s="24">
        <f>Table13468[[#This Row],[PMI]]-B99</f>
        <v>-0.39999999999999858</v>
      </c>
    </row>
    <row r="101" spans="1:3" x14ac:dyDescent="0.2">
      <c r="A101" s="10">
        <v>43525</v>
      </c>
      <c r="B101" s="18">
        <f>IF(VLOOKUP(A101,'DB Country PMI'!$A:$AZ,MATCH($A$1,'DB Country PMI'!$A$1:$AZ$1,),)=0,#N/A,VLOOKUP(A101,'DB Country PMI'!$A:$AZ,MATCH($A$1,'DB Country PMI'!$A$1:$AZ$1,),))</f>
        <v>50.5</v>
      </c>
      <c r="C101" s="24">
        <f>Table13468[[#This Row],[PMI]]-B100</f>
        <v>-2.1000000000000014</v>
      </c>
    </row>
    <row r="102" spans="1:3" x14ac:dyDescent="0.2">
      <c r="A102" s="10">
        <v>43556</v>
      </c>
      <c r="B102" s="18">
        <f>IF(VLOOKUP(A102,'DB Country PMI'!$A:$AZ,MATCH($A$1,'DB Country PMI'!$A$1:$AZ$1,),)=0,#N/A,VLOOKUP(A102,'DB Country PMI'!$A:$AZ,MATCH($A$1,'DB Country PMI'!$A$1:$AZ$1,),))</f>
        <v>49.7</v>
      </c>
      <c r="C102" s="24">
        <f>Table13468[[#This Row],[PMI]]-B101</f>
        <v>-0.79999999999999716</v>
      </c>
    </row>
    <row r="103" spans="1:3" x14ac:dyDescent="0.2">
      <c r="A103" s="10">
        <v>43586</v>
      </c>
      <c r="B103" s="18">
        <f>IF(VLOOKUP(A103,'DB Country PMI'!$A:$AZ,MATCH($A$1,'DB Country PMI'!$A$1:$AZ$1,),)=0,#N/A,VLOOKUP(A103,'DB Country PMI'!$A:$AZ,MATCH($A$1,'DB Country PMI'!$A$1:$AZ$1,),))</f>
        <v>49.1</v>
      </c>
      <c r="C103" s="24">
        <f>Table13468[[#This Row],[PMI]]-B102</f>
        <v>-0.60000000000000142</v>
      </c>
    </row>
    <row r="104" spans="1:3" x14ac:dyDescent="0.2">
      <c r="A104" s="10">
        <v>43617</v>
      </c>
      <c r="B104" s="18">
        <f>IF(VLOOKUP(A104,'DB Country PMI'!$A:$AZ,MATCH($A$1,'DB Country PMI'!$A$1:$AZ$1,),)=0,#N/A,VLOOKUP(A104,'DB Country PMI'!$A:$AZ,MATCH($A$1,'DB Country PMI'!$A$1:$AZ$1,),))</f>
        <v>49.2</v>
      </c>
      <c r="C104" s="24">
        <f>Table13468[[#This Row],[PMI]]-B103</f>
        <v>0.10000000000000142</v>
      </c>
    </row>
    <row r="105" spans="1:3" x14ac:dyDescent="0.2">
      <c r="A105" s="10">
        <v>43647</v>
      </c>
      <c r="B105" s="18">
        <f>IF(VLOOKUP(A105,'DB Country PMI'!$A:$AZ,MATCH($A$1,'DB Country PMI'!$A$1:$AZ$1,),)=0,#N/A,VLOOKUP(A105,'DB Country PMI'!$A:$AZ,MATCH($A$1,'DB Country PMI'!$A$1:$AZ$1,),))</f>
        <v>50.2</v>
      </c>
      <c r="C105" s="24">
        <f>Table13468[[#This Row],[PMI]]-B104</f>
        <v>1</v>
      </c>
    </row>
    <row r="106" spans="1:3" x14ac:dyDescent="0.2">
      <c r="A106" s="10">
        <v>43678</v>
      </c>
      <c r="B106" s="18">
        <f>IF(VLOOKUP(A106,'DB Country PMI'!$A:$AZ,MATCH($A$1,'DB Country PMI'!$A$1:$AZ$1,),)=0,#N/A,VLOOKUP(A106,'DB Country PMI'!$A:$AZ,MATCH($A$1,'DB Country PMI'!$A$1:$AZ$1,),))</f>
        <v>49.1</v>
      </c>
      <c r="C106" s="24">
        <f>Table13468[[#This Row],[PMI]]-B105</f>
        <v>-1.1000000000000014</v>
      </c>
    </row>
    <row r="107" spans="1:3" x14ac:dyDescent="0.2">
      <c r="A107" s="10">
        <v>43709</v>
      </c>
      <c r="B107" s="18">
        <f>IF(VLOOKUP(A107,'DB Country PMI'!$A:$AZ,MATCH($A$1,'DB Country PMI'!$A$1:$AZ$1,),)=0,#N/A,VLOOKUP(A107,'DB Country PMI'!$A:$AZ,MATCH($A$1,'DB Country PMI'!$A$1:$AZ$1,),))</f>
        <v>51</v>
      </c>
      <c r="C107" s="24">
        <f>Table13468[[#This Row],[PMI]]-B106</f>
        <v>1.8999999999999986</v>
      </c>
    </row>
    <row r="108" spans="1:3" x14ac:dyDescent="0.2">
      <c r="A108" s="10">
        <v>43739</v>
      </c>
      <c r="B108" s="18">
        <f>IF(VLOOKUP(A108,'DB Country PMI'!$A:$AZ,MATCH($A$1,'DB Country PMI'!$A$1:$AZ$1,),)=0,#N/A,VLOOKUP(A108,'DB Country PMI'!$A:$AZ,MATCH($A$1,'DB Country PMI'!$A$1:$AZ$1,),))</f>
        <v>51.2</v>
      </c>
      <c r="C108" s="24">
        <f>Table13468[[#This Row],[PMI]]-B107</f>
        <v>0.20000000000000284</v>
      </c>
    </row>
    <row r="109" spans="1:3" x14ac:dyDescent="0.2">
      <c r="A109" s="10">
        <v>43770</v>
      </c>
      <c r="B109" s="18">
        <f>IF(VLOOKUP(A109,'DB Country PMI'!$A:$AZ,MATCH($A$1,'DB Country PMI'!$A$1:$AZ$1,),)=0,#N/A,VLOOKUP(A109,'DB Country PMI'!$A:$AZ,MATCH($A$1,'DB Country PMI'!$A$1:$AZ$1,),))</f>
        <v>51.4</v>
      </c>
      <c r="C109" s="24">
        <f>Table13468[[#This Row],[PMI]]-B108</f>
        <v>0.19999999999999574</v>
      </c>
    </row>
    <row r="110" spans="1:3" x14ac:dyDescent="0.2">
      <c r="A110" s="10">
        <v>43800</v>
      </c>
      <c r="B110" s="18">
        <f>IF(VLOOKUP(A110,'DB Country PMI'!$A:$AZ,MATCH($A$1,'DB Country PMI'!$A$1:$AZ$1,),)=0,#N/A,VLOOKUP(A110,'DB Country PMI'!$A:$AZ,MATCH($A$1,'DB Country PMI'!$A$1:$AZ$1,),))</f>
        <v>50.4</v>
      </c>
      <c r="C110" s="24">
        <f>Table13468[[#This Row],[PMI]]-B109</f>
        <v>-1</v>
      </c>
    </row>
    <row r="111" spans="1:3" x14ac:dyDescent="0.2">
      <c r="A111" s="10">
        <v>43831</v>
      </c>
      <c r="B111" s="18">
        <f>IF(VLOOKUP(A111,'DB Country PMI'!$A:$AZ,MATCH($A$1,'DB Country PMI'!$A$1:$AZ$1,),)=0,#N/A,VLOOKUP(A111,'DB Country PMI'!$A:$AZ,MATCH($A$1,'DB Country PMI'!$A$1:$AZ$1,),))</f>
        <v>50.6</v>
      </c>
      <c r="C111" s="24">
        <f>Table13468[[#This Row],[PMI]]-B110</f>
        <v>0.20000000000000284</v>
      </c>
    </row>
    <row r="112" spans="1:3" x14ac:dyDescent="0.2">
      <c r="A112" s="10">
        <v>43862</v>
      </c>
      <c r="B112" s="18">
        <f>IF(VLOOKUP(A112,'DB Country PMI'!$A:$AZ,MATCH($A$1,'DB Country PMI'!$A$1:$AZ$1,),)=0,#N/A,VLOOKUP(A112,'DB Country PMI'!$A:$AZ,MATCH($A$1,'DB Country PMI'!$A$1:$AZ$1,),))</f>
        <v>51.8</v>
      </c>
      <c r="C112" s="24">
        <f>Table13468[[#This Row],[PMI]]-B111</f>
        <v>1.1999999999999957</v>
      </c>
    </row>
    <row r="113" spans="1:3" x14ac:dyDescent="0.2">
      <c r="A113" s="10">
        <v>43891</v>
      </c>
      <c r="B113" s="18">
        <f>IF(VLOOKUP(A113,'DB Country PMI'!$A:$AZ,MATCH($A$1,'DB Country PMI'!$A$1:$AZ$1,),)=0,#N/A,VLOOKUP(A113,'DB Country PMI'!$A:$AZ,MATCH($A$1,'DB Country PMI'!$A$1:$AZ$1,),))</f>
        <v>46.1</v>
      </c>
      <c r="C113" s="24">
        <f>Table13468[[#This Row],[PMI]]-B112</f>
        <v>-5.6999999999999957</v>
      </c>
    </row>
    <row r="114" spans="1:3" x14ac:dyDescent="0.2">
      <c r="A114" s="10">
        <v>43922</v>
      </c>
      <c r="B114" s="18">
        <f>IF(VLOOKUP(A114,'DB Country PMI'!$A:$AZ,MATCH($A$1,'DB Country PMI'!$A$1:$AZ$1,),)=0,#N/A,VLOOKUP(A114,'DB Country PMI'!$A:$AZ,MATCH($A$1,'DB Country PMI'!$A$1:$AZ$1,),))</f>
        <v>33</v>
      </c>
      <c r="C114" s="24">
        <f>Table13468[[#This Row],[PMI]]-B113</f>
        <v>-13.100000000000001</v>
      </c>
    </row>
    <row r="115" spans="1:3" x14ac:dyDescent="0.2">
      <c r="A115" s="10">
        <v>43952</v>
      </c>
      <c r="B115" s="18">
        <f>IF(VLOOKUP(A115,'DB Country PMI'!$A:$AZ,MATCH($A$1,'DB Country PMI'!$A$1:$AZ$1,),)=0,#N/A,VLOOKUP(A115,'DB Country PMI'!$A:$AZ,MATCH($A$1,'DB Country PMI'!$A$1:$AZ$1,),))</f>
        <v>40.6</v>
      </c>
      <c r="C115" s="24">
        <f>Table13468[[#This Row],[PMI]]-B114</f>
        <v>7.6000000000000014</v>
      </c>
    </row>
    <row r="116" spans="1:3" x14ac:dyDescent="0.2">
      <c r="A116" s="10">
        <v>43983</v>
      </c>
      <c r="B116" s="18">
        <f>IF(VLOOKUP(A116,'DB Country PMI'!$A:$AZ,MATCH($A$1,'DB Country PMI'!$A$1:$AZ$1,),)=0,#N/A,VLOOKUP(A116,'DB Country PMI'!$A:$AZ,MATCH($A$1,'DB Country PMI'!$A$1:$AZ$1,),))</f>
        <v>47.8</v>
      </c>
      <c r="C116" s="24">
        <f>Table13468[[#This Row],[PMI]]-B115</f>
        <v>7.1999999999999957</v>
      </c>
    </row>
    <row r="117" spans="1:3" x14ac:dyDescent="0.2">
      <c r="A117" s="10">
        <v>44013</v>
      </c>
      <c r="B117" s="18">
        <f>IF(VLOOKUP(A117,'DB Country PMI'!$A:$AZ,MATCH($A$1,'DB Country PMI'!$A$1:$AZ$1,),)=0,#N/A,VLOOKUP(A117,'DB Country PMI'!$A:$AZ,MATCH($A$1,'DB Country PMI'!$A$1:$AZ$1,),))</f>
        <v>52.9</v>
      </c>
      <c r="C117" s="24">
        <f>Table13468[[#This Row],[PMI]]-B116</f>
        <v>5.1000000000000014</v>
      </c>
    </row>
    <row r="118" spans="1:3" x14ac:dyDescent="0.2">
      <c r="A118" s="10">
        <v>44044</v>
      </c>
      <c r="B118" s="18">
        <f>IF(VLOOKUP(A118,'DB Country PMI'!$A:$AZ,MATCH($A$1,'DB Country PMI'!$A$1:$AZ$1,),)=0,#N/A,VLOOKUP(A118,'DB Country PMI'!$A:$AZ,MATCH($A$1,'DB Country PMI'!$A$1:$AZ$1,),))</f>
        <v>55.1</v>
      </c>
      <c r="C118" s="24">
        <f>Table13468[[#This Row],[PMI]]-B117</f>
        <v>2.2000000000000028</v>
      </c>
    </row>
    <row r="119" spans="1:3" x14ac:dyDescent="0.2">
      <c r="A119" s="10">
        <v>44075</v>
      </c>
      <c r="B119" s="18">
        <f>IF(VLOOKUP(A119,'DB Country PMI'!$A:$AZ,MATCH($A$1,'DB Country PMI'!$A$1:$AZ$1,),)=0,#N/A,VLOOKUP(A119,'DB Country PMI'!$A:$AZ,MATCH($A$1,'DB Country PMI'!$A$1:$AZ$1,),))</f>
        <v>56</v>
      </c>
      <c r="C119" s="24">
        <f>Table13468[[#This Row],[PMI]]-B118</f>
        <v>0.89999999999999858</v>
      </c>
    </row>
    <row r="120" spans="1:3" x14ac:dyDescent="0.2">
      <c r="A120" s="10">
        <v>44105</v>
      </c>
      <c r="B120" s="18">
        <f>IF(VLOOKUP(A120,'DB Country PMI'!$A:$AZ,MATCH($A$1,'DB Country PMI'!$A$1:$AZ$1,),)=0,#N/A,VLOOKUP(A120,'DB Country PMI'!$A:$AZ,MATCH($A$1,'DB Country PMI'!$A$1:$AZ$1,),))</f>
        <v>55.5</v>
      </c>
      <c r="C120" s="24">
        <f>Table13468[[#This Row],[PMI]]-B119</f>
        <v>-0.5</v>
      </c>
    </row>
    <row r="121" spans="1:3" x14ac:dyDescent="0.2">
      <c r="A121" s="10">
        <v>44136</v>
      </c>
      <c r="B121" s="18">
        <f>IF(VLOOKUP(A121,'DB Country PMI'!$A:$AZ,MATCH($A$1,'DB Country PMI'!$A$1:$AZ$1,),)=0,#N/A,VLOOKUP(A121,'DB Country PMI'!$A:$AZ,MATCH($A$1,'DB Country PMI'!$A$1:$AZ$1,),))</f>
        <v>55.8</v>
      </c>
      <c r="C121" s="24">
        <f>Table13468[[#This Row],[PMI]]-B120</f>
        <v>0.29999999999999716</v>
      </c>
    </row>
    <row r="122" spans="1:3" x14ac:dyDescent="0.2">
      <c r="A122" s="10">
        <v>44166</v>
      </c>
      <c r="B122" s="18">
        <f>IF(VLOOKUP(A122,'DB Country PMI'!$A:$AZ,MATCH($A$1,'DB Country PMI'!$A$1:$AZ$1,),)=0,#N/A,VLOOKUP(A122,'DB Country PMI'!$A:$AZ,MATCH($A$1,'DB Country PMI'!$A$1:$AZ$1,),))</f>
        <v>57.9</v>
      </c>
      <c r="C122" s="24">
        <f>Table13468[[#This Row],[PMI]]-B121</f>
        <v>2.1000000000000014</v>
      </c>
    </row>
    <row r="123" spans="1:3" x14ac:dyDescent="0.2">
      <c r="A123" s="10">
        <v>44197</v>
      </c>
      <c r="B123" s="18">
        <f>IF(VLOOKUP(A123,'DB Country PMI'!$A:$AZ,MATCH($A$1,'DB Country PMI'!$A$1:$AZ$1,),)=0,#N/A,VLOOKUP(A123,'DB Country PMI'!$A:$AZ,MATCH($A$1,'DB Country PMI'!$A$1:$AZ$1,),))</f>
        <v>54.4</v>
      </c>
      <c r="C123" s="24">
        <f>Table13468[[#This Row],[PMI]]-B122</f>
        <v>-3.5</v>
      </c>
    </row>
    <row r="124" spans="1:3" x14ac:dyDescent="0.2">
      <c r="A124" s="10">
        <v>44228</v>
      </c>
      <c r="B124" s="18">
        <f>IF(VLOOKUP(A124,'DB Country PMI'!$A:$AZ,MATCH($A$1,'DB Country PMI'!$A$1:$AZ$1,),)=0,#N/A,VLOOKUP(A124,'DB Country PMI'!$A:$AZ,MATCH($A$1,'DB Country PMI'!$A$1:$AZ$1,),))</f>
        <v>54.8</v>
      </c>
      <c r="C124" s="24">
        <f>Table13468[[#This Row],[PMI]]-B123</f>
        <v>0.39999999999999858</v>
      </c>
    </row>
    <row r="125" spans="1:3" x14ac:dyDescent="0.2">
      <c r="A125" s="10">
        <v>44256</v>
      </c>
      <c r="B125" s="18">
        <f>IF(VLOOKUP(A125,'DB Country PMI'!$A:$AZ,MATCH($A$1,'DB Country PMI'!$A$1:$AZ$1,),)=0,#N/A,VLOOKUP(A125,'DB Country PMI'!$A:$AZ,MATCH($A$1,'DB Country PMI'!$A$1:$AZ$1,),))</f>
        <v>58.5</v>
      </c>
      <c r="C125" s="24">
        <f>Table13468[[#This Row],[PMI]]-B124</f>
        <v>3.7000000000000028</v>
      </c>
    </row>
    <row r="126" spans="1:3" x14ac:dyDescent="0.2">
      <c r="A126" s="10">
        <v>44287</v>
      </c>
      <c r="B126" s="18">
        <f>IF(VLOOKUP(A126,'DB Country PMI'!$A:$AZ,MATCH($A$1,'DB Country PMI'!$A$1:$AZ$1,),)=0,#N/A,VLOOKUP(A126,'DB Country PMI'!$A:$AZ,MATCH($A$1,'DB Country PMI'!$A$1:$AZ$1,),))</f>
        <v>57.2</v>
      </c>
      <c r="C126" s="24">
        <f>Table13468[[#This Row],[PMI]]-B125</f>
        <v>-1.2999999999999972</v>
      </c>
    </row>
    <row r="127" spans="1:3" x14ac:dyDescent="0.2">
      <c r="A127" s="10">
        <v>44317</v>
      </c>
      <c r="B127" s="18">
        <f>IF(VLOOKUP(A127,'DB Country PMI'!$A:$AZ,MATCH($A$1,'DB Country PMI'!$A$1:$AZ$1,),)=0,#N/A,VLOOKUP(A127,'DB Country PMI'!$A:$AZ,MATCH($A$1,'DB Country PMI'!$A$1:$AZ$1,),))</f>
        <v>57</v>
      </c>
      <c r="C127" s="24">
        <f>Table13468[[#This Row],[PMI]]-B126</f>
        <v>-0.20000000000000284</v>
      </c>
    </row>
    <row r="128" spans="1:3" x14ac:dyDescent="0.2">
      <c r="A128" s="10">
        <v>44348</v>
      </c>
      <c r="B128" s="18">
        <f>IF(VLOOKUP(A128,'DB Country PMI'!$A:$AZ,MATCH($A$1,'DB Country PMI'!$A$1:$AZ$1,),)=0,#N/A,VLOOKUP(A128,'DB Country PMI'!$A:$AZ,MATCH($A$1,'DB Country PMI'!$A$1:$AZ$1,),))</f>
        <v>56.5</v>
      </c>
      <c r="C128" s="24">
        <f>Table13468[[#This Row],[PMI]]-B127</f>
        <v>-0.5</v>
      </c>
    </row>
    <row r="129" spans="1:3" x14ac:dyDescent="0.2">
      <c r="A129" s="10">
        <v>44378</v>
      </c>
      <c r="B129" s="18">
        <f>IF(VLOOKUP(A129,'DB Country PMI'!$A:$AZ,MATCH($A$1,'DB Country PMI'!$A$1:$AZ$1,),)=0,#N/A,VLOOKUP(A129,'DB Country PMI'!$A:$AZ,MATCH($A$1,'DB Country PMI'!$A$1:$AZ$1,),))</f>
        <v>56.2</v>
      </c>
      <c r="C129" s="24">
        <f>Table13468[[#This Row],[PMI]]-B128</f>
        <v>-0.29999999999999716</v>
      </c>
    </row>
    <row r="130" spans="1:3" x14ac:dyDescent="0.2">
      <c r="A130" s="10">
        <v>44409</v>
      </c>
      <c r="B130" s="18">
        <f>IF(VLOOKUP(A130,'DB Country PMI'!$A:$AZ,MATCH($A$1,'DB Country PMI'!$A$1:$AZ$1,),)=0,#N/A,VLOOKUP(A130,'DB Country PMI'!$A:$AZ,MATCH($A$1,'DB Country PMI'!$A$1:$AZ$1,),))</f>
        <v>57.2</v>
      </c>
      <c r="C130" s="24">
        <f>Table13468[[#This Row],[PMI]]-B129</f>
        <v>1</v>
      </c>
    </row>
    <row r="131" spans="1:3" x14ac:dyDescent="0.2">
      <c r="A131" s="10">
        <v>44440</v>
      </c>
      <c r="B131" s="18">
        <f>IF(VLOOKUP(A131,'DB Country PMI'!$A:$AZ,MATCH($A$1,'DB Country PMI'!$A$1:$AZ$1,),)=0,#N/A,VLOOKUP(A131,'DB Country PMI'!$A:$AZ,MATCH($A$1,'DB Country PMI'!$A$1:$AZ$1,),))</f>
        <v>57</v>
      </c>
      <c r="C131" s="24">
        <f>Table13468[[#This Row],[PMI]]-B130</f>
        <v>-0.20000000000000284</v>
      </c>
    </row>
    <row r="132" spans="1:3" x14ac:dyDescent="0.2">
      <c r="A132" s="10">
        <v>44470</v>
      </c>
      <c r="B132" s="18">
        <f>IF(VLOOKUP(A132,'DB Country PMI'!$A:$AZ,MATCH($A$1,'DB Country PMI'!$A$1:$AZ$1,),)=0,#N/A,VLOOKUP(A132,'DB Country PMI'!$A:$AZ,MATCH($A$1,'DB Country PMI'!$A$1:$AZ$1,),))</f>
        <v>57.7</v>
      </c>
      <c r="C132" s="24">
        <f>Table13468[[#This Row],[PMI]]-B131</f>
        <v>0.70000000000000284</v>
      </c>
    </row>
    <row r="133" spans="1:3" x14ac:dyDescent="0.2">
      <c r="A133" s="10">
        <v>44501</v>
      </c>
      <c r="B133" s="18">
        <f>IF(VLOOKUP(A133,'DB Country PMI'!$A:$AZ,MATCH($A$1,'DB Country PMI'!$A$1:$AZ$1,),)=0,#N/A,VLOOKUP(A133,'DB Country PMI'!$A:$AZ,MATCH($A$1,'DB Country PMI'!$A$1:$AZ$1,),))</f>
        <v>57.2</v>
      </c>
      <c r="C133" s="24">
        <f>Table13468[[#This Row],[PMI]]-B132</f>
        <v>-0.5</v>
      </c>
    </row>
    <row r="134" spans="1:3" x14ac:dyDescent="0.2">
      <c r="A134" s="10">
        <v>44531</v>
      </c>
      <c r="B134" s="18">
        <f>IF(VLOOKUP(A134,'DB Country PMI'!$A:$AZ,MATCH($A$1,'DB Country PMI'!$A$1:$AZ$1,),)=0,#N/A,VLOOKUP(A134,'DB Country PMI'!$A:$AZ,MATCH($A$1,'DB Country PMI'!$A$1:$AZ$1,),))</f>
        <v>55.5</v>
      </c>
      <c r="C134" s="24">
        <f>Table13468[[#This Row],[PMI]]-B133</f>
        <v>-1.7000000000000028</v>
      </c>
    </row>
    <row r="135" spans="1:3" x14ac:dyDescent="0.2">
      <c r="A135" s="10">
        <v>44562</v>
      </c>
      <c r="B135" s="18">
        <f>IF(VLOOKUP(A135,'DB Country PMI'!$A:$AZ,MATCH($A$1,'DB Country PMI'!$A$1:$AZ$1,),)=0,#N/A,VLOOKUP(A135,'DB Country PMI'!$A:$AZ,MATCH($A$1,'DB Country PMI'!$A$1:$AZ$1,),))</f>
        <v>56.2</v>
      </c>
      <c r="C135" s="24">
        <f>Table13468[[#This Row],[PMI]]-B134</f>
        <v>0.70000000000000284</v>
      </c>
    </row>
  </sheetData>
  <conditionalFormatting sqref="B6:B135">
    <cfRule type="colorScale" priority="2">
      <colorScale>
        <cfvo type="min"/>
        <cfvo type="percentile" val="50"/>
        <cfvo type="max"/>
        <color rgb="FFF8696B"/>
        <color rgb="FFFFEB84"/>
        <color rgb="FF63BE7B"/>
      </colorScale>
    </cfRule>
  </conditionalFormatting>
  <conditionalFormatting sqref="C7:C135">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70"/>
  <sheetViews>
    <sheetView zoomScale="160" zoomScaleNormal="160" workbookViewId="0">
      <pane ySplit="5" topLeftCell="A131" activePane="bottomLeft" state="frozen"/>
      <selection pane="bottomLeft" activeCell="T146" sqref="T146"/>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34</v>
      </c>
      <c r="K1" s="63" t="s">
        <v>107</v>
      </c>
    </row>
    <row r="2" spans="1:11" x14ac:dyDescent="0.2">
      <c r="K2" s="63" t="str">
        <f>A1&amp;K1</f>
        <v>Australia Manufacturing PMI</v>
      </c>
    </row>
    <row r="4" spans="1:11" ht="16" customHeight="1" thickBot="1" x14ac:dyDescent="0.25"/>
    <row r="5" spans="1:11" ht="16" customHeight="1" thickBot="1" x14ac:dyDescent="0.25">
      <c r="A5" s="21" t="s">
        <v>44</v>
      </c>
      <c r="B5" s="22" t="s">
        <v>103</v>
      </c>
      <c r="C5" s="22" t="s">
        <v>104</v>
      </c>
    </row>
    <row r="6" spans="1:11" x14ac:dyDescent="0.2">
      <c r="A6" s="17">
        <v>39569</v>
      </c>
      <c r="B6" s="18">
        <f>IF(VLOOKUP(A6,'DB Country PMI'!$A:$AZ,MATCH($A$1,'DB Country PMI'!$A$1:$AZ$1,),)=0,#N/A,VLOOKUP(A6,'DB Country PMI'!$A:$AZ,MATCH($A$1,'DB Country PMI'!$A$1:$AZ$1,),))</f>
        <v>51.4</v>
      </c>
      <c r="C6" s="18"/>
    </row>
    <row r="7" spans="1:11" x14ac:dyDescent="0.2">
      <c r="A7" s="10">
        <v>39600</v>
      </c>
      <c r="B7" s="18">
        <f>IF(VLOOKUP(A7,'DB Country PMI'!$A:$AZ,MATCH($A$1,'DB Country PMI'!$A$1:$AZ$1,),)=0,#N/A,VLOOKUP(A7,'DB Country PMI'!$A:$AZ,MATCH($A$1,'DB Country PMI'!$A$1:$AZ$1,),))</f>
        <v>51.2</v>
      </c>
      <c r="C7" s="24">
        <f>Table1346811121415161718192022252627[[#This Row],[PMI]]-B6</f>
        <v>-0.19999999999999574</v>
      </c>
    </row>
    <row r="8" spans="1:11" x14ac:dyDescent="0.2">
      <c r="A8" s="10">
        <v>39630</v>
      </c>
      <c r="B8" s="18">
        <f>IF(VLOOKUP(A8,'DB Country PMI'!$A:$AZ,MATCH($A$1,'DB Country PMI'!$A$1:$AZ$1,),)=0,#N/A,VLOOKUP(A8,'DB Country PMI'!$A:$AZ,MATCH($A$1,'DB Country PMI'!$A$1:$AZ$1,),))</f>
        <v>52.7</v>
      </c>
      <c r="C8" s="24">
        <f>Table1346811121415161718192022252627[[#This Row],[PMI]]-B7</f>
        <v>1.5</v>
      </c>
    </row>
    <row r="9" spans="1:11" x14ac:dyDescent="0.2">
      <c r="A9" s="10">
        <v>39661</v>
      </c>
      <c r="B9" s="18">
        <f>IF(VLOOKUP(A9,'DB Country PMI'!$A:$AZ,MATCH($A$1,'DB Country PMI'!$A$1:$AZ$1,),)=0,#N/A,VLOOKUP(A9,'DB Country PMI'!$A:$AZ,MATCH($A$1,'DB Country PMI'!$A$1:$AZ$1,),))</f>
        <v>51.2</v>
      </c>
      <c r="C9" s="24">
        <f>Table1346811121415161718192022252627[[#This Row],[PMI]]-B8</f>
        <v>-1.5</v>
      </c>
    </row>
    <row r="10" spans="1:11" x14ac:dyDescent="0.2">
      <c r="A10" s="10">
        <v>39692</v>
      </c>
      <c r="B10" s="18">
        <f>IF(VLOOKUP(A10,'DB Country PMI'!$A:$AZ,MATCH($A$1,'DB Country PMI'!$A$1:$AZ$1,),)=0,#N/A,VLOOKUP(A10,'DB Country PMI'!$A:$AZ,MATCH($A$1,'DB Country PMI'!$A$1:$AZ$1,),))</f>
        <v>47</v>
      </c>
      <c r="C10" s="24">
        <f>Table1346811121415161718192022252627[[#This Row],[PMI]]-B9</f>
        <v>-4.2000000000000028</v>
      </c>
    </row>
    <row r="11" spans="1:11" x14ac:dyDescent="0.2">
      <c r="A11" s="10">
        <v>39722</v>
      </c>
      <c r="B11" s="18">
        <f>IF(VLOOKUP(A11,'DB Country PMI'!$A:$AZ,MATCH($A$1,'DB Country PMI'!$A$1:$AZ$1,),)=0,#N/A,VLOOKUP(A11,'DB Country PMI'!$A:$AZ,MATCH($A$1,'DB Country PMI'!$A$1:$AZ$1,),))</f>
        <v>46.9</v>
      </c>
      <c r="C11" s="24">
        <f>Table1346811121415161718192022252627[[#This Row],[PMI]]-B10</f>
        <v>-0.10000000000000142</v>
      </c>
    </row>
    <row r="12" spans="1:11" x14ac:dyDescent="0.2">
      <c r="A12" s="10">
        <v>39753</v>
      </c>
      <c r="B12" s="18">
        <f>IF(VLOOKUP(A12,'DB Country PMI'!$A:$AZ,MATCH($A$1,'DB Country PMI'!$A$1:$AZ$1,),)=0,#N/A,VLOOKUP(A12,'DB Country PMI'!$A:$AZ,MATCH($A$1,'DB Country PMI'!$A$1:$AZ$1,),))</f>
        <v>40.4</v>
      </c>
      <c r="C12" s="24">
        <f>Table1346811121415161718192022252627[[#This Row],[PMI]]-B11</f>
        <v>-6.5</v>
      </c>
    </row>
    <row r="13" spans="1:11" x14ac:dyDescent="0.2">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2">
      <c r="A14" s="10">
        <v>39814</v>
      </c>
      <c r="B14" s="18">
        <f>IF(VLOOKUP(A14,'DB Country PMI'!$A:$AZ,MATCH($A$1,'DB Country PMI'!$A$1:$AZ$1,),)=0,#N/A,VLOOKUP(A14,'DB Country PMI'!$A:$AZ,MATCH($A$1,'DB Country PMI'!$A$1:$AZ$1,),))</f>
        <v>36.6</v>
      </c>
      <c r="C14" s="24">
        <f>Table1346811121415161718192022252627[[#This Row],[PMI]]-B13</f>
        <v>2.8999999999999986</v>
      </c>
    </row>
    <row r="15" spans="1:11" x14ac:dyDescent="0.2">
      <c r="A15" s="10">
        <v>39845</v>
      </c>
      <c r="B15" s="18">
        <f>IF(VLOOKUP(A15,'DB Country PMI'!$A:$AZ,MATCH($A$1,'DB Country PMI'!$A$1:$AZ$1,),)=0,#N/A,VLOOKUP(A15,'DB Country PMI'!$A:$AZ,MATCH($A$1,'DB Country PMI'!$A$1:$AZ$1,),))</f>
        <v>31.7</v>
      </c>
      <c r="C15" s="24">
        <f>Table1346811121415161718192022252627[[#This Row],[PMI]]-B14</f>
        <v>-4.9000000000000021</v>
      </c>
    </row>
    <row r="16" spans="1:11" x14ac:dyDescent="0.2">
      <c r="A16" s="10">
        <v>39873</v>
      </c>
      <c r="B16" s="18">
        <f>IF(VLOOKUP(A16,'DB Country PMI'!$A:$AZ,MATCH($A$1,'DB Country PMI'!$A$1:$AZ$1,),)=0,#N/A,VLOOKUP(A16,'DB Country PMI'!$A:$AZ,MATCH($A$1,'DB Country PMI'!$A$1:$AZ$1,),))</f>
        <v>33.4</v>
      </c>
      <c r="C16" s="24">
        <f>Table1346811121415161718192022252627[[#This Row],[PMI]]-B15</f>
        <v>1.6999999999999993</v>
      </c>
    </row>
    <row r="17" spans="1:3" x14ac:dyDescent="0.2">
      <c r="A17" s="10">
        <v>39904</v>
      </c>
      <c r="B17" s="18">
        <f>IF(VLOOKUP(A17,'DB Country PMI'!$A:$AZ,MATCH($A$1,'DB Country PMI'!$A$1:$AZ$1,),)=0,#N/A,VLOOKUP(A17,'DB Country PMI'!$A:$AZ,MATCH($A$1,'DB Country PMI'!$A$1:$AZ$1,),))</f>
        <v>30.1</v>
      </c>
      <c r="C17" s="24">
        <f>Table1346811121415161718192022252627[[#This Row],[PMI]]-B16</f>
        <v>-3.2999999999999972</v>
      </c>
    </row>
    <row r="18" spans="1:3" x14ac:dyDescent="0.2">
      <c r="A18" s="10">
        <v>39934</v>
      </c>
      <c r="B18" s="18">
        <f>IF(VLOOKUP(A18,'DB Country PMI'!$A:$AZ,MATCH($A$1,'DB Country PMI'!$A$1:$AZ$1,),)=0,#N/A,VLOOKUP(A18,'DB Country PMI'!$A:$AZ,MATCH($A$1,'DB Country PMI'!$A$1:$AZ$1,),))</f>
        <v>37.5</v>
      </c>
      <c r="C18" s="24">
        <f>Table1346811121415161718192022252627[[#This Row],[PMI]]-B17</f>
        <v>7.3999999999999986</v>
      </c>
    </row>
    <row r="19" spans="1:3" x14ac:dyDescent="0.2">
      <c r="A19" s="10">
        <v>39965</v>
      </c>
      <c r="B19" s="18">
        <f>IF(VLOOKUP(A19,'DB Country PMI'!$A:$AZ,MATCH($A$1,'DB Country PMI'!$A$1:$AZ$1,),)=0,#N/A,VLOOKUP(A19,'DB Country PMI'!$A:$AZ,MATCH($A$1,'DB Country PMI'!$A$1:$AZ$1,),))</f>
        <v>38.4</v>
      </c>
      <c r="C19" s="24">
        <f>Table1346811121415161718192022252627[[#This Row],[PMI]]-B18</f>
        <v>0.89999999999999858</v>
      </c>
    </row>
    <row r="20" spans="1:3" x14ac:dyDescent="0.2">
      <c r="A20" s="10">
        <v>39995</v>
      </c>
      <c r="B20" s="18">
        <f>IF(VLOOKUP(A20,'DB Country PMI'!$A:$AZ,MATCH($A$1,'DB Country PMI'!$A$1:$AZ$1,),)=0,#N/A,VLOOKUP(A20,'DB Country PMI'!$A:$AZ,MATCH($A$1,'DB Country PMI'!$A$1:$AZ$1,),))</f>
        <v>44.5</v>
      </c>
      <c r="C20" s="24">
        <f>Table1346811121415161718192022252627[[#This Row],[PMI]]-B19</f>
        <v>6.1000000000000014</v>
      </c>
    </row>
    <row r="21" spans="1:3" x14ac:dyDescent="0.2">
      <c r="A21" s="10">
        <v>40026</v>
      </c>
      <c r="B21" s="18">
        <f>IF(VLOOKUP(A21,'DB Country PMI'!$A:$AZ,MATCH($A$1,'DB Country PMI'!$A$1:$AZ$1,),)=0,#N/A,VLOOKUP(A21,'DB Country PMI'!$A:$AZ,MATCH($A$1,'DB Country PMI'!$A$1:$AZ$1,),))</f>
        <v>51.7</v>
      </c>
      <c r="C21" s="24">
        <f>Table1346811121415161718192022252627[[#This Row],[PMI]]-B20</f>
        <v>7.2000000000000028</v>
      </c>
    </row>
    <row r="22" spans="1:3" x14ac:dyDescent="0.2">
      <c r="A22" s="10">
        <v>40057</v>
      </c>
      <c r="B22" s="18">
        <f>IF(VLOOKUP(A22,'DB Country PMI'!$A:$AZ,MATCH($A$1,'DB Country PMI'!$A$1:$AZ$1,),)=0,#N/A,VLOOKUP(A22,'DB Country PMI'!$A:$AZ,MATCH($A$1,'DB Country PMI'!$A$1:$AZ$1,),))</f>
        <v>52</v>
      </c>
      <c r="C22" s="24">
        <f>Table1346811121415161718192022252627[[#This Row],[PMI]]-B21</f>
        <v>0.29999999999999716</v>
      </c>
    </row>
    <row r="23" spans="1:3" x14ac:dyDescent="0.2">
      <c r="A23" s="10">
        <v>40087</v>
      </c>
      <c r="B23" s="18">
        <f>IF(VLOOKUP(A23,'DB Country PMI'!$A:$AZ,MATCH($A$1,'DB Country PMI'!$A$1:$AZ$1,),)=0,#N/A,VLOOKUP(A23,'DB Country PMI'!$A:$AZ,MATCH($A$1,'DB Country PMI'!$A$1:$AZ$1,),))</f>
        <v>51.7</v>
      </c>
      <c r="C23" s="24">
        <f>Table1346811121415161718192022252627[[#This Row],[PMI]]-B22</f>
        <v>-0.29999999999999716</v>
      </c>
    </row>
    <row r="24" spans="1:3" x14ac:dyDescent="0.2">
      <c r="A24" s="10">
        <v>40118</v>
      </c>
      <c r="B24" s="18">
        <f>IF(VLOOKUP(A24,'DB Country PMI'!$A:$AZ,MATCH($A$1,'DB Country PMI'!$A$1:$AZ$1,),)=0,#N/A,VLOOKUP(A24,'DB Country PMI'!$A:$AZ,MATCH($A$1,'DB Country PMI'!$A$1:$AZ$1,),))</f>
        <v>51.2</v>
      </c>
      <c r="C24" s="24">
        <f>Table1346811121415161718192022252627[[#This Row],[PMI]]-B23</f>
        <v>-0.5</v>
      </c>
    </row>
    <row r="25" spans="1:3" x14ac:dyDescent="0.2">
      <c r="A25" s="10">
        <v>40148</v>
      </c>
      <c r="B25" s="18">
        <f>IF(VLOOKUP(A25,'DB Country PMI'!$A:$AZ,MATCH($A$1,'DB Country PMI'!$A$1:$AZ$1,),)=0,#N/A,VLOOKUP(A25,'DB Country PMI'!$A:$AZ,MATCH($A$1,'DB Country PMI'!$A$1:$AZ$1,),))</f>
        <v>48.5</v>
      </c>
      <c r="C25" s="24">
        <f>Table1346811121415161718192022252627[[#This Row],[PMI]]-B24</f>
        <v>-2.7000000000000028</v>
      </c>
    </row>
    <row r="26" spans="1:3" x14ac:dyDescent="0.2">
      <c r="A26" s="10">
        <v>40179</v>
      </c>
      <c r="B26" s="18">
        <f>IF(VLOOKUP(A26,'DB Country PMI'!$A:$AZ,MATCH($A$1,'DB Country PMI'!$A$1:$AZ$1,),)=0,#N/A,VLOOKUP(A26,'DB Country PMI'!$A:$AZ,MATCH($A$1,'DB Country PMI'!$A$1:$AZ$1,),))</f>
        <v>51</v>
      </c>
      <c r="C26" s="24">
        <f>Table1346811121415161718192022252627[[#This Row],[PMI]]-B25</f>
        <v>2.5</v>
      </c>
    </row>
    <row r="27" spans="1:3" x14ac:dyDescent="0.2">
      <c r="A27" s="10">
        <v>40210</v>
      </c>
      <c r="B27" s="18">
        <f>IF(VLOOKUP(A27,'DB Country PMI'!$A:$AZ,MATCH($A$1,'DB Country PMI'!$A$1:$AZ$1,),)=0,#N/A,VLOOKUP(A27,'DB Country PMI'!$A:$AZ,MATCH($A$1,'DB Country PMI'!$A$1:$AZ$1,),))</f>
        <v>53.8</v>
      </c>
      <c r="C27" s="24">
        <f>Table1346811121415161718192022252627[[#This Row],[PMI]]-B26</f>
        <v>2.7999999999999972</v>
      </c>
    </row>
    <row r="28" spans="1:3" x14ac:dyDescent="0.2">
      <c r="A28" s="10">
        <v>40238</v>
      </c>
      <c r="B28" s="18">
        <f>IF(VLOOKUP(A28,'DB Country PMI'!$A:$AZ,MATCH($A$1,'DB Country PMI'!$A$1:$AZ$1,),)=0,#N/A,VLOOKUP(A28,'DB Country PMI'!$A:$AZ,MATCH($A$1,'DB Country PMI'!$A$1:$AZ$1,),))</f>
        <v>50.2</v>
      </c>
      <c r="C28" s="24">
        <f>Table1346811121415161718192022252627[[#This Row],[PMI]]-B27</f>
        <v>-3.5999999999999943</v>
      </c>
    </row>
    <row r="29" spans="1:3" x14ac:dyDescent="0.2">
      <c r="A29" s="10">
        <v>40269</v>
      </c>
      <c r="B29" s="18">
        <f>IF(VLOOKUP(A29,'DB Country PMI'!$A:$AZ,MATCH($A$1,'DB Country PMI'!$A$1:$AZ$1,),)=0,#N/A,VLOOKUP(A29,'DB Country PMI'!$A:$AZ,MATCH($A$1,'DB Country PMI'!$A$1:$AZ$1,),))</f>
        <v>59.8</v>
      </c>
      <c r="C29" s="24">
        <f>Table1346811121415161718192022252627[[#This Row],[PMI]]-B28</f>
        <v>9.5999999999999943</v>
      </c>
    </row>
    <row r="30" spans="1:3" x14ac:dyDescent="0.2">
      <c r="A30" s="10">
        <v>40299</v>
      </c>
      <c r="B30" s="18">
        <f>IF(VLOOKUP(A30,'DB Country PMI'!$A:$AZ,MATCH($A$1,'DB Country PMI'!$A$1:$AZ$1,),)=0,#N/A,VLOOKUP(A30,'DB Country PMI'!$A:$AZ,MATCH($A$1,'DB Country PMI'!$A$1:$AZ$1,),))</f>
        <v>56.3</v>
      </c>
      <c r="C30" s="24">
        <f>Table1346811121415161718192022252627[[#This Row],[PMI]]-B29</f>
        <v>-3.5</v>
      </c>
    </row>
    <row r="31" spans="1:3" x14ac:dyDescent="0.2">
      <c r="A31" s="10">
        <v>40330</v>
      </c>
      <c r="B31" s="18">
        <f>IF(VLOOKUP(A31,'DB Country PMI'!$A:$AZ,MATCH($A$1,'DB Country PMI'!$A$1:$AZ$1,),)=0,#N/A,VLOOKUP(A31,'DB Country PMI'!$A:$AZ,MATCH($A$1,'DB Country PMI'!$A$1:$AZ$1,),))</f>
        <v>52.9</v>
      </c>
      <c r="C31" s="24">
        <f>Table1346811121415161718192022252627[[#This Row],[PMI]]-B30</f>
        <v>-3.3999999999999986</v>
      </c>
    </row>
    <row r="32" spans="1:3" x14ac:dyDescent="0.2">
      <c r="A32" s="10">
        <v>40360</v>
      </c>
      <c r="B32" s="18">
        <f>IF(VLOOKUP(A32,'DB Country PMI'!$A:$AZ,MATCH($A$1,'DB Country PMI'!$A$1:$AZ$1,),)=0,#N/A,VLOOKUP(A32,'DB Country PMI'!$A:$AZ,MATCH($A$1,'DB Country PMI'!$A$1:$AZ$1,),))</f>
        <v>54.4</v>
      </c>
      <c r="C32" s="24">
        <f>Table1346811121415161718192022252627[[#This Row],[PMI]]-B31</f>
        <v>1.5</v>
      </c>
    </row>
    <row r="33" spans="1:3" x14ac:dyDescent="0.2">
      <c r="A33" s="10">
        <v>40391</v>
      </c>
      <c r="B33" s="18">
        <f>IF(VLOOKUP(A33,'DB Country PMI'!$A:$AZ,MATCH($A$1,'DB Country PMI'!$A$1:$AZ$1,),)=0,#N/A,VLOOKUP(A33,'DB Country PMI'!$A:$AZ,MATCH($A$1,'DB Country PMI'!$A$1:$AZ$1,),))</f>
        <v>51.7</v>
      </c>
      <c r="C33" s="24">
        <f>Table1346811121415161718192022252627[[#This Row],[PMI]]-B32</f>
        <v>-2.6999999999999957</v>
      </c>
    </row>
    <row r="34" spans="1:3" x14ac:dyDescent="0.2">
      <c r="A34" s="10">
        <v>40422</v>
      </c>
      <c r="B34" s="18">
        <f>IF(VLOOKUP(A34,'DB Country PMI'!$A:$AZ,MATCH($A$1,'DB Country PMI'!$A$1:$AZ$1,),)=0,#N/A,VLOOKUP(A34,'DB Country PMI'!$A:$AZ,MATCH($A$1,'DB Country PMI'!$A$1:$AZ$1,),))</f>
        <v>47.3</v>
      </c>
      <c r="C34" s="24">
        <f>Table1346811121415161718192022252627[[#This Row],[PMI]]-B33</f>
        <v>-4.4000000000000057</v>
      </c>
    </row>
    <row r="35" spans="1:3" x14ac:dyDescent="0.2">
      <c r="A35" s="10">
        <v>40452</v>
      </c>
      <c r="B35" s="18">
        <f>IF(VLOOKUP(A35,'DB Country PMI'!$A:$AZ,MATCH($A$1,'DB Country PMI'!$A$1:$AZ$1,),)=0,#N/A,VLOOKUP(A35,'DB Country PMI'!$A:$AZ,MATCH($A$1,'DB Country PMI'!$A$1:$AZ$1,),))</f>
        <v>49.4</v>
      </c>
      <c r="C35" s="24">
        <f>Table1346811121415161718192022252627[[#This Row],[PMI]]-B34</f>
        <v>2.1000000000000014</v>
      </c>
    </row>
    <row r="36" spans="1:3" x14ac:dyDescent="0.2">
      <c r="A36" s="10">
        <v>40483</v>
      </c>
      <c r="B36" s="18">
        <f>IF(VLOOKUP(A36,'DB Country PMI'!$A:$AZ,MATCH($A$1,'DB Country PMI'!$A$1:$AZ$1,),)=0,#N/A,VLOOKUP(A36,'DB Country PMI'!$A:$AZ,MATCH($A$1,'DB Country PMI'!$A$1:$AZ$1,),))</f>
        <v>47.6</v>
      </c>
      <c r="C36" s="24">
        <f>Table1346811121415161718192022252627[[#This Row],[PMI]]-B35</f>
        <v>-1.7999999999999972</v>
      </c>
    </row>
    <row r="37" spans="1:3" x14ac:dyDescent="0.2">
      <c r="A37" s="10">
        <v>40513</v>
      </c>
      <c r="B37" s="18">
        <f>IF(VLOOKUP(A37,'DB Country PMI'!$A:$AZ,MATCH($A$1,'DB Country PMI'!$A$1:$AZ$1,),)=0,#N/A,VLOOKUP(A37,'DB Country PMI'!$A:$AZ,MATCH($A$1,'DB Country PMI'!$A$1:$AZ$1,),))</f>
        <v>46.3</v>
      </c>
      <c r="C37" s="24">
        <f>Table1346811121415161718192022252627[[#This Row],[PMI]]-B36</f>
        <v>-1.3000000000000043</v>
      </c>
    </row>
    <row r="38" spans="1:3" x14ac:dyDescent="0.2">
      <c r="A38" s="10">
        <v>40544</v>
      </c>
      <c r="B38" s="18">
        <f>IF(VLOOKUP(A38,'DB Country PMI'!$A:$AZ,MATCH($A$1,'DB Country PMI'!$A$1:$AZ$1,),)=0,#N/A,VLOOKUP(A38,'DB Country PMI'!$A:$AZ,MATCH($A$1,'DB Country PMI'!$A$1:$AZ$1,),))</f>
        <v>46.7</v>
      </c>
      <c r="C38" s="24">
        <f>Table1346811121415161718192022252627[[#This Row],[PMI]]-B37</f>
        <v>0.40000000000000568</v>
      </c>
    </row>
    <row r="39" spans="1:3" x14ac:dyDescent="0.2">
      <c r="A39" s="10">
        <v>40575</v>
      </c>
      <c r="B39" s="18">
        <f>IF(VLOOKUP(A39,'DB Country PMI'!$A:$AZ,MATCH($A$1,'DB Country PMI'!$A$1:$AZ$1,),)=0,#N/A,VLOOKUP(A39,'DB Country PMI'!$A:$AZ,MATCH($A$1,'DB Country PMI'!$A$1:$AZ$1,),))</f>
        <v>51.1</v>
      </c>
      <c r="C39" s="24">
        <f>Table1346811121415161718192022252627[[#This Row],[PMI]]-B38</f>
        <v>4.3999999999999986</v>
      </c>
    </row>
    <row r="40" spans="1:3" x14ac:dyDescent="0.2">
      <c r="A40" s="10">
        <v>40603</v>
      </c>
      <c r="B40" s="18">
        <f>IF(VLOOKUP(A40,'DB Country PMI'!$A:$AZ,MATCH($A$1,'DB Country PMI'!$A$1:$AZ$1,),)=0,#N/A,VLOOKUP(A40,'DB Country PMI'!$A:$AZ,MATCH($A$1,'DB Country PMI'!$A$1:$AZ$1,),))</f>
        <v>47.9</v>
      </c>
      <c r="C40" s="24">
        <f>Table1346811121415161718192022252627[[#This Row],[PMI]]-B39</f>
        <v>-3.2000000000000028</v>
      </c>
    </row>
    <row r="41" spans="1:3" x14ac:dyDescent="0.2">
      <c r="A41" s="10">
        <v>40634</v>
      </c>
      <c r="B41" s="18">
        <f>IF(VLOOKUP(A41,'DB Country PMI'!$A:$AZ,MATCH($A$1,'DB Country PMI'!$A$1:$AZ$1,),)=0,#N/A,VLOOKUP(A41,'DB Country PMI'!$A:$AZ,MATCH($A$1,'DB Country PMI'!$A$1:$AZ$1,),))</f>
        <v>48.4</v>
      </c>
      <c r="C41" s="24">
        <f>Table1346811121415161718192022252627[[#This Row],[PMI]]-B40</f>
        <v>0.5</v>
      </c>
    </row>
    <row r="42" spans="1:3" x14ac:dyDescent="0.2">
      <c r="A42" s="10">
        <v>40664</v>
      </c>
      <c r="B42" s="18">
        <f>IF(VLOOKUP(A42,'DB Country PMI'!$A:$AZ,MATCH($A$1,'DB Country PMI'!$A$1:$AZ$1,),)=0,#N/A,VLOOKUP(A42,'DB Country PMI'!$A:$AZ,MATCH($A$1,'DB Country PMI'!$A$1:$AZ$1,),))</f>
        <v>47.7</v>
      </c>
      <c r="C42" s="24">
        <f>Table1346811121415161718192022252627[[#This Row],[PMI]]-B41</f>
        <v>-0.69999999999999574</v>
      </c>
    </row>
    <row r="43" spans="1:3" x14ac:dyDescent="0.2">
      <c r="A43" s="10">
        <v>40695</v>
      </c>
      <c r="B43" s="18">
        <f>IF(VLOOKUP(A43,'DB Country PMI'!$A:$AZ,MATCH($A$1,'DB Country PMI'!$A$1:$AZ$1,),)=0,#N/A,VLOOKUP(A43,'DB Country PMI'!$A:$AZ,MATCH($A$1,'DB Country PMI'!$A$1:$AZ$1,),))</f>
        <v>52.9</v>
      </c>
      <c r="C43" s="24">
        <f>Table1346811121415161718192022252627[[#This Row],[PMI]]-B42</f>
        <v>5.1999999999999957</v>
      </c>
    </row>
    <row r="44" spans="1:3" x14ac:dyDescent="0.2">
      <c r="A44" s="10">
        <v>40725</v>
      </c>
      <c r="B44" s="18">
        <f>IF(VLOOKUP(A44,'DB Country PMI'!$A:$AZ,MATCH($A$1,'DB Country PMI'!$A$1:$AZ$1,),)=0,#N/A,VLOOKUP(A44,'DB Country PMI'!$A:$AZ,MATCH($A$1,'DB Country PMI'!$A$1:$AZ$1,),))</f>
        <v>43.4</v>
      </c>
      <c r="C44" s="24">
        <f>Table1346811121415161718192022252627[[#This Row],[PMI]]-B43</f>
        <v>-9.5</v>
      </c>
    </row>
    <row r="45" spans="1:3" x14ac:dyDescent="0.2">
      <c r="A45" s="10">
        <v>40756</v>
      </c>
      <c r="B45" s="18">
        <f>IF(VLOOKUP(A45,'DB Country PMI'!$A:$AZ,MATCH($A$1,'DB Country PMI'!$A$1:$AZ$1,),)=0,#N/A,VLOOKUP(A45,'DB Country PMI'!$A:$AZ,MATCH($A$1,'DB Country PMI'!$A$1:$AZ$1,),))</f>
        <v>43.3</v>
      </c>
      <c r="C45" s="24">
        <f>Table1346811121415161718192022252627[[#This Row],[PMI]]-B44</f>
        <v>-0.10000000000000142</v>
      </c>
    </row>
    <row r="46" spans="1:3" x14ac:dyDescent="0.2">
      <c r="A46" s="10">
        <v>40787</v>
      </c>
      <c r="B46" s="18">
        <f>IF(VLOOKUP(A46,'DB Country PMI'!$A:$AZ,MATCH($A$1,'DB Country PMI'!$A$1:$AZ$1,),)=0,#N/A,VLOOKUP(A46,'DB Country PMI'!$A:$AZ,MATCH($A$1,'DB Country PMI'!$A$1:$AZ$1,),))</f>
        <v>42.3</v>
      </c>
      <c r="C46" s="24">
        <f>Table1346811121415161718192022252627[[#This Row],[PMI]]-B45</f>
        <v>-1</v>
      </c>
    </row>
    <row r="47" spans="1:3" x14ac:dyDescent="0.2">
      <c r="A47" s="10">
        <v>40817</v>
      </c>
      <c r="B47" s="18">
        <f>IF(VLOOKUP(A47,'DB Country PMI'!$A:$AZ,MATCH($A$1,'DB Country PMI'!$A$1:$AZ$1,),)=0,#N/A,VLOOKUP(A47,'DB Country PMI'!$A:$AZ,MATCH($A$1,'DB Country PMI'!$A$1:$AZ$1,),))</f>
        <v>47.4</v>
      </c>
      <c r="C47" s="24">
        <f>Table1346811121415161718192022252627[[#This Row],[PMI]]-B46</f>
        <v>5.1000000000000014</v>
      </c>
    </row>
    <row r="48" spans="1:3" x14ac:dyDescent="0.2">
      <c r="A48" s="10">
        <v>40848</v>
      </c>
      <c r="B48" s="18">
        <f>IF(VLOOKUP(A48,'DB Country PMI'!$A:$AZ,MATCH($A$1,'DB Country PMI'!$A$1:$AZ$1,),)=0,#N/A,VLOOKUP(A48,'DB Country PMI'!$A:$AZ,MATCH($A$1,'DB Country PMI'!$A$1:$AZ$1,),))</f>
        <v>47.8</v>
      </c>
      <c r="C48" s="24">
        <f>Table1346811121415161718192022252627[[#This Row],[PMI]]-B47</f>
        <v>0.39999999999999858</v>
      </c>
    </row>
    <row r="49" spans="1:3" x14ac:dyDescent="0.2">
      <c r="A49" s="10">
        <v>40878</v>
      </c>
      <c r="B49" s="18">
        <f>IF(VLOOKUP(A49,'DB Country PMI'!$A:$AZ,MATCH($A$1,'DB Country PMI'!$A$1:$AZ$1,),)=0,#N/A,VLOOKUP(A49,'DB Country PMI'!$A:$AZ,MATCH($A$1,'DB Country PMI'!$A$1:$AZ$1,),))</f>
        <v>50.2</v>
      </c>
      <c r="C49" s="24">
        <f>Table1346811121415161718192022252627[[#This Row],[PMI]]-B48</f>
        <v>2.4000000000000057</v>
      </c>
    </row>
    <row r="50" spans="1:3" x14ac:dyDescent="0.2">
      <c r="A50" s="10">
        <v>40909</v>
      </c>
      <c r="B50" s="18">
        <f>IF(VLOOKUP(A50,'DB Country PMI'!$A:$AZ,MATCH($A$1,'DB Country PMI'!$A$1:$AZ$1,),)=0,#N/A,VLOOKUP(A50,'DB Country PMI'!$A:$AZ,MATCH($A$1,'DB Country PMI'!$A$1:$AZ$1,),))</f>
        <v>51.6</v>
      </c>
      <c r="C50" s="24">
        <f>Table1346811121415161718192022252627[[#This Row],[PMI]]-B49</f>
        <v>1.3999999999999986</v>
      </c>
    </row>
    <row r="51" spans="1:3" x14ac:dyDescent="0.2">
      <c r="A51" s="10">
        <v>40940</v>
      </c>
      <c r="B51" s="18">
        <f>IF(VLOOKUP(A51,'DB Country PMI'!$A:$AZ,MATCH($A$1,'DB Country PMI'!$A$1:$AZ$1,),)=0,#N/A,VLOOKUP(A51,'DB Country PMI'!$A:$AZ,MATCH($A$1,'DB Country PMI'!$A$1:$AZ$1,),))</f>
        <v>51.3</v>
      </c>
      <c r="C51" s="24">
        <f>Table1346811121415161718192022252627[[#This Row],[PMI]]-B50</f>
        <v>-0.30000000000000426</v>
      </c>
    </row>
    <row r="52" spans="1:3" x14ac:dyDescent="0.2">
      <c r="A52" s="10">
        <v>40969</v>
      </c>
      <c r="B52" s="18">
        <f>IF(VLOOKUP(A52,'DB Country PMI'!$A:$AZ,MATCH($A$1,'DB Country PMI'!$A$1:$AZ$1,),)=0,#N/A,VLOOKUP(A52,'DB Country PMI'!$A:$AZ,MATCH($A$1,'DB Country PMI'!$A$1:$AZ$1,),))</f>
        <v>49.5</v>
      </c>
      <c r="C52" s="24">
        <f>Table1346811121415161718192022252627[[#This Row],[PMI]]-B51</f>
        <v>-1.7999999999999972</v>
      </c>
    </row>
    <row r="53" spans="1:3" x14ac:dyDescent="0.2">
      <c r="A53" s="10">
        <v>41000</v>
      </c>
      <c r="B53" s="18">
        <f>IF(VLOOKUP(A53,'DB Country PMI'!$A:$AZ,MATCH($A$1,'DB Country PMI'!$A$1:$AZ$1,),)=0,#N/A,VLOOKUP(A53,'DB Country PMI'!$A:$AZ,MATCH($A$1,'DB Country PMI'!$A$1:$AZ$1,),))</f>
        <v>43.9</v>
      </c>
      <c r="C53" s="24">
        <f>Table1346811121415161718192022252627[[#This Row],[PMI]]-B52</f>
        <v>-5.6000000000000014</v>
      </c>
    </row>
    <row r="54" spans="1:3" x14ac:dyDescent="0.2">
      <c r="A54" s="10">
        <v>41030</v>
      </c>
      <c r="B54" s="18">
        <f>IF(VLOOKUP(A54,'DB Country PMI'!$A:$AZ,MATCH($A$1,'DB Country PMI'!$A$1:$AZ$1,),)=0,#N/A,VLOOKUP(A54,'DB Country PMI'!$A:$AZ,MATCH($A$1,'DB Country PMI'!$A$1:$AZ$1,),))</f>
        <v>42.4</v>
      </c>
      <c r="C54" s="24">
        <f>Table1346811121415161718192022252627[[#This Row],[PMI]]-B53</f>
        <v>-1.5</v>
      </c>
    </row>
    <row r="55" spans="1:3" x14ac:dyDescent="0.2">
      <c r="A55" s="10">
        <v>41061</v>
      </c>
      <c r="B55" s="18">
        <f>IF(VLOOKUP(A55,'DB Country PMI'!$A:$AZ,MATCH($A$1,'DB Country PMI'!$A$1:$AZ$1,),)=0,#N/A,VLOOKUP(A55,'DB Country PMI'!$A:$AZ,MATCH($A$1,'DB Country PMI'!$A$1:$AZ$1,),))</f>
        <v>47.2</v>
      </c>
      <c r="C55" s="24">
        <f>Table1346811121415161718192022252627[[#This Row],[PMI]]-B54</f>
        <v>4.8000000000000043</v>
      </c>
    </row>
    <row r="56" spans="1:3" x14ac:dyDescent="0.2">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2">
      <c r="A57" s="10">
        <v>41122</v>
      </c>
      <c r="B57" s="18">
        <f>IF(VLOOKUP(A57,'DB Country PMI'!$A:$AZ,MATCH($A$1,'DB Country PMI'!$A$1:$AZ$1,),)=0,#N/A,VLOOKUP(A57,'DB Country PMI'!$A:$AZ,MATCH($A$1,'DB Country PMI'!$A$1:$AZ$1,),))</f>
        <v>45.3</v>
      </c>
      <c r="C57" s="24">
        <f>Table1346811121415161718192022252627[[#This Row],[PMI]]-B56</f>
        <v>5</v>
      </c>
    </row>
    <row r="58" spans="1:3" x14ac:dyDescent="0.2">
      <c r="A58" s="10">
        <v>41153</v>
      </c>
      <c r="B58" s="18">
        <f>IF(VLOOKUP(A58,'DB Country PMI'!$A:$AZ,MATCH($A$1,'DB Country PMI'!$A$1:$AZ$1,),)=0,#N/A,VLOOKUP(A58,'DB Country PMI'!$A:$AZ,MATCH($A$1,'DB Country PMI'!$A$1:$AZ$1,),))</f>
        <v>44.1</v>
      </c>
      <c r="C58" s="24">
        <f>Table1346811121415161718192022252627[[#This Row],[PMI]]-B57</f>
        <v>-1.1999999999999957</v>
      </c>
    </row>
    <row r="59" spans="1:3" x14ac:dyDescent="0.2">
      <c r="A59" s="10">
        <v>41183</v>
      </c>
      <c r="B59" s="18">
        <f>IF(VLOOKUP(A59,'DB Country PMI'!$A:$AZ,MATCH($A$1,'DB Country PMI'!$A$1:$AZ$1,),)=0,#N/A,VLOOKUP(A59,'DB Country PMI'!$A:$AZ,MATCH($A$1,'DB Country PMI'!$A$1:$AZ$1,),))</f>
        <v>45.2</v>
      </c>
      <c r="C59" s="24">
        <f>Table1346811121415161718192022252627[[#This Row],[PMI]]-B58</f>
        <v>1.1000000000000014</v>
      </c>
    </row>
    <row r="60" spans="1:3" x14ac:dyDescent="0.2">
      <c r="A60" s="10">
        <v>41214</v>
      </c>
      <c r="B60" s="18">
        <f>IF(VLOOKUP(A60,'DB Country PMI'!$A:$AZ,MATCH($A$1,'DB Country PMI'!$A$1:$AZ$1,),)=0,#N/A,VLOOKUP(A60,'DB Country PMI'!$A:$AZ,MATCH($A$1,'DB Country PMI'!$A$1:$AZ$1,),))</f>
        <v>43.6</v>
      </c>
      <c r="C60" s="24">
        <f>Table1346811121415161718192022252627[[#This Row],[PMI]]-B59</f>
        <v>-1.6000000000000014</v>
      </c>
    </row>
    <row r="61" spans="1:3" x14ac:dyDescent="0.2">
      <c r="A61" s="10">
        <v>41244</v>
      </c>
      <c r="B61" s="18">
        <f>IF(VLOOKUP(A61,'DB Country PMI'!$A:$AZ,MATCH($A$1,'DB Country PMI'!$A$1:$AZ$1,),)=0,#N/A,VLOOKUP(A61,'DB Country PMI'!$A:$AZ,MATCH($A$1,'DB Country PMI'!$A$1:$AZ$1,),))</f>
        <v>44.3</v>
      </c>
      <c r="C61" s="24">
        <f>Table1346811121415161718192022252627[[#This Row],[PMI]]-B60</f>
        <v>0.69999999999999574</v>
      </c>
    </row>
    <row r="62" spans="1:3" x14ac:dyDescent="0.2">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2">
      <c r="A63" s="10">
        <v>41306</v>
      </c>
      <c r="B63" s="18">
        <f>IF(VLOOKUP(A63,'DB Country PMI'!$A:$AZ,MATCH($A$1,'DB Country PMI'!$A$1:$AZ$1,),)=0,#N/A,VLOOKUP(A63,'DB Country PMI'!$A:$AZ,MATCH($A$1,'DB Country PMI'!$A$1:$AZ$1,),))</f>
        <v>45.6</v>
      </c>
      <c r="C63" s="24">
        <f>Table1346811121415161718192022252627[[#This Row],[PMI]]-B62</f>
        <v>5.3999999999999986</v>
      </c>
    </row>
    <row r="64" spans="1:3" x14ac:dyDescent="0.2">
      <c r="A64" s="10">
        <v>41334</v>
      </c>
      <c r="B64" s="18">
        <f>IF(VLOOKUP(A64,'DB Country PMI'!$A:$AZ,MATCH($A$1,'DB Country PMI'!$A$1:$AZ$1,),)=0,#N/A,VLOOKUP(A64,'DB Country PMI'!$A:$AZ,MATCH($A$1,'DB Country PMI'!$A$1:$AZ$1,),))</f>
        <v>44.4</v>
      </c>
      <c r="C64" s="24">
        <f>Table1346811121415161718192022252627[[#This Row],[PMI]]-B63</f>
        <v>-1.2000000000000028</v>
      </c>
    </row>
    <row r="65" spans="1:3" x14ac:dyDescent="0.2">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2">
      <c r="A66" s="10">
        <v>41395</v>
      </c>
      <c r="B66" s="18">
        <f>IF(VLOOKUP(A66,'DB Country PMI'!$A:$AZ,MATCH($A$1,'DB Country PMI'!$A$1:$AZ$1,),)=0,#N/A,VLOOKUP(A66,'DB Country PMI'!$A:$AZ,MATCH($A$1,'DB Country PMI'!$A$1:$AZ$1,),))</f>
        <v>43.8</v>
      </c>
      <c r="C66" s="24">
        <f>Table1346811121415161718192022252627[[#This Row],[PMI]]-B65</f>
        <v>7.0999999999999943</v>
      </c>
    </row>
    <row r="67" spans="1:3" x14ac:dyDescent="0.2">
      <c r="A67" s="10">
        <v>41426</v>
      </c>
      <c r="B67" s="18">
        <f>IF(VLOOKUP(A67,'DB Country PMI'!$A:$AZ,MATCH($A$1,'DB Country PMI'!$A$1:$AZ$1,),)=0,#N/A,VLOOKUP(A67,'DB Country PMI'!$A:$AZ,MATCH($A$1,'DB Country PMI'!$A$1:$AZ$1,),))</f>
        <v>49.6</v>
      </c>
      <c r="C67" s="24">
        <f>Table1346811121415161718192022252627[[#This Row],[PMI]]-B66</f>
        <v>5.8000000000000043</v>
      </c>
    </row>
    <row r="68" spans="1:3" x14ac:dyDescent="0.2">
      <c r="A68" s="10">
        <v>41456</v>
      </c>
      <c r="B68" s="18">
        <f>IF(VLOOKUP(A68,'DB Country PMI'!$A:$AZ,MATCH($A$1,'DB Country PMI'!$A$1:$AZ$1,),)=0,#N/A,VLOOKUP(A68,'DB Country PMI'!$A:$AZ,MATCH($A$1,'DB Country PMI'!$A$1:$AZ$1,),))</f>
        <v>42</v>
      </c>
      <c r="C68" s="24">
        <f>Table1346811121415161718192022252627[[#This Row],[PMI]]-B67</f>
        <v>-7.6000000000000014</v>
      </c>
    </row>
    <row r="69" spans="1:3" x14ac:dyDescent="0.2">
      <c r="A69" s="10">
        <v>41487</v>
      </c>
      <c r="B69" s="18">
        <f>IF(VLOOKUP(A69,'DB Country PMI'!$A:$AZ,MATCH($A$1,'DB Country PMI'!$A$1:$AZ$1,),)=0,#N/A,VLOOKUP(A69,'DB Country PMI'!$A:$AZ,MATCH($A$1,'DB Country PMI'!$A$1:$AZ$1,),))</f>
        <v>46.4</v>
      </c>
      <c r="C69" s="24">
        <f>Table1346811121415161718192022252627[[#This Row],[PMI]]-B68</f>
        <v>4.3999999999999986</v>
      </c>
    </row>
    <row r="70" spans="1:3" x14ac:dyDescent="0.2">
      <c r="A70" s="10">
        <v>41518</v>
      </c>
      <c r="B70" s="18">
        <f>IF(VLOOKUP(A70,'DB Country PMI'!$A:$AZ,MATCH($A$1,'DB Country PMI'!$A$1:$AZ$1,),)=0,#N/A,VLOOKUP(A70,'DB Country PMI'!$A:$AZ,MATCH($A$1,'DB Country PMI'!$A$1:$AZ$1,),))</f>
        <v>51.7</v>
      </c>
      <c r="C70" s="24">
        <f>Table1346811121415161718192022252627[[#This Row],[PMI]]-B69</f>
        <v>5.3000000000000043</v>
      </c>
    </row>
    <row r="71" spans="1:3" x14ac:dyDescent="0.2">
      <c r="A71" s="10">
        <v>41548</v>
      </c>
      <c r="B71" s="18">
        <f>IF(VLOOKUP(A71,'DB Country PMI'!$A:$AZ,MATCH($A$1,'DB Country PMI'!$A$1:$AZ$1,),)=0,#N/A,VLOOKUP(A71,'DB Country PMI'!$A:$AZ,MATCH($A$1,'DB Country PMI'!$A$1:$AZ$1,),))</f>
        <v>53.2</v>
      </c>
      <c r="C71" s="24">
        <f>Table1346811121415161718192022252627[[#This Row],[PMI]]-B70</f>
        <v>1.5</v>
      </c>
    </row>
    <row r="72" spans="1:3" x14ac:dyDescent="0.2">
      <c r="A72" s="10">
        <v>41579</v>
      </c>
      <c r="B72" s="18">
        <f>IF(VLOOKUP(A72,'DB Country PMI'!$A:$AZ,MATCH($A$1,'DB Country PMI'!$A$1:$AZ$1,),)=0,#N/A,VLOOKUP(A72,'DB Country PMI'!$A:$AZ,MATCH($A$1,'DB Country PMI'!$A$1:$AZ$1,),))</f>
        <v>47.7</v>
      </c>
      <c r="C72" s="24">
        <f>Table1346811121415161718192022252627[[#This Row],[PMI]]-B71</f>
        <v>-5.5</v>
      </c>
    </row>
    <row r="73" spans="1:3" x14ac:dyDescent="0.2">
      <c r="A73" s="10">
        <v>41609</v>
      </c>
      <c r="B73" s="18">
        <f>IF(VLOOKUP(A73,'DB Country PMI'!$A:$AZ,MATCH($A$1,'DB Country PMI'!$A$1:$AZ$1,),)=0,#N/A,VLOOKUP(A73,'DB Country PMI'!$A:$AZ,MATCH($A$1,'DB Country PMI'!$A$1:$AZ$1,),))</f>
        <v>47.6</v>
      </c>
      <c r="C73" s="24">
        <f>Table1346811121415161718192022252627[[#This Row],[PMI]]-B72</f>
        <v>-0.10000000000000142</v>
      </c>
    </row>
    <row r="74" spans="1:3" x14ac:dyDescent="0.2">
      <c r="A74" s="10">
        <v>41640</v>
      </c>
      <c r="B74" s="18">
        <f>IF(VLOOKUP(A74,'DB Country PMI'!$A:$AZ,MATCH($A$1,'DB Country PMI'!$A$1:$AZ$1,),)=0,#N/A,VLOOKUP(A74,'DB Country PMI'!$A:$AZ,MATCH($A$1,'DB Country PMI'!$A$1:$AZ$1,),))</f>
        <v>46.7</v>
      </c>
      <c r="C74" s="24">
        <f>Table1346811121415161718192022252627[[#This Row],[PMI]]-B73</f>
        <v>-0.89999999999999858</v>
      </c>
    </row>
    <row r="75" spans="1:3" x14ac:dyDescent="0.2">
      <c r="A75" s="10">
        <v>41671</v>
      </c>
      <c r="B75" s="18">
        <f>IF(VLOOKUP(A75,'DB Country PMI'!$A:$AZ,MATCH($A$1,'DB Country PMI'!$A$1:$AZ$1,),)=0,#N/A,VLOOKUP(A75,'DB Country PMI'!$A:$AZ,MATCH($A$1,'DB Country PMI'!$A$1:$AZ$1,),))</f>
        <v>48.6</v>
      </c>
      <c r="C75" s="24">
        <f>Table1346811121415161718192022252627[[#This Row],[PMI]]-B74</f>
        <v>1.8999999999999986</v>
      </c>
    </row>
    <row r="76" spans="1:3" x14ac:dyDescent="0.2">
      <c r="A76" s="10">
        <v>41699</v>
      </c>
      <c r="B76" s="18">
        <f>IF(VLOOKUP(A76,'DB Country PMI'!$A:$AZ,MATCH($A$1,'DB Country PMI'!$A$1:$AZ$1,),)=0,#N/A,VLOOKUP(A76,'DB Country PMI'!$A:$AZ,MATCH($A$1,'DB Country PMI'!$A$1:$AZ$1,),))</f>
        <v>49.7</v>
      </c>
      <c r="C76" s="24">
        <f>Table1346811121415161718192022252627[[#This Row],[PMI]]-B75</f>
        <v>1.1000000000000014</v>
      </c>
    </row>
    <row r="77" spans="1:3" x14ac:dyDescent="0.2">
      <c r="A77" s="10">
        <v>41730</v>
      </c>
      <c r="B77" s="18">
        <f>IF(VLOOKUP(A77,'DB Country PMI'!$A:$AZ,MATCH($A$1,'DB Country PMI'!$A$1:$AZ$1,),)=0,#N/A,VLOOKUP(A77,'DB Country PMI'!$A:$AZ,MATCH($A$1,'DB Country PMI'!$A$1:$AZ$1,),))</f>
        <v>44.8</v>
      </c>
      <c r="C77" s="24">
        <f>Table1346811121415161718192022252627[[#This Row],[PMI]]-B76</f>
        <v>-4.9000000000000057</v>
      </c>
    </row>
    <row r="78" spans="1:3" x14ac:dyDescent="0.2">
      <c r="A78" s="10">
        <v>41760</v>
      </c>
      <c r="B78" s="18">
        <f>IF(VLOOKUP(A78,'DB Country PMI'!$A:$AZ,MATCH($A$1,'DB Country PMI'!$A$1:$AZ$1,),)=0,#N/A,VLOOKUP(A78,'DB Country PMI'!$A:$AZ,MATCH($A$1,'DB Country PMI'!$A$1:$AZ$1,),))</f>
        <v>49.2</v>
      </c>
      <c r="C78" s="24">
        <f>Table1346811121415161718192022252627[[#This Row],[PMI]]-B77</f>
        <v>4.4000000000000057</v>
      </c>
    </row>
    <row r="79" spans="1:3" x14ac:dyDescent="0.2">
      <c r="A79" s="10">
        <v>41791</v>
      </c>
      <c r="B79" s="18">
        <f>IF(VLOOKUP(A79,'DB Country PMI'!$A:$AZ,MATCH($A$1,'DB Country PMI'!$A$1:$AZ$1,),)=0,#N/A,VLOOKUP(A79,'DB Country PMI'!$A:$AZ,MATCH($A$1,'DB Country PMI'!$A$1:$AZ$1,),))</f>
        <v>48.9</v>
      </c>
      <c r="C79" s="24">
        <f>Table1346811121415161718192022252627[[#This Row],[PMI]]-B78</f>
        <v>-0.30000000000000426</v>
      </c>
    </row>
    <row r="80" spans="1:3" x14ac:dyDescent="0.2">
      <c r="A80" s="10">
        <v>41821</v>
      </c>
      <c r="B80" s="18">
        <f>IF(VLOOKUP(A80,'DB Country PMI'!$A:$AZ,MATCH($A$1,'DB Country PMI'!$A$1:$AZ$1,),)=0,#N/A,VLOOKUP(A80,'DB Country PMI'!$A:$AZ,MATCH($A$1,'DB Country PMI'!$A$1:$AZ$1,),))</f>
        <v>50.7</v>
      </c>
      <c r="C80" s="24">
        <f>Table1346811121415161718192022252627[[#This Row],[PMI]]-B79</f>
        <v>1.8000000000000043</v>
      </c>
    </row>
    <row r="81" spans="1:3" x14ac:dyDescent="0.2">
      <c r="A81" s="10">
        <v>41852</v>
      </c>
      <c r="B81" s="18">
        <f>IF(VLOOKUP(A81,'DB Country PMI'!$A:$AZ,MATCH($A$1,'DB Country PMI'!$A$1:$AZ$1,),)=0,#N/A,VLOOKUP(A81,'DB Country PMI'!$A:$AZ,MATCH($A$1,'DB Country PMI'!$A$1:$AZ$1,),))</f>
        <v>47.3</v>
      </c>
      <c r="C81" s="24">
        <f>Table1346811121415161718192022252627[[#This Row],[PMI]]-B80</f>
        <v>-3.4000000000000057</v>
      </c>
    </row>
    <row r="82" spans="1:3" x14ac:dyDescent="0.2">
      <c r="A82" s="10">
        <v>41883</v>
      </c>
      <c r="B82" s="18">
        <f>IF(VLOOKUP(A82,'DB Country PMI'!$A:$AZ,MATCH($A$1,'DB Country PMI'!$A$1:$AZ$1,),)=0,#N/A,VLOOKUP(A82,'DB Country PMI'!$A:$AZ,MATCH($A$1,'DB Country PMI'!$A$1:$AZ$1,),))</f>
        <v>46.5</v>
      </c>
      <c r="C82" s="24">
        <f>Table1346811121415161718192022252627[[#This Row],[PMI]]-B81</f>
        <v>-0.79999999999999716</v>
      </c>
    </row>
    <row r="83" spans="1:3" x14ac:dyDescent="0.2">
      <c r="A83" s="10">
        <v>41913</v>
      </c>
      <c r="B83" s="18">
        <f>IF(VLOOKUP(A83,'DB Country PMI'!$A:$AZ,MATCH($A$1,'DB Country PMI'!$A$1:$AZ$1,),)=0,#N/A,VLOOKUP(A83,'DB Country PMI'!$A:$AZ,MATCH($A$1,'DB Country PMI'!$A$1:$AZ$1,),))</f>
        <v>49.42</v>
      </c>
      <c r="C83" s="24">
        <f>Table1346811121415161718192022252627[[#This Row],[PMI]]-B82</f>
        <v>2.9200000000000017</v>
      </c>
    </row>
    <row r="84" spans="1:3" x14ac:dyDescent="0.2">
      <c r="A84" s="10">
        <v>41944</v>
      </c>
      <c r="B84" s="18">
        <f>IF(VLOOKUP(A84,'DB Country PMI'!$A:$AZ,MATCH($A$1,'DB Country PMI'!$A$1:$AZ$1,),)=0,#N/A,VLOOKUP(A84,'DB Country PMI'!$A:$AZ,MATCH($A$1,'DB Country PMI'!$A$1:$AZ$1,),))</f>
        <v>50.1</v>
      </c>
      <c r="C84" s="24">
        <f>Table1346811121415161718192022252627[[#This Row],[PMI]]-B83</f>
        <v>0.67999999999999972</v>
      </c>
    </row>
    <row r="85" spans="1:3" x14ac:dyDescent="0.2">
      <c r="A85" s="10">
        <v>41974</v>
      </c>
      <c r="B85" s="18">
        <f>IF(VLOOKUP(A85,'DB Country PMI'!$A:$AZ,MATCH($A$1,'DB Country PMI'!$A$1:$AZ$1,),)=0,#N/A,VLOOKUP(A85,'DB Country PMI'!$A:$AZ,MATCH($A$1,'DB Country PMI'!$A$1:$AZ$1,),))</f>
        <v>46.9</v>
      </c>
      <c r="C85" s="24">
        <f>Table1346811121415161718192022252627[[#This Row],[PMI]]-B84</f>
        <v>-3.2000000000000028</v>
      </c>
    </row>
    <row r="86" spans="1:3" x14ac:dyDescent="0.2">
      <c r="A86" s="10">
        <v>42005</v>
      </c>
      <c r="B86" s="18">
        <f>IF(VLOOKUP(A86,'DB Country PMI'!$A:$AZ,MATCH($A$1,'DB Country PMI'!$A$1:$AZ$1,),)=0,#N/A,VLOOKUP(A86,'DB Country PMI'!$A:$AZ,MATCH($A$1,'DB Country PMI'!$A$1:$AZ$1,),))</f>
        <v>49</v>
      </c>
      <c r="C86" s="24">
        <f>Table1346811121415161718192022252627[[#This Row],[PMI]]-B85</f>
        <v>2.1000000000000014</v>
      </c>
    </row>
    <row r="87" spans="1:3" x14ac:dyDescent="0.2">
      <c r="A87" s="10">
        <v>42036</v>
      </c>
      <c r="B87" s="18">
        <f>IF(VLOOKUP(A87,'DB Country PMI'!$A:$AZ,MATCH($A$1,'DB Country PMI'!$A$1:$AZ$1,),)=0,#N/A,VLOOKUP(A87,'DB Country PMI'!$A:$AZ,MATCH($A$1,'DB Country PMI'!$A$1:$AZ$1,),))</f>
        <v>45.4</v>
      </c>
      <c r="C87" s="24">
        <f>Table1346811121415161718192022252627[[#This Row],[PMI]]-B86</f>
        <v>-3.6000000000000014</v>
      </c>
    </row>
    <row r="88" spans="1:3" x14ac:dyDescent="0.2">
      <c r="A88" s="10">
        <v>42064</v>
      </c>
      <c r="B88" s="18">
        <f>IF(VLOOKUP(A88,'DB Country PMI'!$A:$AZ,MATCH($A$1,'DB Country PMI'!$A$1:$AZ$1,),)=0,#N/A,VLOOKUP(A88,'DB Country PMI'!$A:$AZ,MATCH($A$1,'DB Country PMI'!$A$1:$AZ$1,),))</f>
        <v>46.3</v>
      </c>
      <c r="C88" s="24">
        <f>Table1346811121415161718192022252627[[#This Row],[PMI]]-B87</f>
        <v>0.89999999999999858</v>
      </c>
    </row>
    <row r="89" spans="1:3" x14ac:dyDescent="0.2">
      <c r="A89" s="10">
        <v>42095</v>
      </c>
      <c r="B89" s="18">
        <f>IF(VLOOKUP(A89,'DB Country PMI'!$A:$AZ,MATCH($A$1,'DB Country PMI'!$A$1:$AZ$1,),)=0,#N/A,VLOOKUP(A89,'DB Country PMI'!$A:$AZ,MATCH($A$1,'DB Country PMI'!$A$1:$AZ$1,),))</f>
        <v>48</v>
      </c>
      <c r="C89" s="24">
        <f>Table1346811121415161718192022252627[[#This Row],[PMI]]-B88</f>
        <v>1.7000000000000028</v>
      </c>
    </row>
    <row r="90" spans="1:3" x14ac:dyDescent="0.2">
      <c r="A90" s="10">
        <v>42125</v>
      </c>
      <c r="B90" s="18">
        <f>IF(VLOOKUP(A90,'DB Country PMI'!$A:$AZ,MATCH($A$1,'DB Country PMI'!$A$1:$AZ$1,),)=0,#N/A,VLOOKUP(A90,'DB Country PMI'!$A:$AZ,MATCH($A$1,'DB Country PMI'!$A$1:$AZ$1,),))</f>
        <v>52.29</v>
      </c>
      <c r="C90" s="24">
        <f>Table1346811121415161718192022252627[[#This Row],[PMI]]-B89</f>
        <v>4.2899999999999991</v>
      </c>
    </row>
    <row r="91" spans="1:3" x14ac:dyDescent="0.2">
      <c r="A91" s="10">
        <v>42156</v>
      </c>
      <c r="B91" s="18">
        <f>IF(VLOOKUP(A91,'DB Country PMI'!$A:$AZ,MATCH($A$1,'DB Country PMI'!$A$1:$AZ$1,),)=0,#N/A,VLOOKUP(A91,'DB Country PMI'!$A:$AZ,MATCH($A$1,'DB Country PMI'!$A$1:$AZ$1,),))</f>
        <v>44.2</v>
      </c>
      <c r="C91" s="24">
        <f>Table1346811121415161718192022252627[[#This Row],[PMI]]-B90</f>
        <v>-8.0899999999999963</v>
      </c>
    </row>
    <row r="92" spans="1:3" x14ac:dyDescent="0.2">
      <c r="A92" s="10">
        <v>42186</v>
      </c>
      <c r="B92" s="18">
        <f>IF(VLOOKUP(A92,'DB Country PMI'!$A:$AZ,MATCH($A$1,'DB Country PMI'!$A$1:$AZ$1,),)=0,#N/A,VLOOKUP(A92,'DB Country PMI'!$A:$AZ,MATCH($A$1,'DB Country PMI'!$A$1:$AZ$1,),))</f>
        <v>50.4</v>
      </c>
      <c r="C92" s="24">
        <f>Table1346811121415161718192022252627[[#This Row],[PMI]]-B91</f>
        <v>6.1999999999999957</v>
      </c>
    </row>
    <row r="93" spans="1:3" x14ac:dyDescent="0.2">
      <c r="A93" s="10">
        <v>42217</v>
      </c>
      <c r="B93" s="18">
        <f>IF(VLOOKUP(A93,'DB Country PMI'!$A:$AZ,MATCH($A$1,'DB Country PMI'!$A$1:$AZ$1,),)=0,#N/A,VLOOKUP(A93,'DB Country PMI'!$A:$AZ,MATCH($A$1,'DB Country PMI'!$A$1:$AZ$1,),))</f>
        <v>51.7</v>
      </c>
      <c r="C93" s="24">
        <f>Table1346811121415161718192022252627[[#This Row],[PMI]]-B92</f>
        <v>1.3000000000000043</v>
      </c>
    </row>
    <row r="94" spans="1:3" x14ac:dyDescent="0.2">
      <c r="A94" s="10">
        <v>42248</v>
      </c>
      <c r="B94" s="18">
        <f>IF(VLOOKUP(A94,'DB Country PMI'!$A:$AZ,MATCH($A$1,'DB Country PMI'!$A$1:$AZ$1,),)=0,#N/A,VLOOKUP(A94,'DB Country PMI'!$A:$AZ,MATCH($A$1,'DB Country PMI'!$A$1:$AZ$1,),))</f>
        <v>52.1</v>
      </c>
      <c r="C94" s="24">
        <f>Table1346811121415161718192022252627[[#This Row],[PMI]]-B93</f>
        <v>0.39999999999999858</v>
      </c>
    </row>
    <row r="95" spans="1:3" x14ac:dyDescent="0.2">
      <c r="A95" s="10">
        <v>42278</v>
      </c>
      <c r="B95" s="18">
        <f>IF(VLOOKUP(A95,'DB Country PMI'!$A:$AZ,MATCH($A$1,'DB Country PMI'!$A$1:$AZ$1,),)=0,#N/A,VLOOKUP(A95,'DB Country PMI'!$A:$AZ,MATCH($A$1,'DB Country PMI'!$A$1:$AZ$1,),))</f>
        <v>50.2</v>
      </c>
      <c r="C95" s="24">
        <f>Table1346811121415161718192022252627[[#This Row],[PMI]]-B94</f>
        <v>-1.8999999999999986</v>
      </c>
    </row>
    <row r="96" spans="1:3" x14ac:dyDescent="0.2">
      <c r="A96" s="10">
        <v>42309</v>
      </c>
      <c r="B96" s="18">
        <f>IF(VLOOKUP(A96,'DB Country PMI'!$A:$AZ,MATCH($A$1,'DB Country PMI'!$A$1:$AZ$1,),)=0,#N/A,VLOOKUP(A96,'DB Country PMI'!$A:$AZ,MATCH($A$1,'DB Country PMI'!$A$1:$AZ$1,),))</f>
        <v>52.5</v>
      </c>
      <c r="C96" s="24">
        <f>Table1346811121415161718192022252627[[#This Row],[PMI]]-B95</f>
        <v>2.2999999999999972</v>
      </c>
    </row>
    <row r="97" spans="1:3" x14ac:dyDescent="0.2">
      <c r="A97" s="10">
        <v>42339</v>
      </c>
      <c r="B97" s="18">
        <f>IF(VLOOKUP(A97,'DB Country PMI'!$A:$AZ,MATCH($A$1,'DB Country PMI'!$A$1:$AZ$1,),)=0,#N/A,VLOOKUP(A97,'DB Country PMI'!$A:$AZ,MATCH($A$1,'DB Country PMI'!$A$1:$AZ$1,),))</f>
        <v>51.9</v>
      </c>
      <c r="C97" s="24">
        <f>Table1346811121415161718192022252627[[#This Row],[PMI]]-B96</f>
        <v>-0.60000000000000142</v>
      </c>
    </row>
    <row r="98" spans="1:3" x14ac:dyDescent="0.2">
      <c r="A98" s="10">
        <v>42370</v>
      </c>
      <c r="B98" s="18">
        <f>IF(VLOOKUP(A98,'DB Country PMI'!$A:$AZ,MATCH($A$1,'DB Country PMI'!$A$1:$AZ$1,),)=0,#N/A,VLOOKUP(A98,'DB Country PMI'!$A:$AZ,MATCH($A$1,'DB Country PMI'!$A$1:$AZ$1,),))</f>
        <v>51.5</v>
      </c>
      <c r="C98" s="24">
        <f>Table1346811121415161718192022252627[[#This Row],[PMI]]-B97</f>
        <v>-0.39999999999999858</v>
      </c>
    </row>
    <row r="99" spans="1:3" x14ac:dyDescent="0.2">
      <c r="A99" s="10">
        <v>42401</v>
      </c>
      <c r="B99" s="18">
        <f>IF(VLOOKUP(A99,'DB Country PMI'!$A:$AZ,MATCH($A$1,'DB Country PMI'!$A$1:$AZ$1,),)=0,#N/A,VLOOKUP(A99,'DB Country PMI'!$A:$AZ,MATCH($A$1,'DB Country PMI'!$A$1:$AZ$1,),))</f>
        <v>53.5</v>
      </c>
      <c r="C99" s="24">
        <f>Table1346811121415161718192022252627[[#This Row],[PMI]]-B98</f>
        <v>2</v>
      </c>
    </row>
    <row r="100" spans="1:3" x14ac:dyDescent="0.2">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2">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2">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2">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2">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2">
      <c r="A105" s="10">
        <v>42583</v>
      </c>
      <c r="B105" s="18">
        <f>IF(VLOOKUP(A105,'DB Country PMI'!$A:$AZ,MATCH($A$1,'DB Country PMI'!$A$1:$AZ$1,),)=0,#N/A,VLOOKUP(A105,'DB Country PMI'!$A:$AZ,MATCH($A$1,'DB Country PMI'!$A$1:$AZ$1,),))</f>
        <v>46.9</v>
      </c>
      <c r="C105" s="24">
        <f>Table1346811121415161718192022252627[[#This Row],[PMI]]-B104</f>
        <v>-9.5</v>
      </c>
    </row>
    <row r="106" spans="1:3" x14ac:dyDescent="0.2">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2">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2">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2">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2">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2">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2">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2">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2">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2">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2">
      <c r="A116" s="10">
        <v>42917</v>
      </c>
      <c r="B116" s="18">
        <f>IF(VLOOKUP(A116,'DB Country PMI'!$A:$AZ,MATCH($A$1,'DB Country PMI'!$A$1:$AZ$1,),)=0,#N/A,VLOOKUP(A116,'DB Country PMI'!$A:$AZ,MATCH($A$1,'DB Country PMI'!$A$1:$AZ$1,),))</f>
        <v>56</v>
      </c>
      <c r="C116" s="24">
        <f>Table1346811121415161718192022252627[[#This Row],[PMI]]-B115</f>
        <v>1</v>
      </c>
    </row>
    <row r="117" spans="1:3" x14ac:dyDescent="0.2">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2">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2">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2">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2">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2">
      <c r="A122" s="10">
        <v>43101</v>
      </c>
      <c r="B122" s="18">
        <f>IF(VLOOKUP(A122,'DB Country PMI'!$A:$AZ,MATCH($A$1,'DB Country PMI'!$A$1:$AZ$1,),)=0,#N/A,VLOOKUP(A122,'DB Country PMI'!$A:$AZ,MATCH($A$1,'DB Country PMI'!$A$1:$AZ$1,),))</f>
        <v>58.7</v>
      </c>
      <c r="C122" s="24">
        <f>Table1346811121415161718192022252627[[#This Row],[PMI]]-B121</f>
        <v>2.5</v>
      </c>
    </row>
    <row r="123" spans="1:3" x14ac:dyDescent="0.2">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2">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2">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2">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2">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2">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2">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2">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2">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2">
      <c r="A132" s="10">
        <v>43405</v>
      </c>
      <c r="B132" s="18">
        <f>IF(VLOOKUP(A132,'DB Country PMI'!$A:$AZ,MATCH($A$1,'DB Country PMI'!$A$1:$AZ$1,),)=0,#N/A,VLOOKUP(A132,'DB Country PMI'!$A:$AZ,MATCH($A$1,'DB Country PMI'!$A$1:$AZ$1,),))</f>
        <v>51.3</v>
      </c>
      <c r="C132" s="24">
        <f>Table1346811121415161718192022252627[[#This Row],[PMI]]-B131</f>
        <v>-7</v>
      </c>
    </row>
    <row r="133" spans="1:3" x14ac:dyDescent="0.2">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2">
      <c r="A134" s="10">
        <v>43466</v>
      </c>
      <c r="B134" s="18">
        <f>IF(VLOOKUP(A134,'DB Country PMI'!$A:$AZ,MATCH($A$1,'DB Country PMI'!$A$1:$AZ$1,),)=0,#N/A,VLOOKUP(A134,'DB Country PMI'!$A:$AZ,MATCH($A$1,'DB Country PMI'!$A$1:$AZ$1,),))</f>
        <v>52.5</v>
      </c>
      <c r="C134" s="24">
        <f>Table1346811121415161718192022252627[[#This Row],[PMI]]-B133</f>
        <v>3</v>
      </c>
    </row>
    <row r="135" spans="1:3" x14ac:dyDescent="0.2">
      <c r="A135" s="10">
        <v>43497</v>
      </c>
      <c r="B135" s="18">
        <f>IF(VLOOKUP(A135,'DB Country PMI'!$A:$AZ,MATCH($A$1,'DB Country PMI'!$A$1:$AZ$1,),)=0,#N/A,VLOOKUP(A135,'DB Country PMI'!$A:$AZ,MATCH($A$1,'DB Country PMI'!$A$1:$AZ$1,),))</f>
        <v>54</v>
      </c>
      <c r="C135" s="24">
        <f>Table1346811121415161718192022252627[[#This Row],[PMI]]-B134</f>
        <v>1.5</v>
      </c>
    </row>
    <row r="136" spans="1:3" x14ac:dyDescent="0.2">
      <c r="A136" s="10">
        <v>43525</v>
      </c>
      <c r="B136" s="18">
        <f>IF(VLOOKUP(A136,'DB Country PMI'!$A:$AZ,MATCH($A$1,'DB Country PMI'!$A$1:$AZ$1,),)=0,#N/A,VLOOKUP(A136,'DB Country PMI'!$A:$AZ,MATCH($A$1,'DB Country PMI'!$A$1:$AZ$1,),))</f>
        <v>51</v>
      </c>
      <c r="C136" s="24">
        <f>Table1346811121415161718192022252627[[#This Row],[PMI]]-B135</f>
        <v>-3</v>
      </c>
    </row>
    <row r="137" spans="1:3" x14ac:dyDescent="0.2">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2">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2">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2">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2">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2">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2">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2">
      <c r="A144" s="10">
        <v>43770</v>
      </c>
      <c r="B144" s="18">
        <f>IF(VLOOKUP(A144,'DB Country PMI'!$A:$AZ,MATCH($A$1,'DB Country PMI'!$A$1:$AZ$1,),)=0,#N/A,VLOOKUP(A144,'DB Country PMI'!$A:$AZ,MATCH($A$1,'DB Country PMI'!$A$1:$AZ$1,),))</f>
        <v>48.1</v>
      </c>
      <c r="C144" s="24">
        <f>Table1346811121415161718192022252627[[#This Row],[PMI]]-B143</f>
        <v>-3.5</v>
      </c>
    </row>
    <row r="145" spans="1:3" x14ac:dyDescent="0.2">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2">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2">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2">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2">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2">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2">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2">
      <c r="A152" s="10">
        <v>44013</v>
      </c>
      <c r="B152" s="18">
        <f>IF(VLOOKUP(A152,'DB Country PMI'!$A:$AZ,MATCH($A$1,'DB Country PMI'!$A$1:$AZ$1,),)=0,#N/A,VLOOKUP(A152,'DB Country PMI'!$A:$AZ,MATCH($A$1,'DB Country PMI'!$A$1:$AZ$1,),))</f>
        <v>53.5</v>
      </c>
      <c r="C152" s="24">
        <f>Table1346811121415161718192022252627[[#This Row],[PMI]]-B151</f>
        <v>2</v>
      </c>
    </row>
    <row r="153" spans="1:3" x14ac:dyDescent="0.2">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2">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2">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2">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2">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2">
      <c r="A158" s="10">
        <v>44197</v>
      </c>
      <c r="B158" s="18">
        <f>IF(VLOOKUP(A158,'DB Country PMI'!$A:$AZ,MATCH($A$1,'DB Country PMI'!$A$1:$AZ$1,),)=0,#N/A,VLOOKUP(A158,'DB Country PMI'!$A:$AZ,MATCH($A$1,'DB Country PMI'!$A$1:$AZ$1,),))</f>
        <v>55.3</v>
      </c>
      <c r="C158" s="24">
        <f>Table1346811121415161718192022252627[[#This Row],[PMI]]-B157</f>
        <v>0</v>
      </c>
    </row>
    <row r="159" spans="1:3" x14ac:dyDescent="0.2">
      <c r="A159" s="10">
        <v>44228</v>
      </c>
      <c r="B159" s="18">
        <f>IF(VLOOKUP(A159,'DB Country PMI'!$A:$AZ,MATCH($A$1,'DB Country PMI'!$A$1:$AZ$1,),)=0,#N/A,VLOOKUP(A159,'DB Country PMI'!$A:$AZ,MATCH($A$1,'DB Country PMI'!$A$1:$AZ$1,),))</f>
        <v>58.8</v>
      </c>
      <c r="C159" s="24">
        <f>Table1346811121415161718192022252627[[#This Row],[PMI]]-B158</f>
        <v>3.5</v>
      </c>
    </row>
    <row r="160" spans="1:3" x14ac:dyDescent="0.2">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2">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2">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2">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2">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2">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2">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2">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2">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2">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2">
      <c r="A170" s="10">
        <v>44562</v>
      </c>
      <c r="B170" s="18">
        <f>IF(VLOOKUP(A170,'DB Country PMI'!$A:$AZ,MATCH($A$1,'DB Country PMI'!$A$1:$AZ$1,),)=0,#N/A,VLOOKUP(A170,'DB Country PMI'!$A:$AZ,MATCH($A$1,'DB Country PMI'!$A$1:$AZ$1,),))</f>
        <v>48.4</v>
      </c>
      <c r="C170" s="24">
        <f>Table1346811121415161718192022252627[[#This Row],[PMI]]-B169</f>
        <v>0</v>
      </c>
    </row>
  </sheetData>
  <conditionalFormatting sqref="C7:C106">
    <cfRule type="colorScale" priority="1">
      <colorScale>
        <cfvo type="min"/>
        <cfvo type="percentile" val="50"/>
        <cfvo type="max"/>
        <color rgb="FFF8696B"/>
        <color rgb="FFFCFCFF"/>
        <color rgb="FF5A8AC6"/>
      </colorScale>
    </cfRule>
  </conditionalFormatting>
  <conditionalFormatting sqref="B6:B170">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35"/>
  <sheetViews>
    <sheetView zoomScale="170" zoomScaleNormal="170" workbookViewId="0">
      <pane ySplit="5" topLeftCell="A103" activePane="bottomLeft" state="frozen"/>
      <selection pane="bottomLeft" activeCell="S121" sqref="S121"/>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35</v>
      </c>
      <c r="K1" s="63" t="s">
        <v>107</v>
      </c>
    </row>
    <row r="2" spans="1:11" x14ac:dyDescent="0.2">
      <c r="K2" s="63" t="str">
        <f>A1&amp;K1</f>
        <v>Indonesia Manufacturing PMI</v>
      </c>
    </row>
    <row r="4" spans="1:11" ht="16" customHeight="1" thickBot="1" x14ac:dyDescent="0.25"/>
    <row r="5" spans="1:11" ht="16" customHeight="1" thickBot="1" x14ac:dyDescent="0.25">
      <c r="A5" s="21" t="s">
        <v>44</v>
      </c>
      <c r="B5" s="22" t="s">
        <v>103</v>
      </c>
      <c r="C5" s="22" t="s">
        <v>104</v>
      </c>
    </row>
    <row r="6" spans="1:11" x14ac:dyDescent="0.2">
      <c r="A6" s="17">
        <v>40634</v>
      </c>
      <c r="B6" s="18">
        <f>IF(VLOOKUP(A6,'DB Country PMI'!$A:$AZ,MATCH($A$1,'DB Country PMI'!$A$1:$AZ$1,),)=0,#N/A,VLOOKUP(A6,'DB Country PMI'!$A:$AZ,MATCH($A$1,'DB Country PMI'!$A$1:$AZ$1,),))</f>
        <v>48.1</v>
      </c>
      <c r="C6" s="18"/>
    </row>
    <row r="7" spans="1:11" x14ac:dyDescent="0.2">
      <c r="A7" s="10">
        <v>40664</v>
      </c>
      <c r="B7" s="18">
        <f>IF(VLOOKUP(A7,'DB Country PMI'!$A:$AZ,MATCH($A$1,'DB Country PMI'!$A$1:$AZ$1,),)=0,#N/A,VLOOKUP(A7,'DB Country PMI'!$A:$AZ,MATCH($A$1,'DB Country PMI'!$A$1:$AZ$1,),))</f>
        <v>48</v>
      </c>
      <c r="C7" s="24">
        <f>Table13468111214151617181920222530[[#This Row],[PMI]]-B6</f>
        <v>-0.10000000000000142</v>
      </c>
    </row>
    <row r="8" spans="1:11" x14ac:dyDescent="0.2">
      <c r="A8" s="10">
        <v>40695</v>
      </c>
      <c r="B8" s="18">
        <f>IF(VLOOKUP(A8,'DB Country PMI'!$A:$AZ,MATCH($A$1,'DB Country PMI'!$A$1:$AZ$1,),)=0,#N/A,VLOOKUP(A8,'DB Country PMI'!$A:$AZ,MATCH($A$1,'DB Country PMI'!$A$1:$AZ$1,),))</f>
        <v>50.5</v>
      </c>
      <c r="C8" s="24">
        <f>Table13468111214151617181920222530[[#This Row],[PMI]]-B7</f>
        <v>2.5</v>
      </c>
    </row>
    <row r="9" spans="1:11" x14ac:dyDescent="0.2">
      <c r="A9" s="10">
        <v>40725</v>
      </c>
      <c r="B9" s="18">
        <f>IF(VLOOKUP(A9,'DB Country PMI'!$A:$AZ,MATCH($A$1,'DB Country PMI'!$A$1:$AZ$1,),)=0,#N/A,VLOOKUP(A9,'DB Country PMI'!$A:$AZ,MATCH($A$1,'DB Country PMI'!$A$1:$AZ$1,),))</f>
        <v>51</v>
      </c>
      <c r="C9" s="24">
        <f>Table13468111214151617181920222530[[#This Row],[PMI]]-B8</f>
        <v>0.5</v>
      </c>
    </row>
    <row r="10" spans="1:11" x14ac:dyDescent="0.2">
      <c r="A10" s="10">
        <v>40756</v>
      </c>
      <c r="B10" s="18">
        <f>IF(VLOOKUP(A10,'DB Country PMI'!$A:$AZ,MATCH($A$1,'DB Country PMI'!$A$1:$AZ$1,),)=0,#N/A,VLOOKUP(A10,'DB Country PMI'!$A:$AZ,MATCH($A$1,'DB Country PMI'!$A$1:$AZ$1,),))</f>
        <v>50.9</v>
      </c>
      <c r="C10" s="24">
        <f>Table13468111214151617181920222530[[#This Row],[PMI]]-B9</f>
        <v>-0.10000000000000142</v>
      </c>
    </row>
    <row r="11" spans="1:11" x14ac:dyDescent="0.2">
      <c r="A11" s="10">
        <v>40787</v>
      </c>
      <c r="B11" s="18">
        <f>IF(VLOOKUP(A11,'DB Country PMI'!$A:$AZ,MATCH($A$1,'DB Country PMI'!$A$1:$AZ$1,),)=0,#N/A,VLOOKUP(A11,'DB Country PMI'!$A:$AZ,MATCH($A$1,'DB Country PMI'!$A$1:$AZ$1,),))</f>
        <v>49.8</v>
      </c>
      <c r="C11" s="24">
        <f>Table13468111214151617181920222530[[#This Row],[PMI]]-B10</f>
        <v>-1.1000000000000014</v>
      </c>
    </row>
    <row r="12" spans="1:11" x14ac:dyDescent="0.2">
      <c r="A12" s="10">
        <v>40817</v>
      </c>
      <c r="B12" s="18">
        <f>IF(VLOOKUP(A12,'DB Country PMI'!$A:$AZ,MATCH($A$1,'DB Country PMI'!$A$1:$AZ$1,),)=0,#N/A,VLOOKUP(A12,'DB Country PMI'!$A:$AZ,MATCH($A$1,'DB Country PMI'!$A$1:$AZ$1,),))</f>
        <v>51.3</v>
      </c>
      <c r="C12" s="24">
        <f>Table13468111214151617181920222530[[#This Row],[PMI]]-B11</f>
        <v>1.5</v>
      </c>
    </row>
    <row r="13" spans="1:11" x14ac:dyDescent="0.2">
      <c r="A13" s="10">
        <v>40848</v>
      </c>
      <c r="B13" s="18">
        <f>IF(VLOOKUP(A13,'DB Country PMI'!$A:$AZ,MATCH($A$1,'DB Country PMI'!$A$1:$AZ$1,),)=0,#N/A,VLOOKUP(A13,'DB Country PMI'!$A:$AZ,MATCH($A$1,'DB Country PMI'!$A$1:$AZ$1,),))</f>
        <v>50.1</v>
      </c>
      <c r="C13" s="24">
        <f>Table13468111214151617181920222530[[#This Row],[PMI]]-B12</f>
        <v>-1.1999999999999957</v>
      </c>
    </row>
    <row r="14" spans="1:11" x14ac:dyDescent="0.2">
      <c r="A14" s="10">
        <v>40878</v>
      </c>
      <c r="B14" s="18">
        <f>IF(VLOOKUP(A14,'DB Country PMI'!$A:$AZ,MATCH($A$1,'DB Country PMI'!$A$1:$AZ$1,),)=0,#N/A,VLOOKUP(A14,'DB Country PMI'!$A:$AZ,MATCH($A$1,'DB Country PMI'!$A$1:$AZ$1,),))</f>
        <v>48.1</v>
      </c>
      <c r="C14" s="24">
        <f>Table13468111214151617181920222530[[#This Row],[PMI]]-B13</f>
        <v>-2</v>
      </c>
    </row>
    <row r="15" spans="1:11" x14ac:dyDescent="0.2">
      <c r="A15" s="10">
        <v>40909</v>
      </c>
      <c r="B15" s="18">
        <f>IF(VLOOKUP(A15,'DB Country PMI'!$A:$AZ,MATCH($A$1,'DB Country PMI'!$A$1:$AZ$1,),)=0,#N/A,VLOOKUP(A15,'DB Country PMI'!$A:$AZ,MATCH($A$1,'DB Country PMI'!$A$1:$AZ$1,),))</f>
        <v>48.5</v>
      </c>
      <c r="C15" s="24">
        <f>Table13468111214151617181920222530[[#This Row],[PMI]]-B14</f>
        <v>0.39999999999999858</v>
      </c>
    </row>
    <row r="16" spans="1:11" x14ac:dyDescent="0.2">
      <c r="A16" s="10">
        <v>40940</v>
      </c>
      <c r="B16" s="18">
        <f>IF(VLOOKUP(A16,'DB Country PMI'!$A:$AZ,MATCH($A$1,'DB Country PMI'!$A$1:$AZ$1,),)=0,#N/A,VLOOKUP(A16,'DB Country PMI'!$A:$AZ,MATCH($A$1,'DB Country PMI'!$A$1:$AZ$1,),))</f>
        <v>50.6</v>
      </c>
      <c r="C16" s="24">
        <f>Table13468111214151617181920222530[[#This Row],[PMI]]-B15</f>
        <v>2.1000000000000014</v>
      </c>
    </row>
    <row r="17" spans="1:3" x14ac:dyDescent="0.2">
      <c r="A17" s="10">
        <v>40969</v>
      </c>
      <c r="B17" s="18">
        <f>IF(VLOOKUP(A17,'DB Country PMI'!$A:$AZ,MATCH($A$1,'DB Country PMI'!$A$1:$AZ$1,),)=0,#N/A,VLOOKUP(A17,'DB Country PMI'!$A:$AZ,MATCH($A$1,'DB Country PMI'!$A$1:$AZ$1,),))</f>
        <v>50.8</v>
      </c>
      <c r="C17" s="24">
        <f>Table13468111214151617181920222530[[#This Row],[PMI]]-B16</f>
        <v>0.19999999999999574</v>
      </c>
    </row>
    <row r="18" spans="1:3" x14ac:dyDescent="0.2">
      <c r="A18" s="10">
        <v>41000</v>
      </c>
      <c r="B18" s="18">
        <f>IF(VLOOKUP(A18,'DB Country PMI'!$A:$AZ,MATCH($A$1,'DB Country PMI'!$A$1:$AZ$1,),)=0,#N/A,VLOOKUP(A18,'DB Country PMI'!$A:$AZ,MATCH($A$1,'DB Country PMI'!$A$1:$AZ$1,),))</f>
        <v>50.5</v>
      </c>
      <c r="C18" s="24">
        <f>Table13468111214151617181920222530[[#This Row],[PMI]]-B17</f>
        <v>-0.29999999999999716</v>
      </c>
    </row>
    <row r="19" spans="1:3" x14ac:dyDescent="0.2">
      <c r="A19" s="10">
        <v>41030</v>
      </c>
      <c r="B19" s="18">
        <f>IF(VLOOKUP(A19,'DB Country PMI'!$A:$AZ,MATCH($A$1,'DB Country PMI'!$A$1:$AZ$1,),)=0,#N/A,VLOOKUP(A19,'DB Country PMI'!$A:$AZ,MATCH($A$1,'DB Country PMI'!$A$1:$AZ$1,),))</f>
        <v>48.1</v>
      </c>
      <c r="C19" s="24">
        <f>Table13468111214151617181920222530[[#This Row],[PMI]]-B18</f>
        <v>-2.3999999999999986</v>
      </c>
    </row>
    <row r="20" spans="1:3" x14ac:dyDescent="0.2">
      <c r="A20" s="10">
        <v>41061</v>
      </c>
      <c r="B20" s="18">
        <f>IF(VLOOKUP(A20,'DB Country PMI'!$A:$AZ,MATCH($A$1,'DB Country PMI'!$A$1:$AZ$1,),)=0,#N/A,VLOOKUP(A20,'DB Country PMI'!$A:$AZ,MATCH($A$1,'DB Country PMI'!$A$1:$AZ$1,),))</f>
        <v>50.2</v>
      </c>
      <c r="C20" s="24">
        <f>Table13468111214151617181920222530[[#This Row],[PMI]]-B19</f>
        <v>2.1000000000000014</v>
      </c>
    </row>
    <row r="21" spans="1:3" x14ac:dyDescent="0.2">
      <c r="A21" s="10">
        <v>41091</v>
      </c>
      <c r="B21" s="18">
        <f>IF(VLOOKUP(A21,'DB Country PMI'!$A:$AZ,MATCH($A$1,'DB Country PMI'!$A$1:$AZ$1,),)=0,#N/A,VLOOKUP(A21,'DB Country PMI'!$A:$AZ,MATCH($A$1,'DB Country PMI'!$A$1:$AZ$1,),))</f>
        <v>51.3</v>
      </c>
      <c r="C21" s="24">
        <f>Table13468111214151617181920222530[[#This Row],[PMI]]-B20</f>
        <v>1.0999999999999943</v>
      </c>
    </row>
    <row r="22" spans="1:3" x14ac:dyDescent="0.2">
      <c r="A22" s="10">
        <v>41122</v>
      </c>
      <c r="B22" s="18">
        <f>IF(VLOOKUP(A22,'DB Country PMI'!$A:$AZ,MATCH($A$1,'DB Country PMI'!$A$1:$AZ$1,),)=0,#N/A,VLOOKUP(A22,'DB Country PMI'!$A:$AZ,MATCH($A$1,'DB Country PMI'!$A$1:$AZ$1,),))</f>
        <v>51.4</v>
      </c>
      <c r="C22" s="24">
        <f>Table13468111214151617181920222530[[#This Row],[PMI]]-B21</f>
        <v>0.10000000000000142</v>
      </c>
    </row>
    <row r="23" spans="1:3" x14ac:dyDescent="0.2">
      <c r="A23" s="10">
        <v>41153</v>
      </c>
      <c r="B23" s="18">
        <f>IF(VLOOKUP(A23,'DB Country PMI'!$A:$AZ,MATCH($A$1,'DB Country PMI'!$A$1:$AZ$1,),)=0,#N/A,VLOOKUP(A23,'DB Country PMI'!$A:$AZ,MATCH($A$1,'DB Country PMI'!$A$1:$AZ$1,),))</f>
        <v>51.6</v>
      </c>
      <c r="C23" s="24">
        <f>Table13468111214151617181920222530[[#This Row],[PMI]]-B22</f>
        <v>0.20000000000000284</v>
      </c>
    </row>
    <row r="24" spans="1:3" x14ac:dyDescent="0.2">
      <c r="A24" s="10">
        <v>41183</v>
      </c>
      <c r="B24" s="18">
        <f>IF(VLOOKUP(A24,'DB Country PMI'!$A:$AZ,MATCH($A$1,'DB Country PMI'!$A$1:$AZ$1,),)=0,#N/A,VLOOKUP(A24,'DB Country PMI'!$A:$AZ,MATCH($A$1,'DB Country PMI'!$A$1:$AZ$1,),))</f>
        <v>50.5</v>
      </c>
      <c r="C24" s="24">
        <f>Table13468111214151617181920222530[[#This Row],[PMI]]-B23</f>
        <v>-1.1000000000000014</v>
      </c>
    </row>
    <row r="25" spans="1:3" x14ac:dyDescent="0.2">
      <c r="A25" s="10">
        <v>41214</v>
      </c>
      <c r="B25" s="18">
        <f>IF(VLOOKUP(A25,'DB Country PMI'!$A:$AZ,MATCH($A$1,'DB Country PMI'!$A$1:$AZ$1,),)=0,#N/A,VLOOKUP(A25,'DB Country PMI'!$A:$AZ,MATCH($A$1,'DB Country PMI'!$A$1:$AZ$1,),))</f>
        <v>51.9</v>
      </c>
      <c r="C25" s="24">
        <f>Table13468111214151617181920222530[[#This Row],[PMI]]-B24</f>
        <v>1.3999999999999986</v>
      </c>
    </row>
    <row r="26" spans="1:3" x14ac:dyDescent="0.2">
      <c r="A26" s="10">
        <v>41244</v>
      </c>
      <c r="B26" s="18">
        <f>IF(VLOOKUP(A26,'DB Country PMI'!$A:$AZ,MATCH($A$1,'DB Country PMI'!$A$1:$AZ$1,),)=0,#N/A,VLOOKUP(A26,'DB Country PMI'!$A:$AZ,MATCH($A$1,'DB Country PMI'!$A$1:$AZ$1,),))</f>
        <v>51.5</v>
      </c>
      <c r="C26" s="24">
        <f>Table13468111214151617181920222530[[#This Row],[PMI]]-B25</f>
        <v>-0.39999999999999858</v>
      </c>
    </row>
    <row r="27" spans="1:3" x14ac:dyDescent="0.2">
      <c r="A27" s="10">
        <v>41275</v>
      </c>
      <c r="B27" s="18">
        <f>IF(VLOOKUP(A27,'DB Country PMI'!$A:$AZ,MATCH($A$1,'DB Country PMI'!$A$1:$AZ$1,),)=0,#N/A,VLOOKUP(A27,'DB Country PMI'!$A:$AZ,MATCH($A$1,'DB Country PMI'!$A$1:$AZ$1,),))</f>
        <v>49.7</v>
      </c>
      <c r="C27" s="24">
        <f>Table13468111214151617181920222530[[#This Row],[PMI]]-B26</f>
        <v>-1.7999999999999972</v>
      </c>
    </row>
    <row r="28" spans="1:3" x14ac:dyDescent="0.2">
      <c r="A28" s="10">
        <v>41306</v>
      </c>
      <c r="B28" s="18">
        <f>IF(VLOOKUP(A28,'DB Country PMI'!$A:$AZ,MATCH($A$1,'DB Country PMI'!$A$1:$AZ$1,),)=0,#N/A,VLOOKUP(A28,'DB Country PMI'!$A:$AZ,MATCH($A$1,'DB Country PMI'!$A$1:$AZ$1,),))</f>
        <v>50.5</v>
      </c>
      <c r="C28" s="24">
        <f>Table13468111214151617181920222530[[#This Row],[PMI]]-B27</f>
        <v>0.79999999999999716</v>
      </c>
    </row>
    <row r="29" spans="1:3" x14ac:dyDescent="0.2">
      <c r="A29" s="10">
        <v>41334</v>
      </c>
      <c r="B29" s="18">
        <f>IF(VLOOKUP(A29,'DB Country PMI'!$A:$AZ,MATCH($A$1,'DB Country PMI'!$A$1:$AZ$1,),)=0,#N/A,VLOOKUP(A29,'DB Country PMI'!$A:$AZ,MATCH($A$1,'DB Country PMI'!$A$1:$AZ$1,),))</f>
        <v>51.3</v>
      </c>
      <c r="C29" s="24">
        <f>Table13468111214151617181920222530[[#This Row],[PMI]]-B28</f>
        <v>0.79999999999999716</v>
      </c>
    </row>
    <row r="30" spans="1:3" x14ac:dyDescent="0.2">
      <c r="A30" s="10">
        <v>41365</v>
      </c>
      <c r="B30" s="18">
        <f>IF(VLOOKUP(A30,'DB Country PMI'!$A:$AZ,MATCH($A$1,'DB Country PMI'!$A$1:$AZ$1,),)=0,#N/A,VLOOKUP(A30,'DB Country PMI'!$A:$AZ,MATCH($A$1,'DB Country PMI'!$A$1:$AZ$1,),))</f>
        <v>51.7</v>
      </c>
      <c r="C30" s="24">
        <f>Table13468111214151617181920222530[[#This Row],[PMI]]-B29</f>
        <v>0.40000000000000568</v>
      </c>
    </row>
    <row r="31" spans="1:3" x14ac:dyDescent="0.2">
      <c r="A31" s="10">
        <v>41395</v>
      </c>
      <c r="B31" s="18">
        <f>IF(VLOOKUP(A31,'DB Country PMI'!$A:$AZ,MATCH($A$1,'DB Country PMI'!$A$1:$AZ$1,),)=0,#N/A,VLOOKUP(A31,'DB Country PMI'!$A:$AZ,MATCH($A$1,'DB Country PMI'!$A$1:$AZ$1,),))</f>
        <v>51.6</v>
      </c>
      <c r="C31" s="24">
        <f>Table13468111214151617181920222530[[#This Row],[PMI]]-B30</f>
        <v>-0.10000000000000142</v>
      </c>
    </row>
    <row r="32" spans="1:3" x14ac:dyDescent="0.2">
      <c r="A32" s="10">
        <v>41426</v>
      </c>
      <c r="B32" s="18">
        <f>IF(VLOOKUP(A32,'DB Country PMI'!$A:$AZ,MATCH($A$1,'DB Country PMI'!$A$1:$AZ$1,),)=0,#N/A,VLOOKUP(A32,'DB Country PMI'!$A:$AZ,MATCH($A$1,'DB Country PMI'!$A$1:$AZ$1,),))</f>
        <v>51</v>
      </c>
      <c r="C32" s="24">
        <f>Table13468111214151617181920222530[[#This Row],[PMI]]-B31</f>
        <v>-0.60000000000000142</v>
      </c>
    </row>
    <row r="33" spans="1:3" x14ac:dyDescent="0.2">
      <c r="A33" s="10">
        <v>41456</v>
      </c>
      <c r="B33" s="18">
        <f>IF(VLOOKUP(A33,'DB Country PMI'!$A:$AZ,MATCH($A$1,'DB Country PMI'!$A$1:$AZ$1,),)=0,#N/A,VLOOKUP(A33,'DB Country PMI'!$A:$AZ,MATCH($A$1,'DB Country PMI'!$A$1:$AZ$1,),))</f>
        <v>50.7</v>
      </c>
      <c r="C33" s="24">
        <f>Table13468111214151617181920222530[[#This Row],[PMI]]-B32</f>
        <v>-0.29999999999999716</v>
      </c>
    </row>
    <row r="34" spans="1:3" x14ac:dyDescent="0.2">
      <c r="A34" s="10">
        <v>41487</v>
      </c>
      <c r="B34" s="18">
        <f>IF(VLOOKUP(A34,'DB Country PMI'!$A:$AZ,MATCH($A$1,'DB Country PMI'!$A$1:$AZ$1,),)=0,#N/A,VLOOKUP(A34,'DB Country PMI'!$A:$AZ,MATCH($A$1,'DB Country PMI'!$A$1:$AZ$1,),))</f>
        <v>48.5</v>
      </c>
      <c r="C34" s="24">
        <f>Table13468111214151617181920222530[[#This Row],[PMI]]-B33</f>
        <v>-2.2000000000000028</v>
      </c>
    </row>
    <row r="35" spans="1:3" x14ac:dyDescent="0.2">
      <c r="A35" s="10">
        <v>41518</v>
      </c>
      <c r="B35" s="18">
        <f>IF(VLOOKUP(A35,'DB Country PMI'!$A:$AZ,MATCH($A$1,'DB Country PMI'!$A$1:$AZ$1,),)=0,#N/A,VLOOKUP(A35,'DB Country PMI'!$A:$AZ,MATCH($A$1,'DB Country PMI'!$A$1:$AZ$1,),))</f>
        <v>50.2</v>
      </c>
      <c r="C35" s="24">
        <f>Table13468111214151617181920222530[[#This Row],[PMI]]-B34</f>
        <v>1.7000000000000028</v>
      </c>
    </row>
    <row r="36" spans="1:3" x14ac:dyDescent="0.2">
      <c r="A36" s="10">
        <v>41548</v>
      </c>
      <c r="B36" s="18">
        <f>IF(VLOOKUP(A36,'DB Country PMI'!$A:$AZ,MATCH($A$1,'DB Country PMI'!$A$1:$AZ$1,),)=0,#N/A,VLOOKUP(A36,'DB Country PMI'!$A:$AZ,MATCH($A$1,'DB Country PMI'!$A$1:$AZ$1,),))</f>
        <v>50.9</v>
      </c>
      <c r="C36" s="24">
        <f>Table13468111214151617181920222530[[#This Row],[PMI]]-B35</f>
        <v>0.69999999999999574</v>
      </c>
    </row>
    <row r="37" spans="1:3" x14ac:dyDescent="0.2">
      <c r="A37" s="10">
        <v>41579</v>
      </c>
      <c r="B37" s="18">
        <f>IF(VLOOKUP(A37,'DB Country PMI'!$A:$AZ,MATCH($A$1,'DB Country PMI'!$A$1:$AZ$1,),)=0,#N/A,VLOOKUP(A37,'DB Country PMI'!$A:$AZ,MATCH($A$1,'DB Country PMI'!$A$1:$AZ$1,),))</f>
        <v>50.3</v>
      </c>
      <c r="C37" s="24">
        <f>Table13468111214151617181920222530[[#This Row],[PMI]]-B36</f>
        <v>-0.60000000000000142</v>
      </c>
    </row>
    <row r="38" spans="1:3" x14ac:dyDescent="0.2">
      <c r="A38" s="10">
        <v>41609</v>
      </c>
      <c r="B38" s="18">
        <f>IF(VLOOKUP(A38,'DB Country PMI'!$A:$AZ,MATCH($A$1,'DB Country PMI'!$A$1:$AZ$1,),)=0,#N/A,VLOOKUP(A38,'DB Country PMI'!$A:$AZ,MATCH($A$1,'DB Country PMI'!$A$1:$AZ$1,),))</f>
        <v>50.9</v>
      </c>
      <c r="C38" s="24">
        <f>Table13468111214151617181920222530[[#This Row],[PMI]]-B37</f>
        <v>0.60000000000000142</v>
      </c>
    </row>
    <row r="39" spans="1:3" x14ac:dyDescent="0.2">
      <c r="A39" s="10">
        <v>41640</v>
      </c>
      <c r="B39" s="18">
        <f>IF(VLOOKUP(A39,'DB Country PMI'!$A:$AZ,MATCH($A$1,'DB Country PMI'!$A$1:$AZ$1,),)=0,#N/A,VLOOKUP(A39,'DB Country PMI'!$A:$AZ,MATCH($A$1,'DB Country PMI'!$A$1:$AZ$1,),))</f>
        <v>51</v>
      </c>
      <c r="C39" s="24">
        <f>Table13468111214151617181920222530[[#This Row],[PMI]]-B38</f>
        <v>0.10000000000000142</v>
      </c>
    </row>
    <row r="40" spans="1:3" x14ac:dyDescent="0.2">
      <c r="A40" s="10">
        <v>41671</v>
      </c>
      <c r="B40" s="18">
        <f>IF(VLOOKUP(A40,'DB Country PMI'!$A:$AZ,MATCH($A$1,'DB Country PMI'!$A$1:$AZ$1,),)=0,#N/A,VLOOKUP(A40,'DB Country PMI'!$A:$AZ,MATCH($A$1,'DB Country PMI'!$A$1:$AZ$1,),))</f>
        <v>50.5</v>
      </c>
      <c r="C40" s="24">
        <f>Table13468111214151617181920222530[[#This Row],[PMI]]-B39</f>
        <v>-0.5</v>
      </c>
    </row>
    <row r="41" spans="1:3" x14ac:dyDescent="0.2">
      <c r="A41" s="10">
        <v>41699</v>
      </c>
      <c r="B41" s="18">
        <f>IF(VLOOKUP(A41,'DB Country PMI'!$A:$AZ,MATCH($A$1,'DB Country PMI'!$A$1:$AZ$1,),)=0,#N/A,VLOOKUP(A41,'DB Country PMI'!$A:$AZ,MATCH($A$1,'DB Country PMI'!$A$1:$AZ$1,),))</f>
        <v>50.1</v>
      </c>
      <c r="C41" s="24">
        <f>Table13468111214151617181920222530[[#This Row],[PMI]]-B40</f>
        <v>-0.39999999999999858</v>
      </c>
    </row>
    <row r="42" spans="1:3" x14ac:dyDescent="0.2">
      <c r="A42" s="10">
        <v>41730</v>
      </c>
      <c r="B42" s="18">
        <f>IF(VLOOKUP(A42,'DB Country PMI'!$A:$AZ,MATCH($A$1,'DB Country PMI'!$A$1:$AZ$1,),)=0,#N/A,VLOOKUP(A42,'DB Country PMI'!$A:$AZ,MATCH($A$1,'DB Country PMI'!$A$1:$AZ$1,),))</f>
        <v>51.1</v>
      </c>
      <c r="C42" s="24">
        <f>Table13468111214151617181920222530[[#This Row],[PMI]]-B41</f>
        <v>1</v>
      </c>
    </row>
    <row r="43" spans="1:3" x14ac:dyDescent="0.2">
      <c r="A43" s="10">
        <v>41760</v>
      </c>
      <c r="B43" s="18">
        <f>IF(VLOOKUP(A43,'DB Country PMI'!$A:$AZ,MATCH($A$1,'DB Country PMI'!$A$1:$AZ$1,),)=0,#N/A,VLOOKUP(A43,'DB Country PMI'!$A:$AZ,MATCH($A$1,'DB Country PMI'!$A$1:$AZ$1,),))</f>
        <v>52.4</v>
      </c>
      <c r="C43" s="24">
        <f>Table13468111214151617181920222530[[#This Row],[PMI]]-B42</f>
        <v>1.2999999999999972</v>
      </c>
    </row>
    <row r="44" spans="1:3" x14ac:dyDescent="0.2">
      <c r="A44" s="10">
        <v>41791</v>
      </c>
      <c r="B44" s="18">
        <f>IF(VLOOKUP(A44,'DB Country PMI'!$A:$AZ,MATCH($A$1,'DB Country PMI'!$A$1:$AZ$1,),)=0,#N/A,VLOOKUP(A44,'DB Country PMI'!$A:$AZ,MATCH($A$1,'DB Country PMI'!$A$1:$AZ$1,),))</f>
        <v>52.7</v>
      </c>
      <c r="C44" s="24">
        <f>Table13468111214151617181920222530[[#This Row],[PMI]]-B43</f>
        <v>0.30000000000000426</v>
      </c>
    </row>
    <row r="45" spans="1:3" x14ac:dyDescent="0.2">
      <c r="A45" s="10">
        <v>41821</v>
      </c>
      <c r="B45" s="18">
        <f>IF(VLOOKUP(A45,'DB Country PMI'!$A:$AZ,MATCH($A$1,'DB Country PMI'!$A$1:$AZ$1,),)=0,#N/A,VLOOKUP(A45,'DB Country PMI'!$A:$AZ,MATCH($A$1,'DB Country PMI'!$A$1:$AZ$1,),))</f>
        <v>52.4</v>
      </c>
      <c r="C45" s="24">
        <f>Table13468111214151617181920222530[[#This Row],[PMI]]-B44</f>
        <v>-0.30000000000000426</v>
      </c>
    </row>
    <row r="46" spans="1:3" x14ac:dyDescent="0.2">
      <c r="A46" s="10">
        <v>41852</v>
      </c>
      <c r="B46" s="18">
        <f>IF(VLOOKUP(A46,'DB Country PMI'!$A:$AZ,MATCH($A$1,'DB Country PMI'!$A$1:$AZ$1,),)=0,#N/A,VLOOKUP(A46,'DB Country PMI'!$A:$AZ,MATCH($A$1,'DB Country PMI'!$A$1:$AZ$1,),))</f>
        <v>49.5</v>
      </c>
      <c r="C46" s="24">
        <f>Table13468111214151617181920222530[[#This Row],[PMI]]-B45</f>
        <v>-2.8999999999999986</v>
      </c>
    </row>
    <row r="47" spans="1:3" x14ac:dyDescent="0.2">
      <c r="A47" s="10">
        <v>41883</v>
      </c>
      <c r="B47" s="18">
        <f>IF(VLOOKUP(A47,'DB Country PMI'!$A:$AZ,MATCH($A$1,'DB Country PMI'!$A$1:$AZ$1,),)=0,#N/A,VLOOKUP(A47,'DB Country PMI'!$A:$AZ,MATCH($A$1,'DB Country PMI'!$A$1:$AZ$1,),))</f>
        <v>50.7</v>
      </c>
      <c r="C47" s="24">
        <f>Table13468111214151617181920222530[[#This Row],[PMI]]-B46</f>
        <v>1.2000000000000028</v>
      </c>
    </row>
    <row r="48" spans="1:3" x14ac:dyDescent="0.2">
      <c r="A48" s="10">
        <v>41913</v>
      </c>
      <c r="B48" s="18">
        <f>IF(VLOOKUP(A48,'DB Country PMI'!$A:$AZ,MATCH($A$1,'DB Country PMI'!$A$1:$AZ$1,),)=0,#N/A,VLOOKUP(A48,'DB Country PMI'!$A:$AZ,MATCH($A$1,'DB Country PMI'!$A$1:$AZ$1,),))</f>
        <v>49.2</v>
      </c>
      <c r="C48" s="24">
        <f>Table13468111214151617181920222530[[#This Row],[PMI]]-B47</f>
        <v>-1.5</v>
      </c>
    </row>
    <row r="49" spans="1:3" x14ac:dyDescent="0.2">
      <c r="A49" s="10">
        <v>41944</v>
      </c>
      <c r="B49" s="18">
        <f>IF(VLOOKUP(A49,'DB Country PMI'!$A:$AZ,MATCH($A$1,'DB Country PMI'!$A$1:$AZ$1,),)=0,#N/A,VLOOKUP(A49,'DB Country PMI'!$A:$AZ,MATCH($A$1,'DB Country PMI'!$A$1:$AZ$1,),))</f>
        <v>48</v>
      </c>
      <c r="C49" s="24">
        <f>Table13468111214151617181920222530[[#This Row],[PMI]]-B48</f>
        <v>-1.2000000000000028</v>
      </c>
    </row>
    <row r="50" spans="1:3" x14ac:dyDescent="0.2">
      <c r="A50" s="10">
        <v>41974</v>
      </c>
      <c r="B50" s="18">
        <f>IF(VLOOKUP(A50,'DB Country PMI'!$A:$AZ,MATCH($A$1,'DB Country PMI'!$A$1:$AZ$1,),)=0,#N/A,VLOOKUP(A50,'DB Country PMI'!$A:$AZ,MATCH($A$1,'DB Country PMI'!$A$1:$AZ$1,),))</f>
        <v>47.6</v>
      </c>
      <c r="C50" s="24">
        <f>Table13468111214151617181920222530[[#This Row],[PMI]]-B49</f>
        <v>-0.39999999999999858</v>
      </c>
    </row>
    <row r="51" spans="1:3" x14ac:dyDescent="0.2">
      <c r="A51" s="10">
        <v>42005</v>
      </c>
      <c r="B51" s="18">
        <f>IF(VLOOKUP(A51,'DB Country PMI'!$A:$AZ,MATCH($A$1,'DB Country PMI'!$A$1:$AZ$1,),)=0,#N/A,VLOOKUP(A51,'DB Country PMI'!$A:$AZ,MATCH($A$1,'DB Country PMI'!$A$1:$AZ$1,),))</f>
        <v>48.5</v>
      </c>
      <c r="C51" s="24">
        <f>Table13468111214151617181920222530[[#This Row],[PMI]]-B50</f>
        <v>0.89999999999999858</v>
      </c>
    </row>
    <row r="52" spans="1:3" x14ac:dyDescent="0.2">
      <c r="A52" s="10">
        <v>42036</v>
      </c>
      <c r="B52" s="18">
        <f>IF(VLOOKUP(A52,'DB Country PMI'!$A:$AZ,MATCH($A$1,'DB Country PMI'!$A$1:$AZ$1,),)=0,#N/A,VLOOKUP(A52,'DB Country PMI'!$A:$AZ,MATCH($A$1,'DB Country PMI'!$A$1:$AZ$1,),))</f>
        <v>47.5</v>
      </c>
      <c r="C52" s="24">
        <f>Table13468111214151617181920222530[[#This Row],[PMI]]-B51</f>
        <v>-1</v>
      </c>
    </row>
    <row r="53" spans="1:3" x14ac:dyDescent="0.2">
      <c r="A53" s="10">
        <v>42064</v>
      </c>
      <c r="B53" s="18">
        <f>IF(VLOOKUP(A53,'DB Country PMI'!$A:$AZ,MATCH($A$1,'DB Country PMI'!$A$1:$AZ$1,),)=0,#N/A,VLOOKUP(A53,'DB Country PMI'!$A:$AZ,MATCH($A$1,'DB Country PMI'!$A$1:$AZ$1,),))</f>
        <v>46.4</v>
      </c>
      <c r="C53" s="24">
        <f>Table13468111214151617181920222530[[#This Row],[PMI]]-B52</f>
        <v>-1.1000000000000014</v>
      </c>
    </row>
    <row r="54" spans="1:3" x14ac:dyDescent="0.2">
      <c r="A54" s="10">
        <v>42095</v>
      </c>
      <c r="B54" s="18">
        <f>IF(VLOOKUP(A54,'DB Country PMI'!$A:$AZ,MATCH($A$1,'DB Country PMI'!$A$1:$AZ$1,),)=0,#N/A,VLOOKUP(A54,'DB Country PMI'!$A:$AZ,MATCH($A$1,'DB Country PMI'!$A$1:$AZ$1,),))</f>
        <v>46.7</v>
      </c>
      <c r="C54" s="24">
        <f>Table13468111214151617181920222530[[#This Row],[PMI]]-B53</f>
        <v>0.30000000000000426</v>
      </c>
    </row>
    <row r="55" spans="1:3" x14ac:dyDescent="0.2">
      <c r="A55" s="10">
        <v>42125</v>
      </c>
      <c r="B55" s="18">
        <f>IF(VLOOKUP(A55,'DB Country PMI'!$A:$AZ,MATCH($A$1,'DB Country PMI'!$A$1:$AZ$1,),)=0,#N/A,VLOOKUP(A55,'DB Country PMI'!$A:$AZ,MATCH($A$1,'DB Country PMI'!$A$1:$AZ$1,),))</f>
        <v>47.1</v>
      </c>
      <c r="C55" s="24">
        <f>Table13468111214151617181920222530[[#This Row],[PMI]]-B54</f>
        <v>0.39999999999999858</v>
      </c>
    </row>
    <row r="56" spans="1:3" x14ac:dyDescent="0.2">
      <c r="A56" s="10">
        <v>42156</v>
      </c>
      <c r="B56" s="18">
        <f>IF(VLOOKUP(A56,'DB Country PMI'!$A:$AZ,MATCH($A$1,'DB Country PMI'!$A$1:$AZ$1,),)=0,#N/A,VLOOKUP(A56,'DB Country PMI'!$A:$AZ,MATCH($A$1,'DB Country PMI'!$A$1:$AZ$1,),))</f>
        <v>47.8</v>
      </c>
      <c r="C56" s="24">
        <f>Table13468111214151617181920222530[[#This Row],[PMI]]-B55</f>
        <v>0.69999999999999574</v>
      </c>
    </row>
    <row r="57" spans="1:3" x14ac:dyDescent="0.2">
      <c r="A57" s="10">
        <v>42186</v>
      </c>
      <c r="B57" s="18">
        <f>IF(VLOOKUP(A57,'DB Country PMI'!$A:$AZ,MATCH($A$1,'DB Country PMI'!$A$1:$AZ$1,),)=0,#N/A,VLOOKUP(A57,'DB Country PMI'!$A:$AZ,MATCH($A$1,'DB Country PMI'!$A$1:$AZ$1,),))</f>
        <v>47.3</v>
      </c>
      <c r="C57" s="24">
        <f>Table13468111214151617181920222530[[#This Row],[PMI]]-B56</f>
        <v>-0.5</v>
      </c>
    </row>
    <row r="58" spans="1:3" x14ac:dyDescent="0.2">
      <c r="A58" s="10">
        <v>42217</v>
      </c>
      <c r="B58" s="18">
        <f>IF(VLOOKUP(A58,'DB Country PMI'!$A:$AZ,MATCH($A$1,'DB Country PMI'!$A$1:$AZ$1,),)=0,#N/A,VLOOKUP(A58,'DB Country PMI'!$A:$AZ,MATCH($A$1,'DB Country PMI'!$A$1:$AZ$1,),))</f>
        <v>48.4</v>
      </c>
      <c r="C58" s="24">
        <f>Table13468111214151617181920222530[[#This Row],[PMI]]-B57</f>
        <v>1.1000000000000014</v>
      </c>
    </row>
    <row r="59" spans="1:3" x14ac:dyDescent="0.2">
      <c r="A59" s="10">
        <v>42248</v>
      </c>
      <c r="B59" s="18">
        <f>IF(VLOOKUP(A59,'DB Country PMI'!$A:$AZ,MATCH($A$1,'DB Country PMI'!$A$1:$AZ$1,),)=0,#N/A,VLOOKUP(A59,'DB Country PMI'!$A:$AZ,MATCH($A$1,'DB Country PMI'!$A$1:$AZ$1,),))</f>
        <v>47.4</v>
      </c>
      <c r="C59" s="24">
        <f>Table13468111214151617181920222530[[#This Row],[PMI]]-B58</f>
        <v>-1</v>
      </c>
    </row>
    <row r="60" spans="1:3" x14ac:dyDescent="0.2">
      <c r="A60" s="10">
        <v>42278</v>
      </c>
      <c r="B60" s="18">
        <f>IF(VLOOKUP(A60,'DB Country PMI'!$A:$AZ,MATCH($A$1,'DB Country PMI'!$A$1:$AZ$1,),)=0,#N/A,VLOOKUP(A60,'DB Country PMI'!$A:$AZ,MATCH($A$1,'DB Country PMI'!$A$1:$AZ$1,),))</f>
        <v>47.8</v>
      </c>
      <c r="C60" s="24">
        <f>Table13468111214151617181920222530[[#This Row],[PMI]]-B59</f>
        <v>0.39999999999999858</v>
      </c>
    </row>
    <row r="61" spans="1:3" x14ac:dyDescent="0.2">
      <c r="A61" s="10">
        <v>42309</v>
      </c>
      <c r="B61" s="18">
        <f>IF(VLOOKUP(A61,'DB Country PMI'!$A:$AZ,MATCH($A$1,'DB Country PMI'!$A$1:$AZ$1,),)=0,#N/A,VLOOKUP(A61,'DB Country PMI'!$A:$AZ,MATCH($A$1,'DB Country PMI'!$A$1:$AZ$1,),))</f>
        <v>46.9</v>
      </c>
      <c r="C61" s="24">
        <f>Table13468111214151617181920222530[[#This Row],[PMI]]-B60</f>
        <v>-0.89999999999999858</v>
      </c>
    </row>
    <row r="62" spans="1:3" x14ac:dyDescent="0.2">
      <c r="A62" s="10">
        <v>42339</v>
      </c>
      <c r="B62" s="18">
        <f>IF(VLOOKUP(A62,'DB Country PMI'!$A:$AZ,MATCH($A$1,'DB Country PMI'!$A$1:$AZ$1,),)=0,#N/A,VLOOKUP(A62,'DB Country PMI'!$A:$AZ,MATCH($A$1,'DB Country PMI'!$A$1:$AZ$1,),))</f>
        <v>47.8</v>
      </c>
      <c r="C62" s="24">
        <f>Table13468111214151617181920222530[[#This Row],[PMI]]-B61</f>
        <v>0.89999999999999858</v>
      </c>
    </row>
    <row r="63" spans="1:3" x14ac:dyDescent="0.2">
      <c r="A63" s="10">
        <v>42370</v>
      </c>
      <c r="B63" s="18">
        <f>IF(VLOOKUP(A63,'DB Country PMI'!$A:$AZ,MATCH($A$1,'DB Country PMI'!$A$1:$AZ$1,),)=0,#N/A,VLOOKUP(A63,'DB Country PMI'!$A:$AZ,MATCH($A$1,'DB Country PMI'!$A$1:$AZ$1,),))</f>
        <v>48.9</v>
      </c>
      <c r="C63" s="24">
        <f>Table13468111214151617181920222530[[#This Row],[PMI]]-B62</f>
        <v>1.1000000000000014</v>
      </c>
    </row>
    <row r="64" spans="1:3" x14ac:dyDescent="0.2">
      <c r="A64" s="10">
        <v>42401</v>
      </c>
      <c r="B64" s="18">
        <f>IF(VLOOKUP(A64,'DB Country PMI'!$A:$AZ,MATCH($A$1,'DB Country PMI'!$A$1:$AZ$1,),)=0,#N/A,VLOOKUP(A64,'DB Country PMI'!$A:$AZ,MATCH($A$1,'DB Country PMI'!$A$1:$AZ$1,),))</f>
        <v>48.7</v>
      </c>
      <c r="C64" s="24">
        <f>Table13468111214151617181920222530[[#This Row],[PMI]]-B63</f>
        <v>-0.19999999999999574</v>
      </c>
    </row>
    <row r="65" spans="1:3" x14ac:dyDescent="0.2">
      <c r="A65" s="10">
        <v>42430</v>
      </c>
      <c r="B65" s="18">
        <f>IF(VLOOKUP(A65,'DB Country PMI'!$A:$AZ,MATCH($A$1,'DB Country PMI'!$A$1:$AZ$1,),)=0,#N/A,VLOOKUP(A65,'DB Country PMI'!$A:$AZ,MATCH($A$1,'DB Country PMI'!$A$1:$AZ$1,),))</f>
        <v>50.6</v>
      </c>
      <c r="C65" s="24">
        <f>Table13468111214151617181920222530[[#This Row],[PMI]]-B64</f>
        <v>1.8999999999999986</v>
      </c>
    </row>
    <row r="66" spans="1:3" x14ac:dyDescent="0.2">
      <c r="A66" s="10">
        <v>42461</v>
      </c>
      <c r="B66" s="18">
        <f>IF(VLOOKUP(A66,'DB Country PMI'!$A:$AZ,MATCH($A$1,'DB Country PMI'!$A$1:$AZ$1,),)=0,#N/A,VLOOKUP(A66,'DB Country PMI'!$A:$AZ,MATCH($A$1,'DB Country PMI'!$A$1:$AZ$1,),))</f>
        <v>50.9</v>
      </c>
      <c r="C66" s="24">
        <f>Table13468111214151617181920222530[[#This Row],[PMI]]-B65</f>
        <v>0.29999999999999716</v>
      </c>
    </row>
    <row r="67" spans="1:3" x14ac:dyDescent="0.2">
      <c r="A67" s="10">
        <v>42491</v>
      </c>
      <c r="B67" s="18">
        <f>IF(VLOOKUP(A67,'DB Country PMI'!$A:$AZ,MATCH($A$1,'DB Country PMI'!$A$1:$AZ$1,),)=0,#N/A,VLOOKUP(A67,'DB Country PMI'!$A:$AZ,MATCH($A$1,'DB Country PMI'!$A$1:$AZ$1,),))</f>
        <v>50.6</v>
      </c>
      <c r="C67" s="24">
        <f>Table13468111214151617181920222530[[#This Row],[PMI]]-B66</f>
        <v>-0.29999999999999716</v>
      </c>
    </row>
    <row r="68" spans="1:3" x14ac:dyDescent="0.2">
      <c r="A68" s="10">
        <v>42522</v>
      </c>
      <c r="B68" s="18">
        <f>IF(VLOOKUP(A68,'DB Country PMI'!$A:$AZ,MATCH($A$1,'DB Country PMI'!$A$1:$AZ$1,),)=0,#N/A,VLOOKUP(A68,'DB Country PMI'!$A:$AZ,MATCH($A$1,'DB Country PMI'!$A$1:$AZ$1,),))</f>
        <v>51.9</v>
      </c>
      <c r="C68" s="24">
        <f>Table13468111214151617181920222530[[#This Row],[PMI]]-B67</f>
        <v>1.2999999999999972</v>
      </c>
    </row>
    <row r="69" spans="1:3" x14ac:dyDescent="0.2">
      <c r="A69" s="10">
        <v>42552</v>
      </c>
      <c r="B69" s="18">
        <f>IF(VLOOKUP(A69,'DB Country PMI'!$A:$AZ,MATCH($A$1,'DB Country PMI'!$A$1:$AZ$1,),)=0,#N/A,VLOOKUP(A69,'DB Country PMI'!$A:$AZ,MATCH($A$1,'DB Country PMI'!$A$1:$AZ$1,),))</f>
        <v>48.4</v>
      </c>
      <c r="C69" s="24">
        <f>Table13468111214151617181920222530[[#This Row],[PMI]]-B68</f>
        <v>-3.5</v>
      </c>
    </row>
    <row r="70" spans="1:3" x14ac:dyDescent="0.2">
      <c r="A70" s="10">
        <v>42583</v>
      </c>
      <c r="B70" s="18">
        <f>IF(VLOOKUP(A70,'DB Country PMI'!$A:$AZ,MATCH($A$1,'DB Country PMI'!$A$1:$AZ$1,),)=0,#N/A,VLOOKUP(A70,'DB Country PMI'!$A:$AZ,MATCH($A$1,'DB Country PMI'!$A$1:$AZ$1,),))</f>
        <v>50.4</v>
      </c>
      <c r="C70" s="24">
        <f>Table13468111214151617181920222530[[#This Row],[PMI]]-B69</f>
        <v>2</v>
      </c>
    </row>
    <row r="71" spans="1:3" x14ac:dyDescent="0.2">
      <c r="A71" s="10">
        <v>42614</v>
      </c>
      <c r="B71" s="18">
        <f>IF(VLOOKUP(A71,'DB Country PMI'!$A:$AZ,MATCH($A$1,'DB Country PMI'!$A$1:$AZ$1,),)=0,#N/A,VLOOKUP(A71,'DB Country PMI'!$A:$AZ,MATCH($A$1,'DB Country PMI'!$A$1:$AZ$1,),))</f>
        <v>50.9</v>
      </c>
      <c r="C71" s="24">
        <f>Table13468111214151617181920222530[[#This Row],[PMI]]-B70</f>
        <v>0.5</v>
      </c>
    </row>
    <row r="72" spans="1:3" x14ac:dyDescent="0.2">
      <c r="A72" s="10">
        <v>42644</v>
      </c>
      <c r="B72" s="18">
        <f>IF(VLOOKUP(A72,'DB Country PMI'!$A:$AZ,MATCH($A$1,'DB Country PMI'!$A$1:$AZ$1,),)=0,#N/A,VLOOKUP(A72,'DB Country PMI'!$A:$AZ,MATCH($A$1,'DB Country PMI'!$A$1:$AZ$1,),))</f>
        <v>48.7</v>
      </c>
      <c r="C72" s="24">
        <f>Table13468111214151617181920222530[[#This Row],[PMI]]-B71</f>
        <v>-2.1999999999999957</v>
      </c>
    </row>
    <row r="73" spans="1:3" x14ac:dyDescent="0.2">
      <c r="A73" s="10">
        <v>42675</v>
      </c>
      <c r="B73" s="18">
        <f>IF(VLOOKUP(A73,'DB Country PMI'!$A:$AZ,MATCH($A$1,'DB Country PMI'!$A$1:$AZ$1,),)=0,#N/A,VLOOKUP(A73,'DB Country PMI'!$A:$AZ,MATCH($A$1,'DB Country PMI'!$A$1:$AZ$1,),))</f>
        <v>49.7</v>
      </c>
      <c r="C73" s="24">
        <f>Table13468111214151617181920222530[[#This Row],[PMI]]-B72</f>
        <v>1</v>
      </c>
    </row>
    <row r="74" spans="1:3" x14ac:dyDescent="0.2">
      <c r="A74" s="10">
        <v>42705</v>
      </c>
      <c r="B74" s="18">
        <f>IF(VLOOKUP(A74,'DB Country PMI'!$A:$AZ,MATCH($A$1,'DB Country PMI'!$A$1:$AZ$1,),)=0,#N/A,VLOOKUP(A74,'DB Country PMI'!$A:$AZ,MATCH($A$1,'DB Country PMI'!$A$1:$AZ$1,),))</f>
        <v>49</v>
      </c>
      <c r="C74" s="24">
        <f>Table13468111214151617181920222530[[#This Row],[PMI]]-B73</f>
        <v>-0.70000000000000284</v>
      </c>
    </row>
    <row r="75" spans="1:3" x14ac:dyDescent="0.2">
      <c r="A75" s="10">
        <v>42736</v>
      </c>
      <c r="B75" s="18">
        <f>IF(VLOOKUP(A75,'DB Country PMI'!$A:$AZ,MATCH($A$1,'DB Country PMI'!$A$1:$AZ$1,),)=0,#N/A,VLOOKUP(A75,'DB Country PMI'!$A:$AZ,MATCH($A$1,'DB Country PMI'!$A$1:$AZ$1,),))</f>
        <v>50.4</v>
      </c>
      <c r="C75" s="24">
        <f>Table13468111214151617181920222530[[#This Row],[PMI]]-B74</f>
        <v>1.3999999999999986</v>
      </c>
    </row>
    <row r="76" spans="1:3" x14ac:dyDescent="0.2">
      <c r="A76" s="10">
        <v>42767</v>
      </c>
      <c r="B76" s="18">
        <f>IF(VLOOKUP(A76,'DB Country PMI'!$A:$AZ,MATCH($A$1,'DB Country PMI'!$A$1:$AZ$1,),)=0,#N/A,VLOOKUP(A76,'DB Country PMI'!$A:$AZ,MATCH($A$1,'DB Country PMI'!$A$1:$AZ$1,),))</f>
        <v>49.3</v>
      </c>
      <c r="C76" s="24">
        <f>Table13468111214151617181920222530[[#This Row],[PMI]]-B75</f>
        <v>-1.1000000000000014</v>
      </c>
    </row>
    <row r="77" spans="1:3" x14ac:dyDescent="0.2">
      <c r="A77" s="10">
        <v>42795</v>
      </c>
      <c r="B77" s="18">
        <f>IF(VLOOKUP(A77,'DB Country PMI'!$A:$AZ,MATCH($A$1,'DB Country PMI'!$A$1:$AZ$1,),)=0,#N/A,VLOOKUP(A77,'DB Country PMI'!$A:$AZ,MATCH($A$1,'DB Country PMI'!$A$1:$AZ$1,),))</f>
        <v>50.5</v>
      </c>
      <c r="C77" s="24">
        <f>Table13468111214151617181920222530[[#This Row],[PMI]]-B76</f>
        <v>1.2000000000000028</v>
      </c>
    </row>
    <row r="78" spans="1:3" x14ac:dyDescent="0.2">
      <c r="A78" s="10">
        <v>42826</v>
      </c>
      <c r="B78" s="18">
        <f>IF(VLOOKUP(A78,'DB Country PMI'!$A:$AZ,MATCH($A$1,'DB Country PMI'!$A$1:$AZ$1,),)=0,#N/A,VLOOKUP(A78,'DB Country PMI'!$A:$AZ,MATCH($A$1,'DB Country PMI'!$A$1:$AZ$1,),))</f>
        <v>51.2</v>
      </c>
      <c r="C78" s="24">
        <f>Table13468111214151617181920222530[[#This Row],[PMI]]-B77</f>
        <v>0.70000000000000284</v>
      </c>
    </row>
    <row r="79" spans="1:3" x14ac:dyDescent="0.2">
      <c r="A79" s="10">
        <v>42856</v>
      </c>
      <c r="B79" s="18">
        <f>IF(VLOOKUP(A79,'DB Country PMI'!$A:$AZ,MATCH($A$1,'DB Country PMI'!$A$1:$AZ$1,),)=0,#N/A,VLOOKUP(A79,'DB Country PMI'!$A:$AZ,MATCH($A$1,'DB Country PMI'!$A$1:$AZ$1,),))</f>
        <v>50.6</v>
      </c>
      <c r="C79" s="24">
        <f>Table13468111214151617181920222530[[#This Row],[PMI]]-B78</f>
        <v>-0.60000000000000142</v>
      </c>
    </row>
    <row r="80" spans="1:3" x14ac:dyDescent="0.2">
      <c r="A80" s="10">
        <v>42887</v>
      </c>
      <c r="B80" s="18">
        <f>IF(VLOOKUP(A80,'DB Country PMI'!$A:$AZ,MATCH($A$1,'DB Country PMI'!$A$1:$AZ$1,),)=0,#N/A,VLOOKUP(A80,'DB Country PMI'!$A:$AZ,MATCH($A$1,'DB Country PMI'!$A$1:$AZ$1,),))</f>
        <v>49.5</v>
      </c>
      <c r="C80" s="24">
        <f>Table13468111214151617181920222530[[#This Row],[PMI]]-B79</f>
        <v>-1.1000000000000014</v>
      </c>
    </row>
    <row r="81" spans="1:3" x14ac:dyDescent="0.2">
      <c r="A81" s="10">
        <v>42917</v>
      </c>
      <c r="B81" s="18">
        <f>IF(VLOOKUP(A81,'DB Country PMI'!$A:$AZ,MATCH($A$1,'DB Country PMI'!$A$1:$AZ$1,),)=0,#N/A,VLOOKUP(A81,'DB Country PMI'!$A:$AZ,MATCH($A$1,'DB Country PMI'!$A$1:$AZ$1,),))</f>
        <v>48.6</v>
      </c>
      <c r="C81" s="24">
        <f>Table13468111214151617181920222530[[#This Row],[PMI]]-B80</f>
        <v>-0.89999999999999858</v>
      </c>
    </row>
    <row r="82" spans="1:3" x14ac:dyDescent="0.2">
      <c r="A82" s="10">
        <v>42948</v>
      </c>
      <c r="B82" s="18">
        <f>IF(VLOOKUP(A82,'DB Country PMI'!$A:$AZ,MATCH($A$1,'DB Country PMI'!$A$1:$AZ$1,),)=0,#N/A,VLOOKUP(A82,'DB Country PMI'!$A:$AZ,MATCH($A$1,'DB Country PMI'!$A$1:$AZ$1,),))</f>
        <v>50.7</v>
      </c>
      <c r="C82" s="24">
        <f>Table13468111214151617181920222530[[#This Row],[PMI]]-B81</f>
        <v>2.1000000000000014</v>
      </c>
    </row>
    <row r="83" spans="1:3" x14ac:dyDescent="0.2">
      <c r="A83" s="10">
        <v>42979</v>
      </c>
      <c r="B83" s="18">
        <f>IF(VLOOKUP(A83,'DB Country PMI'!$A:$AZ,MATCH($A$1,'DB Country PMI'!$A$1:$AZ$1,),)=0,#N/A,VLOOKUP(A83,'DB Country PMI'!$A:$AZ,MATCH($A$1,'DB Country PMI'!$A$1:$AZ$1,),))</f>
        <v>50.4</v>
      </c>
      <c r="C83" s="24">
        <f>Table13468111214151617181920222530[[#This Row],[PMI]]-B82</f>
        <v>-0.30000000000000426</v>
      </c>
    </row>
    <row r="84" spans="1:3" x14ac:dyDescent="0.2">
      <c r="A84" s="10">
        <v>43009</v>
      </c>
      <c r="B84" s="18">
        <f>IF(VLOOKUP(A84,'DB Country PMI'!$A:$AZ,MATCH($A$1,'DB Country PMI'!$A$1:$AZ$1,),)=0,#N/A,VLOOKUP(A84,'DB Country PMI'!$A:$AZ,MATCH($A$1,'DB Country PMI'!$A$1:$AZ$1,),))</f>
        <v>50.1</v>
      </c>
      <c r="C84" s="24">
        <f>Table13468111214151617181920222530[[#This Row],[PMI]]-B83</f>
        <v>-0.29999999999999716</v>
      </c>
    </row>
    <row r="85" spans="1:3" x14ac:dyDescent="0.2">
      <c r="A85" s="10">
        <v>43040</v>
      </c>
      <c r="B85" s="18">
        <f>IF(VLOOKUP(A85,'DB Country PMI'!$A:$AZ,MATCH($A$1,'DB Country PMI'!$A$1:$AZ$1,),)=0,#N/A,VLOOKUP(A85,'DB Country PMI'!$A:$AZ,MATCH($A$1,'DB Country PMI'!$A$1:$AZ$1,),))</f>
        <v>50.4</v>
      </c>
      <c r="C85" s="24">
        <f>Table13468111214151617181920222530[[#This Row],[PMI]]-B84</f>
        <v>0.29999999999999716</v>
      </c>
    </row>
    <row r="86" spans="1:3" x14ac:dyDescent="0.2">
      <c r="A86" s="10">
        <v>43070</v>
      </c>
      <c r="B86" s="18">
        <f>IF(VLOOKUP(A86,'DB Country PMI'!$A:$AZ,MATCH($A$1,'DB Country PMI'!$A$1:$AZ$1,),)=0,#N/A,VLOOKUP(A86,'DB Country PMI'!$A:$AZ,MATCH($A$1,'DB Country PMI'!$A$1:$AZ$1,),))</f>
        <v>49.3</v>
      </c>
      <c r="C86" s="24">
        <f>Table13468111214151617181920222530[[#This Row],[PMI]]-B85</f>
        <v>-1.1000000000000014</v>
      </c>
    </row>
    <row r="87" spans="1:3" x14ac:dyDescent="0.2">
      <c r="A87" s="10">
        <v>43101</v>
      </c>
      <c r="B87" s="18">
        <f>IF(VLOOKUP(A87,'DB Country PMI'!$A:$AZ,MATCH($A$1,'DB Country PMI'!$A$1:$AZ$1,),)=0,#N/A,VLOOKUP(A87,'DB Country PMI'!$A:$AZ,MATCH($A$1,'DB Country PMI'!$A$1:$AZ$1,),))</f>
        <v>49.9</v>
      </c>
      <c r="C87" s="24">
        <f>Table13468111214151617181920222530[[#This Row],[PMI]]-B86</f>
        <v>0.60000000000000142</v>
      </c>
    </row>
    <row r="88" spans="1:3" x14ac:dyDescent="0.2">
      <c r="A88" s="10">
        <v>43132</v>
      </c>
      <c r="B88" s="18">
        <f>IF(VLOOKUP(A88,'DB Country PMI'!$A:$AZ,MATCH($A$1,'DB Country PMI'!$A$1:$AZ$1,),)=0,#N/A,VLOOKUP(A88,'DB Country PMI'!$A:$AZ,MATCH($A$1,'DB Country PMI'!$A$1:$AZ$1,),))</f>
        <v>51.4</v>
      </c>
      <c r="C88" s="24">
        <f>Table13468111214151617181920222530[[#This Row],[PMI]]-B87</f>
        <v>1.5</v>
      </c>
    </row>
    <row r="89" spans="1:3" x14ac:dyDescent="0.2">
      <c r="A89" s="10">
        <v>43160</v>
      </c>
      <c r="B89" s="18">
        <f>IF(VLOOKUP(A89,'DB Country PMI'!$A:$AZ,MATCH($A$1,'DB Country PMI'!$A$1:$AZ$1,),)=0,#N/A,VLOOKUP(A89,'DB Country PMI'!$A:$AZ,MATCH($A$1,'DB Country PMI'!$A$1:$AZ$1,),))</f>
        <v>50.7</v>
      </c>
      <c r="C89" s="24">
        <f>Table13468111214151617181920222530[[#This Row],[PMI]]-B88</f>
        <v>-0.69999999999999574</v>
      </c>
    </row>
    <row r="90" spans="1:3" x14ac:dyDescent="0.2">
      <c r="A90" s="10">
        <v>43191</v>
      </c>
      <c r="B90" s="18">
        <f>IF(VLOOKUP(A90,'DB Country PMI'!$A:$AZ,MATCH($A$1,'DB Country PMI'!$A$1:$AZ$1,),)=0,#N/A,VLOOKUP(A90,'DB Country PMI'!$A:$AZ,MATCH($A$1,'DB Country PMI'!$A$1:$AZ$1,),))</f>
        <v>51.6</v>
      </c>
      <c r="C90" s="24">
        <f>Table13468111214151617181920222530[[#This Row],[PMI]]-B89</f>
        <v>0.89999999999999858</v>
      </c>
    </row>
    <row r="91" spans="1:3" x14ac:dyDescent="0.2">
      <c r="A91" s="10">
        <v>43221</v>
      </c>
      <c r="B91" s="18">
        <f>IF(VLOOKUP(A91,'DB Country PMI'!$A:$AZ,MATCH($A$1,'DB Country PMI'!$A$1:$AZ$1,),)=0,#N/A,VLOOKUP(A91,'DB Country PMI'!$A:$AZ,MATCH($A$1,'DB Country PMI'!$A$1:$AZ$1,),))</f>
        <v>51.7</v>
      </c>
      <c r="C91" s="24">
        <f>Table13468111214151617181920222530[[#This Row],[PMI]]-B90</f>
        <v>0.10000000000000142</v>
      </c>
    </row>
    <row r="92" spans="1:3" x14ac:dyDescent="0.2">
      <c r="A92" s="10">
        <v>43252</v>
      </c>
      <c r="B92" s="18">
        <f>IF(VLOOKUP(A92,'DB Country PMI'!$A:$AZ,MATCH($A$1,'DB Country PMI'!$A$1:$AZ$1,),)=0,#N/A,VLOOKUP(A92,'DB Country PMI'!$A:$AZ,MATCH($A$1,'DB Country PMI'!$A$1:$AZ$1,),))</f>
        <v>50.3</v>
      </c>
      <c r="C92" s="24">
        <f>Table13468111214151617181920222530[[#This Row],[PMI]]-B91</f>
        <v>-1.4000000000000057</v>
      </c>
    </row>
    <row r="93" spans="1:3" x14ac:dyDescent="0.2">
      <c r="A93" s="10">
        <v>43282</v>
      </c>
      <c r="B93" s="18">
        <f>IF(VLOOKUP(A93,'DB Country PMI'!$A:$AZ,MATCH($A$1,'DB Country PMI'!$A$1:$AZ$1,),)=0,#N/A,VLOOKUP(A93,'DB Country PMI'!$A:$AZ,MATCH($A$1,'DB Country PMI'!$A$1:$AZ$1,),))</f>
        <v>50.5</v>
      </c>
      <c r="C93" s="24">
        <f>Table13468111214151617181920222530[[#This Row],[PMI]]-B92</f>
        <v>0.20000000000000284</v>
      </c>
    </row>
    <row r="94" spans="1:3" x14ac:dyDescent="0.2">
      <c r="A94" s="10">
        <v>43313</v>
      </c>
      <c r="B94" s="18">
        <f>IF(VLOOKUP(A94,'DB Country PMI'!$A:$AZ,MATCH($A$1,'DB Country PMI'!$A$1:$AZ$1,),)=0,#N/A,VLOOKUP(A94,'DB Country PMI'!$A:$AZ,MATCH($A$1,'DB Country PMI'!$A$1:$AZ$1,),))</f>
        <v>51.9</v>
      </c>
      <c r="C94" s="24">
        <f>Table13468111214151617181920222530[[#This Row],[PMI]]-B93</f>
        <v>1.3999999999999986</v>
      </c>
    </row>
    <row r="95" spans="1:3" x14ac:dyDescent="0.2">
      <c r="A95" s="10">
        <v>43344</v>
      </c>
      <c r="B95" s="18">
        <f>IF(VLOOKUP(A95,'DB Country PMI'!$A:$AZ,MATCH($A$1,'DB Country PMI'!$A$1:$AZ$1,),)=0,#N/A,VLOOKUP(A95,'DB Country PMI'!$A:$AZ,MATCH($A$1,'DB Country PMI'!$A$1:$AZ$1,),))</f>
        <v>50.7</v>
      </c>
      <c r="C95" s="24">
        <f>Table13468111214151617181920222530[[#This Row],[PMI]]-B94</f>
        <v>-1.1999999999999957</v>
      </c>
    </row>
    <row r="96" spans="1:3" x14ac:dyDescent="0.2">
      <c r="A96" s="10">
        <v>43374</v>
      </c>
      <c r="B96" s="18">
        <f>IF(VLOOKUP(A96,'DB Country PMI'!$A:$AZ,MATCH($A$1,'DB Country PMI'!$A$1:$AZ$1,),)=0,#N/A,VLOOKUP(A96,'DB Country PMI'!$A:$AZ,MATCH($A$1,'DB Country PMI'!$A$1:$AZ$1,),))</f>
        <v>50.5</v>
      </c>
      <c r="C96" s="24">
        <f>Table13468111214151617181920222530[[#This Row],[PMI]]-B95</f>
        <v>-0.20000000000000284</v>
      </c>
    </row>
    <row r="97" spans="1:3" x14ac:dyDescent="0.2">
      <c r="A97" s="10">
        <v>43405</v>
      </c>
      <c r="B97" s="18">
        <f>IF(VLOOKUP(A97,'DB Country PMI'!$A:$AZ,MATCH($A$1,'DB Country PMI'!$A$1:$AZ$1,),)=0,#N/A,VLOOKUP(A97,'DB Country PMI'!$A:$AZ,MATCH($A$1,'DB Country PMI'!$A$1:$AZ$1,),))</f>
        <v>50.4</v>
      </c>
      <c r="C97" s="24">
        <f>Table13468111214151617181920222530[[#This Row],[PMI]]-B96</f>
        <v>-0.10000000000000142</v>
      </c>
    </row>
    <row r="98" spans="1:3" x14ac:dyDescent="0.2">
      <c r="A98" s="10">
        <v>43435</v>
      </c>
      <c r="B98" s="18">
        <f>IF(VLOOKUP(A98,'DB Country PMI'!$A:$AZ,MATCH($A$1,'DB Country PMI'!$A$1:$AZ$1,),)=0,#N/A,VLOOKUP(A98,'DB Country PMI'!$A:$AZ,MATCH($A$1,'DB Country PMI'!$A$1:$AZ$1,),))</f>
        <v>51.2</v>
      </c>
      <c r="C98" s="24">
        <f>Table13468111214151617181920222530[[#This Row],[PMI]]-B97</f>
        <v>0.80000000000000426</v>
      </c>
    </row>
    <row r="99" spans="1:3" x14ac:dyDescent="0.2">
      <c r="A99" s="10">
        <v>43466</v>
      </c>
      <c r="B99" s="18">
        <f>IF(VLOOKUP(A99,'DB Country PMI'!$A:$AZ,MATCH($A$1,'DB Country PMI'!$A$1:$AZ$1,),)=0,#N/A,VLOOKUP(A99,'DB Country PMI'!$A:$AZ,MATCH($A$1,'DB Country PMI'!$A$1:$AZ$1,),))</f>
        <v>49.9</v>
      </c>
      <c r="C99" s="24">
        <f>Table13468111214151617181920222530[[#This Row],[PMI]]-B98</f>
        <v>-1.3000000000000043</v>
      </c>
    </row>
    <row r="100" spans="1:3" x14ac:dyDescent="0.2">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2">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2">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2">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2">
      <c r="A104" s="10">
        <v>43617</v>
      </c>
      <c r="B104" s="18">
        <f>IF(VLOOKUP(A104,'DB Country PMI'!$A:$AZ,MATCH($A$1,'DB Country PMI'!$A$1:$AZ$1,),)=0,#N/A,VLOOKUP(A104,'DB Country PMI'!$A:$AZ,MATCH($A$1,'DB Country PMI'!$A$1:$AZ$1,),))</f>
        <v>50.6</v>
      </c>
      <c r="C104" s="24">
        <f>Table13468111214151617181920222530[[#This Row],[PMI]]-B103</f>
        <v>-1</v>
      </c>
    </row>
    <row r="105" spans="1:3" x14ac:dyDescent="0.2">
      <c r="A105" s="10">
        <v>43647</v>
      </c>
      <c r="B105" s="18">
        <f>IF(VLOOKUP(A105,'DB Country PMI'!$A:$AZ,MATCH($A$1,'DB Country PMI'!$A$1:$AZ$1,),)=0,#N/A,VLOOKUP(A105,'DB Country PMI'!$A:$AZ,MATCH($A$1,'DB Country PMI'!$A$1:$AZ$1,),))</f>
        <v>49.6</v>
      </c>
      <c r="C105" s="24">
        <f>Table13468111214151617181920222530[[#This Row],[PMI]]-B104</f>
        <v>-1</v>
      </c>
    </row>
    <row r="106" spans="1:3" x14ac:dyDescent="0.2">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2">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2">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2">
      <c r="A109" s="10">
        <v>43770</v>
      </c>
      <c r="B109" s="18">
        <f>IF(VLOOKUP(A109,'DB Country PMI'!$A:$AZ,MATCH($A$1,'DB Country PMI'!$A$1:$AZ$1,),)=0,#N/A,VLOOKUP(A109,'DB Country PMI'!$A:$AZ,MATCH($A$1,'DB Country PMI'!$A$1:$AZ$1,),))</f>
        <v>48.2</v>
      </c>
      <c r="C109" s="24">
        <f>Table13468111214151617181920222530[[#This Row],[PMI]]-B108</f>
        <v>0.5</v>
      </c>
    </row>
    <row r="110" spans="1:3" x14ac:dyDescent="0.2">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2">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2">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2">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2">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2">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2">
      <c r="A116" s="10">
        <v>43983</v>
      </c>
      <c r="B116" s="18">
        <f>IF(VLOOKUP(A116,'DB Country PMI'!$A:$AZ,MATCH($A$1,'DB Country PMI'!$A$1:$AZ$1,),)=0,#N/A,VLOOKUP(A116,'DB Country PMI'!$A:$AZ,MATCH($A$1,'DB Country PMI'!$A$1:$AZ$1,),))</f>
        <v>39.1</v>
      </c>
      <c r="C116" s="24">
        <f>Table13468111214151617181920222530[[#This Row],[PMI]]-B115</f>
        <v>10.5</v>
      </c>
    </row>
    <row r="117" spans="1:3" x14ac:dyDescent="0.2">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2">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2">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2">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2">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2">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2">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2">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2">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2">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2">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2">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2">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2">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2">
      <c r="A131" s="10">
        <v>44440</v>
      </c>
      <c r="B131" s="18">
        <f>IF(VLOOKUP(A131,'DB Country PMI'!$A:$AZ,MATCH($A$1,'DB Country PMI'!$A$1:$AZ$1,),)=0,#N/A,VLOOKUP(A131,'DB Country PMI'!$A:$AZ,MATCH($A$1,'DB Country PMI'!$A$1:$AZ$1,),))</f>
        <v>52.2</v>
      </c>
      <c r="C131" s="24">
        <f>Table13468111214151617181920222530[[#This Row],[PMI]]-B130</f>
        <v>8.5</v>
      </c>
    </row>
    <row r="132" spans="1:3" x14ac:dyDescent="0.2">
      <c r="A132" s="10">
        <v>44470</v>
      </c>
      <c r="B132" s="18">
        <f>IF(VLOOKUP(A132,'DB Country PMI'!$A:$AZ,MATCH($A$1,'DB Country PMI'!$A$1:$AZ$1,),)=0,#N/A,VLOOKUP(A132,'DB Country PMI'!$A:$AZ,MATCH($A$1,'DB Country PMI'!$A$1:$AZ$1,),))</f>
        <v>57.2</v>
      </c>
      <c r="C132" s="24">
        <f>Table13468111214151617181920222530[[#This Row],[PMI]]-B131</f>
        <v>5</v>
      </c>
    </row>
    <row r="133" spans="1:3" x14ac:dyDescent="0.2">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2">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2">
      <c r="A135" s="10">
        <v>44562</v>
      </c>
      <c r="B135" s="18">
        <f>IF(VLOOKUP(A135,'DB Country PMI'!$A:$AZ,MATCH($A$1,'DB Country PMI'!$A$1:$AZ$1,),)=0,#N/A,VLOOKUP(A135,'DB Country PMI'!$A:$AZ,MATCH($A$1,'DB Country PMI'!$A$1:$AZ$1,),))</f>
        <v>53.7</v>
      </c>
      <c r="C135" s="24">
        <f>Table13468111214151617181920222530[[#This Row],[PMI]]-B134</f>
        <v>0.20000000000000284</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39"/>
  <sheetViews>
    <sheetView zoomScale="160" zoomScaleNormal="160" workbookViewId="0">
      <pane ySplit="5" topLeftCell="A104" activePane="bottomLeft" state="frozen"/>
      <selection pane="bottomLeft" activeCell="S124" sqref="S124"/>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71</v>
      </c>
      <c r="K1" s="63" t="s">
        <v>107</v>
      </c>
    </row>
    <row r="2" spans="1:11" x14ac:dyDescent="0.2">
      <c r="K2" s="63" t="str">
        <f>A1&amp;K1</f>
        <v>South Korea Manufacturing PMI</v>
      </c>
    </row>
    <row r="4" spans="1:11" ht="16" customHeight="1" thickBot="1" x14ac:dyDescent="0.25"/>
    <row r="5" spans="1:11" ht="16" customHeight="1" thickBot="1" x14ac:dyDescent="0.25">
      <c r="A5" s="21" t="s">
        <v>44</v>
      </c>
      <c r="B5" s="22" t="s">
        <v>103</v>
      </c>
      <c r="C5" s="22" t="s">
        <v>104</v>
      </c>
    </row>
    <row r="6" spans="1:11" x14ac:dyDescent="0.2">
      <c r="A6" s="17">
        <v>40513</v>
      </c>
      <c r="B6" s="18">
        <f>IF(VLOOKUP(A6,'DB Country PMI'!$A:$AZ,MATCH($A$1,'DB Country PMI'!$A$1:$AZ$1,),)=0,#N/A,VLOOKUP(A6,'DB Country PMI'!$A:$AZ,MATCH($A$1,'DB Country PMI'!$A$1:$AZ$1,),))</f>
        <v>53.9</v>
      </c>
      <c r="C6" s="18"/>
    </row>
    <row r="7" spans="1:11" x14ac:dyDescent="0.2">
      <c r="A7" s="10">
        <v>40544</v>
      </c>
      <c r="B7" s="18">
        <f>IF(VLOOKUP(A7,'DB Country PMI'!$A:$AZ,MATCH($A$1,'DB Country PMI'!$A$1:$AZ$1,),)=0,#N/A,VLOOKUP(A7,'DB Country PMI'!$A:$AZ,MATCH($A$1,'DB Country PMI'!$A$1:$AZ$1,),))</f>
        <v>53.5</v>
      </c>
      <c r="C7" s="24">
        <f>Table1346811121415161718192022252629[[#This Row],[PMI]]-B6</f>
        <v>-0.39999999999999858</v>
      </c>
    </row>
    <row r="8" spans="1:11" x14ac:dyDescent="0.2">
      <c r="A8" s="10">
        <v>40575</v>
      </c>
      <c r="B8" s="18">
        <f>IF(VLOOKUP(A8,'DB Country PMI'!$A:$AZ,MATCH($A$1,'DB Country PMI'!$A$1:$AZ$1,),)=0,#N/A,VLOOKUP(A8,'DB Country PMI'!$A:$AZ,MATCH($A$1,'DB Country PMI'!$A$1:$AZ$1,),))</f>
        <v>53.4</v>
      </c>
      <c r="C8" s="24">
        <f>Table1346811121415161718192022252629[[#This Row],[PMI]]-B7</f>
        <v>-0.10000000000000142</v>
      </c>
    </row>
    <row r="9" spans="1:11" x14ac:dyDescent="0.2">
      <c r="A9" s="10">
        <v>40603</v>
      </c>
      <c r="B9" s="18">
        <f>IF(VLOOKUP(A9,'DB Country PMI'!$A:$AZ,MATCH($A$1,'DB Country PMI'!$A$1:$AZ$1,),)=0,#N/A,VLOOKUP(A9,'DB Country PMI'!$A:$AZ,MATCH($A$1,'DB Country PMI'!$A$1:$AZ$1,),))</f>
        <v>52.8</v>
      </c>
      <c r="C9" s="24">
        <f>Table1346811121415161718192022252629[[#This Row],[PMI]]-B8</f>
        <v>-0.60000000000000142</v>
      </c>
    </row>
    <row r="10" spans="1:11" x14ac:dyDescent="0.2">
      <c r="A10" s="10">
        <v>40634</v>
      </c>
      <c r="B10" s="18">
        <f>IF(VLOOKUP(A10,'DB Country PMI'!$A:$AZ,MATCH($A$1,'DB Country PMI'!$A$1:$AZ$1,),)=0,#N/A,VLOOKUP(A10,'DB Country PMI'!$A:$AZ,MATCH($A$1,'DB Country PMI'!$A$1:$AZ$1,),))</f>
        <v>51.7</v>
      </c>
      <c r="C10" s="24">
        <f>Table1346811121415161718192022252629[[#This Row],[PMI]]-B9</f>
        <v>-1.0999999999999943</v>
      </c>
    </row>
    <row r="11" spans="1:11" x14ac:dyDescent="0.2">
      <c r="A11" s="10">
        <v>40664</v>
      </c>
      <c r="B11" s="18">
        <f>IF(VLOOKUP(A11,'DB Country PMI'!$A:$AZ,MATCH($A$1,'DB Country PMI'!$A$1:$AZ$1,),)=0,#N/A,VLOOKUP(A11,'DB Country PMI'!$A:$AZ,MATCH($A$1,'DB Country PMI'!$A$1:$AZ$1,),))</f>
        <v>51.2</v>
      </c>
      <c r="C11" s="24">
        <f>Table1346811121415161718192022252629[[#This Row],[PMI]]-B10</f>
        <v>-0.5</v>
      </c>
    </row>
    <row r="12" spans="1:11" x14ac:dyDescent="0.2">
      <c r="A12" s="10">
        <v>40695</v>
      </c>
      <c r="B12" s="18">
        <f>IF(VLOOKUP(A12,'DB Country PMI'!$A:$AZ,MATCH($A$1,'DB Country PMI'!$A$1:$AZ$1,),)=0,#N/A,VLOOKUP(A12,'DB Country PMI'!$A:$AZ,MATCH($A$1,'DB Country PMI'!$A$1:$AZ$1,),))</f>
        <v>51.2</v>
      </c>
      <c r="C12" s="24">
        <f>Table1346811121415161718192022252629[[#This Row],[PMI]]-B11</f>
        <v>0</v>
      </c>
    </row>
    <row r="13" spans="1:11" x14ac:dyDescent="0.2">
      <c r="A13" s="10">
        <v>40725</v>
      </c>
      <c r="B13" s="18">
        <f>IF(VLOOKUP(A13,'DB Country PMI'!$A:$AZ,MATCH($A$1,'DB Country PMI'!$A$1:$AZ$1,),)=0,#N/A,VLOOKUP(A13,'DB Country PMI'!$A:$AZ,MATCH($A$1,'DB Country PMI'!$A$1:$AZ$1,),))</f>
        <v>51.1</v>
      </c>
      <c r="C13" s="24">
        <f>Table1346811121415161718192022252629[[#This Row],[PMI]]-B12</f>
        <v>-0.10000000000000142</v>
      </c>
    </row>
    <row r="14" spans="1:11" x14ac:dyDescent="0.2">
      <c r="A14" s="10">
        <v>40756</v>
      </c>
      <c r="B14" s="18">
        <f>IF(VLOOKUP(A14,'DB Country PMI'!$A:$AZ,MATCH($A$1,'DB Country PMI'!$A$1:$AZ$1,),)=0,#N/A,VLOOKUP(A14,'DB Country PMI'!$A:$AZ,MATCH($A$1,'DB Country PMI'!$A$1:$AZ$1,),))</f>
        <v>51.3</v>
      </c>
      <c r="C14" s="24">
        <f>Table1346811121415161718192022252629[[#This Row],[PMI]]-B13</f>
        <v>0.19999999999999574</v>
      </c>
    </row>
    <row r="15" spans="1:11" x14ac:dyDescent="0.2">
      <c r="A15" s="10">
        <v>40787</v>
      </c>
      <c r="B15" s="18">
        <f>IF(VLOOKUP(A15,'DB Country PMI'!$A:$AZ,MATCH($A$1,'DB Country PMI'!$A$1:$AZ$1,),)=0,#N/A,VLOOKUP(A15,'DB Country PMI'!$A:$AZ,MATCH($A$1,'DB Country PMI'!$A$1:$AZ$1,),))</f>
        <v>49.7</v>
      </c>
      <c r="C15" s="24">
        <f>Table1346811121415161718192022252629[[#This Row],[PMI]]-B14</f>
        <v>-1.5999999999999943</v>
      </c>
    </row>
    <row r="16" spans="1:11" x14ac:dyDescent="0.2">
      <c r="A16" s="10">
        <v>40817</v>
      </c>
      <c r="B16" s="18">
        <f>IF(VLOOKUP(A16,'DB Country PMI'!$A:$AZ,MATCH($A$1,'DB Country PMI'!$A$1:$AZ$1,),)=0,#N/A,VLOOKUP(A16,'DB Country PMI'!$A:$AZ,MATCH($A$1,'DB Country PMI'!$A$1:$AZ$1,),))</f>
        <v>47.4</v>
      </c>
      <c r="C16" s="24">
        <f>Table1346811121415161718192022252629[[#This Row],[PMI]]-B15</f>
        <v>-2.3000000000000043</v>
      </c>
    </row>
    <row r="17" spans="1:3" x14ac:dyDescent="0.2">
      <c r="A17" s="10">
        <v>40848</v>
      </c>
      <c r="B17" s="18">
        <f>IF(VLOOKUP(A17,'DB Country PMI'!$A:$AZ,MATCH($A$1,'DB Country PMI'!$A$1:$AZ$1,),)=0,#N/A,VLOOKUP(A17,'DB Country PMI'!$A:$AZ,MATCH($A$1,'DB Country PMI'!$A$1:$AZ$1,),))</f>
        <v>48</v>
      </c>
      <c r="C17" s="24">
        <f>Table1346811121415161718192022252629[[#This Row],[PMI]]-B16</f>
        <v>0.60000000000000142</v>
      </c>
    </row>
    <row r="18" spans="1:3" x14ac:dyDescent="0.2">
      <c r="A18" s="10">
        <v>40878</v>
      </c>
      <c r="B18" s="18">
        <f>IF(VLOOKUP(A18,'DB Country PMI'!$A:$AZ,MATCH($A$1,'DB Country PMI'!$A$1:$AZ$1,),)=0,#N/A,VLOOKUP(A18,'DB Country PMI'!$A:$AZ,MATCH($A$1,'DB Country PMI'!$A$1:$AZ$1,),))</f>
        <v>47.1</v>
      </c>
      <c r="C18" s="24">
        <f>Table1346811121415161718192022252629[[#This Row],[PMI]]-B17</f>
        <v>-0.89999999999999858</v>
      </c>
    </row>
    <row r="19" spans="1:3" x14ac:dyDescent="0.2">
      <c r="A19" s="10">
        <v>40909</v>
      </c>
      <c r="B19" s="18">
        <f>IF(VLOOKUP(A19,'DB Country PMI'!$A:$AZ,MATCH($A$1,'DB Country PMI'!$A$1:$AZ$1,),)=0,#N/A,VLOOKUP(A19,'DB Country PMI'!$A:$AZ,MATCH($A$1,'DB Country PMI'!$A$1:$AZ$1,),))</f>
        <v>49.2</v>
      </c>
      <c r="C19" s="24">
        <f>Table1346811121415161718192022252629[[#This Row],[PMI]]-B18</f>
        <v>2.1000000000000014</v>
      </c>
    </row>
    <row r="20" spans="1:3" x14ac:dyDescent="0.2">
      <c r="A20" s="10">
        <v>40940</v>
      </c>
      <c r="B20" s="18">
        <f>IF(VLOOKUP(A20,'DB Country PMI'!$A:$AZ,MATCH($A$1,'DB Country PMI'!$A$1:$AZ$1,),)=0,#N/A,VLOOKUP(A20,'DB Country PMI'!$A:$AZ,MATCH($A$1,'DB Country PMI'!$A$1:$AZ$1,),))</f>
        <v>50.7</v>
      </c>
      <c r="C20" s="24">
        <f>Table1346811121415161718192022252629[[#This Row],[PMI]]-B19</f>
        <v>1.5</v>
      </c>
    </row>
    <row r="21" spans="1:3" x14ac:dyDescent="0.2">
      <c r="A21" s="10">
        <v>40969</v>
      </c>
      <c r="B21" s="18">
        <f>IF(VLOOKUP(A21,'DB Country PMI'!$A:$AZ,MATCH($A$1,'DB Country PMI'!$A$1:$AZ$1,),)=0,#N/A,VLOOKUP(A21,'DB Country PMI'!$A:$AZ,MATCH($A$1,'DB Country PMI'!$A$1:$AZ$1,),))</f>
        <v>52</v>
      </c>
      <c r="C21" s="24">
        <f>Table1346811121415161718192022252629[[#This Row],[PMI]]-B20</f>
        <v>1.2999999999999972</v>
      </c>
    </row>
    <row r="22" spans="1:3" x14ac:dyDescent="0.2">
      <c r="A22" s="10">
        <v>41000</v>
      </c>
      <c r="B22" s="18">
        <f>IF(VLOOKUP(A22,'DB Country PMI'!$A:$AZ,MATCH($A$1,'DB Country PMI'!$A$1:$AZ$1,),)=0,#N/A,VLOOKUP(A22,'DB Country PMI'!$A:$AZ,MATCH($A$1,'DB Country PMI'!$A$1:$AZ$1,),))</f>
        <v>51.9</v>
      </c>
      <c r="C22" s="24">
        <f>Table1346811121415161718192022252629[[#This Row],[PMI]]-B21</f>
        <v>-0.10000000000000142</v>
      </c>
    </row>
    <row r="23" spans="1:3" x14ac:dyDescent="0.2">
      <c r="A23" s="10">
        <v>41030</v>
      </c>
      <c r="B23" s="18">
        <f>IF(VLOOKUP(A23,'DB Country PMI'!$A:$AZ,MATCH($A$1,'DB Country PMI'!$A$1:$AZ$1,),)=0,#N/A,VLOOKUP(A23,'DB Country PMI'!$A:$AZ,MATCH($A$1,'DB Country PMI'!$A$1:$AZ$1,),))</f>
        <v>51</v>
      </c>
      <c r="C23" s="24">
        <f>Table1346811121415161718192022252629[[#This Row],[PMI]]-B22</f>
        <v>-0.89999999999999858</v>
      </c>
    </row>
    <row r="24" spans="1:3" x14ac:dyDescent="0.2">
      <c r="A24" s="10">
        <v>41061</v>
      </c>
      <c r="B24" s="18">
        <f>IF(VLOOKUP(A24,'DB Country PMI'!$A:$AZ,MATCH($A$1,'DB Country PMI'!$A$1:$AZ$1,),)=0,#N/A,VLOOKUP(A24,'DB Country PMI'!$A:$AZ,MATCH($A$1,'DB Country PMI'!$A$1:$AZ$1,),))</f>
        <v>49.4</v>
      </c>
      <c r="C24" s="24">
        <f>Table1346811121415161718192022252629[[#This Row],[PMI]]-B23</f>
        <v>-1.6000000000000014</v>
      </c>
    </row>
    <row r="25" spans="1:3" x14ac:dyDescent="0.2">
      <c r="A25" s="10">
        <v>41091</v>
      </c>
      <c r="B25" s="18">
        <f>IF(VLOOKUP(A25,'DB Country PMI'!$A:$AZ,MATCH($A$1,'DB Country PMI'!$A$1:$AZ$1,),)=0,#N/A,VLOOKUP(A25,'DB Country PMI'!$A:$AZ,MATCH($A$1,'DB Country PMI'!$A$1:$AZ$1,),))</f>
        <v>47.2</v>
      </c>
      <c r="C25" s="24">
        <f>Table1346811121415161718192022252629[[#This Row],[PMI]]-B24</f>
        <v>-2.1999999999999957</v>
      </c>
    </row>
    <row r="26" spans="1:3" x14ac:dyDescent="0.2">
      <c r="A26" s="10">
        <v>41122</v>
      </c>
      <c r="B26" s="18">
        <f>IF(VLOOKUP(A26,'DB Country PMI'!$A:$AZ,MATCH($A$1,'DB Country PMI'!$A$1:$AZ$1,),)=0,#N/A,VLOOKUP(A26,'DB Country PMI'!$A:$AZ,MATCH($A$1,'DB Country PMI'!$A$1:$AZ$1,),))</f>
        <v>47.5</v>
      </c>
      <c r="C26" s="24">
        <f>Table1346811121415161718192022252629[[#This Row],[PMI]]-B25</f>
        <v>0.29999999999999716</v>
      </c>
    </row>
    <row r="27" spans="1:3" x14ac:dyDescent="0.2">
      <c r="A27" s="10">
        <v>41153</v>
      </c>
      <c r="B27" s="18">
        <f>IF(VLOOKUP(A27,'DB Country PMI'!$A:$AZ,MATCH($A$1,'DB Country PMI'!$A$1:$AZ$1,),)=0,#N/A,VLOOKUP(A27,'DB Country PMI'!$A:$AZ,MATCH($A$1,'DB Country PMI'!$A$1:$AZ$1,),))</f>
        <v>45.7</v>
      </c>
      <c r="C27" s="24">
        <f>Table1346811121415161718192022252629[[#This Row],[PMI]]-B26</f>
        <v>-1.7999999999999972</v>
      </c>
    </row>
    <row r="28" spans="1:3" x14ac:dyDescent="0.2">
      <c r="A28" s="10">
        <v>41183</v>
      </c>
      <c r="B28" s="18">
        <f>IF(VLOOKUP(A28,'DB Country PMI'!$A:$AZ,MATCH($A$1,'DB Country PMI'!$A$1:$AZ$1,),)=0,#N/A,VLOOKUP(A28,'DB Country PMI'!$A:$AZ,MATCH($A$1,'DB Country PMI'!$A$1:$AZ$1,),))</f>
        <v>47.4</v>
      </c>
      <c r="C28" s="24">
        <f>Table1346811121415161718192022252629[[#This Row],[PMI]]-B27</f>
        <v>1.6999999999999957</v>
      </c>
    </row>
    <row r="29" spans="1:3" x14ac:dyDescent="0.2">
      <c r="A29" s="10">
        <v>41214</v>
      </c>
      <c r="B29" s="18">
        <f>IF(VLOOKUP(A29,'DB Country PMI'!$A:$AZ,MATCH($A$1,'DB Country PMI'!$A$1:$AZ$1,),)=0,#N/A,VLOOKUP(A29,'DB Country PMI'!$A:$AZ,MATCH($A$1,'DB Country PMI'!$A$1:$AZ$1,),))</f>
        <v>48.2</v>
      </c>
      <c r="C29" s="24">
        <f>Table1346811121415161718192022252629[[#This Row],[PMI]]-B28</f>
        <v>0.80000000000000426</v>
      </c>
    </row>
    <row r="30" spans="1:3" x14ac:dyDescent="0.2">
      <c r="A30" s="10">
        <v>41244</v>
      </c>
      <c r="B30" s="18">
        <f>IF(VLOOKUP(A30,'DB Country PMI'!$A:$AZ,MATCH($A$1,'DB Country PMI'!$A$1:$AZ$1,),)=0,#N/A,VLOOKUP(A30,'DB Country PMI'!$A:$AZ,MATCH($A$1,'DB Country PMI'!$A$1:$AZ$1,),))</f>
        <v>50.1</v>
      </c>
      <c r="C30" s="24">
        <f>Table1346811121415161718192022252629[[#This Row],[PMI]]-B29</f>
        <v>1.8999999999999986</v>
      </c>
    </row>
    <row r="31" spans="1:3" x14ac:dyDescent="0.2">
      <c r="A31" s="10">
        <v>41275</v>
      </c>
      <c r="B31" s="18">
        <f>IF(VLOOKUP(A31,'DB Country PMI'!$A:$AZ,MATCH($A$1,'DB Country PMI'!$A$1:$AZ$1,),)=0,#N/A,VLOOKUP(A31,'DB Country PMI'!$A:$AZ,MATCH($A$1,'DB Country PMI'!$A$1:$AZ$1,),))</f>
        <v>49.9</v>
      </c>
      <c r="C31" s="24">
        <f>Table1346811121415161718192022252629[[#This Row],[PMI]]-B30</f>
        <v>-0.20000000000000284</v>
      </c>
    </row>
    <row r="32" spans="1:3" x14ac:dyDescent="0.2">
      <c r="A32" s="10">
        <v>41306</v>
      </c>
      <c r="B32" s="18">
        <f>IF(VLOOKUP(A32,'DB Country PMI'!$A:$AZ,MATCH($A$1,'DB Country PMI'!$A$1:$AZ$1,),)=0,#N/A,VLOOKUP(A32,'DB Country PMI'!$A:$AZ,MATCH($A$1,'DB Country PMI'!$A$1:$AZ$1,),))</f>
        <v>50.9</v>
      </c>
      <c r="C32" s="24">
        <f>Table1346811121415161718192022252629[[#This Row],[PMI]]-B31</f>
        <v>1</v>
      </c>
    </row>
    <row r="33" spans="1:3" x14ac:dyDescent="0.2">
      <c r="A33" s="10">
        <v>41334</v>
      </c>
      <c r="B33" s="18">
        <f>IF(VLOOKUP(A33,'DB Country PMI'!$A:$AZ,MATCH($A$1,'DB Country PMI'!$A$1:$AZ$1,),)=0,#N/A,VLOOKUP(A33,'DB Country PMI'!$A:$AZ,MATCH($A$1,'DB Country PMI'!$A$1:$AZ$1,),))</f>
        <v>52</v>
      </c>
      <c r="C33" s="24">
        <f>Table1346811121415161718192022252629[[#This Row],[PMI]]-B32</f>
        <v>1.1000000000000014</v>
      </c>
    </row>
    <row r="34" spans="1:3" x14ac:dyDescent="0.2">
      <c r="A34" s="10">
        <v>41365</v>
      </c>
      <c r="B34" s="18">
        <f>IF(VLOOKUP(A34,'DB Country PMI'!$A:$AZ,MATCH($A$1,'DB Country PMI'!$A$1:$AZ$1,),)=0,#N/A,VLOOKUP(A34,'DB Country PMI'!$A:$AZ,MATCH($A$1,'DB Country PMI'!$A$1:$AZ$1,),))</f>
        <v>52.6</v>
      </c>
      <c r="C34" s="24">
        <f>Table1346811121415161718192022252629[[#This Row],[PMI]]-B33</f>
        <v>0.60000000000000142</v>
      </c>
    </row>
    <row r="35" spans="1:3" x14ac:dyDescent="0.2">
      <c r="A35" s="10">
        <v>41395</v>
      </c>
      <c r="B35" s="18">
        <f>IF(VLOOKUP(A35,'DB Country PMI'!$A:$AZ,MATCH($A$1,'DB Country PMI'!$A$1:$AZ$1,),)=0,#N/A,VLOOKUP(A35,'DB Country PMI'!$A:$AZ,MATCH($A$1,'DB Country PMI'!$A$1:$AZ$1,),))</f>
        <v>51.1</v>
      </c>
      <c r="C35" s="24">
        <f>Table1346811121415161718192022252629[[#This Row],[PMI]]-B34</f>
        <v>-1.5</v>
      </c>
    </row>
    <row r="36" spans="1:3" x14ac:dyDescent="0.2">
      <c r="A36" s="10">
        <v>41426</v>
      </c>
      <c r="B36" s="18">
        <f>IF(VLOOKUP(A36,'DB Country PMI'!$A:$AZ,MATCH($A$1,'DB Country PMI'!$A$1:$AZ$1,),)=0,#N/A,VLOOKUP(A36,'DB Country PMI'!$A:$AZ,MATCH($A$1,'DB Country PMI'!$A$1:$AZ$1,),))</f>
        <v>49.4</v>
      </c>
      <c r="C36" s="24">
        <f>Table1346811121415161718192022252629[[#This Row],[PMI]]-B35</f>
        <v>-1.7000000000000028</v>
      </c>
    </row>
    <row r="37" spans="1:3" x14ac:dyDescent="0.2">
      <c r="A37" s="10">
        <v>41456</v>
      </c>
      <c r="B37" s="18">
        <f>IF(VLOOKUP(A37,'DB Country PMI'!$A:$AZ,MATCH($A$1,'DB Country PMI'!$A$1:$AZ$1,),)=0,#N/A,VLOOKUP(A37,'DB Country PMI'!$A:$AZ,MATCH($A$1,'DB Country PMI'!$A$1:$AZ$1,),))</f>
        <v>47.2</v>
      </c>
      <c r="C37" s="24">
        <f>Table1346811121415161718192022252629[[#This Row],[PMI]]-B36</f>
        <v>-2.1999999999999957</v>
      </c>
    </row>
    <row r="38" spans="1:3" x14ac:dyDescent="0.2">
      <c r="A38" s="10">
        <v>41487</v>
      </c>
      <c r="B38" s="18">
        <f>IF(VLOOKUP(A38,'DB Country PMI'!$A:$AZ,MATCH($A$1,'DB Country PMI'!$A$1:$AZ$1,),)=0,#N/A,VLOOKUP(A38,'DB Country PMI'!$A:$AZ,MATCH($A$1,'DB Country PMI'!$A$1:$AZ$1,),))</f>
        <v>47.5</v>
      </c>
      <c r="C38" s="24">
        <f>Table1346811121415161718192022252629[[#This Row],[PMI]]-B37</f>
        <v>0.29999999999999716</v>
      </c>
    </row>
    <row r="39" spans="1:3" x14ac:dyDescent="0.2">
      <c r="A39" s="10">
        <v>41518</v>
      </c>
      <c r="B39" s="18">
        <f>IF(VLOOKUP(A39,'DB Country PMI'!$A:$AZ,MATCH($A$1,'DB Country PMI'!$A$1:$AZ$1,),)=0,#N/A,VLOOKUP(A39,'DB Country PMI'!$A:$AZ,MATCH($A$1,'DB Country PMI'!$A$1:$AZ$1,),))</f>
        <v>49.7</v>
      </c>
      <c r="C39" s="24">
        <f>Table1346811121415161718192022252629[[#This Row],[PMI]]-B38</f>
        <v>2.2000000000000028</v>
      </c>
    </row>
    <row r="40" spans="1:3" x14ac:dyDescent="0.2">
      <c r="A40" s="10">
        <v>41548</v>
      </c>
      <c r="B40" s="18">
        <f>IF(VLOOKUP(A40,'DB Country PMI'!$A:$AZ,MATCH($A$1,'DB Country PMI'!$A$1:$AZ$1,),)=0,#N/A,VLOOKUP(A40,'DB Country PMI'!$A:$AZ,MATCH($A$1,'DB Country PMI'!$A$1:$AZ$1,),))</f>
        <v>50.2</v>
      </c>
      <c r="C40" s="24">
        <f>Table1346811121415161718192022252629[[#This Row],[PMI]]-B39</f>
        <v>0.5</v>
      </c>
    </row>
    <row r="41" spans="1:3" x14ac:dyDescent="0.2">
      <c r="A41" s="10">
        <v>41579</v>
      </c>
      <c r="B41" s="18">
        <f>IF(VLOOKUP(A41,'DB Country PMI'!$A:$AZ,MATCH($A$1,'DB Country PMI'!$A$1:$AZ$1,),)=0,#N/A,VLOOKUP(A41,'DB Country PMI'!$A:$AZ,MATCH($A$1,'DB Country PMI'!$A$1:$AZ$1,),))</f>
        <v>50.4</v>
      </c>
      <c r="C41" s="24">
        <f>Table1346811121415161718192022252629[[#This Row],[PMI]]-B40</f>
        <v>0.19999999999999574</v>
      </c>
    </row>
    <row r="42" spans="1:3" x14ac:dyDescent="0.2">
      <c r="A42" s="10">
        <v>41609</v>
      </c>
      <c r="B42" s="18">
        <f>IF(VLOOKUP(A42,'DB Country PMI'!$A:$AZ,MATCH($A$1,'DB Country PMI'!$A$1:$AZ$1,),)=0,#N/A,VLOOKUP(A42,'DB Country PMI'!$A:$AZ,MATCH($A$1,'DB Country PMI'!$A$1:$AZ$1,),))</f>
        <v>50.8</v>
      </c>
      <c r="C42" s="24">
        <f>Table1346811121415161718192022252629[[#This Row],[PMI]]-B41</f>
        <v>0.39999999999999858</v>
      </c>
    </row>
    <row r="43" spans="1:3" x14ac:dyDescent="0.2">
      <c r="A43" s="10">
        <v>41640</v>
      </c>
      <c r="B43" s="18">
        <f>IF(VLOOKUP(A43,'DB Country PMI'!$A:$AZ,MATCH($A$1,'DB Country PMI'!$A$1:$AZ$1,),)=0,#N/A,VLOOKUP(A43,'DB Country PMI'!$A:$AZ,MATCH($A$1,'DB Country PMI'!$A$1:$AZ$1,),))</f>
        <v>50.9</v>
      </c>
      <c r="C43" s="24">
        <f>Table1346811121415161718192022252629[[#This Row],[PMI]]-B42</f>
        <v>0.10000000000000142</v>
      </c>
    </row>
    <row r="44" spans="1:3" x14ac:dyDescent="0.2">
      <c r="A44" s="10">
        <v>41671</v>
      </c>
      <c r="B44" s="18">
        <f>IF(VLOOKUP(A44,'DB Country PMI'!$A:$AZ,MATCH($A$1,'DB Country PMI'!$A$1:$AZ$1,),)=0,#N/A,VLOOKUP(A44,'DB Country PMI'!$A:$AZ,MATCH($A$1,'DB Country PMI'!$A$1:$AZ$1,),))</f>
        <v>49.8</v>
      </c>
      <c r="C44" s="24">
        <f>Table1346811121415161718192022252629[[#This Row],[PMI]]-B43</f>
        <v>-1.1000000000000014</v>
      </c>
    </row>
    <row r="45" spans="1:3" x14ac:dyDescent="0.2">
      <c r="A45" s="10">
        <v>41699</v>
      </c>
      <c r="B45" s="18">
        <f>IF(VLOOKUP(A45,'DB Country PMI'!$A:$AZ,MATCH($A$1,'DB Country PMI'!$A$1:$AZ$1,),)=0,#N/A,VLOOKUP(A45,'DB Country PMI'!$A:$AZ,MATCH($A$1,'DB Country PMI'!$A$1:$AZ$1,),))</f>
        <v>50.4</v>
      </c>
      <c r="C45" s="24">
        <f>Table1346811121415161718192022252629[[#This Row],[PMI]]-B44</f>
        <v>0.60000000000000142</v>
      </c>
    </row>
    <row r="46" spans="1:3" x14ac:dyDescent="0.2">
      <c r="A46" s="10">
        <v>41730</v>
      </c>
      <c r="B46" s="18">
        <f>IF(VLOOKUP(A46,'DB Country PMI'!$A:$AZ,MATCH($A$1,'DB Country PMI'!$A$1:$AZ$1,),)=0,#N/A,VLOOKUP(A46,'DB Country PMI'!$A:$AZ,MATCH($A$1,'DB Country PMI'!$A$1:$AZ$1,),))</f>
        <v>50.2</v>
      </c>
      <c r="C46" s="24">
        <f>Table1346811121415161718192022252629[[#This Row],[PMI]]-B45</f>
        <v>-0.19999999999999574</v>
      </c>
    </row>
    <row r="47" spans="1:3" x14ac:dyDescent="0.2">
      <c r="A47" s="10">
        <v>41760</v>
      </c>
      <c r="B47" s="18">
        <f>IF(VLOOKUP(A47,'DB Country PMI'!$A:$AZ,MATCH($A$1,'DB Country PMI'!$A$1:$AZ$1,),)=0,#N/A,VLOOKUP(A47,'DB Country PMI'!$A:$AZ,MATCH($A$1,'DB Country PMI'!$A$1:$AZ$1,),))</f>
        <v>49.5</v>
      </c>
      <c r="C47" s="24">
        <f>Table1346811121415161718192022252629[[#This Row],[PMI]]-B46</f>
        <v>-0.70000000000000284</v>
      </c>
    </row>
    <row r="48" spans="1:3" x14ac:dyDescent="0.2">
      <c r="A48" s="10">
        <v>41791</v>
      </c>
      <c r="B48" s="18">
        <f>IF(VLOOKUP(A48,'DB Country PMI'!$A:$AZ,MATCH($A$1,'DB Country PMI'!$A$1:$AZ$1,),)=0,#N/A,VLOOKUP(A48,'DB Country PMI'!$A:$AZ,MATCH($A$1,'DB Country PMI'!$A$1:$AZ$1,),))</f>
        <v>48.4</v>
      </c>
      <c r="C48" s="24">
        <f>Table1346811121415161718192022252629[[#This Row],[PMI]]-B47</f>
        <v>-1.1000000000000014</v>
      </c>
    </row>
    <row r="49" spans="1:3" x14ac:dyDescent="0.2">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2">
      <c r="A50" s="10">
        <v>41852</v>
      </c>
      <c r="B50" s="18">
        <f>IF(VLOOKUP(A50,'DB Country PMI'!$A:$AZ,MATCH($A$1,'DB Country PMI'!$A$1:$AZ$1,),)=0,#N/A,VLOOKUP(A50,'DB Country PMI'!$A:$AZ,MATCH($A$1,'DB Country PMI'!$A$1:$AZ$1,),))</f>
        <v>50.3</v>
      </c>
      <c r="C50" s="24">
        <f>Table1346811121415161718192022252629[[#This Row],[PMI]]-B49</f>
        <v>1.7933333333332939</v>
      </c>
    </row>
    <row r="51" spans="1:3" x14ac:dyDescent="0.2">
      <c r="A51" s="10">
        <v>41883</v>
      </c>
      <c r="B51" s="18">
        <f>IF(VLOOKUP(A51,'DB Country PMI'!$A:$AZ,MATCH($A$1,'DB Country PMI'!$A$1:$AZ$1,),)=0,#N/A,VLOOKUP(A51,'DB Country PMI'!$A:$AZ,MATCH($A$1,'DB Country PMI'!$A$1:$AZ$1,),))</f>
        <v>48.8</v>
      </c>
      <c r="C51" s="24">
        <f>Table1346811121415161718192022252629[[#This Row],[PMI]]-B50</f>
        <v>-1.5</v>
      </c>
    </row>
    <row r="52" spans="1:3" x14ac:dyDescent="0.2">
      <c r="A52" s="10">
        <v>41913</v>
      </c>
      <c r="B52" s="18">
        <f>IF(VLOOKUP(A52,'DB Country PMI'!$A:$AZ,MATCH($A$1,'DB Country PMI'!$A$1:$AZ$1,),)=0,#N/A,VLOOKUP(A52,'DB Country PMI'!$A:$AZ,MATCH($A$1,'DB Country PMI'!$A$1:$AZ$1,),))</f>
        <v>48.7</v>
      </c>
      <c r="C52" s="24">
        <f>Table1346811121415161718192022252629[[#This Row],[PMI]]-B51</f>
        <v>-9.9999999999994316E-2</v>
      </c>
    </row>
    <row r="53" spans="1:3" x14ac:dyDescent="0.2">
      <c r="A53" s="10">
        <v>41944</v>
      </c>
      <c r="B53" s="18">
        <f>IF(VLOOKUP(A53,'DB Country PMI'!$A:$AZ,MATCH($A$1,'DB Country PMI'!$A$1:$AZ$1,),)=0,#N/A,VLOOKUP(A53,'DB Country PMI'!$A:$AZ,MATCH($A$1,'DB Country PMI'!$A$1:$AZ$1,),))</f>
        <v>49</v>
      </c>
      <c r="C53" s="24">
        <f>Table1346811121415161718192022252629[[#This Row],[PMI]]-B52</f>
        <v>0.29999999999999716</v>
      </c>
    </row>
    <row r="54" spans="1:3" x14ac:dyDescent="0.2">
      <c r="A54" s="10">
        <v>41974</v>
      </c>
      <c r="B54" s="18">
        <f>IF(VLOOKUP(A54,'DB Country PMI'!$A:$AZ,MATCH($A$1,'DB Country PMI'!$A$1:$AZ$1,),)=0,#N/A,VLOOKUP(A54,'DB Country PMI'!$A:$AZ,MATCH($A$1,'DB Country PMI'!$A$1:$AZ$1,),))</f>
        <v>49.9</v>
      </c>
      <c r="C54" s="24">
        <f>Table1346811121415161718192022252629[[#This Row],[PMI]]-B53</f>
        <v>0.89999999999999858</v>
      </c>
    </row>
    <row r="55" spans="1:3" x14ac:dyDescent="0.2">
      <c r="A55" s="10">
        <v>42005</v>
      </c>
      <c r="B55" s="18">
        <f>IF(VLOOKUP(A55,'DB Country PMI'!$A:$AZ,MATCH($A$1,'DB Country PMI'!$A$1:$AZ$1,),)=0,#N/A,VLOOKUP(A55,'DB Country PMI'!$A:$AZ,MATCH($A$1,'DB Country PMI'!$A$1:$AZ$1,),))</f>
        <v>51.1</v>
      </c>
      <c r="C55" s="24">
        <f>Table1346811121415161718192022252629[[#This Row],[PMI]]-B54</f>
        <v>1.2000000000000028</v>
      </c>
    </row>
    <row r="56" spans="1:3" x14ac:dyDescent="0.2">
      <c r="A56" s="10">
        <v>42036</v>
      </c>
      <c r="B56" s="18">
        <f>IF(VLOOKUP(A56,'DB Country PMI'!$A:$AZ,MATCH($A$1,'DB Country PMI'!$A$1:$AZ$1,),)=0,#N/A,VLOOKUP(A56,'DB Country PMI'!$A:$AZ,MATCH($A$1,'DB Country PMI'!$A$1:$AZ$1,),))</f>
        <v>51.1</v>
      </c>
      <c r="C56" s="24">
        <f>Table1346811121415161718192022252629[[#This Row],[PMI]]-B55</f>
        <v>0</v>
      </c>
    </row>
    <row r="57" spans="1:3" x14ac:dyDescent="0.2">
      <c r="A57" s="10">
        <v>42064</v>
      </c>
      <c r="B57" s="18">
        <f>IF(VLOOKUP(A57,'DB Country PMI'!$A:$AZ,MATCH($A$1,'DB Country PMI'!$A$1:$AZ$1,),)=0,#N/A,VLOOKUP(A57,'DB Country PMI'!$A:$AZ,MATCH($A$1,'DB Country PMI'!$A$1:$AZ$1,),))</f>
        <v>49.2</v>
      </c>
      <c r="C57" s="24">
        <f>Table1346811121415161718192022252629[[#This Row],[PMI]]-B56</f>
        <v>-1.8999999999999986</v>
      </c>
    </row>
    <row r="58" spans="1:3" x14ac:dyDescent="0.2">
      <c r="A58" s="10">
        <v>42095</v>
      </c>
      <c r="B58" s="18">
        <f>IF(VLOOKUP(A58,'DB Country PMI'!$A:$AZ,MATCH($A$1,'DB Country PMI'!$A$1:$AZ$1,),)=0,#N/A,VLOOKUP(A58,'DB Country PMI'!$A:$AZ,MATCH($A$1,'DB Country PMI'!$A$1:$AZ$1,),))</f>
        <v>48.8</v>
      </c>
      <c r="C58" s="24">
        <f>Table1346811121415161718192022252629[[#This Row],[PMI]]-B57</f>
        <v>-0.40000000000000568</v>
      </c>
    </row>
    <row r="59" spans="1:3" x14ac:dyDescent="0.2">
      <c r="A59" s="10">
        <v>42125</v>
      </c>
      <c r="B59" s="18">
        <f>IF(VLOOKUP(A59,'DB Country PMI'!$A:$AZ,MATCH($A$1,'DB Country PMI'!$A$1:$AZ$1,),)=0,#N/A,VLOOKUP(A59,'DB Country PMI'!$A:$AZ,MATCH($A$1,'DB Country PMI'!$A$1:$AZ$1,),))</f>
        <v>47.8</v>
      </c>
      <c r="C59" s="24">
        <f>Table1346811121415161718192022252629[[#This Row],[PMI]]-B58</f>
        <v>-1</v>
      </c>
    </row>
    <row r="60" spans="1:3" x14ac:dyDescent="0.2">
      <c r="A60" s="10">
        <v>42156</v>
      </c>
      <c r="B60" s="18">
        <f>IF(VLOOKUP(A60,'DB Country PMI'!$A:$AZ,MATCH($A$1,'DB Country PMI'!$A$1:$AZ$1,),)=0,#N/A,VLOOKUP(A60,'DB Country PMI'!$A:$AZ,MATCH($A$1,'DB Country PMI'!$A$1:$AZ$1,),))</f>
        <v>46.1</v>
      </c>
      <c r="C60" s="24">
        <f>Table1346811121415161718192022252629[[#This Row],[PMI]]-B59</f>
        <v>-1.6999999999999957</v>
      </c>
    </row>
    <row r="61" spans="1:3" x14ac:dyDescent="0.2">
      <c r="A61" s="10">
        <v>42186</v>
      </c>
      <c r="B61" s="18">
        <f>IF(VLOOKUP(A61,'DB Country PMI'!$A:$AZ,MATCH($A$1,'DB Country PMI'!$A$1:$AZ$1,),)=0,#N/A,VLOOKUP(A61,'DB Country PMI'!$A:$AZ,MATCH($A$1,'DB Country PMI'!$A$1:$AZ$1,),))</f>
        <v>47.6</v>
      </c>
      <c r="C61" s="24">
        <f>Table1346811121415161718192022252629[[#This Row],[PMI]]-B60</f>
        <v>1.5</v>
      </c>
    </row>
    <row r="62" spans="1:3" x14ac:dyDescent="0.2">
      <c r="A62" s="10">
        <v>42217</v>
      </c>
      <c r="B62" s="18">
        <f>IF(VLOOKUP(A62,'DB Country PMI'!$A:$AZ,MATCH($A$1,'DB Country PMI'!$A$1:$AZ$1,),)=0,#N/A,VLOOKUP(A62,'DB Country PMI'!$A:$AZ,MATCH($A$1,'DB Country PMI'!$A$1:$AZ$1,),))</f>
        <v>47.9</v>
      </c>
      <c r="C62" s="24">
        <f>Table1346811121415161718192022252629[[#This Row],[PMI]]-B61</f>
        <v>0.29999999999999716</v>
      </c>
    </row>
    <row r="63" spans="1:3" x14ac:dyDescent="0.2">
      <c r="A63" s="10">
        <v>42248</v>
      </c>
      <c r="B63" s="18">
        <f>IF(VLOOKUP(A63,'DB Country PMI'!$A:$AZ,MATCH($A$1,'DB Country PMI'!$A$1:$AZ$1,),)=0,#N/A,VLOOKUP(A63,'DB Country PMI'!$A:$AZ,MATCH($A$1,'DB Country PMI'!$A$1:$AZ$1,),))</f>
        <v>49.2</v>
      </c>
      <c r="C63" s="24">
        <f>Table1346811121415161718192022252629[[#This Row],[PMI]]-B62</f>
        <v>1.3000000000000043</v>
      </c>
    </row>
    <row r="64" spans="1:3" x14ac:dyDescent="0.2">
      <c r="A64" s="10">
        <v>42278</v>
      </c>
      <c r="B64" s="18">
        <f>IF(VLOOKUP(A64,'DB Country PMI'!$A:$AZ,MATCH($A$1,'DB Country PMI'!$A$1:$AZ$1,),)=0,#N/A,VLOOKUP(A64,'DB Country PMI'!$A:$AZ,MATCH($A$1,'DB Country PMI'!$A$1:$AZ$1,),))</f>
        <v>49.1</v>
      </c>
      <c r="C64" s="24">
        <f>Table1346811121415161718192022252629[[#This Row],[PMI]]-B63</f>
        <v>-0.10000000000000142</v>
      </c>
    </row>
    <row r="65" spans="1:3" x14ac:dyDescent="0.2">
      <c r="A65" s="10">
        <v>42309</v>
      </c>
      <c r="B65" s="18">
        <f>IF(VLOOKUP(A65,'DB Country PMI'!$A:$AZ,MATCH($A$1,'DB Country PMI'!$A$1:$AZ$1,),)=0,#N/A,VLOOKUP(A65,'DB Country PMI'!$A:$AZ,MATCH($A$1,'DB Country PMI'!$A$1:$AZ$1,),))</f>
        <v>49.1</v>
      </c>
      <c r="C65" s="24">
        <f>Table1346811121415161718192022252629[[#This Row],[PMI]]-B64</f>
        <v>0</v>
      </c>
    </row>
    <row r="66" spans="1:3" x14ac:dyDescent="0.2">
      <c r="A66" s="10">
        <v>42339</v>
      </c>
      <c r="B66" s="18">
        <f>IF(VLOOKUP(A66,'DB Country PMI'!$A:$AZ,MATCH($A$1,'DB Country PMI'!$A$1:$AZ$1,),)=0,#N/A,VLOOKUP(A66,'DB Country PMI'!$A:$AZ,MATCH($A$1,'DB Country PMI'!$A$1:$AZ$1,),))</f>
        <v>50.7</v>
      </c>
      <c r="C66" s="24">
        <f>Table1346811121415161718192022252629[[#This Row],[PMI]]-B65</f>
        <v>1.6000000000000014</v>
      </c>
    </row>
    <row r="67" spans="1:3" x14ac:dyDescent="0.2">
      <c r="A67" s="10">
        <v>42370</v>
      </c>
      <c r="B67" s="18">
        <f>IF(VLOOKUP(A67,'DB Country PMI'!$A:$AZ,MATCH($A$1,'DB Country PMI'!$A$1:$AZ$1,),)=0,#N/A,VLOOKUP(A67,'DB Country PMI'!$A:$AZ,MATCH($A$1,'DB Country PMI'!$A$1:$AZ$1,),))</f>
        <v>49.5</v>
      </c>
      <c r="C67" s="24">
        <f>Table1346811121415161718192022252629[[#This Row],[PMI]]-B66</f>
        <v>-1.2000000000000028</v>
      </c>
    </row>
    <row r="68" spans="1:3" x14ac:dyDescent="0.2">
      <c r="A68" s="10">
        <v>42401</v>
      </c>
      <c r="B68" s="18">
        <f>IF(VLOOKUP(A68,'DB Country PMI'!$A:$AZ,MATCH($A$1,'DB Country PMI'!$A$1:$AZ$1,),)=0,#N/A,VLOOKUP(A68,'DB Country PMI'!$A:$AZ,MATCH($A$1,'DB Country PMI'!$A$1:$AZ$1,),))</f>
        <v>48.7</v>
      </c>
      <c r="C68" s="24">
        <f>Table1346811121415161718192022252629[[#This Row],[PMI]]-B67</f>
        <v>-0.79999999999999716</v>
      </c>
    </row>
    <row r="69" spans="1:3" x14ac:dyDescent="0.2">
      <c r="A69" s="10">
        <v>42430</v>
      </c>
      <c r="B69" s="18">
        <f>IF(VLOOKUP(A69,'DB Country PMI'!$A:$AZ,MATCH($A$1,'DB Country PMI'!$A$1:$AZ$1,),)=0,#N/A,VLOOKUP(A69,'DB Country PMI'!$A:$AZ,MATCH($A$1,'DB Country PMI'!$A$1:$AZ$1,),))</f>
        <v>49.5</v>
      </c>
      <c r="C69" s="24">
        <f>Table1346811121415161718192022252629[[#This Row],[PMI]]-B68</f>
        <v>0.79999999999999716</v>
      </c>
    </row>
    <row r="70" spans="1:3" x14ac:dyDescent="0.2">
      <c r="A70" s="10">
        <v>42461</v>
      </c>
      <c r="B70" s="18">
        <f>IF(VLOOKUP(A70,'DB Country PMI'!$A:$AZ,MATCH($A$1,'DB Country PMI'!$A$1:$AZ$1,),)=0,#N/A,VLOOKUP(A70,'DB Country PMI'!$A:$AZ,MATCH($A$1,'DB Country PMI'!$A$1:$AZ$1,),))</f>
        <v>50</v>
      </c>
      <c r="C70" s="24">
        <f>Table1346811121415161718192022252629[[#This Row],[PMI]]-B69</f>
        <v>0.5</v>
      </c>
    </row>
    <row r="71" spans="1:3" x14ac:dyDescent="0.2">
      <c r="A71" s="10">
        <v>42491</v>
      </c>
      <c r="B71" s="18">
        <f>IF(VLOOKUP(A71,'DB Country PMI'!$A:$AZ,MATCH($A$1,'DB Country PMI'!$A$1:$AZ$1,),)=0,#N/A,VLOOKUP(A71,'DB Country PMI'!$A:$AZ,MATCH($A$1,'DB Country PMI'!$A$1:$AZ$1,),))</f>
        <v>50.1</v>
      </c>
      <c r="C71" s="24">
        <f>Table1346811121415161718192022252629[[#This Row],[PMI]]-B70</f>
        <v>0.10000000000000142</v>
      </c>
    </row>
    <row r="72" spans="1:3" x14ac:dyDescent="0.2">
      <c r="A72" s="10">
        <v>42522</v>
      </c>
      <c r="B72" s="18">
        <f>IF(VLOOKUP(A72,'DB Country PMI'!$A:$AZ,MATCH($A$1,'DB Country PMI'!$A$1:$AZ$1,),)=0,#N/A,VLOOKUP(A72,'DB Country PMI'!$A:$AZ,MATCH($A$1,'DB Country PMI'!$A$1:$AZ$1,),))</f>
        <v>50.5</v>
      </c>
      <c r="C72" s="24">
        <f>Table1346811121415161718192022252629[[#This Row],[PMI]]-B71</f>
        <v>0.39999999999999858</v>
      </c>
    </row>
    <row r="73" spans="1:3" x14ac:dyDescent="0.2">
      <c r="A73" s="10">
        <v>42552</v>
      </c>
      <c r="B73" s="18">
        <f>IF(VLOOKUP(A73,'DB Country PMI'!$A:$AZ,MATCH($A$1,'DB Country PMI'!$A$1:$AZ$1,),)=0,#N/A,VLOOKUP(A73,'DB Country PMI'!$A:$AZ,MATCH($A$1,'DB Country PMI'!$A$1:$AZ$1,),))</f>
        <v>50.1</v>
      </c>
      <c r="C73" s="24">
        <f>Table1346811121415161718192022252629[[#This Row],[PMI]]-B72</f>
        <v>-0.39999999999999858</v>
      </c>
    </row>
    <row r="74" spans="1:3" x14ac:dyDescent="0.2">
      <c r="A74" s="10">
        <v>42583</v>
      </c>
      <c r="B74" s="18">
        <f>IF(VLOOKUP(A74,'DB Country PMI'!$A:$AZ,MATCH($A$1,'DB Country PMI'!$A$1:$AZ$1,),)=0,#N/A,VLOOKUP(A74,'DB Country PMI'!$A:$AZ,MATCH($A$1,'DB Country PMI'!$A$1:$AZ$1,),))</f>
        <v>48.6</v>
      </c>
      <c r="C74" s="24">
        <f>Table1346811121415161718192022252629[[#This Row],[PMI]]-B73</f>
        <v>-1.5</v>
      </c>
    </row>
    <row r="75" spans="1:3" x14ac:dyDescent="0.2">
      <c r="A75" s="10">
        <v>42614</v>
      </c>
      <c r="B75" s="18">
        <f>IF(VLOOKUP(A75,'DB Country PMI'!$A:$AZ,MATCH($A$1,'DB Country PMI'!$A$1:$AZ$1,),)=0,#N/A,VLOOKUP(A75,'DB Country PMI'!$A:$AZ,MATCH($A$1,'DB Country PMI'!$A$1:$AZ$1,),))</f>
        <v>47.6</v>
      </c>
      <c r="C75" s="24">
        <f>Table1346811121415161718192022252629[[#This Row],[PMI]]-B74</f>
        <v>-1</v>
      </c>
    </row>
    <row r="76" spans="1:3" x14ac:dyDescent="0.2">
      <c r="A76" s="10">
        <v>42644</v>
      </c>
      <c r="B76" s="18">
        <f>IF(VLOOKUP(A76,'DB Country PMI'!$A:$AZ,MATCH($A$1,'DB Country PMI'!$A$1:$AZ$1,),)=0,#N/A,VLOOKUP(A76,'DB Country PMI'!$A:$AZ,MATCH($A$1,'DB Country PMI'!$A$1:$AZ$1,),))</f>
        <v>48</v>
      </c>
      <c r="C76" s="24">
        <f>Table1346811121415161718192022252629[[#This Row],[PMI]]-B75</f>
        <v>0.39999999999999858</v>
      </c>
    </row>
    <row r="77" spans="1:3" x14ac:dyDescent="0.2">
      <c r="A77" s="10">
        <v>42675</v>
      </c>
      <c r="B77" s="18">
        <f>IF(VLOOKUP(A77,'DB Country PMI'!$A:$AZ,MATCH($A$1,'DB Country PMI'!$A$1:$AZ$1,),)=0,#N/A,VLOOKUP(A77,'DB Country PMI'!$A:$AZ,MATCH($A$1,'DB Country PMI'!$A$1:$AZ$1,),))</f>
        <v>48</v>
      </c>
      <c r="C77" s="24">
        <f>Table1346811121415161718192022252629[[#This Row],[PMI]]-B76</f>
        <v>0</v>
      </c>
    </row>
    <row r="78" spans="1:3" x14ac:dyDescent="0.2">
      <c r="A78" s="10">
        <v>42705</v>
      </c>
      <c r="B78" s="18">
        <f>IF(VLOOKUP(A78,'DB Country PMI'!$A:$AZ,MATCH($A$1,'DB Country PMI'!$A$1:$AZ$1,),)=0,#N/A,VLOOKUP(A78,'DB Country PMI'!$A:$AZ,MATCH($A$1,'DB Country PMI'!$A$1:$AZ$1,),))</f>
        <v>49.4</v>
      </c>
      <c r="C78" s="24">
        <f>Table1346811121415161718192022252629[[#This Row],[PMI]]-B77</f>
        <v>1.3999999999999986</v>
      </c>
    </row>
    <row r="79" spans="1:3" x14ac:dyDescent="0.2">
      <c r="A79" s="10">
        <v>42736</v>
      </c>
      <c r="B79" s="18">
        <f>IF(VLOOKUP(A79,'DB Country PMI'!$A:$AZ,MATCH($A$1,'DB Country PMI'!$A$1:$AZ$1,),)=0,#N/A,VLOOKUP(A79,'DB Country PMI'!$A:$AZ,MATCH($A$1,'DB Country PMI'!$A$1:$AZ$1,),))</f>
        <v>49</v>
      </c>
      <c r="C79" s="24">
        <f>Table1346811121415161718192022252629[[#This Row],[PMI]]-B78</f>
        <v>-0.39999999999999858</v>
      </c>
    </row>
    <row r="80" spans="1:3" x14ac:dyDescent="0.2">
      <c r="A80" s="10">
        <v>42767</v>
      </c>
      <c r="B80" s="18">
        <f>IF(VLOOKUP(A80,'DB Country PMI'!$A:$AZ,MATCH($A$1,'DB Country PMI'!$A$1:$AZ$1,),)=0,#N/A,VLOOKUP(A80,'DB Country PMI'!$A:$AZ,MATCH($A$1,'DB Country PMI'!$A$1:$AZ$1,),))</f>
        <v>49.2</v>
      </c>
      <c r="C80" s="24">
        <f>Table1346811121415161718192022252629[[#This Row],[PMI]]-B79</f>
        <v>0.20000000000000284</v>
      </c>
    </row>
    <row r="81" spans="1:3" x14ac:dyDescent="0.2">
      <c r="A81" s="10">
        <v>42795</v>
      </c>
      <c r="B81" s="18">
        <f>IF(VLOOKUP(A81,'DB Country PMI'!$A:$AZ,MATCH($A$1,'DB Country PMI'!$A$1:$AZ$1,),)=0,#N/A,VLOOKUP(A81,'DB Country PMI'!$A:$AZ,MATCH($A$1,'DB Country PMI'!$A$1:$AZ$1,),))</f>
        <v>48.4</v>
      </c>
      <c r="C81" s="24">
        <f>Table1346811121415161718192022252629[[#This Row],[PMI]]-B80</f>
        <v>-0.80000000000000426</v>
      </c>
    </row>
    <row r="82" spans="1:3" x14ac:dyDescent="0.2">
      <c r="A82" s="10">
        <v>42826</v>
      </c>
      <c r="B82" s="18">
        <f>IF(VLOOKUP(A82,'DB Country PMI'!$A:$AZ,MATCH($A$1,'DB Country PMI'!$A$1:$AZ$1,),)=0,#N/A,VLOOKUP(A82,'DB Country PMI'!$A:$AZ,MATCH($A$1,'DB Country PMI'!$A$1:$AZ$1,),))</f>
        <v>49.4</v>
      </c>
      <c r="C82" s="24">
        <f>Table1346811121415161718192022252629[[#This Row],[PMI]]-B81</f>
        <v>1</v>
      </c>
    </row>
    <row r="83" spans="1:3" x14ac:dyDescent="0.2">
      <c r="A83" s="10">
        <v>42856</v>
      </c>
      <c r="B83" s="18">
        <f>IF(VLOOKUP(A83,'DB Country PMI'!$A:$AZ,MATCH($A$1,'DB Country PMI'!$A$1:$AZ$1,),)=0,#N/A,VLOOKUP(A83,'DB Country PMI'!$A:$AZ,MATCH($A$1,'DB Country PMI'!$A$1:$AZ$1,),))</f>
        <v>49.2</v>
      </c>
      <c r="C83" s="24">
        <f>Table1346811121415161718192022252629[[#This Row],[PMI]]-B82</f>
        <v>-0.19999999999999574</v>
      </c>
    </row>
    <row r="84" spans="1:3" x14ac:dyDescent="0.2">
      <c r="A84" s="10">
        <v>42887</v>
      </c>
      <c r="B84" s="18">
        <f>IF(VLOOKUP(A84,'DB Country PMI'!$A:$AZ,MATCH($A$1,'DB Country PMI'!$A$1:$AZ$1,),)=0,#N/A,VLOOKUP(A84,'DB Country PMI'!$A:$AZ,MATCH($A$1,'DB Country PMI'!$A$1:$AZ$1,),))</f>
        <v>50.1</v>
      </c>
      <c r="C84" s="24">
        <f>Table1346811121415161718192022252629[[#This Row],[PMI]]-B83</f>
        <v>0.89999999999999858</v>
      </c>
    </row>
    <row r="85" spans="1:3" x14ac:dyDescent="0.2">
      <c r="A85" s="10">
        <v>42917</v>
      </c>
      <c r="B85" s="18">
        <f>IF(VLOOKUP(A85,'DB Country PMI'!$A:$AZ,MATCH($A$1,'DB Country PMI'!$A$1:$AZ$1,),)=0,#N/A,VLOOKUP(A85,'DB Country PMI'!$A:$AZ,MATCH($A$1,'DB Country PMI'!$A$1:$AZ$1,),))</f>
        <v>49.1</v>
      </c>
      <c r="C85" s="24">
        <f>Table1346811121415161718192022252629[[#This Row],[PMI]]-B84</f>
        <v>-1</v>
      </c>
    </row>
    <row r="86" spans="1:3" x14ac:dyDescent="0.2">
      <c r="A86" s="10">
        <v>42948</v>
      </c>
      <c r="B86" s="18">
        <f>IF(VLOOKUP(A86,'DB Country PMI'!$A:$AZ,MATCH($A$1,'DB Country PMI'!$A$1:$AZ$1,),)=0,#N/A,VLOOKUP(A86,'DB Country PMI'!$A:$AZ,MATCH($A$1,'DB Country PMI'!$A$1:$AZ$1,),))</f>
        <v>49.9</v>
      </c>
      <c r="C86" s="24">
        <f>Table1346811121415161718192022252629[[#This Row],[PMI]]-B85</f>
        <v>0.79999999999999716</v>
      </c>
    </row>
    <row r="87" spans="1:3" x14ac:dyDescent="0.2">
      <c r="A87" s="10">
        <v>42979</v>
      </c>
      <c r="B87" s="18">
        <f>IF(VLOOKUP(A87,'DB Country PMI'!$A:$AZ,MATCH($A$1,'DB Country PMI'!$A$1:$AZ$1,),)=0,#N/A,VLOOKUP(A87,'DB Country PMI'!$A:$AZ,MATCH($A$1,'DB Country PMI'!$A$1:$AZ$1,),))</f>
        <v>50.6</v>
      </c>
      <c r="C87" s="24">
        <f>Table1346811121415161718192022252629[[#This Row],[PMI]]-B86</f>
        <v>0.70000000000000284</v>
      </c>
    </row>
    <row r="88" spans="1:3" x14ac:dyDescent="0.2">
      <c r="A88" s="10">
        <v>43009</v>
      </c>
      <c r="B88" s="18">
        <f>IF(VLOOKUP(A88,'DB Country PMI'!$A:$AZ,MATCH($A$1,'DB Country PMI'!$A$1:$AZ$1,),)=0,#N/A,VLOOKUP(A88,'DB Country PMI'!$A:$AZ,MATCH($A$1,'DB Country PMI'!$A$1:$AZ$1,),))</f>
        <v>50.2</v>
      </c>
      <c r="C88" s="24">
        <f>Table1346811121415161718192022252629[[#This Row],[PMI]]-B87</f>
        <v>-0.39999999999999858</v>
      </c>
    </row>
    <row r="89" spans="1:3" x14ac:dyDescent="0.2">
      <c r="A89" s="10">
        <v>43040</v>
      </c>
      <c r="B89" s="18">
        <f>IF(VLOOKUP(A89,'DB Country PMI'!$A:$AZ,MATCH($A$1,'DB Country PMI'!$A$1:$AZ$1,),)=0,#N/A,VLOOKUP(A89,'DB Country PMI'!$A:$AZ,MATCH($A$1,'DB Country PMI'!$A$1:$AZ$1,),))</f>
        <v>51.2</v>
      </c>
      <c r="C89" s="24">
        <f>Table1346811121415161718192022252629[[#This Row],[PMI]]-B88</f>
        <v>1</v>
      </c>
    </row>
    <row r="90" spans="1:3" x14ac:dyDescent="0.2">
      <c r="A90" s="10">
        <v>43070</v>
      </c>
      <c r="B90" s="18">
        <f>IF(VLOOKUP(A90,'DB Country PMI'!$A:$AZ,MATCH($A$1,'DB Country PMI'!$A$1:$AZ$1,),)=0,#N/A,VLOOKUP(A90,'DB Country PMI'!$A:$AZ,MATCH($A$1,'DB Country PMI'!$A$1:$AZ$1,),))</f>
        <v>49.9</v>
      </c>
      <c r="C90" s="24">
        <f>Table1346811121415161718192022252629[[#This Row],[PMI]]-B89</f>
        <v>-1.3000000000000043</v>
      </c>
    </row>
    <row r="91" spans="1:3" x14ac:dyDescent="0.2">
      <c r="A91" s="10">
        <v>43101</v>
      </c>
      <c r="B91" s="18">
        <f>IF(VLOOKUP(A91,'DB Country PMI'!$A:$AZ,MATCH($A$1,'DB Country PMI'!$A$1:$AZ$1,),)=0,#N/A,VLOOKUP(A91,'DB Country PMI'!$A:$AZ,MATCH($A$1,'DB Country PMI'!$A$1:$AZ$1,),))</f>
        <v>50.7</v>
      </c>
      <c r="C91" s="24">
        <f>Table1346811121415161718192022252629[[#This Row],[PMI]]-B90</f>
        <v>0.80000000000000426</v>
      </c>
    </row>
    <row r="92" spans="1:3" x14ac:dyDescent="0.2">
      <c r="A92" s="10">
        <v>43132</v>
      </c>
      <c r="B92" s="18">
        <f>IF(VLOOKUP(A92,'DB Country PMI'!$A:$AZ,MATCH($A$1,'DB Country PMI'!$A$1:$AZ$1,),)=0,#N/A,VLOOKUP(A92,'DB Country PMI'!$A:$AZ,MATCH($A$1,'DB Country PMI'!$A$1:$AZ$1,),))</f>
        <v>50.3</v>
      </c>
      <c r="C92" s="24">
        <f>Table1346811121415161718192022252629[[#This Row],[PMI]]-B91</f>
        <v>-0.40000000000000568</v>
      </c>
    </row>
    <row r="93" spans="1:3" x14ac:dyDescent="0.2">
      <c r="A93" s="10">
        <v>43160</v>
      </c>
      <c r="B93" s="18">
        <f>IF(VLOOKUP(A93,'DB Country PMI'!$A:$AZ,MATCH($A$1,'DB Country PMI'!$A$1:$AZ$1,),)=0,#N/A,VLOOKUP(A93,'DB Country PMI'!$A:$AZ,MATCH($A$1,'DB Country PMI'!$A$1:$AZ$1,),))</f>
        <v>49.1</v>
      </c>
      <c r="C93" s="24">
        <f>Table1346811121415161718192022252629[[#This Row],[PMI]]-B92</f>
        <v>-1.1999999999999957</v>
      </c>
    </row>
    <row r="94" spans="1:3" x14ac:dyDescent="0.2">
      <c r="A94" s="10">
        <v>43191</v>
      </c>
      <c r="B94" s="18">
        <f>IF(VLOOKUP(A94,'DB Country PMI'!$A:$AZ,MATCH($A$1,'DB Country PMI'!$A$1:$AZ$1,),)=0,#N/A,VLOOKUP(A94,'DB Country PMI'!$A:$AZ,MATCH($A$1,'DB Country PMI'!$A$1:$AZ$1,),))</f>
        <v>48.4</v>
      </c>
      <c r="C94" s="24">
        <f>Table1346811121415161718192022252629[[#This Row],[PMI]]-B93</f>
        <v>-0.70000000000000284</v>
      </c>
    </row>
    <row r="95" spans="1:3" x14ac:dyDescent="0.2">
      <c r="A95" s="10">
        <v>43221</v>
      </c>
      <c r="B95" s="18">
        <f>IF(VLOOKUP(A95,'DB Country PMI'!$A:$AZ,MATCH($A$1,'DB Country PMI'!$A$1:$AZ$1,),)=0,#N/A,VLOOKUP(A95,'DB Country PMI'!$A:$AZ,MATCH($A$1,'DB Country PMI'!$A$1:$AZ$1,),))</f>
        <v>48.9</v>
      </c>
      <c r="C95" s="24">
        <f>Table1346811121415161718192022252629[[#This Row],[PMI]]-B94</f>
        <v>0.5</v>
      </c>
    </row>
    <row r="96" spans="1:3" x14ac:dyDescent="0.2">
      <c r="A96" s="10">
        <v>43252</v>
      </c>
      <c r="B96" s="18">
        <f>IF(VLOOKUP(A96,'DB Country PMI'!$A:$AZ,MATCH($A$1,'DB Country PMI'!$A$1:$AZ$1,),)=0,#N/A,VLOOKUP(A96,'DB Country PMI'!$A:$AZ,MATCH($A$1,'DB Country PMI'!$A$1:$AZ$1,),))</f>
        <v>49.8</v>
      </c>
      <c r="C96" s="24">
        <f>Table1346811121415161718192022252629[[#This Row],[PMI]]-B95</f>
        <v>0.89999999999999858</v>
      </c>
    </row>
    <row r="97" spans="1:3" x14ac:dyDescent="0.2">
      <c r="A97" s="10">
        <v>43282</v>
      </c>
      <c r="B97" s="18">
        <f>IF(VLOOKUP(A97,'DB Country PMI'!$A:$AZ,MATCH($A$1,'DB Country PMI'!$A$1:$AZ$1,),)=0,#N/A,VLOOKUP(A97,'DB Country PMI'!$A:$AZ,MATCH($A$1,'DB Country PMI'!$A$1:$AZ$1,),))</f>
        <v>48.3</v>
      </c>
      <c r="C97" s="24">
        <f>Table1346811121415161718192022252629[[#This Row],[PMI]]-B96</f>
        <v>-1.5</v>
      </c>
    </row>
    <row r="98" spans="1:3" x14ac:dyDescent="0.2">
      <c r="A98" s="10">
        <v>43313</v>
      </c>
      <c r="B98" s="18">
        <f>IF(VLOOKUP(A98,'DB Country PMI'!$A:$AZ,MATCH($A$1,'DB Country PMI'!$A$1:$AZ$1,),)=0,#N/A,VLOOKUP(A98,'DB Country PMI'!$A:$AZ,MATCH($A$1,'DB Country PMI'!$A$1:$AZ$1,),))</f>
        <v>49.9</v>
      </c>
      <c r="C98" s="24">
        <f>Table1346811121415161718192022252629[[#This Row],[PMI]]-B97</f>
        <v>1.6000000000000014</v>
      </c>
    </row>
    <row r="99" spans="1:3" x14ac:dyDescent="0.2">
      <c r="A99" s="10">
        <v>43344</v>
      </c>
      <c r="B99" s="18">
        <f>IF(VLOOKUP(A99,'DB Country PMI'!$A:$AZ,MATCH($A$1,'DB Country PMI'!$A$1:$AZ$1,),)=0,#N/A,VLOOKUP(A99,'DB Country PMI'!$A:$AZ,MATCH($A$1,'DB Country PMI'!$A$1:$AZ$1,),))</f>
        <v>51.3</v>
      </c>
      <c r="C99" s="24">
        <f>Table1346811121415161718192022252629[[#This Row],[PMI]]-B98</f>
        <v>1.3999999999999986</v>
      </c>
    </row>
    <row r="100" spans="1:3" x14ac:dyDescent="0.2">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2">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2">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2">
      <c r="A103" s="10">
        <v>43466</v>
      </c>
      <c r="B103" s="18">
        <f>IF(VLOOKUP(A103,'DB Country PMI'!$A:$AZ,MATCH($A$1,'DB Country PMI'!$A$1:$AZ$1,),)=0,#N/A,VLOOKUP(A103,'DB Country PMI'!$A:$AZ,MATCH($A$1,'DB Country PMI'!$A$1:$AZ$1,),))</f>
        <v>48.3</v>
      </c>
      <c r="C103" s="24">
        <f>Table1346811121415161718192022252629[[#This Row],[PMI]]-B102</f>
        <v>-1.5</v>
      </c>
    </row>
    <row r="104" spans="1:3" x14ac:dyDescent="0.2">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2">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2">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2">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2">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2">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2">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2">
      <c r="A111" s="10">
        <v>43709</v>
      </c>
      <c r="B111" s="18">
        <f>IF(VLOOKUP(A111,'DB Country PMI'!$A:$AZ,MATCH($A$1,'DB Country PMI'!$A$1:$AZ$1,),)=0,#N/A,VLOOKUP(A111,'DB Country PMI'!$A:$AZ,MATCH($A$1,'DB Country PMI'!$A$1:$AZ$1,),))</f>
        <v>48</v>
      </c>
      <c r="C111" s="24">
        <f>Table1346811121415161718192022252629[[#This Row],[PMI]]-B110</f>
        <v>-1</v>
      </c>
    </row>
    <row r="112" spans="1:3" x14ac:dyDescent="0.2">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2">
      <c r="A113" s="10">
        <v>43770</v>
      </c>
      <c r="B113" s="18">
        <f>IF(VLOOKUP(A113,'DB Country PMI'!$A:$AZ,MATCH($A$1,'DB Country PMI'!$A$1:$AZ$1,),)=0,#N/A,VLOOKUP(A113,'DB Country PMI'!$A:$AZ,MATCH($A$1,'DB Country PMI'!$A$1:$AZ$1,),))</f>
        <v>49.4</v>
      </c>
      <c r="C113" s="24">
        <f>Table1346811121415161718192022252629[[#This Row],[PMI]]-B112</f>
        <v>1</v>
      </c>
    </row>
    <row r="114" spans="1:3" x14ac:dyDescent="0.2">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2">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2">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2">
      <c r="A117" s="10">
        <v>43891</v>
      </c>
      <c r="B117" s="18">
        <f>IF(VLOOKUP(A117,'DB Country PMI'!$A:$AZ,MATCH($A$1,'DB Country PMI'!$A$1:$AZ$1,),)=0,#N/A,VLOOKUP(A117,'DB Country PMI'!$A:$AZ,MATCH($A$1,'DB Country PMI'!$A$1:$AZ$1,),))</f>
        <v>44.2</v>
      </c>
      <c r="C117" s="24">
        <f>Table1346811121415161718192022252629[[#This Row],[PMI]]-B116</f>
        <v>-4.5</v>
      </c>
    </row>
    <row r="118" spans="1:3" x14ac:dyDescent="0.2">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2">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2">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2">
      <c r="A121" s="10">
        <v>44013</v>
      </c>
      <c r="B121" s="18">
        <f>IF(VLOOKUP(A121,'DB Country PMI'!$A:$AZ,MATCH($A$1,'DB Country PMI'!$A$1:$AZ$1,),)=0,#N/A,VLOOKUP(A121,'DB Country PMI'!$A:$AZ,MATCH($A$1,'DB Country PMI'!$A$1:$AZ$1,),))</f>
        <v>46.9</v>
      </c>
      <c r="C121" s="24">
        <f>Table1346811121415161718192022252629[[#This Row],[PMI]]-B120</f>
        <v>3.5</v>
      </c>
    </row>
    <row r="122" spans="1:3" x14ac:dyDescent="0.2">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2">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2">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2">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2">
      <c r="A126" s="10">
        <v>44166</v>
      </c>
      <c r="B126" s="18">
        <f>IF(VLOOKUP(A126,'DB Country PMI'!$A:$AZ,MATCH($A$1,'DB Country PMI'!$A$1:$AZ$1,),)=0,#N/A,VLOOKUP(A126,'DB Country PMI'!$A:$AZ,MATCH($A$1,'DB Country PMI'!$A$1:$AZ$1,),))</f>
        <v>52.9</v>
      </c>
      <c r="C126" s="24">
        <f>Table1346811121415161718192022252629[[#This Row],[PMI]]-B125</f>
        <v>0</v>
      </c>
    </row>
    <row r="127" spans="1:3" x14ac:dyDescent="0.2">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2">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2">
      <c r="A129" s="10">
        <v>44256</v>
      </c>
      <c r="B129" s="18">
        <f>IF(VLOOKUP(A129,'DB Country PMI'!$A:$AZ,MATCH($A$1,'DB Country PMI'!$A$1:$AZ$1,),)=0,#N/A,VLOOKUP(A129,'DB Country PMI'!$A:$AZ,MATCH($A$1,'DB Country PMI'!$A$1:$AZ$1,),))</f>
        <v>55.3</v>
      </c>
      <c r="C129" s="24">
        <f>Table1346811121415161718192022252629[[#This Row],[PMI]]-B128</f>
        <v>0</v>
      </c>
    </row>
    <row r="130" spans="1:3" x14ac:dyDescent="0.2">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2">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2">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2">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2">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2">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2">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2">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2">
      <c r="A138" s="10">
        <v>44531</v>
      </c>
      <c r="B138" s="18">
        <f>IF(VLOOKUP(A138,'DB Country PMI'!$A:$AZ,MATCH($A$1,'DB Country PMI'!$A$1:$AZ$1,),)=0,#N/A,VLOOKUP(A138,'DB Country PMI'!$A:$AZ,MATCH($A$1,'DB Country PMI'!$A$1:$AZ$1,),))</f>
        <v>51.9</v>
      </c>
      <c r="C138" s="24">
        <f>Table1346811121415161718192022252629[[#This Row],[PMI]]-B137</f>
        <v>1</v>
      </c>
    </row>
    <row r="139" spans="1:3" x14ac:dyDescent="0.2">
      <c r="A139" s="10">
        <v>44562</v>
      </c>
      <c r="B139" s="18">
        <f>IF(VLOOKUP(A139,'DB Country PMI'!$A:$AZ,MATCH($A$1,'DB Country PMI'!$A$1:$AZ$1,),)=0,#N/A,VLOOKUP(A139,'DB Country PMI'!$A:$AZ,MATCH($A$1,'DB Country PMI'!$A$1:$AZ$1,),))</f>
        <v>52.8</v>
      </c>
      <c r="C139" s="24">
        <f>Table1346811121415161718192022252629[[#This Row],[PMI]]-B138</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3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41"/>
  <sheetViews>
    <sheetView zoomScale="170" zoomScaleNormal="170" workbookViewId="0">
      <pane ySplit="5" topLeftCell="A108" activePane="bottomLeft" state="frozen"/>
      <selection pane="bottomLeft" activeCell="Q134" sqref="Q134"/>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37</v>
      </c>
      <c r="K1" s="63" t="s">
        <v>107</v>
      </c>
    </row>
    <row r="2" spans="1:11" x14ac:dyDescent="0.2">
      <c r="K2" s="63" t="str">
        <f>A1&amp;K1</f>
        <v>Taiwan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48.6</v>
      </c>
      <c r="C6" s="18"/>
    </row>
    <row r="7" spans="1:11" x14ac:dyDescent="0.2">
      <c r="A7" s="10">
        <v>40483</v>
      </c>
      <c r="B7" s="18">
        <f>IF(VLOOKUP(A7,'DB Country PMI'!$A:$AZ,MATCH($A$1,'DB Country PMI'!$A$1:$AZ$1,),)=0,#N/A,VLOOKUP(A7,'DB Country PMI'!$A:$AZ,MATCH($A$1,'DB Country PMI'!$A$1:$AZ$1,),))</f>
        <v>51.7</v>
      </c>
      <c r="C7" s="24">
        <f>Table1346811121415161718192022253033[[#This Row],[PMI]]-B6</f>
        <v>3.1000000000000014</v>
      </c>
    </row>
    <row r="8" spans="1:11" x14ac:dyDescent="0.2">
      <c r="A8" s="10">
        <v>40513</v>
      </c>
      <c r="B8" s="18">
        <f>IF(VLOOKUP(A8,'DB Country PMI'!$A:$AZ,MATCH($A$1,'DB Country PMI'!$A$1:$AZ$1,),)=0,#N/A,VLOOKUP(A8,'DB Country PMI'!$A:$AZ,MATCH($A$1,'DB Country PMI'!$A$1:$AZ$1,),))</f>
        <v>51.7</v>
      </c>
      <c r="C8" s="24">
        <f>Table1346811121415161718192022253033[[#This Row],[PMI]]-B7</f>
        <v>0</v>
      </c>
    </row>
    <row r="9" spans="1:11" x14ac:dyDescent="0.2">
      <c r="A9" s="10">
        <v>40544</v>
      </c>
      <c r="B9" s="18">
        <f>IF(VLOOKUP(A9,'DB Country PMI'!$A:$AZ,MATCH($A$1,'DB Country PMI'!$A$1:$AZ$1,),)=0,#N/A,VLOOKUP(A9,'DB Country PMI'!$A:$AZ,MATCH($A$1,'DB Country PMI'!$A$1:$AZ$1,),))</f>
        <v>54.6</v>
      </c>
      <c r="C9" s="24">
        <f>Table1346811121415161718192022253033[[#This Row],[PMI]]-B8</f>
        <v>2.8999999999999986</v>
      </c>
    </row>
    <row r="10" spans="1:11" x14ac:dyDescent="0.2">
      <c r="A10" s="10">
        <v>40575</v>
      </c>
      <c r="B10" s="18">
        <f>IF(VLOOKUP(A10,'DB Country PMI'!$A:$AZ,MATCH($A$1,'DB Country PMI'!$A$1:$AZ$1,),)=0,#N/A,VLOOKUP(A10,'DB Country PMI'!$A:$AZ,MATCH($A$1,'DB Country PMI'!$A$1:$AZ$1,),))</f>
        <v>55.8</v>
      </c>
      <c r="C10" s="24">
        <f>Table1346811121415161718192022253033[[#This Row],[PMI]]-B9</f>
        <v>1.1999999999999957</v>
      </c>
    </row>
    <row r="11" spans="1:11" x14ac:dyDescent="0.2">
      <c r="A11" s="10">
        <v>40603</v>
      </c>
      <c r="B11" s="18">
        <f>IF(VLOOKUP(A11,'DB Country PMI'!$A:$AZ,MATCH($A$1,'DB Country PMI'!$A$1:$AZ$1,),)=0,#N/A,VLOOKUP(A11,'DB Country PMI'!$A:$AZ,MATCH($A$1,'DB Country PMI'!$A$1:$AZ$1,),))</f>
        <v>55.6</v>
      </c>
      <c r="C11" s="24">
        <f>Table1346811121415161718192022253033[[#This Row],[PMI]]-B10</f>
        <v>-0.19999999999999574</v>
      </c>
    </row>
    <row r="12" spans="1:11" x14ac:dyDescent="0.2">
      <c r="A12" s="10">
        <v>40634</v>
      </c>
      <c r="B12" s="18">
        <f>IF(VLOOKUP(A12,'DB Country PMI'!$A:$AZ,MATCH($A$1,'DB Country PMI'!$A$1:$AZ$1,),)=0,#N/A,VLOOKUP(A12,'DB Country PMI'!$A:$AZ,MATCH($A$1,'DB Country PMI'!$A$1:$AZ$1,),))</f>
        <v>58.2</v>
      </c>
      <c r="C12" s="24">
        <f>Table1346811121415161718192022253033[[#This Row],[PMI]]-B11</f>
        <v>2.6000000000000014</v>
      </c>
    </row>
    <row r="13" spans="1:11" x14ac:dyDescent="0.2">
      <c r="A13" s="10">
        <v>40664</v>
      </c>
      <c r="B13" s="18">
        <f>IF(VLOOKUP(A13,'DB Country PMI'!$A:$AZ,MATCH($A$1,'DB Country PMI'!$A$1:$AZ$1,),)=0,#N/A,VLOOKUP(A13,'DB Country PMI'!$A:$AZ,MATCH($A$1,'DB Country PMI'!$A$1:$AZ$1,),))</f>
        <v>54.9</v>
      </c>
      <c r="C13" s="24">
        <f>Table1346811121415161718192022253033[[#This Row],[PMI]]-B12</f>
        <v>-3.3000000000000043</v>
      </c>
    </row>
    <row r="14" spans="1:11" x14ac:dyDescent="0.2">
      <c r="A14" s="10">
        <v>40695</v>
      </c>
      <c r="B14" s="18">
        <f>IF(VLOOKUP(A14,'DB Country PMI'!$A:$AZ,MATCH($A$1,'DB Country PMI'!$A$1:$AZ$1,),)=0,#N/A,VLOOKUP(A14,'DB Country PMI'!$A:$AZ,MATCH($A$1,'DB Country PMI'!$A$1:$AZ$1,),))</f>
        <v>49.9</v>
      </c>
      <c r="C14" s="24">
        <f>Table1346811121415161718192022253033[[#This Row],[PMI]]-B13</f>
        <v>-5</v>
      </c>
    </row>
    <row r="15" spans="1:11" x14ac:dyDescent="0.2">
      <c r="A15" s="10">
        <v>40725</v>
      </c>
      <c r="B15" s="18">
        <f>IF(VLOOKUP(A15,'DB Country PMI'!$A:$AZ,MATCH($A$1,'DB Country PMI'!$A$1:$AZ$1,),)=0,#N/A,VLOOKUP(A15,'DB Country PMI'!$A:$AZ,MATCH($A$1,'DB Country PMI'!$A$1:$AZ$1,),))</f>
        <v>46.1</v>
      </c>
      <c r="C15" s="24">
        <f>Table1346811121415161718192022253033[[#This Row],[PMI]]-B14</f>
        <v>-3.7999999999999972</v>
      </c>
    </row>
    <row r="16" spans="1:11" x14ac:dyDescent="0.2">
      <c r="A16" s="10">
        <v>40756</v>
      </c>
      <c r="B16" s="18">
        <f>IF(VLOOKUP(A16,'DB Country PMI'!$A:$AZ,MATCH($A$1,'DB Country PMI'!$A$1:$AZ$1,),)=0,#N/A,VLOOKUP(A16,'DB Country PMI'!$A:$AZ,MATCH($A$1,'DB Country PMI'!$A$1:$AZ$1,),))</f>
        <v>45.2</v>
      </c>
      <c r="C16" s="24">
        <f>Table1346811121415161718192022253033[[#This Row],[PMI]]-B15</f>
        <v>-0.89999999999999858</v>
      </c>
    </row>
    <row r="17" spans="1:3" x14ac:dyDescent="0.2">
      <c r="A17" s="10">
        <v>40787</v>
      </c>
      <c r="B17" s="18">
        <f>IF(VLOOKUP(A17,'DB Country PMI'!$A:$AZ,MATCH($A$1,'DB Country PMI'!$A$1:$AZ$1,),)=0,#N/A,VLOOKUP(A17,'DB Country PMI'!$A:$AZ,MATCH($A$1,'DB Country PMI'!$A$1:$AZ$1,),))</f>
        <v>44.5</v>
      </c>
      <c r="C17" s="24">
        <f>Table1346811121415161718192022253033[[#This Row],[PMI]]-B16</f>
        <v>-0.70000000000000284</v>
      </c>
    </row>
    <row r="18" spans="1:3" x14ac:dyDescent="0.2">
      <c r="A18" s="10">
        <v>40817</v>
      </c>
      <c r="B18" s="18">
        <f>IF(VLOOKUP(A18,'DB Country PMI'!$A:$AZ,MATCH($A$1,'DB Country PMI'!$A$1:$AZ$1,),)=0,#N/A,VLOOKUP(A18,'DB Country PMI'!$A:$AZ,MATCH($A$1,'DB Country PMI'!$A$1:$AZ$1,),))</f>
        <v>48</v>
      </c>
      <c r="C18" s="24">
        <f>Table1346811121415161718192022253033[[#This Row],[PMI]]-B17</f>
        <v>3.5</v>
      </c>
    </row>
    <row r="19" spans="1:3" x14ac:dyDescent="0.2">
      <c r="A19" s="10">
        <v>40848</v>
      </c>
      <c r="B19" s="18">
        <f>IF(VLOOKUP(A19,'DB Country PMI'!$A:$AZ,MATCH($A$1,'DB Country PMI'!$A$1:$AZ$1,),)=0,#N/A,VLOOKUP(A19,'DB Country PMI'!$A:$AZ,MATCH($A$1,'DB Country PMI'!$A$1:$AZ$1,),))</f>
        <v>47.1</v>
      </c>
      <c r="C19" s="24">
        <f>Table1346811121415161718192022253033[[#This Row],[PMI]]-B18</f>
        <v>-0.89999999999999858</v>
      </c>
    </row>
    <row r="20" spans="1:3" x14ac:dyDescent="0.2">
      <c r="A20" s="10">
        <v>40878</v>
      </c>
      <c r="B20" s="18">
        <f>IF(VLOOKUP(A20,'DB Country PMI'!$A:$AZ,MATCH($A$1,'DB Country PMI'!$A$1:$AZ$1,),)=0,#N/A,VLOOKUP(A20,'DB Country PMI'!$A:$AZ,MATCH($A$1,'DB Country PMI'!$A$1:$AZ$1,),))</f>
        <v>47.1</v>
      </c>
      <c r="C20" s="24">
        <f>Table1346811121415161718192022253033[[#This Row],[PMI]]-B19</f>
        <v>0</v>
      </c>
    </row>
    <row r="21" spans="1:3" x14ac:dyDescent="0.2">
      <c r="A21" s="10">
        <v>40909</v>
      </c>
      <c r="B21" s="18">
        <f>IF(VLOOKUP(A21,'DB Country PMI'!$A:$AZ,MATCH($A$1,'DB Country PMI'!$A$1:$AZ$1,),)=0,#N/A,VLOOKUP(A21,'DB Country PMI'!$A:$AZ,MATCH($A$1,'DB Country PMI'!$A$1:$AZ$1,),))</f>
        <v>47.1</v>
      </c>
      <c r="C21" s="24">
        <f>Table1346811121415161718192022253033[[#This Row],[PMI]]-B20</f>
        <v>0</v>
      </c>
    </row>
    <row r="22" spans="1:3" x14ac:dyDescent="0.2">
      <c r="A22" s="10">
        <v>40940</v>
      </c>
      <c r="B22" s="18">
        <f>IF(VLOOKUP(A22,'DB Country PMI'!$A:$AZ,MATCH($A$1,'DB Country PMI'!$A$1:$AZ$1,),)=0,#N/A,VLOOKUP(A22,'DB Country PMI'!$A:$AZ,MATCH($A$1,'DB Country PMI'!$A$1:$AZ$1,),))</f>
        <v>48.9</v>
      </c>
      <c r="C22" s="24">
        <f>Table1346811121415161718192022253033[[#This Row],[PMI]]-B21</f>
        <v>1.7999999999999972</v>
      </c>
    </row>
    <row r="23" spans="1:3" x14ac:dyDescent="0.2">
      <c r="A23" s="10">
        <v>40969</v>
      </c>
      <c r="B23" s="18">
        <f>IF(VLOOKUP(A23,'DB Country PMI'!$A:$AZ,MATCH($A$1,'DB Country PMI'!$A$1:$AZ$1,),)=0,#N/A,VLOOKUP(A23,'DB Country PMI'!$A:$AZ,MATCH($A$1,'DB Country PMI'!$A$1:$AZ$1,),))</f>
        <v>52.7</v>
      </c>
      <c r="C23" s="24">
        <f>Table1346811121415161718192022253033[[#This Row],[PMI]]-B22</f>
        <v>3.8000000000000043</v>
      </c>
    </row>
    <row r="24" spans="1:3" x14ac:dyDescent="0.2">
      <c r="A24" s="10">
        <v>41000</v>
      </c>
      <c r="B24" s="18">
        <f>IF(VLOOKUP(A24,'DB Country PMI'!$A:$AZ,MATCH($A$1,'DB Country PMI'!$A$1:$AZ$1,),)=0,#N/A,VLOOKUP(A24,'DB Country PMI'!$A:$AZ,MATCH($A$1,'DB Country PMI'!$A$1:$AZ$1,),))</f>
        <v>54.1</v>
      </c>
      <c r="C24" s="24">
        <f>Table1346811121415161718192022253033[[#This Row],[PMI]]-B23</f>
        <v>1.3999999999999986</v>
      </c>
    </row>
    <row r="25" spans="1:3" x14ac:dyDescent="0.2">
      <c r="A25" s="10">
        <v>41030</v>
      </c>
      <c r="B25" s="18">
        <f>IF(VLOOKUP(A25,'DB Country PMI'!$A:$AZ,MATCH($A$1,'DB Country PMI'!$A$1:$AZ$1,),)=0,#N/A,VLOOKUP(A25,'DB Country PMI'!$A:$AZ,MATCH($A$1,'DB Country PMI'!$A$1:$AZ$1,),))</f>
        <v>51.2</v>
      </c>
      <c r="C25" s="24">
        <f>Table1346811121415161718192022253033[[#This Row],[PMI]]-B24</f>
        <v>-2.8999999999999986</v>
      </c>
    </row>
    <row r="26" spans="1:3" x14ac:dyDescent="0.2">
      <c r="A26" s="10">
        <v>41061</v>
      </c>
      <c r="B26" s="18">
        <f>IF(VLOOKUP(A26,'DB Country PMI'!$A:$AZ,MATCH($A$1,'DB Country PMI'!$A$1:$AZ$1,),)=0,#N/A,VLOOKUP(A26,'DB Country PMI'!$A:$AZ,MATCH($A$1,'DB Country PMI'!$A$1:$AZ$1,),))</f>
        <v>50.5</v>
      </c>
      <c r="C26" s="24">
        <f>Table1346811121415161718192022253033[[#This Row],[PMI]]-B25</f>
        <v>-0.70000000000000284</v>
      </c>
    </row>
    <row r="27" spans="1:3" x14ac:dyDescent="0.2">
      <c r="A27" s="10">
        <v>41091</v>
      </c>
      <c r="B27" s="18">
        <f>IF(VLOOKUP(A27,'DB Country PMI'!$A:$AZ,MATCH($A$1,'DB Country PMI'!$A$1:$AZ$1,),)=0,#N/A,VLOOKUP(A27,'DB Country PMI'!$A:$AZ,MATCH($A$1,'DB Country PMI'!$A$1:$AZ$1,),))</f>
        <v>49.2</v>
      </c>
      <c r="C27" s="24">
        <f>Table1346811121415161718192022253033[[#This Row],[PMI]]-B26</f>
        <v>-1.2999999999999972</v>
      </c>
    </row>
    <row r="28" spans="1:3" x14ac:dyDescent="0.2">
      <c r="A28" s="10">
        <v>41122</v>
      </c>
      <c r="B28" s="18">
        <f>IF(VLOOKUP(A28,'DB Country PMI'!$A:$AZ,MATCH($A$1,'DB Country PMI'!$A$1:$AZ$1,),)=0,#N/A,VLOOKUP(A28,'DB Country PMI'!$A:$AZ,MATCH($A$1,'DB Country PMI'!$A$1:$AZ$1,),))</f>
        <v>47.5</v>
      </c>
      <c r="C28" s="24">
        <f>Table1346811121415161718192022253033[[#This Row],[PMI]]-B27</f>
        <v>-1.7000000000000028</v>
      </c>
    </row>
    <row r="29" spans="1:3" x14ac:dyDescent="0.2">
      <c r="A29" s="10">
        <v>41153</v>
      </c>
      <c r="B29" s="18">
        <f>IF(VLOOKUP(A29,'DB Country PMI'!$A:$AZ,MATCH($A$1,'DB Country PMI'!$A$1:$AZ$1,),)=0,#N/A,VLOOKUP(A29,'DB Country PMI'!$A:$AZ,MATCH($A$1,'DB Country PMI'!$A$1:$AZ$1,),))</f>
        <v>46.1</v>
      </c>
      <c r="C29" s="24">
        <f>Table1346811121415161718192022253033[[#This Row],[PMI]]-B28</f>
        <v>-1.3999999999999986</v>
      </c>
    </row>
    <row r="30" spans="1:3" x14ac:dyDescent="0.2">
      <c r="A30" s="10">
        <v>41183</v>
      </c>
      <c r="B30" s="18">
        <f>IF(VLOOKUP(A30,'DB Country PMI'!$A:$AZ,MATCH($A$1,'DB Country PMI'!$A$1:$AZ$1,),)=0,#N/A,VLOOKUP(A30,'DB Country PMI'!$A:$AZ,MATCH($A$1,'DB Country PMI'!$A$1:$AZ$1,),))</f>
        <v>45.6</v>
      </c>
      <c r="C30" s="24">
        <f>Table1346811121415161718192022253033[[#This Row],[PMI]]-B29</f>
        <v>-0.5</v>
      </c>
    </row>
    <row r="31" spans="1:3" x14ac:dyDescent="0.2">
      <c r="A31" s="10">
        <v>41214</v>
      </c>
      <c r="B31" s="18">
        <f>IF(VLOOKUP(A31,'DB Country PMI'!$A:$AZ,MATCH($A$1,'DB Country PMI'!$A$1:$AZ$1,),)=0,#N/A,VLOOKUP(A31,'DB Country PMI'!$A:$AZ,MATCH($A$1,'DB Country PMI'!$A$1:$AZ$1,),))</f>
        <v>47.8</v>
      </c>
      <c r="C31" s="24">
        <f>Table1346811121415161718192022253033[[#This Row],[PMI]]-B30</f>
        <v>2.1999999999999957</v>
      </c>
    </row>
    <row r="32" spans="1:3" x14ac:dyDescent="0.2">
      <c r="A32" s="10">
        <v>41244</v>
      </c>
      <c r="B32" s="18">
        <f>IF(VLOOKUP(A32,'DB Country PMI'!$A:$AZ,MATCH($A$1,'DB Country PMI'!$A$1:$AZ$1,),)=0,#N/A,VLOOKUP(A32,'DB Country PMI'!$A:$AZ,MATCH($A$1,'DB Country PMI'!$A$1:$AZ$1,),))</f>
        <v>47.4</v>
      </c>
      <c r="C32" s="24">
        <f>Table1346811121415161718192022253033[[#This Row],[PMI]]-B31</f>
        <v>-0.39999999999999858</v>
      </c>
    </row>
    <row r="33" spans="1:3" x14ac:dyDescent="0.2">
      <c r="A33" s="10">
        <v>41275</v>
      </c>
      <c r="B33" s="18">
        <f>IF(VLOOKUP(A33,'DB Country PMI'!$A:$AZ,MATCH($A$1,'DB Country PMI'!$A$1:$AZ$1,),)=0,#N/A,VLOOKUP(A33,'DB Country PMI'!$A:$AZ,MATCH($A$1,'DB Country PMI'!$A$1:$AZ$1,),))</f>
        <v>51.5</v>
      </c>
      <c r="C33" s="24">
        <f>Table1346811121415161718192022253033[[#This Row],[PMI]]-B32</f>
        <v>4.1000000000000014</v>
      </c>
    </row>
    <row r="34" spans="1:3" x14ac:dyDescent="0.2">
      <c r="A34" s="10">
        <v>41306</v>
      </c>
      <c r="B34" s="18">
        <f>IF(VLOOKUP(A34,'DB Country PMI'!$A:$AZ,MATCH($A$1,'DB Country PMI'!$A$1:$AZ$1,),)=0,#N/A,VLOOKUP(A34,'DB Country PMI'!$A:$AZ,MATCH($A$1,'DB Country PMI'!$A$1:$AZ$1,),))</f>
        <v>51.5</v>
      </c>
      <c r="C34" s="24">
        <f>Table1346811121415161718192022253033[[#This Row],[PMI]]-B33</f>
        <v>0</v>
      </c>
    </row>
    <row r="35" spans="1:3" x14ac:dyDescent="0.2">
      <c r="A35" s="10">
        <v>41334</v>
      </c>
      <c r="B35" s="18">
        <f>IF(VLOOKUP(A35,'DB Country PMI'!$A:$AZ,MATCH($A$1,'DB Country PMI'!$A$1:$AZ$1,),)=0,#N/A,VLOOKUP(A35,'DB Country PMI'!$A:$AZ,MATCH($A$1,'DB Country PMI'!$A$1:$AZ$1,),))</f>
        <v>50.2</v>
      </c>
      <c r="C35" s="24">
        <f>Table1346811121415161718192022253033[[#This Row],[PMI]]-B34</f>
        <v>-1.2999999999999972</v>
      </c>
    </row>
    <row r="36" spans="1:3" x14ac:dyDescent="0.2">
      <c r="A36" s="10">
        <v>41365</v>
      </c>
      <c r="B36" s="18">
        <f>IF(VLOOKUP(A36,'DB Country PMI'!$A:$AZ,MATCH($A$1,'DB Country PMI'!$A$1:$AZ$1,),)=0,#N/A,VLOOKUP(A36,'DB Country PMI'!$A:$AZ,MATCH($A$1,'DB Country PMI'!$A$1:$AZ$1,),))</f>
        <v>51.2</v>
      </c>
      <c r="C36" s="24">
        <f>Table1346811121415161718192022253033[[#This Row],[PMI]]-B35</f>
        <v>1</v>
      </c>
    </row>
    <row r="37" spans="1:3" x14ac:dyDescent="0.2">
      <c r="A37" s="10">
        <v>41395</v>
      </c>
      <c r="B37" s="18">
        <f>IF(VLOOKUP(A37,'DB Country PMI'!$A:$AZ,MATCH($A$1,'DB Country PMI'!$A$1:$AZ$1,),)=0,#N/A,VLOOKUP(A37,'DB Country PMI'!$A:$AZ,MATCH($A$1,'DB Country PMI'!$A$1:$AZ$1,),))</f>
        <v>50.7</v>
      </c>
      <c r="C37" s="24">
        <f>Table1346811121415161718192022253033[[#This Row],[PMI]]-B36</f>
        <v>-0.5</v>
      </c>
    </row>
    <row r="38" spans="1:3" x14ac:dyDescent="0.2">
      <c r="A38" s="10">
        <v>41426</v>
      </c>
      <c r="B38" s="18">
        <f>IF(VLOOKUP(A38,'DB Country PMI'!$A:$AZ,MATCH($A$1,'DB Country PMI'!$A$1:$AZ$1,),)=0,#N/A,VLOOKUP(A38,'DB Country PMI'!$A:$AZ,MATCH($A$1,'DB Country PMI'!$A$1:$AZ$1,),))</f>
        <v>47.1</v>
      </c>
      <c r="C38" s="24">
        <f>Table1346811121415161718192022253033[[#This Row],[PMI]]-B37</f>
        <v>-3.6000000000000014</v>
      </c>
    </row>
    <row r="39" spans="1:3" x14ac:dyDescent="0.2">
      <c r="A39" s="10">
        <v>41456</v>
      </c>
      <c r="B39" s="18">
        <f>IF(VLOOKUP(A39,'DB Country PMI'!$A:$AZ,MATCH($A$1,'DB Country PMI'!$A$1:$AZ$1,),)=0,#N/A,VLOOKUP(A39,'DB Country PMI'!$A:$AZ,MATCH($A$1,'DB Country PMI'!$A$1:$AZ$1,),))</f>
        <v>49.5</v>
      </c>
      <c r="C39" s="24">
        <f>Table1346811121415161718192022253033[[#This Row],[PMI]]-B38</f>
        <v>2.3999999999999986</v>
      </c>
    </row>
    <row r="40" spans="1:3" x14ac:dyDescent="0.2">
      <c r="A40" s="10">
        <v>41487</v>
      </c>
      <c r="B40" s="18">
        <f>IF(VLOOKUP(A40,'DB Country PMI'!$A:$AZ,MATCH($A$1,'DB Country PMI'!$A$1:$AZ$1,),)=0,#N/A,VLOOKUP(A40,'DB Country PMI'!$A:$AZ,MATCH($A$1,'DB Country PMI'!$A$1:$AZ$1,),))</f>
        <v>48.6</v>
      </c>
      <c r="C40" s="24">
        <f>Table1346811121415161718192022253033[[#This Row],[PMI]]-B39</f>
        <v>-0.89999999999999858</v>
      </c>
    </row>
    <row r="41" spans="1:3" x14ac:dyDescent="0.2">
      <c r="A41" s="10">
        <v>41518</v>
      </c>
      <c r="B41" s="18">
        <f>IF(VLOOKUP(A41,'DB Country PMI'!$A:$AZ,MATCH($A$1,'DB Country PMI'!$A$1:$AZ$1,),)=0,#N/A,VLOOKUP(A41,'DB Country PMI'!$A:$AZ,MATCH($A$1,'DB Country PMI'!$A$1:$AZ$1,),))</f>
        <v>50</v>
      </c>
      <c r="C41" s="24">
        <f>Table1346811121415161718192022253033[[#This Row],[PMI]]-B40</f>
        <v>1.3999999999999986</v>
      </c>
    </row>
    <row r="42" spans="1:3" x14ac:dyDescent="0.2">
      <c r="A42" s="10">
        <v>41548</v>
      </c>
      <c r="B42" s="18">
        <f>IF(VLOOKUP(A42,'DB Country PMI'!$A:$AZ,MATCH($A$1,'DB Country PMI'!$A$1:$AZ$1,),)=0,#N/A,VLOOKUP(A42,'DB Country PMI'!$A:$AZ,MATCH($A$1,'DB Country PMI'!$A$1:$AZ$1,),))</f>
        <v>52</v>
      </c>
      <c r="C42" s="24">
        <f>Table1346811121415161718192022253033[[#This Row],[PMI]]-B41</f>
        <v>2</v>
      </c>
    </row>
    <row r="43" spans="1:3" x14ac:dyDescent="0.2">
      <c r="A43" s="10">
        <v>41579</v>
      </c>
      <c r="B43" s="18">
        <f>IF(VLOOKUP(A43,'DB Country PMI'!$A:$AZ,MATCH($A$1,'DB Country PMI'!$A$1:$AZ$1,),)=0,#N/A,VLOOKUP(A43,'DB Country PMI'!$A:$AZ,MATCH($A$1,'DB Country PMI'!$A$1:$AZ$1,),))</f>
        <v>53</v>
      </c>
      <c r="C43" s="24">
        <f>Table1346811121415161718192022253033[[#This Row],[PMI]]-B42</f>
        <v>1</v>
      </c>
    </row>
    <row r="44" spans="1:3" x14ac:dyDescent="0.2">
      <c r="A44" s="10">
        <v>41609</v>
      </c>
      <c r="B44" s="18">
        <f>IF(VLOOKUP(A44,'DB Country PMI'!$A:$AZ,MATCH($A$1,'DB Country PMI'!$A$1:$AZ$1,),)=0,#N/A,VLOOKUP(A44,'DB Country PMI'!$A:$AZ,MATCH($A$1,'DB Country PMI'!$A$1:$AZ$1,),))</f>
        <v>53.4</v>
      </c>
      <c r="C44" s="24">
        <f>Table1346811121415161718192022253033[[#This Row],[PMI]]-B43</f>
        <v>0.39999999999999858</v>
      </c>
    </row>
    <row r="45" spans="1:3" x14ac:dyDescent="0.2">
      <c r="A45" s="10">
        <v>41640</v>
      </c>
      <c r="B45" s="18">
        <f>IF(VLOOKUP(A45,'DB Country PMI'!$A:$AZ,MATCH($A$1,'DB Country PMI'!$A$1:$AZ$1,),)=0,#N/A,VLOOKUP(A45,'DB Country PMI'!$A:$AZ,MATCH($A$1,'DB Country PMI'!$A$1:$AZ$1,),))</f>
        <v>55.5</v>
      </c>
      <c r="C45" s="24">
        <f>Table1346811121415161718192022253033[[#This Row],[PMI]]-B44</f>
        <v>2.1000000000000014</v>
      </c>
    </row>
    <row r="46" spans="1:3" x14ac:dyDescent="0.2">
      <c r="A46" s="10">
        <v>41671</v>
      </c>
      <c r="B46" s="18">
        <f>IF(VLOOKUP(A46,'DB Country PMI'!$A:$AZ,MATCH($A$1,'DB Country PMI'!$A$1:$AZ$1,),)=0,#N/A,VLOOKUP(A46,'DB Country PMI'!$A:$AZ,MATCH($A$1,'DB Country PMI'!$A$1:$AZ$1,),))</f>
        <v>54.7</v>
      </c>
      <c r="C46" s="24">
        <f>Table1346811121415161718192022253033[[#This Row],[PMI]]-B45</f>
        <v>-0.79999999999999716</v>
      </c>
    </row>
    <row r="47" spans="1:3" x14ac:dyDescent="0.2">
      <c r="A47" s="10">
        <v>41699</v>
      </c>
      <c r="B47" s="18">
        <f>IF(VLOOKUP(A47,'DB Country PMI'!$A:$AZ,MATCH($A$1,'DB Country PMI'!$A$1:$AZ$1,),)=0,#N/A,VLOOKUP(A47,'DB Country PMI'!$A:$AZ,MATCH($A$1,'DB Country PMI'!$A$1:$AZ$1,),))</f>
        <v>52.7</v>
      </c>
      <c r="C47" s="24">
        <f>Table1346811121415161718192022253033[[#This Row],[PMI]]-B46</f>
        <v>-2</v>
      </c>
    </row>
    <row r="48" spans="1:3" x14ac:dyDescent="0.2">
      <c r="A48" s="10">
        <v>41730</v>
      </c>
      <c r="B48" s="18">
        <f>IF(VLOOKUP(A48,'DB Country PMI'!$A:$AZ,MATCH($A$1,'DB Country PMI'!$A$1:$AZ$1,),)=0,#N/A,VLOOKUP(A48,'DB Country PMI'!$A:$AZ,MATCH($A$1,'DB Country PMI'!$A$1:$AZ$1,),))</f>
        <v>52.3</v>
      </c>
      <c r="C48" s="24">
        <f>Table1346811121415161718192022253033[[#This Row],[PMI]]-B47</f>
        <v>-0.40000000000000568</v>
      </c>
    </row>
    <row r="49" spans="1:3" x14ac:dyDescent="0.2">
      <c r="A49" s="10">
        <v>41760</v>
      </c>
      <c r="B49" s="18">
        <f>IF(VLOOKUP(A49,'DB Country PMI'!$A:$AZ,MATCH($A$1,'DB Country PMI'!$A$1:$AZ$1,),)=0,#N/A,VLOOKUP(A49,'DB Country PMI'!$A:$AZ,MATCH($A$1,'DB Country PMI'!$A$1:$AZ$1,),))</f>
        <v>52.4</v>
      </c>
      <c r="C49" s="24">
        <f>Table1346811121415161718192022253033[[#This Row],[PMI]]-B48</f>
        <v>0.10000000000000142</v>
      </c>
    </row>
    <row r="50" spans="1:3" x14ac:dyDescent="0.2">
      <c r="A50" s="10">
        <v>41791</v>
      </c>
      <c r="B50" s="18">
        <f>IF(VLOOKUP(A50,'DB Country PMI'!$A:$AZ,MATCH($A$1,'DB Country PMI'!$A$1:$AZ$1,),)=0,#N/A,VLOOKUP(A50,'DB Country PMI'!$A:$AZ,MATCH($A$1,'DB Country PMI'!$A$1:$AZ$1,),))</f>
        <v>54</v>
      </c>
      <c r="C50" s="24">
        <f>Table1346811121415161718192022253033[[#This Row],[PMI]]-B49</f>
        <v>1.6000000000000014</v>
      </c>
    </row>
    <row r="51" spans="1:3" x14ac:dyDescent="0.2">
      <c r="A51" s="10">
        <v>41821</v>
      </c>
      <c r="B51" s="18">
        <f>IF(VLOOKUP(A51,'DB Country PMI'!$A:$AZ,MATCH($A$1,'DB Country PMI'!$A$1:$AZ$1,),)=0,#N/A,VLOOKUP(A51,'DB Country PMI'!$A:$AZ,MATCH($A$1,'DB Country PMI'!$A$1:$AZ$1,),))</f>
        <v>55.8</v>
      </c>
      <c r="C51" s="24">
        <f>Table1346811121415161718192022253033[[#This Row],[PMI]]-B50</f>
        <v>1.7999999999999972</v>
      </c>
    </row>
    <row r="52" spans="1:3" x14ac:dyDescent="0.2">
      <c r="A52" s="10">
        <v>41852</v>
      </c>
      <c r="B52" s="18">
        <f>IF(VLOOKUP(A52,'DB Country PMI'!$A:$AZ,MATCH($A$1,'DB Country PMI'!$A$1:$AZ$1,),)=0,#N/A,VLOOKUP(A52,'DB Country PMI'!$A:$AZ,MATCH($A$1,'DB Country PMI'!$A$1:$AZ$1,),))</f>
        <v>56.1</v>
      </c>
      <c r="C52" s="24">
        <f>Table1346811121415161718192022253033[[#This Row],[PMI]]-B51</f>
        <v>0.30000000000000426</v>
      </c>
    </row>
    <row r="53" spans="1:3" x14ac:dyDescent="0.2">
      <c r="A53" s="10">
        <v>41883</v>
      </c>
      <c r="B53" s="18">
        <f>IF(VLOOKUP(A53,'DB Country PMI'!$A:$AZ,MATCH($A$1,'DB Country PMI'!$A$1:$AZ$1,),)=0,#N/A,VLOOKUP(A53,'DB Country PMI'!$A:$AZ,MATCH($A$1,'DB Country PMI'!$A$1:$AZ$1,),))</f>
        <v>53.3</v>
      </c>
      <c r="C53" s="24">
        <f>Table1346811121415161718192022253033[[#This Row],[PMI]]-B52</f>
        <v>-2.8000000000000043</v>
      </c>
    </row>
    <row r="54" spans="1:3" x14ac:dyDescent="0.2">
      <c r="A54" s="10">
        <v>41913</v>
      </c>
      <c r="B54" s="18">
        <f>IF(VLOOKUP(A54,'DB Country PMI'!$A:$AZ,MATCH($A$1,'DB Country PMI'!$A$1:$AZ$1,),)=0,#N/A,VLOOKUP(A54,'DB Country PMI'!$A:$AZ,MATCH($A$1,'DB Country PMI'!$A$1:$AZ$1,),))</f>
        <v>52</v>
      </c>
      <c r="C54" s="24">
        <f>Table1346811121415161718192022253033[[#This Row],[PMI]]-B53</f>
        <v>-1.2999999999999972</v>
      </c>
    </row>
    <row r="55" spans="1:3" x14ac:dyDescent="0.2">
      <c r="A55" s="10">
        <v>41944</v>
      </c>
      <c r="B55" s="18">
        <f>IF(VLOOKUP(A55,'DB Country PMI'!$A:$AZ,MATCH($A$1,'DB Country PMI'!$A$1:$AZ$1,),)=0,#N/A,VLOOKUP(A55,'DB Country PMI'!$A:$AZ,MATCH($A$1,'DB Country PMI'!$A$1:$AZ$1,),))</f>
        <v>51.4</v>
      </c>
      <c r="C55" s="24">
        <f>Table1346811121415161718192022253033[[#This Row],[PMI]]-B54</f>
        <v>-0.60000000000000142</v>
      </c>
    </row>
    <row r="56" spans="1:3" x14ac:dyDescent="0.2">
      <c r="A56" s="10">
        <v>41974</v>
      </c>
      <c r="B56" s="18">
        <f>IF(VLOOKUP(A56,'DB Country PMI'!$A:$AZ,MATCH($A$1,'DB Country PMI'!$A$1:$AZ$1,),)=0,#N/A,VLOOKUP(A56,'DB Country PMI'!$A:$AZ,MATCH($A$1,'DB Country PMI'!$A$1:$AZ$1,),))</f>
        <v>50</v>
      </c>
      <c r="C56" s="24">
        <f>Table1346811121415161718192022253033[[#This Row],[PMI]]-B55</f>
        <v>-1.3999999999999986</v>
      </c>
    </row>
    <row r="57" spans="1:3" x14ac:dyDescent="0.2">
      <c r="A57" s="10">
        <v>42005</v>
      </c>
      <c r="B57" s="18">
        <f>IF(VLOOKUP(A57,'DB Country PMI'!$A:$AZ,MATCH($A$1,'DB Country PMI'!$A$1:$AZ$1,),)=0,#N/A,VLOOKUP(A57,'DB Country PMI'!$A:$AZ,MATCH($A$1,'DB Country PMI'!$A$1:$AZ$1,),))</f>
        <v>51.7</v>
      </c>
      <c r="C57" s="24">
        <f>Table1346811121415161718192022253033[[#This Row],[PMI]]-B56</f>
        <v>1.7000000000000028</v>
      </c>
    </row>
    <row r="58" spans="1:3" x14ac:dyDescent="0.2">
      <c r="A58" s="10">
        <v>42036</v>
      </c>
      <c r="B58" s="18">
        <f>IF(VLOOKUP(A58,'DB Country PMI'!$A:$AZ,MATCH($A$1,'DB Country PMI'!$A$1:$AZ$1,),)=0,#N/A,VLOOKUP(A58,'DB Country PMI'!$A:$AZ,MATCH($A$1,'DB Country PMI'!$A$1:$AZ$1,),))</f>
        <v>52.1</v>
      </c>
      <c r="C58" s="24">
        <f>Table1346811121415161718192022253033[[#This Row],[PMI]]-B57</f>
        <v>0.39999999999999858</v>
      </c>
    </row>
    <row r="59" spans="1:3" x14ac:dyDescent="0.2">
      <c r="A59" s="10">
        <v>42064</v>
      </c>
      <c r="B59" s="18">
        <f>IF(VLOOKUP(A59,'DB Country PMI'!$A:$AZ,MATCH($A$1,'DB Country PMI'!$A$1:$AZ$1,),)=0,#N/A,VLOOKUP(A59,'DB Country PMI'!$A:$AZ,MATCH($A$1,'DB Country PMI'!$A$1:$AZ$1,),))</f>
        <v>51</v>
      </c>
      <c r="C59" s="24">
        <f>Table1346811121415161718192022253033[[#This Row],[PMI]]-B58</f>
        <v>-1.1000000000000014</v>
      </c>
    </row>
    <row r="60" spans="1:3" x14ac:dyDescent="0.2">
      <c r="A60" s="10">
        <v>42095</v>
      </c>
      <c r="B60" s="18">
        <f>IF(VLOOKUP(A60,'DB Country PMI'!$A:$AZ,MATCH($A$1,'DB Country PMI'!$A$1:$AZ$1,),)=0,#N/A,VLOOKUP(A60,'DB Country PMI'!$A:$AZ,MATCH($A$1,'DB Country PMI'!$A$1:$AZ$1,),))</f>
        <v>49.2</v>
      </c>
      <c r="C60" s="24">
        <f>Table1346811121415161718192022253033[[#This Row],[PMI]]-B59</f>
        <v>-1.7999999999999972</v>
      </c>
    </row>
    <row r="61" spans="1:3" x14ac:dyDescent="0.2">
      <c r="A61" s="10">
        <v>42125</v>
      </c>
      <c r="B61" s="18">
        <f>IF(VLOOKUP(A61,'DB Country PMI'!$A:$AZ,MATCH($A$1,'DB Country PMI'!$A$1:$AZ$1,),)=0,#N/A,VLOOKUP(A61,'DB Country PMI'!$A:$AZ,MATCH($A$1,'DB Country PMI'!$A$1:$AZ$1,),))</f>
        <v>49.3</v>
      </c>
      <c r="C61" s="24">
        <f>Table1346811121415161718192022253033[[#This Row],[PMI]]-B60</f>
        <v>9.9999999999994316E-2</v>
      </c>
    </row>
    <row r="62" spans="1:3" x14ac:dyDescent="0.2">
      <c r="A62" s="10">
        <v>42156</v>
      </c>
      <c r="B62" s="18">
        <f>IF(VLOOKUP(A62,'DB Country PMI'!$A:$AZ,MATCH($A$1,'DB Country PMI'!$A$1:$AZ$1,),)=0,#N/A,VLOOKUP(A62,'DB Country PMI'!$A:$AZ,MATCH($A$1,'DB Country PMI'!$A$1:$AZ$1,),))</f>
        <v>46.3</v>
      </c>
      <c r="C62" s="24">
        <f>Table1346811121415161718192022253033[[#This Row],[PMI]]-B61</f>
        <v>-3</v>
      </c>
    </row>
    <row r="63" spans="1:3" x14ac:dyDescent="0.2">
      <c r="A63" s="10">
        <v>42186</v>
      </c>
      <c r="B63" s="18">
        <f>IF(VLOOKUP(A63,'DB Country PMI'!$A:$AZ,MATCH($A$1,'DB Country PMI'!$A$1:$AZ$1,),)=0,#N/A,VLOOKUP(A63,'DB Country PMI'!$A:$AZ,MATCH($A$1,'DB Country PMI'!$A$1:$AZ$1,),))</f>
        <v>47.1</v>
      </c>
      <c r="C63" s="24">
        <f>Table1346811121415161718192022253033[[#This Row],[PMI]]-B62</f>
        <v>0.80000000000000426</v>
      </c>
    </row>
    <row r="64" spans="1:3" x14ac:dyDescent="0.2">
      <c r="A64" s="10">
        <v>42217</v>
      </c>
      <c r="B64" s="18">
        <f>IF(VLOOKUP(A64,'DB Country PMI'!$A:$AZ,MATCH($A$1,'DB Country PMI'!$A$1:$AZ$1,),)=0,#N/A,VLOOKUP(A64,'DB Country PMI'!$A:$AZ,MATCH($A$1,'DB Country PMI'!$A$1:$AZ$1,),))</f>
        <v>46.1</v>
      </c>
      <c r="C64" s="24">
        <f>Table1346811121415161718192022253033[[#This Row],[PMI]]-B63</f>
        <v>-1</v>
      </c>
    </row>
    <row r="65" spans="1:3" x14ac:dyDescent="0.2">
      <c r="A65" s="10">
        <v>42248</v>
      </c>
      <c r="B65" s="18">
        <f>IF(VLOOKUP(A65,'DB Country PMI'!$A:$AZ,MATCH($A$1,'DB Country PMI'!$A$1:$AZ$1,),)=0,#N/A,VLOOKUP(A65,'DB Country PMI'!$A:$AZ,MATCH($A$1,'DB Country PMI'!$A$1:$AZ$1,),))</f>
        <v>46.9</v>
      </c>
      <c r="C65" s="24">
        <f>Table1346811121415161718192022253033[[#This Row],[PMI]]-B64</f>
        <v>0.79999999999999716</v>
      </c>
    </row>
    <row r="66" spans="1:3" x14ac:dyDescent="0.2">
      <c r="A66" s="10">
        <v>42278</v>
      </c>
      <c r="B66" s="18">
        <f>IF(VLOOKUP(A66,'DB Country PMI'!$A:$AZ,MATCH($A$1,'DB Country PMI'!$A$1:$AZ$1,),)=0,#N/A,VLOOKUP(A66,'DB Country PMI'!$A:$AZ,MATCH($A$1,'DB Country PMI'!$A$1:$AZ$1,),))</f>
        <v>47.8</v>
      </c>
      <c r="C66" s="24">
        <f>Table1346811121415161718192022253033[[#This Row],[PMI]]-B65</f>
        <v>0.89999999999999858</v>
      </c>
    </row>
    <row r="67" spans="1:3" x14ac:dyDescent="0.2">
      <c r="A67" s="10">
        <v>42309</v>
      </c>
      <c r="B67" s="18">
        <f>IF(VLOOKUP(A67,'DB Country PMI'!$A:$AZ,MATCH($A$1,'DB Country PMI'!$A$1:$AZ$1,),)=0,#N/A,VLOOKUP(A67,'DB Country PMI'!$A:$AZ,MATCH($A$1,'DB Country PMI'!$A$1:$AZ$1,),))</f>
        <v>49.5</v>
      </c>
      <c r="C67" s="24">
        <f>Table1346811121415161718192022253033[[#This Row],[PMI]]-B66</f>
        <v>1.7000000000000028</v>
      </c>
    </row>
    <row r="68" spans="1:3" x14ac:dyDescent="0.2">
      <c r="A68" s="10">
        <v>42339</v>
      </c>
      <c r="B68" s="18">
        <f>IF(VLOOKUP(A68,'DB Country PMI'!$A:$AZ,MATCH($A$1,'DB Country PMI'!$A$1:$AZ$1,),)=0,#N/A,VLOOKUP(A68,'DB Country PMI'!$A:$AZ,MATCH($A$1,'DB Country PMI'!$A$1:$AZ$1,),))</f>
        <v>51.7</v>
      </c>
      <c r="C68" s="24">
        <f>Table1346811121415161718192022253033[[#This Row],[PMI]]-B67</f>
        <v>2.2000000000000028</v>
      </c>
    </row>
    <row r="69" spans="1:3" x14ac:dyDescent="0.2">
      <c r="A69" s="10">
        <v>42370</v>
      </c>
      <c r="B69" s="18">
        <f>IF(VLOOKUP(A69,'DB Country PMI'!$A:$AZ,MATCH($A$1,'DB Country PMI'!$A$1:$AZ$1,),)=0,#N/A,VLOOKUP(A69,'DB Country PMI'!$A:$AZ,MATCH($A$1,'DB Country PMI'!$A$1:$AZ$1,),))</f>
        <v>50.6</v>
      </c>
      <c r="C69" s="24">
        <f>Table1346811121415161718192022253033[[#This Row],[PMI]]-B68</f>
        <v>-1.1000000000000014</v>
      </c>
    </row>
    <row r="70" spans="1:3" x14ac:dyDescent="0.2">
      <c r="A70" s="10">
        <v>42401</v>
      </c>
      <c r="B70" s="18">
        <f>IF(VLOOKUP(A70,'DB Country PMI'!$A:$AZ,MATCH($A$1,'DB Country PMI'!$A$1:$AZ$1,),)=0,#N/A,VLOOKUP(A70,'DB Country PMI'!$A:$AZ,MATCH($A$1,'DB Country PMI'!$A$1:$AZ$1,),))</f>
        <v>49.4</v>
      </c>
      <c r="C70" s="24">
        <f>Table1346811121415161718192022253033[[#This Row],[PMI]]-B69</f>
        <v>-1.2000000000000028</v>
      </c>
    </row>
    <row r="71" spans="1:3" x14ac:dyDescent="0.2">
      <c r="A71" s="10">
        <v>42430</v>
      </c>
      <c r="B71" s="18">
        <f>IF(VLOOKUP(A71,'DB Country PMI'!$A:$AZ,MATCH($A$1,'DB Country PMI'!$A$1:$AZ$1,),)=0,#N/A,VLOOKUP(A71,'DB Country PMI'!$A:$AZ,MATCH($A$1,'DB Country PMI'!$A$1:$AZ$1,),))</f>
        <v>51.1</v>
      </c>
      <c r="C71" s="24">
        <f>Table1346811121415161718192022253033[[#This Row],[PMI]]-B70</f>
        <v>1.7000000000000028</v>
      </c>
    </row>
    <row r="72" spans="1:3" x14ac:dyDescent="0.2">
      <c r="A72" s="10">
        <v>42461</v>
      </c>
      <c r="B72" s="18">
        <f>IF(VLOOKUP(A72,'DB Country PMI'!$A:$AZ,MATCH($A$1,'DB Country PMI'!$A$1:$AZ$1,),)=0,#N/A,VLOOKUP(A72,'DB Country PMI'!$A:$AZ,MATCH($A$1,'DB Country PMI'!$A$1:$AZ$1,),))</f>
        <v>49.7</v>
      </c>
      <c r="C72" s="24">
        <f>Table1346811121415161718192022253033[[#This Row],[PMI]]-B71</f>
        <v>-1.3999999999999986</v>
      </c>
    </row>
    <row r="73" spans="1:3" x14ac:dyDescent="0.2">
      <c r="A73" s="10">
        <v>42491</v>
      </c>
      <c r="B73" s="18">
        <f>IF(VLOOKUP(A73,'DB Country PMI'!$A:$AZ,MATCH($A$1,'DB Country PMI'!$A$1:$AZ$1,),)=0,#N/A,VLOOKUP(A73,'DB Country PMI'!$A:$AZ,MATCH($A$1,'DB Country PMI'!$A$1:$AZ$1,),))</f>
        <v>48.5</v>
      </c>
      <c r="C73" s="24">
        <f>Table1346811121415161718192022253033[[#This Row],[PMI]]-B72</f>
        <v>-1.2000000000000028</v>
      </c>
    </row>
    <row r="74" spans="1:3" x14ac:dyDescent="0.2">
      <c r="A74" s="10">
        <v>42522</v>
      </c>
      <c r="B74" s="18">
        <f>IF(VLOOKUP(A74,'DB Country PMI'!$A:$AZ,MATCH($A$1,'DB Country PMI'!$A$1:$AZ$1,),)=0,#N/A,VLOOKUP(A74,'DB Country PMI'!$A:$AZ,MATCH($A$1,'DB Country PMI'!$A$1:$AZ$1,),))</f>
        <v>50.5</v>
      </c>
      <c r="C74" s="24">
        <f>Table1346811121415161718192022253033[[#This Row],[PMI]]-B73</f>
        <v>2</v>
      </c>
    </row>
    <row r="75" spans="1:3" x14ac:dyDescent="0.2">
      <c r="A75" s="10">
        <v>42552</v>
      </c>
      <c r="B75" s="18">
        <f>IF(VLOOKUP(A75,'DB Country PMI'!$A:$AZ,MATCH($A$1,'DB Country PMI'!$A$1:$AZ$1,),)=0,#N/A,VLOOKUP(A75,'DB Country PMI'!$A:$AZ,MATCH($A$1,'DB Country PMI'!$A$1:$AZ$1,),))</f>
        <v>51</v>
      </c>
      <c r="C75" s="24">
        <f>Table1346811121415161718192022253033[[#This Row],[PMI]]-B74</f>
        <v>0.5</v>
      </c>
    </row>
    <row r="76" spans="1:3" x14ac:dyDescent="0.2">
      <c r="A76" s="10">
        <v>42583</v>
      </c>
      <c r="B76" s="18">
        <f>IF(VLOOKUP(A76,'DB Country PMI'!$A:$AZ,MATCH($A$1,'DB Country PMI'!$A$1:$AZ$1,),)=0,#N/A,VLOOKUP(A76,'DB Country PMI'!$A:$AZ,MATCH($A$1,'DB Country PMI'!$A$1:$AZ$1,),))</f>
        <v>51.8</v>
      </c>
      <c r="C76" s="24">
        <f>Table1346811121415161718192022253033[[#This Row],[PMI]]-B75</f>
        <v>0.79999999999999716</v>
      </c>
    </row>
    <row r="77" spans="1:3" x14ac:dyDescent="0.2">
      <c r="A77" s="10">
        <v>42614</v>
      </c>
      <c r="B77" s="18">
        <f>IF(VLOOKUP(A77,'DB Country PMI'!$A:$AZ,MATCH($A$1,'DB Country PMI'!$A$1:$AZ$1,),)=0,#N/A,VLOOKUP(A77,'DB Country PMI'!$A:$AZ,MATCH($A$1,'DB Country PMI'!$A$1:$AZ$1,),))</f>
        <v>52.2</v>
      </c>
      <c r="C77" s="24">
        <f>Table1346811121415161718192022253033[[#This Row],[PMI]]-B76</f>
        <v>0.40000000000000568</v>
      </c>
    </row>
    <row r="78" spans="1:3" x14ac:dyDescent="0.2">
      <c r="A78" s="10">
        <v>42644</v>
      </c>
      <c r="B78" s="18">
        <f>IF(VLOOKUP(A78,'DB Country PMI'!$A:$AZ,MATCH($A$1,'DB Country PMI'!$A$1:$AZ$1,),)=0,#N/A,VLOOKUP(A78,'DB Country PMI'!$A:$AZ,MATCH($A$1,'DB Country PMI'!$A$1:$AZ$1,),))</f>
        <v>52.7</v>
      </c>
      <c r="C78" s="24">
        <f>Table1346811121415161718192022253033[[#This Row],[PMI]]-B77</f>
        <v>0.5</v>
      </c>
    </row>
    <row r="79" spans="1:3" x14ac:dyDescent="0.2">
      <c r="A79" s="10">
        <v>42675</v>
      </c>
      <c r="B79" s="18">
        <f>IF(VLOOKUP(A79,'DB Country PMI'!$A:$AZ,MATCH($A$1,'DB Country PMI'!$A$1:$AZ$1,),)=0,#N/A,VLOOKUP(A79,'DB Country PMI'!$A:$AZ,MATCH($A$1,'DB Country PMI'!$A$1:$AZ$1,),))</f>
        <v>54.7</v>
      </c>
      <c r="C79" s="24">
        <f>Table1346811121415161718192022253033[[#This Row],[PMI]]-B78</f>
        <v>2</v>
      </c>
    </row>
    <row r="80" spans="1:3" x14ac:dyDescent="0.2">
      <c r="A80" s="10">
        <v>42705</v>
      </c>
      <c r="B80" s="18">
        <f>IF(VLOOKUP(A80,'DB Country PMI'!$A:$AZ,MATCH($A$1,'DB Country PMI'!$A$1:$AZ$1,),)=0,#N/A,VLOOKUP(A80,'DB Country PMI'!$A:$AZ,MATCH($A$1,'DB Country PMI'!$A$1:$AZ$1,),))</f>
        <v>56.2</v>
      </c>
      <c r="C80" s="24">
        <f>Table1346811121415161718192022253033[[#This Row],[PMI]]-B79</f>
        <v>1.5</v>
      </c>
    </row>
    <row r="81" spans="1:3" x14ac:dyDescent="0.2">
      <c r="A81" s="10">
        <v>42736</v>
      </c>
      <c r="B81" s="18">
        <f>IF(VLOOKUP(A81,'DB Country PMI'!$A:$AZ,MATCH($A$1,'DB Country PMI'!$A$1:$AZ$1,),)=0,#N/A,VLOOKUP(A81,'DB Country PMI'!$A:$AZ,MATCH($A$1,'DB Country PMI'!$A$1:$AZ$1,),))</f>
        <v>55.6</v>
      </c>
      <c r="C81" s="24">
        <f>Table1346811121415161718192022253033[[#This Row],[PMI]]-B80</f>
        <v>-0.60000000000000142</v>
      </c>
    </row>
    <row r="82" spans="1:3" x14ac:dyDescent="0.2">
      <c r="A82" s="10">
        <v>42767</v>
      </c>
      <c r="B82" s="18">
        <f>IF(VLOOKUP(A82,'DB Country PMI'!$A:$AZ,MATCH($A$1,'DB Country PMI'!$A$1:$AZ$1,),)=0,#N/A,VLOOKUP(A82,'DB Country PMI'!$A:$AZ,MATCH($A$1,'DB Country PMI'!$A$1:$AZ$1,),))</f>
        <v>54.5</v>
      </c>
      <c r="C82" s="24">
        <f>Table1346811121415161718192022253033[[#This Row],[PMI]]-B81</f>
        <v>-1.1000000000000014</v>
      </c>
    </row>
    <row r="83" spans="1:3" x14ac:dyDescent="0.2">
      <c r="A83" s="10">
        <v>42795</v>
      </c>
      <c r="B83" s="18">
        <f>IF(VLOOKUP(A83,'DB Country PMI'!$A:$AZ,MATCH($A$1,'DB Country PMI'!$A$1:$AZ$1,),)=0,#N/A,VLOOKUP(A83,'DB Country PMI'!$A:$AZ,MATCH($A$1,'DB Country PMI'!$A$1:$AZ$1,),))</f>
        <v>56.2</v>
      </c>
      <c r="C83" s="24">
        <f>Table1346811121415161718192022253033[[#This Row],[PMI]]-B82</f>
        <v>1.7000000000000028</v>
      </c>
    </row>
    <row r="84" spans="1:3" x14ac:dyDescent="0.2">
      <c r="A84" s="10">
        <v>42826</v>
      </c>
      <c r="B84" s="18">
        <f>IF(VLOOKUP(A84,'DB Country PMI'!$A:$AZ,MATCH($A$1,'DB Country PMI'!$A$1:$AZ$1,),)=0,#N/A,VLOOKUP(A84,'DB Country PMI'!$A:$AZ,MATCH($A$1,'DB Country PMI'!$A$1:$AZ$1,),))</f>
        <v>54.4</v>
      </c>
      <c r="C84" s="24">
        <f>Table1346811121415161718192022253033[[#This Row],[PMI]]-B83</f>
        <v>-1.8000000000000043</v>
      </c>
    </row>
    <row r="85" spans="1:3" x14ac:dyDescent="0.2">
      <c r="A85" s="10">
        <v>42856</v>
      </c>
      <c r="B85" s="18">
        <f>IF(VLOOKUP(A85,'DB Country PMI'!$A:$AZ,MATCH($A$1,'DB Country PMI'!$A$1:$AZ$1,),)=0,#N/A,VLOOKUP(A85,'DB Country PMI'!$A:$AZ,MATCH($A$1,'DB Country PMI'!$A$1:$AZ$1,),))</f>
        <v>53.1</v>
      </c>
      <c r="C85" s="24">
        <f>Table1346811121415161718192022253033[[#This Row],[PMI]]-B84</f>
        <v>-1.2999999999999972</v>
      </c>
    </row>
    <row r="86" spans="1:3" x14ac:dyDescent="0.2">
      <c r="A86" s="10">
        <v>42887</v>
      </c>
      <c r="B86" s="18">
        <f>IF(VLOOKUP(A86,'DB Country PMI'!$A:$AZ,MATCH($A$1,'DB Country PMI'!$A$1:$AZ$1,),)=0,#N/A,VLOOKUP(A86,'DB Country PMI'!$A:$AZ,MATCH($A$1,'DB Country PMI'!$A$1:$AZ$1,),))</f>
        <v>53.3</v>
      </c>
      <c r="C86" s="24">
        <f>Table1346811121415161718192022253033[[#This Row],[PMI]]-B85</f>
        <v>0.19999999999999574</v>
      </c>
    </row>
    <row r="87" spans="1:3" x14ac:dyDescent="0.2">
      <c r="A87" s="10">
        <v>42917</v>
      </c>
      <c r="B87" s="18">
        <f>IF(VLOOKUP(A87,'DB Country PMI'!$A:$AZ,MATCH($A$1,'DB Country PMI'!$A$1:$AZ$1,),)=0,#N/A,VLOOKUP(A87,'DB Country PMI'!$A:$AZ,MATCH($A$1,'DB Country PMI'!$A$1:$AZ$1,),))</f>
        <v>53.6</v>
      </c>
      <c r="C87" s="24">
        <f>Table1346811121415161718192022253033[[#This Row],[PMI]]-B86</f>
        <v>0.30000000000000426</v>
      </c>
    </row>
    <row r="88" spans="1:3" x14ac:dyDescent="0.2">
      <c r="A88" s="10">
        <v>42948</v>
      </c>
      <c r="B88" s="18">
        <f>IF(VLOOKUP(A88,'DB Country PMI'!$A:$AZ,MATCH($A$1,'DB Country PMI'!$A$1:$AZ$1,),)=0,#N/A,VLOOKUP(A88,'DB Country PMI'!$A:$AZ,MATCH($A$1,'DB Country PMI'!$A$1:$AZ$1,),))</f>
        <v>54.3</v>
      </c>
      <c r="C88" s="24">
        <f>Table1346811121415161718192022253033[[#This Row],[PMI]]-B87</f>
        <v>0.69999999999999574</v>
      </c>
    </row>
    <row r="89" spans="1:3" x14ac:dyDescent="0.2">
      <c r="A89" s="10">
        <v>42979</v>
      </c>
      <c r="B89" s="18">
        <f>IF(VLOOKUP(A89,'DB Country PMI'!$A:$AZ,MATCH($A$1,'DB Country PMI'!$A$1:$AZ$1,),)=0,#N/A,VLOOKUP(A89,'DB Country PMI'!$A:$AZ,MATCH($A$1,'DB Country PMI'!$A$1:$AZ$1,),))</f>
        <v>54.2</v>
      </c>
      <c r="C89" s="24">
        <f>Table1346811121415161718192022253033[[#This Row],[PMI]]-B88</f>
        <v>-9.9999999999994316E-2</v>
      </c>
    </row>
    <row r="90" spans="1:3" x14ac:dyDescent="0.2">
      <c r="A90" s="10">
        <v>43009</v>
      </c>
      <c r="B90" s="18">
        <f>IF(VLOOKUP(A90,'DB Country PMI'!$A:$AZ,MATCH($A$1,'DB Country PMI'!$A$1:$AZ$1,),)=0,#N/A,VLOOKUP(A90,'DB Country PMI'!$A:$AZ,MATCH($A$1,'DB Country PMI'!$A$1:$AZ$1,),))</f>
        <v>53.6</v>
      </c>
      <c r="C90" s="24">
        <f>Table1346811121415161718192022253033[[#This Row],[PMI]]-B89</f>
        <v>-0.60000000000000142</v>
      </c>
    </row>
    <row r="91" spans="1:3" x14ac:dyDescent="0.2">
      <c r="A91" s="10">
        <v>43040</v>
      </c>
      <c r="B91" s="18">
        <f>IF(VLOOKUP(A91,'DB Country PMI'!$A:$AZ,MATCH($A$1,'DB Country PMI'!$A$1:$AZ$1,),)=0,#N/A,VLOOKUP(A91,'DB Country PMI'!$A:$AZ,MATCH($A$1,'DB Country PMI'!$A$1:$AZ$1,),))</f>
        <v>56.3</v>
      </c>
      <c r="C91" s="24">
        <f>Table1346811121415161718192022253033[[#This Row],[PMI]]-B90</f>
        <v>2.6999999999999957</v>
      </c>
    </row>
    <row r="92" spans="1:3" x14ac:dyDescent="0.2">
      <c r="A92" s="10">
        <v>43070</v>
      </c>
      <c r="B92" s="18">
        <f>IF(VLOOKUP(A92,'DB Country PMI'!$A:$AZ,MATCH($A$1,'DB Country PMI'!$A$1:$AZ$1,),)=0,#N/A,VLOOKUP(A92,'DB Country PMI'!$A:$AZ,MATCH($A$1,'DB Country PMI'!$A$1:$AZ$1,),))</f>
        <v>56.6</v>
      </c>
      <c r="C92" s="24">
        <f>Table1346811121415161718192022253033[[#This Row],[PMI]]-B91</f>
        <v>0.30000000000000426</v>
      </c>
    </row>
    <row r="93" spans="1:3" x14ac:dyDescent="0.2">
      <c r="A93" s="10">
        <v>43101</v>
      </c>
      <c r="B93" s="18">
        <f>IF(VLOOKUP(A93,'DB Country PMI'!$A:$AZ,MATCH($A$1,'DB Country PMI'!$A$1:$AZ$1,),)=0,#N/A,VLOOKUP(A93,'DB Country PMI'!$A:$AZ,MATCH($A$1,'DB Country PMI'!$A$1:$AZ$1,),))</f>
        <v>56.9</v>
      </c>
      <c r="C93" s="24">
        <f>Table1346811121415161718192022253033[[#This Row],[PMI]]-B92</f>
        <v>0.29999999999999716</v>
      </c>
    </row>
    <row r="94" spans="1:3" x14ac:dyDescent="0.2">
      <c r="A94" s="10">
        <v>43132</v>
      </c>
      <c r="B94" s="18">
        <f>IF(VLOOKUP(A94,'DB Country PMI'!$A:$AZ,MATCH($A$1,'DB Country PMI'!$A$1:$AZ$1,),)=0,#N/A,VLOOKUP(A94,'DB Country PMI'!$A:$AZ,MATCH($A$1,'DB Country PMI'!$A$1:$AZ$1,),))</f>
        <v>56</v>
      </c>
      <c r="C94" s="24">
        <f>Table1346811121415161718192022253033[[#This Row],[PMI]]-B93</f>
        <v>-0.89999999999999858</v>
      </c>
    </row>
    <row r="95" spans="1:3" x14ac:dyDescent="0.2">
      <c r="A95" s="10">
        <v>43160</v>
      </c>
      <c r="B95" s="18">
        <f>IF(VLOOKUP(A95,'DB Country PMI'!$A:$AZ,MATCH($A$1,'DB Country PMI'!$A$1:$AZ$1,),)=0,#N/A,VLOOKUP(A95,'DB Country PMI'!$A:$AZ,MATCH($A$1,'DB Country PMI'!$A$1:$AZ$1,),))</f>
        <v>55.3</v>
      </c>
      <c r="C95" s="24">
        <f>Table1346811121415161718192022253033[[#This Row],[PMI]]-B94</f>
        <v>-0.70000000000000284</v>
      </c>
    </row>
    <row r="96" spans="1:3" x14ac:dyDescent="0.2">
      <c r="A96" s="10">
        <v>43191</v>
      </c>
      <c r="B96" s="18">
        <f>IF(VLOOKUP(A96,'DB Country PMI'!$A:$AZ,MATCH($A$1,'DB Country PMI'!$A$1:$AZ$1,),)=0,#N/A,VLOOKUP(A96,'DB Country PMI'!$A:$AZ,MATCH($A$1,'DB Country PMI'!$A$1:$AZ$1,),))</f>
        <v>54.8</v>
      </c>
      <c r="C96" s="24">
        <f>Table1346811121415161718192022253033[[#This Row],[PMI]]-B95</f>
        <v>-0.5</v>
      </c>
    </row>
    <row r="97" spans="1:3" x14ac:dyDescent="0.2">
      <c r="A97" s="10">
        <v>43221</v>
      </c>
      <c r="B97" s="18">
        <f>IF(VLOOKUP(A97,'DB Country PMI'!$A:$AZ,MATCH($A$1,'DB Country PMI'!$A$1:$AZ$1,),)=0,#N/A,VLOOKUP(A97,'DB Country PMI'!$A:$AZ,MATCH($A$1,'DB Country PMI'!$A$1:$AZ$1,),))</f>
        <v>53.4</v>
      </c>
      <c r="C97" s="24">
        <f>Table1346811121415161718192022253033[[#This Row],[PMI]]-B96</f>
        <v>-1.3999999999999986</v>
      </c>
    </row>
    <row r="98" spans="1:3" x14ac:dyDescent="0.2">
      <c r="A98" s="10">
        <v>43252</v>
      </c>
      <c r="B98" s="18">
        <f>IF(VLOOKUP(A98,'DB Country PMI'!$A:$AZ,MATCH($A$1,'DB Country PMI'!$A$1:$AZ$1,),)=0,#N/A,VLOOKUP(A98,'DB Country PMI'!$A:$AZ,MATCH($A$1,'DB Country PMI'!$A$1:$AZ$1,),))</f>
        <v>54.5</v>
      </c>
      <c r="C98" s="24">
        <f>Table1346811121415161718192022253033[[#This Row],[PMI]]-B97</f>
        <v>1.1000000000000014</v>
      </c>
    </row>
    <row r="99" spans="1:3" x14ac:dyDescent="0.2">
      <c r="A99" s="10">
        <v>43282</v>
      </c>
      <c r="B99" s="18">
        <f>IF(VLOOKUP(A99,'DB Country PMI'!$A:$AZ,MATCH($A$1,'DB Country PMI'!$A$1:$AZ$1,),)=0,#N/A,VLOOKUP(A99,'DB Country PMI'!$A:$AZ,MATCH($A$1,'DB Country PMI'!$A$1:$AZ$1,),))</f>
        <v>53.1</v>
      </c>
      <c r="C99" s="24">
        <f>Table1346811121415161718192022253033[[#This Row],[PMI]]-B98</f>
        <v>-1.3999999999999986</v>
      </c>
    </row>
    <row r="100" spans="1:3" x14ac:dyDescent="0.2">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2">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2">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2">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2">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2">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2">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2">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2">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2">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2">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2">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2">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2">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2">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2">
      <c r="A115" s="10">
        <v>43770</v>
      </c>
      <c r="B115" s="18">
        <f>IF(VLOOKUP(A115,'DB Country PMI'!$A:$AZ,MATCH($A$1,'DB Country PMI'!$A$1:$AZ$1,),)=0,#N/A,VLOOKUP(A115,'DB Country PMI'!$A:$AZ,MATCH($A$1,'DB Country PMI'!$A$1:$AZ$1,),))</f>
        <v>49.8</v>
      </c>
      <c r="C115" s="24">
        <f>Table1346811121415161718192022253033[[#This Row],[PMI]]-B114</f>
        <v>0</v>
      </c>
    </row>
    <row r="116" spans="1:3" x14ac:dyDescent="0.2">
      <c r="A116" s="10">
        <v>43800</v>
      </c>
      <c r="B116" s="18">
        <f>IF(VLOOKUP(A116,'DB Country PMI'!$A:$AZ,MATCH($A$1,'DB Country PMI'!$A$1:$AZ$1,),)=0,#N/A,VLOOKUP(A116,'DB Country PMI'!$A:$AZ,MATCH($A$1,'DB Country PMI'!$A$1:$AZ$1,),))</f>
        <v>50.8</v>
      </c>
      <c r="C116" s="24">
        <f>Table1346811121415161718192022253033[[#This Row],[PMI]]-B115</f>
        <v>1</v>
      </c>
    </row>
    <row r="117" spans="1:3" x14ac:dyDescent="0.2">
      <c r="A117" s="10">
        <v>43831</v>
      </c>
      <c r="B117" s="18">
        <f>IF(VLOOKUP(A117,'DB Country PMI'!$A:$AZ,MATCH($A$1,'DB Country PMI'!$A$1:$AZ$1,),)=0,#N/A,VLOOKUP(A117,'DB Country PMI'!$A:$AZ,MATCH($A$1,'DB Country PMI'!$A$1:$AZ$1,),))</f>
        <v>51.8</v>
      </c>
      <c r="C117" s="24">
        <f>Table1346811121415161718192022253033[[#This Row],[PMI]]-B116</f>
        <v>1</v>
      </c>
    </row>
    <row r="118" spans="1:3" x14ac:dyDescent="0.2">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2">
      <c r="A119" s="10">
        <v>43891</v>
      </c>
      <c r="B119" s="18">
        <f>IF(VLOOKUP(A119,'DB Country PMI'!$A:$AZ,MATCH($A$1,'DB Country PMI'!$A$1:$AZ$1,),)=0,#N/A,VLOOKUP(A119,'DB Country PMI'!$A:$AZ,MATCH($A$1,'DB Country PMI'!$A$1:$AZ$1,),))</f>
        <v>50.4</v>
      </c>
      <c r="C119" s="24">
        <f>Table1346811121415161718192022253033[[#This Row],[PMI]]-B118</f>
        <v>0.5</v>
      </c>
    </row>
    <row r="120" spans="1:3" x14ac:dyDescent="0.2">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2">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2">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2">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2">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2">
      <c r="A125" s="10">
        <v>44075</v>
      </c>
      <c r="B125" s="18">
        <f>IF(VLOOKUP(A125,'DB Country PMI'!$A:$AZ,MATCH($A$1,'DB Country PMI'!$A$1:$AZ$1,),)=0,#N/A,VLOOKUP(A125,'DB Country PMI'!$A:$AZ,MATCH($A$1,'DB Country PMI'!$A$1:$AZ$1,),))</f>
        <v>55.2</v>
      </c>
      <c r="C125" s="24">
        <f>Table1346811121415161718192022253033[[#This Row],[PMI]]-B124</f>
        <v>3</v>
      </c>
    </row>
    <row r="126" spans="1:3" x14ac:dyDescent="0.2">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2">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2">
      <c r="A128" s="10">
        <v>44166</v>
      </c>
      <c r="B128" s="18">
        <f>IF(VLOOKUP(A128,'DB Country PMI'!$A:$AZ,MATCH($A$1,'DB Country PMI'!$A$1:$AZ$1,),)=0,#N/A,VLOOKUP(A128,'DB Country PMI'!$A:$AZ,MATCH($A$1,'DB Country PMI'!$A$1:$AZ$1,),))</f>
        <v>59.4</v>
      </c>
      <c r="C128" s="24">
        <f>Table1346811121415161718192022253033[[#This Row],[PMI]]-B127</f>
        <v>2.5</v>
      </c>
    </row>
    <row r="129" spans="1:3" x14ac:dyDescent="0.2">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2">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2">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2">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2">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2">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2">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2">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2">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2">
      <c r="A138" s="10">
        <v>44470</v>
      </c>
      <c r="B138" s="18">
        <f>IF(VLOOKUP(A138,'DB Country PMI'!$A:$AZ,MATCH($A$1,'DB Country PMI'!$A$1:$AZ$1,),)=0,#N/A,VLOOKUP(A138,'DB Country PMI'!$A:$AZ,MATCH($A$1,'DB Country PMI'!$A$1:$AZ$1,),))</f>
        <v>55.2</v>
      </c>
      <c r="C138" s="24">
        <f>Table1346811121415161718192022253033[[#This Row],[PMI]]-B137</f>
        <v>0.5</v>
      </c>
    </row>
    <row r="139" spans="1:3" x14ac:dyDescent="0.2">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2">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2">
      <c r="A141" s="10">
        <v>44562</v>
      </c>
      <c r="B141" s="18">
        <f>IF(VLOOKUP(A141,'DB Country PMI'!$A:$AZ,MATCH($A$1,'DB Country PMI'!$A$1:$AZ$1,),)=0,#N/A,VLOOKUP(A141,'DB Country PMI'!$A:$AZ,MATCH($A$1,'DB Country PMI'!$A$1:$AZ$1,),))</f>
        <v>55.1</v>
      </c>
      <c r="C141" s="24">
        <f>Table1346811121415161718192022253033[[#This Row],[PMI]]-B140</f>
        <v>-0.39999999999999858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1"/>
  <sheetViews>
    <sheetView zoomScale="160" zoomScaleNormal="160" workbookViewId="0">
      <pane ySplit="5" topLeftCell="A104" activePane="bottomLeft" state="frozen"/>
      <selection pane="bottomLeft" activeCell="U118" sqref="U118"/>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38</v>
      </c>
      <c r="K1" s="63" t="s">
        <v>107</v>
      </c>
    </row>
    <row r="2" spans="1:11" x14ac:dyDescent="0.2">
      <c r="K2" s="63" t="str">
        <f>A1&amp;K1</f>
        <v>Greece Manufacturing PMI</v>
      </c>
    </row>
    <row r="4" spans="1:11" ht="16" customHeight="1" thickBot="1" x14ac:dyDescent="0.25"/>
    <row r="5" spans="1:11" ht="16" customHeight="1" thickBot="1" x14ac:dyDescent="0.25">
      <c r="A5" s="21" t="s">
        <v>44</v>
      </c>
      <c r="B5" s="22" t="s">
        <v>103</v>
      </c>
      <c r="C5" s="22" t="s">
        <v>104</v>
      </c>
    </row>
    <row r="6" spans="1:11" x14ac:dyDescent="0.2">
      <c r="A6" s="17">
        <v>40482</v>
      </c>
      <c r="B6" s="18">
        <f>IF(VLOOKUP(A6,'DB Country PMI'!$A:$AZ,MATCH($A$1,'DB Country PMI'!$A$1:$AZ$1,),)=0,#N/A,VLOOKUP(A6,'DB Country PMI'!$A:$AZ,MATCH($A$1,'DB Country PMI'!$A$1:$AZ$1,),))</f>
        <v>43.6</v>
      </c>
      <c r="C6" s="18"/>
    </row>
    <row r="7" spans="1:11" x14ac:dyDescent="0.2">
      <c r="A7" s="10">
        <v>40483</v>
      </c>
      <c r="B7" s="18">
        <f>IF(VLOOKUP(A7,'DB Country PMI'!$A:$AZ,MATCH($A$1,'DB Country PMI'!$A$1:$AZ$1,),)=0,#N/A,VLOOKUP(A7,'DB Country PMI'!$A:$AZ,MATCH($A$1,'DB Country PMI'!$A$1:$AZ$1,),))</f>
        <v>43.9</v>
      </c>
      <c r="C7" s="24">
        <f>Table134681112141516171819[[#This Row],[PMI]]-B6</f>
        <v>0.29999999999999716</v>
      </c>
    </row>
    <row r="8" spans="1:11" x14ac:dyDescent="0.2">
      <c r="A8" s="10">
        <v>40513</v>
      </c>
      <c r="B8" s="18">
        <f>IF(VLOOKUP(A8,'DB Country PMI'!$A:$AZ,MATCH($A$1,'DB Country PMI'!$A$1:$AZ$1,),)=0,#N/A,VLOOKUP(A8,'DB Country PMI'!$A:$AZ,MATCH($A$1,'DB Country PMI'!$A$1:$AZ$1,),))</f>
        <v>43.1</v>
      </c>
      <c r="C8" s="24">
        <f>Table134681112141516171819[[#This Row],[PMI]]-B7</f>
        <v>-0.79999999999999716</v>
      </c>
    </row>
    <row r="9" spans="1:11" x14ac:dyDescent="0.2">
      <c r="A9" s="10">
        <v>40544</v>
      </c>
      <c r="B9" s="18">
        <f>IF(VLOOKUP(A9,'DB Country PMI'!$A:$AZ,MATCH($A$1,'DB Country PMI'!$A$1:$AZ$1,),)=0,#N/A,VLOOKUP(A9,'DB Country PMI'!$A:$AZ,MATCH($A$1,'DB Country PMI'!$A$1:$AZ$1,),))</f>
        <v>42.8</v>
      </c>
      <c r="C9" s="24">
        <f>Table134681112141516171819[[#This Row],[PMI]]-B8</f>
        <v>-0.30000000000000426</v>
      </c>
    </row>
    <row r="10" spans="1:11" x14ac:dyDescent="0.2">
      <c r="A10" s="10">
        <v>40575</v>
      </c>
      <c r="B10" s="18">
        <f>IF(VLOOKUP(A10,'DB Country PMI'!$A:$AZ,MATCH($A$1,'DB Country PMI'!$A$1:$AZ$1,),)=0,#N/A,VLOOKUP(A10,'DB Country PMI'!$A:$AZ,MATCH($A$1,'DB Country PMI'!$A$1:$AZ$1,),))</f>
        <v>43.8</v>
      </c>
      <c r="C10" s="24">
        <f>Table134681112141516171819[[#This Row],[PMI]]-B9</f>
        <v>1</v>
      </c>
    </row>
    <row r="11" spans="1:11" x14ac:dyDescent="0.2">
      <c r="A11" s="10">
        <v>40603</v>
      </c>
      <c r="B11" s="18">
        <f>IF(VLOOKUP(A11,'DB Country PMI'!$A:$AZ,MATCH($A$1,'DB Country PMI'!$A$1:$AZ$1,),)=0,#N/A,VLOOKUP(A11,'DB Country PMI'!$A:$AZ,MATCH($A$1,'DB Country PMI'!$A$1:$AZ$1,),))</f>
        <v>45.4</v>
      </c>
      <c r="C11" s="24">
        <f>Table134681112141516171819[[#This Row],[PMI]]-B10</f>
        <v>1.6000000000000014</v>
      </c>
    </row>
    <row r="12" spans="1:11" x14ac:dyDescent="0.2">
      <c r="A12" s="10">
        <v>40634</v>
      </c>
      <c r="B12" s="18">
        <f>IF(VLOOKUP(A12,'DB Country PMI'!$A:$AZ,MATCH($A$1,'DB Country PMI'!$A$1:$AZ$1,),)=0,#N/A,VLOOKUP(A12,'DB Country PMI'!$A:$AZ,MATCH($A$1,'DB Country PMI'!$A$1:$AZ$1,),))</f>
        <v>46.8</v>
      </c>
      <c r="C12" s="24">
        <f>Table134681112141516171819[[#This Row],[PMI]]-B11</f>
        <v>1.3999999999999986</v>
      </c>
    </row>
    <row r="13" spans="1:11" x14ac:dyDescent="0.2">
      <c r="A13" s="10">
        <v>40664</v>
      </c>
      <c r="B13" s="18">
        <f>IF(VLOOKUP(A13,'DB Country PMI'!$A:$AZ,MATCH($A$1,'DB Country PMI'!$A$1:$AZ$1,),)=0,#N/A,VLOOKUP(A13,'DB Country PMI'!$A:$AZ,MATCH($A$1,'DB Country PMI'!$A$1:$AZ$1,),))</f>
        <v>44.5</v>
      </c>
      <c r="C13" s="24">
        <f>Table134681112141516171819[[#This Row],[PMI]]-B12</f>
        <v>-2.2999999999999972</v>
      </c>
    </row>
    <row r="14" spans="1:11" x14ac:dyDescent="0.2">
      <c r="A14" s="10">
        <v>40695</v>
      </c>
      <c r="B14" s="18">
        <f>IF(VLOOKUP(A14,'DB Country PMI'!$A:$AZ,MATCH($A$1,'DB Country PMI'!$A$1:$AZ$1,),)=0,#N/A,VLOOKUP(A14,'DB Country PMI'!$A:$AZ,MATCH($A$1,'DB Country PMI'!$A$1:$AZ$1,),))</f>
        <v>45.5</v>
      </c>
      <c r="C14" s="24">
        <f>Table134681112141516171819[[#This Row],[PMI]]-B13</f>
        <v>1</v>
      </c>
    </row>
    <row r="15" spans="1:11" x14ac:dyDescent="0.2">
      <c r="A15" s="10">
        <v>40725</v>
      </c>
      <c r="B15" s="18">
        <f>IF(VLOOKUP(A15,'DB Country PMI'!$A:$AZ,MATCH($A$1,'DB Country PMI'!$A$1:$AZ$1,),)=0,#N/A,VLOOKUP(A15,'DB Country PMI'!$A:$AZ,MATCH($A$1,'DB Country PMI'!$A$1:$AZ$1,),))</f>
        <v>45.2</v>
      </c>
      <c r="C15" s="24">
        <f>Table134681112141516171819[[#This Row],[PMI]]-B14</f>
        <v>-0.29999999999999716</v>
      </c>
    </row>
    <row r="16" spans="1:11" x14ac:dyDescent="0.2">
      <c r="A16" s="10">
        <v>40756</v>
      </c>
      <c r="B16" s="18">
        <f>IF(VLOOKUP(A16,'DB Country PMI'!$A:$AZ,MATCH($A$1,'DB Country PMI'!$A$1:$AZ$1,),)=0,#N/A,VLOOKUP(A16,'DB Country PMI'!$A:$AZ,MATCH($A$1,'DB Country PMI'!$A$1:$AZ$1,),))</f>
        <v>43.3</v>
      </c>
      <c r="C16" s="24">
        <f>Table134681112141516171819[[#This Row],[PMI]]-B15</f>
        <v>-1.9000000000000057</v>
      </c>
    </row>
    <row r="17" spans="1:3" x14ac:dyDescent="0.2">
      <c r="A17" s="10">
        <v>40787</v>
      </c>
      <c r="B17" s="18">
        <f>IF(VLOOKUP(A17,'DB Country PMI'!$A:$AZ,MATCH($A$1,'DB Country PMI'!$A$1:$AZ$1,),)=0,#N/A,VLOOKUP(A17,'DB Country PMI'!$A:$AZ,MATCH($A$1,'DB Country PMI'!$A$1:$AZ$1,),))</f>
        <v>43.2</v>
      </c>
      <c r="C17" s="24">
        <f>Table134681112141516171819[[#This Row],[PMI]]-B16</f>
        <v>-9.9999999999994316E-2</v>
      </c>
    </row>
    <row r="18" spans="1:3" x14ac:dyDescent="0.2">
      <c r="A18" s="10">
        <v>40817</v>
      </c>
      <c r="B18" s="18">
        <f>IF(VLOOKUP(A18,'DB Country PMI'!$A:$AZ,MATCH($A$1,'DB Country PMI'!$A$1:$AZ$1,),)=0,#N/A,VLOOKUP(A18,'DB Country PMI'!$A:$AZ,MATCH($A$1,'DB Country PMI'!$A$1:$AZ$1,),))</f>
        <v>40.5</v>
      </c>
      <c r="C18" s="24">
        <f>Table134681112141516171819[[#This Row],[PMI]]-B17</f>
        <v>-2.7000000000000028</v>
      </c>
    </row>
    <row r="19" spans="1:3" x14ac:dyDescent="0.2">
      <c r="A19" s="10">
        <v>40848</v>
      </c>
      <c r="B19" s="18">
        <f>IF(VLOOKUP(A19,'DB Country PMI'!$A:$AZ,MATCH($A$1,'DB Country PMI'!$A$1:$AZ$1,),)=0,#N/A,VLOOKUP(A19,'DB Country PMI'!$A:$AZ,MATCH($A$1,'DB Country PMI'!$A$1:$AZ$1,),))</f>
        <v>40.9</v>
      </c>
      <c r="C19" s="24">
        <f>Table134681112141516171819[[#This Row],[PMI]]-B18</f>
        <v>0.39999999999999858</v>
      </c>
    </row>
    <row r="20" spans="1:3" x14ac:dyDescent="0.2">
      <c r="A20" s="10">
        <v>40878</v>
      </c>
      <c r="B20" s="18">
        <f>IF(VLOOKUP(A20,'DB Country PMI'!$A:$AZ,MATCH($A$1,'DB Country PMI'!$A$1:$AZ$1,),)=0,#N/A,VLOOKUP(A20,'DB Country PMI'!$A:$AZ,MATCH($A$1,'DB Country PMI'!$A$1:$AZ$1,),))</f>
        <v>42</v>
      </c>
      <c r="C20" s="24">
        <f>Table134681112141516171819[[#This Row],[PMI]]-B19</f>
        <v>1.1000000000000014</v>
      </c>
    </row>
    <row r="21" spans="1:3" x14ac:dyDescent="0.2">
      <c r="A21" s="10">
        <v>40909</v>
      </c>
      <c r="B21" s="18">
        <f>IF(VLOOKUP(A21,'DB Country PMI'!$A:$AZ,MATCH($A$1,'DB Country PMI'!$A$1:$AZ$1,),)=0,#N/A,VLOOKUP(A21,'DB Country PMI'!$A:$AZ,MATCH($A$1,'DB Country PMI'!$A$1:$AZ$1,),))</f>
        <v>41</v>
      </c>
      <c r="C21" s="24">
        <f>Table134681112141516171819[[#This Row],[PMI]]-B20</f>
        <v>-1</v>
      </c>
    </row>
    <row r="22" spans="1:3" x14ac:dyDescent="0.2">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2">
      <c r="A23" s="10">
        <v>40969</v>
      </c>
      <c r="B23" s="18">
        <f>IF(VLOOKUP(A23,'DB Country PMI'!$A:$AZ,MATCH($A$1,'DB Country PMI'!$A$1:$AZ$1,),)=0,#N/A,VLOOKUP(A23,'DB Country PMI'!$A:$AZ,MATCH($A$1,'DB Country PMI'!$A$1:$AZ$1,),))</f>
        <v>41.3</v>
      </c>
      <c r="C23" s="24">
        <f>Table134681112141516171819[[#This Row],[PMI]]-B22</f>
        <v>3.5999999999999943</v>
      </c>
    </row>
    <row r="24" spans="1:3" x14ac:dyDescent="0.2">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2">
      <c r="A25" s="10">
        <v>41030</v>
      </c>
      <c r="B25" s="18">
        <f>IF(VLOOKUP(A25,'DB Country PMI'!$A:$AZ,MATCH($A$1,'DB Country PMI'!$A$1:$AZ$1,),)=0,#N/A,VLOOKUP(A25,'DB Country PMI'!$A:$AZ,MATCH($A$1,'DB Country PMI'!$A$1:$AZ$1,),))</f>
        <v>43.1</v>
      </c>
      <c r="C25" s="24">
        <f>Table134681112141516171819[[#This Row],[PMI]]-B24</f>
        <v>2.3999999999999986</v>
      </c>
    </row>
    <row r="26" spans="1:3" x14ac:dyDescent="0.2">
      <c r="A26" s="10">
        <v>41061</v>
      </c>
      <c r="B26" s="18">
        <f>IF(VLOOKUP(A26,'DB Country PMI'!$A:$AZ,MATCH($A$1,'DB Country PMI'!$A$1:$AZ$1,),)=0,#N/A,VLOOKUP(A26,'DB Country PMI'!$A:$AZ,MATCH($A$1,'DB Country PMI'!$A$1:$AZ$1,),))</f>
        <v>40.1</v>
      </c>
      <c r="C26" s="24">
        <f>Table134681112141516171819[[#This Row],[PMI]]-B25</f>
        <v>-3</v>
      </c>
    </row>
    <row r="27" spans="1:3" x14ac:dyDescent="0.2">
      <c r="A27" s="10">
        <v>41091</v>
      </c>
      <c r="B27" s="18">
        <f>IF(VLOOKUP(A27,'DB Country PMI'!$A:$AZ,MATCH($A$1,'DB Country PMI'!$A$1:$AZ$1,),)=0,#N/A,VLOOKUP(A27,'DB Country PMI'!$A:$AZ,MATCH($A$1,'DB Country PMI'!$A$1:$AZ$1,),))</f>
        <v>41.9</v>
      </c>
      <c r="C27" s="24">
        <f>Table134681112141516171819[[#This Row],[PMI]]-B26</f>
        <v>1.7999999999999972</v>
      </c>
    </row>
    <row r="28" spans="1:3" x14ac:dyDescent="0.2">
      <c r="A28" s="10">
        <v>41122</v>
      </c>
      <c r="B28" s="18">
        <f>IF(VLOOKUP(A28,'DB Country PMI'!$A:$AZ,MATCH($A$1,'DB Country PMI'!$A$1:$AZ$1,),)=0,#N/A,VLOOKUP(A28,'DB Country PMI'!$A:$AZ,MATCH($A$1,'DB Country PMI'!$A$1:$AZ$1,),))</f>
        <v>42.1</v>
      </c>
      <c r="C28" s="24">
        <f>Table134681112141516171819[[#This Row],[PMI]]-B27</f>
        <v>0.20000000000000284</v>
      </c>
    </row>
    <row r="29" spans="1:3" x14ac:dyDescent="0.2">
      <c r="A29" s="10">
        <v>41153</v>
      </c>
      <c r="B29" s="18">
        <f>IF(VLOOKUP(A29,'DB Country PMI'!$A:$AZ,MATCH($A$1,'DB Country PMI'!$A$1:$AZ$1,),)=0,#N/A,VLOOKUP(A29,'DB Country PMI'!$A:$AZ,MATCH($A$1,'DB Country PMI'!$A$1:$AZ$1,),))</f>
        <v>42.2</v>
      </c>
      <c r="C29" s="24">
        <f>Table134681112141516171819[[#This Row],[PMI]]-B28</f>
        <v>0.10000000000000142</v>
      </c>
    </row>
    <row r="30" spans="1:3" x14ac:dyDescent="0.2">
      <c r="A30" s="10">
        <v>41183</v>
      </c>
      <c r="B30" s="18">
        <f>IF(VLOOKUP(A30,'DB Country PMI'!$A:$AZ,MATCH($A$1,'DB Country PMI'!$A$1:$AZ$1,),)=0,#N/A,VLOOKUP(A30,'DB Country PMI'!$A:$AZ,MATCH($A$1,'DB Country PMI'!$A$1:$AZ$1,),))</f>
        <v>41</v>
      </c>
      <c r="C30" s="24">
        <f>Table134681112141516171819[[#This Row],[PMI]]-B29</f>
        <v>-1.2000000000000028</v>
      </c>
    </row>
    <row r="31" spans="1:3" x14ac:dyDescent="0.2">
      <c r="A31" s="10">
        <v>41214</v>
      </c>
      <c r="B31" s="18">
        <f>IF(VLOOKUP(A31,'DB Country PMI'!$A:$AZ,MATCH($A$1,'DB Country PMI'!$A$1:$AZ$1,),)=0,#N/A,VLOOKUP(A31,'DB Country PMI'!$A:$AZ,MATCH($A$1,'DB Country PMI'!$A$1:$AZ$1,),))</f>
        <v>41.8</v>
      </c>
      <c r="C31" s="24">
        <f>Table134681112141516171819[[#This Row],[PMI]]-B30</f>
        <v>0.79999999999999716</v>
      </c>
    </row>
    <row r="32" spans="1:3" x14ac:dyDescent="0.2">
      <c r="A32" s="10">
        <v>41244</v>
      </c>
      <c r="B32" s="18">
        <f>IF(VLOOKUP(A32,'DB Country PMI'!$A:$AZ,MATCH($A$1,'DB Country PMI'!$A$1:$AZ$1,),)=0,#N/A,VLOOKUP(A32,'DB Country PMI'!$A:$AZ,MATCH($A$1,'DB Country PMI'!$A$1:$AZ$1,),))</f>
        <v>41.4</v>
      </c>
      <c r="C32" s="24">
        <f>Table134681112141516171819[[#This Row],[PMI]]-B31</f>
        <v>-0.39999999999999858</v>
      </c>
    </row>
    <row r="33" spans="1:3" x14ac:dyDescent="0.2">
      <c r="A33" s="10">
        <v>41275</v>
      </c>
      <c r="B33" s="18">
        <f>IF(VLOOKUP(A33,'DB Country PMI'!$A:$AZ,MATCH($A$1,'DB Country PMI'!$A$1:$AZ$1,),)=0,#N/A,VLOOKUP(A33,'DB Country PMI'!$A:$AZ,MATCH($A$1,'DB Country PMI'!$A$1:$AZ$1,),))</f>
        <v>41.7</v>
      </c>
      <c r="C33" s="24">
        <f>Table134681112141516171819[[#This Row],[PMI]]-B32</f>
        <v>0.30000000000000426</v>
      </c>
    </row>
    <row r="34" spans="1:3" x14ac:dyDescent="0.2">
      <c r="A34" s="10">
        <v>41306</v>
      </c>
      <c r="B34" s="18">
        <f>IF(VLOOKUP(A34,'DB Country PMI'!$A:$AZ,MATCH($A$1,'DB Country PMI'!$A$1:$AZ$1,),)=0,#N/A,VLOOKUP(A34,'DB Country PMI'!$A:$AZ,MATCH($A$1,'DB Country PMI'!$A$1:$AZ$1,),))</f>
        <v>43</v>
      </c>
      <c r="C34" s="24">
        <f>Table134681112141516171819[[#This Row],[PMI]]-B33</f>
        <v>1.2999999999999972</v>
      </c>
    </row>
    <row r="35" spans="1:3" x14ac:dyDescent="0.2">
      <c r="A35" s="10">
        <v>41334</v>
      </c>
      <c r="B35" s="18">
        <f>IF(VLOOKUP(A35,'DB Country PMI'!$A:$AZ,MATCH($A$1,'DB Country PMI'!$A$1:$AZ$1,),)=0,#N/A,VLOOKUP(A35,'DB Country PMI'!$A:$AZ,MATCH($A$1,'DB Country PMI'!$A$1:$AZ$1,),))</f>
        <v>42.1</v>
      </c>
      <c r="C35" s="24">
        <f>Table134681112141516171819[[#This Row],[PMI]]-B34</f>
        <v>-0.89999999999999858</v>
      </c>
    </row>
    <row r="36" spans="1:3" x14ac:dyDescent="0.2">
      <c r="A36" s="10">
        <v>41365</v>
      </c>
      <c r="B36" s="18">
        <f>IF(VLOOKUP(A36,'DB Country PMI'!$A:$AZ,MATCH($A$1,'DB Country PMI'!$A$1:$AZ$1,),)=0,#N/A,VLOOKUP(A36,'DB Country PMI'!$A:$AZ,MATCH($A$1,'DB Country PMI'!$A$1:$AZ$1,),))</f>
        <v>45</v>
      </c>
      <c r="C36" s="24">
        <f>Table134681112141516171819[[#This Row],[PMI]]-B35</f>
        <v>2.8999999999999986</v>
      </c>
    </row>
    <row r="37" spans="1:3" x14ac:dyDescent="0.2">
      <c r="A37" s="10">
        <v>41395</v>
      </c>
      <c r="B37" s="18">
        <f>IF(VLOOKUP(A37,'DB Country PMI'!$A:$AZ,MATCH($A$1,'DB Country PMI'!$A$1:$AZ$1,),)=0,#N/A,VLOOKUP(A37,'DB Country PMI'!$A:$AZ,MATCH($A$1,'DB Country PMI'!$A$1:$AZ$1,),))</f>
        <v>45.3</v>
      </c>
      <c r="C37" s="24">
        <f>Table134681112141516171819[[#This Row],[PMI]]-B36</f>
        <v>0.29999999999999716</v>
      </c>
    </row>
    <row r="38" spans="1:3" x14ac:dyDescent="0.2">
      <c r="A38" s="10">
        <v>41426</v>
      </c>
      <c r="B38" s="18">
        <f>IF(VLOOKUP(A38,'DB Country PMI'!$A:$AZ,MATCH($A$1,'DB Country PMI'!$A$1:$AZ$1,),)=0,#N/A,VLOOKUP(A38,'DB Country PMI'!$A:$AZ,MATCH($A$1,'DB Country PMI'!$A$1:$AZ$1,),))</f>
        <v>45.4</v>
      </c>
      <c r="C38" s="24">
        <f>Table134681112141516171819[[#This Row],[PMI]]-B37</f>
        <v>0.10000000000000142</v>
      </c>
    </row>
    <row r="39" spans="1:3" x14ac:dyDescent="0.2">
      <c r="A39" s="10">
        <v>41456</v>
      </c>
      <c r="B39" s="18">
        <f>IF(VLOOKUP(A39,'DB Country PMI'!$A:$AZ,MATCH($A$1,'DB Country PMI'!$A$1:$AZ$1,),)=0,#N/A,VLOOKUP(A39,'DB Country PMI'!$A:$AZ,MATCH($A$1,'DB Country PMI'!$A$1:$AZ$1,),))</f>
        <v>47</v>
      </c>
      <c r="C39" s="24">
        <f>Table134681112141516171819[[#This Row],[PMI]]-B38</f>
        <v>1.6000000000000014</v>
      </c>
    </row>
    <row r="40" spans="1:3" x14ac:dyDescent="0.2">
      <c r="A40" s="10">
        <v>41487</v>
      </c>
      <c r="B40" s="18">
        <f>IF(VLOOKUP(A40,'DB Country PMI'!$A:$AZ,MATCH($A$1,'DB Country PMI'!$A$1:$AZ$1,),)=0,#N/A,VLOOKUP(A40,'DB Country PMI'!$A:$AZ,MATCH($A$1,'DB Country PMI'!$A$1:$AZ$1,),))</f>
        <v>48.7</v>
      </c>
      <c r="C40" s="24">
        <f>Table134681112141516171819[[#This Row],[PMI]]-B39</f>
        <v>1.7000000000000028</v>
      </c>
    </row>
    <row r="41" spans="1:3" x14ac:dyDescent="0.2">
      <c r="A41" s="10">
        <v>41518</v>
      </c>
      <c r="B41" s="18">
        <f>IF(VLOOKUP(A41,'DB Country PMI'!$A:$AZ,MATCH($A$1,'DB Country PMI'!$A$1:$AZ$1,),)=0,#N/A,VLOOKUP(A41,'DB Country PMI'!$A:$AZ,MATCH($A$1,'DB Country PMI'!$A$1:$AZ$1,),))</f>
        <v>47.5</v>
      </c>
      <c r="C41" s="24">
        <f>Table134681112141516171819[[#This Row],[PMI]]-B40</f>
        <v>-1.2000000000000028</v>
      </c>
    </row>
    <row r="42" spans="1:3" x14ac:dyDescent="0.2">
      <c r="A42" s="10">
        <v>41548</v>
      </c>
      <c r="B42" s="18">
        <f>IF(VLOOKUP(A42,'DB Country PMI'!$A:$AZ,MATCH($A$1,'DB Country PMI'!$A$1:$AZ$1,),)=0,#N/A,VLOOKUP(A42,'DB Country PMI'!$A:$AZ,MATCH($A$1,'DB Country PMI'!$A$1:$AZ$1,),))</f>
        <v>47.3</v>
      </c>
      <c r="C42" s="24">
        <f>Table134681112141516171819[[#This Row],[PMI]]-B41</f>
        <v>-0.20000000000000284</v>
      </c>
    </row>
    <row r="43" spans="1:3" x14ac:dyDescent="0.2">
      <c r="A43" s="10">
        <v>41579</v>
      </c>
      <c r="B43" s="18">
        <f>IF(VLOOKUP(A43,'DB Country PMI'!$A:$AZ,MATCH($A$1,'DB Country PMI'!$A$1:$AZ$1,),)=0,#N/A,VLOOKUP(A43,'DB Country PMI'!$A:$AZ,MATCH($A$1,'DB Country PMI'!$A$1:$AZ$1,),))</f>
        <v>49.2</v>
      </c>
      <c r="C43" s="24">
        <f>Table134681112141516171819[[#This Row],[PMI]]-B42</f>
        <v>1.9000000000000057</v>
      </c>
    </row>
    <row r="44" spans="1:3" x14ac:dyDescent="0.2">
      <c r="A44" s="10">
        <v>41609</v>
      </c>
      <c r="B44" s="18">
        <f>IF(VLOOKUP(A44,'DB Country PMI'!$A:$AZ,MATCH($A$1,'DB Country PMI'!$A$1:$AZ$1,),)=0,#N/A,VLOOKUP(A44,'DB Country PMI'!$A:$AZ,MATCH($A$1,'DB Country PMI'!$A$1:$AZ$1,),))</f>
        <v>49.6</v>
      </c>
      <c r="C44" s="24">
        <f>Table134681112141516171819[[#This Row],[PMI]]-B43</f>
        <v>0.39999999999999858</v>
      </c>
    </row>
    <row r="45" spans="1:3" x14ac:dyDescent="0.2">
      <c r="A45" s="10">
        <v>41640</v>
      </c>
      <c r="B45" s="18">
        <f>IF(VLOOKUP(A45,'DB Country PMI'!$A:$AZ,MATCH($A$1,'DB Country PMI'!$A$1:$AZ$1,),)=0,#N/A,VLOOKUP(A45,'DB Country PMI'!$A:$AZ,MATCH($A$1,'DB Country PMI'!$A$1:$AZ$1,),))</f>
        <v>51.2</v>
      </c>
      <c r="C45" s="24">
        <f>Table134681112141516171819[[#This Row],[PMI]]-B44</f>
        <v>1.6000000000000014</v>
      </c>
    </row>
    <row r="46" spans="1:3" x14ac:dyDescent="0.2">
      <c r="A46" s="10">
        <v>41671</v>
      </c>
      <c r="B46" s="18">
        <f>IF(VLOOKUP(A46,'DB Country PMI'!$A:$AZ,MATCH($A$1,'DB Country PMI'!$A$1:$AZ$1,),)=0,#N/A,VLOOKUP(A46,'DB Country PMI'!$A:$AZ,MATCH($A$1,'DB Country PMI'!$A$1:$AZ$1,),))</f>
        <v>51.3</v>
      </c>
      <c r="C46" s="24">
        <f>Table134681112141516171819[[#This Row],[PMI]]-B45</f>
        <v>9.9999999999994316E-2</v>
      </c>
    </row>
    <row r="47" spans="1:3" x14ac:dyDescent="0.2">
      <c r="A47" s="10">
        <v>41699</v>
      </c>
      <c r="B47" s="18">
        <f>IF(VLOOKUP(A47,'DB Country PMI'!$A:$AZ,MATCH($A$1,'DB Country PMI'!$A$1:$AZ$1,),)=0,#N/A,VLOOKUP(A47,'DB Country PMI'!$A:$AZ,MATCH($A$1,'DB Country PMI'!$A$1:$AZ$1,),))</f>
        <v>49.7</v>
      </c>
      <c r="C47" s="24">
        <f>Table134681112141516171819[[#This Row],[PMI]]-B46</f>
        <v>-1.5999999999999943</v>
      </c>
    </row>
    <row r="48" spans="1:3" x14ac:dyDescent="0.2">
      <c r="A48" s="10">
        <v>41730</v>
      </c>
      <c r="B48" s="18">
        <f>IF(VLOOKUP(A48,'DB Country PMI'!$A:$AZ,MATCH($A$1,'DB Country PMI'!$A$1:$AZ$1,),)=0,#N/A,VLOOKUP(A48,'DB Country PMI'!$A:$AZ,MATCH($A$1,'DB Country PMI'!$A$1:$AZ$1,),))</f>
        <v>51.1</v>
      </c>
      <c r="C48" s="24">
        <f>Table134681112141516171819[[#This Row],[PMI]]-B47</f>
        <v>1.3999999999999986</v>
      </c>
    </row>
    <row r="49" spans="1:3" x14ac:dyDescent="0.2">
      <c r="A49" s="10">
        <v>41760</v>
      </c>
      <c r="B49" s="18">
        <f>IF(VLOOKUP(A49,'DB Country PMI'!$A:$AZ,MATCH($A$1,'DB Country PMI'!$A$1:$AZ$1,),)=0,#N/A,VLOOKUP(A49,'DB Country PMI'!$A:$AZ,MATCH($A$1,'DB Country PMI'!$A$1:$AZ$1,),))</f>
        <v>51</v>
      </c>
      <c r="C49" s="24">
        <f>Table134681112141516171819[[#This Row],[PMI]]-B48</f>
        <v>-0.10000000000000142</v>
      </c>
    </row>
    <row r="50" spans="1:3" x14ac:dyDescent="0.2">
      <c r="A50" s="10">
        <v>41791</v>
      </c>
      <c r="B50" s="18">
        <f>IF(VLOOKUP(A50,'DB Country PMI'!$A:$AZ,MATCH($A$1,'DB Country PMI'!$A$1:$AZ$1,),)=0,#N/A,VLOOKUP(A50,'DB Country PMI'!$A:$AZ,MATCH($A$1,'DB Country PMI'!$A$1:$AZ$1,),))</f>
        <v>49.4</v>
      </c>
      <c r="C50" s="24">
        <f>Table134681112141516171819[[#This Row],[PMI]]-B49</f>
        <v>-1.6000000000000014</v>
      </c>
    </row>
    <row r="51" spans="1:3" x14ac:dyDescent="0.2">
      <c r="A51" s="10">
        <v>41821</v>
      </c>
      <c r="B51" s="18">
        <f>IF(VLOOKUP(A51,'DB Country PMI'!$A:$AZ,MATCH($A$1,'DB Country PMI'!$A$1:$AZ$1,),)=0,#N/A,VLOOKUP(A51,'DB Country PMI'!$A:$AZ,MATCH($A$1,'DB Country PMI'!$A$1:$AZ$1,),))</f>
        <v>48.7</v>
      </c>
      <c r="C51" s="24">
        <f>Table134681112141516171819[[#This Row],[PMI]]-B50</f>
        <v>-0.69999999999999574</v>
      </c>
    </row>
    <row r="52" spans="1:3" x14ac:dyDescent="0.2">
      <c r="A52" s="10">
        <v>41852</v>
      </c>
      <c r="B52" s="18">
        <f>IF(VLOOKUP(A52,'DB Country PMI'!$A:$AZ,MATCH($A$1,'DB Country PMI'!$A$1:$AZ$1,),)=0,#N/A,VLOOKUP(A52,'DB Country PMI'!$A:$AZ,MATCH($A$1,'DB Country PMI'!$A$1:$AZ$1,),))</f>
        <v>50.1</v>
      </c>
      <c r="C52" s="24">
        <f>Table134681112141516171819[[#This Row],[PMI]]-B51</f>
        <v>1.3999999999999986</v>
      </c>
    </row>
    <row r="53" spans="1:3" x14ac:dyDescent="0.2">
      <c r="A53" s="10">
        <v>41883</v>
      </c>
      <c r="B53" s="18">
        <f>IF(VLOOKUP(A53,'DB Country PMI'!$A:$AZ,MATCH($A$1,'DB Country PMI'!$A$1:$AZ$1,),)=0,#N/A,VLOOKUP(A53,'DB Country PMI'!$A:$AZ,MATCH($A$1,'DB Country PMI'!$A$1:$AZ$1,),))</f>
        <v>48.4</v>
      </c>
      <c r="C53" s="24">
        <f>Table134681112141516171819[[#This Row],[PMI]]-B52</f>
        <v>-1.7000000000000028</v>
      </c>
    </row>
    <row r="54" spans="1:3" x14ac:dyDescent="0.2">
      <c r="A54" s="10">
        <v>41913</v>
      </c>
      <c r="B54" s="18">
        <f>IF(VLOOKUP(A54,'DB Country PMI'!$A:$AZ,MATCH($A$1,'DB Country PMI'!$A$1:$AZ$1,),)=0,#N/A,VLOOKUP(A54,'DB Country PMI'!$A:$AZ,MATCH($A$1,'DB Country PMI'!$A$1:$AZ$1,),))</f>
        <v>48.8</v>
      </c>
      <c r="C54" s="24">
        <f>Table134681112141516171819[[#This Row],[PMI]]-B53</f>
        <v>0.39999999999999858</v>
      </c>
    </row>
    <row r="55" spans="1:3" x14ac:dyDescent="0.2">
      <c r="A55" s="10">
        <v>41944</v>
      </c>
      <c r="B55" s="18">
        <f>IF(VLOOKUP(A55,'DB Country PMI'!$A:$AZ,MATCH($A$1,'DB Country PMI'!$A$1:$AZ$1,),)=0,#N/A,VLOOKUP(A55,'DB Country PMI'!$A:$AZ,MATCH($A$1,'DB Country PMI'!$A$1:$AZ$1,),))</f>
        <v>49.1</v>
      </c>
      <c r="C55" s="24">
        <f>Table134681112141516171819[[#This Row],[PMI]]-B54</f>
        <v>0.30000000000000426</v>
      </c>
    </row>
    <row r="56" spans="1:3" x14ac:dyDescent="0.2">
      <c r="A56" s="10">
        <v>41974</v>
      </c>
      <c r="B56" s="18">
        <f>IF(VLOOKUP(A56,'DB Country PMI'!$A:$AZ,MATCH($A$1,'DB Country PMI'!$A$1:$AZ$1,),)=0,#N/A,VLOOKUP(A56,'DB Country PMI'!$A:$AZ,MATCH($A$1,'DB Country PMI'!$A$1:$AZ$1,),))</f>
        <v>49.4</v>
      </c>
      <c r="C56" s="24">
        <f>Table134681112141516171819[[#This Row],[PMI]]-B55</f>
        <v>0.29999999999999716</v>
      </c>
    </row>
    <row r="57" spans="1:3" x14ac:dyDescent="0.2">
      <c r="A57" s="10">
        <v>42005</v>
      </c>
      <c r="B57" s="18">
        <f>IF(VLOOKUP(A57,'DB Country PMI'!$A:$AZ,MATCH($A$1,'DB Country PMI'!$A$1:$AZ$1,),)=0,#N/A,VLOOKUP(A57,'DB Country PMI'!$A:$AZ,MATCH($A$1,'DB Country PMI'!$A$1:$AZ$1,),))</f>
        <v>48.3</v>
      </c>
      <c r="C57" s="24">
        <f>Table134681112141516171819[[#This Row],[PMI]]-B56</f>
        <v>-1.1000000000000014</v>
      </c>
    </row>
    <row r="58" spans="1:3" x14ac:dyDescent="0.2">
      <c r="A58" s="10">
        <v>42036</v>
      </c>
      <c r="B58" s="18">
        <f>IF(VLOOKUP(A58,'DB Country PMI'!$A:$AZ,MATCH($A$1,'DB Country PMI'!$A$1:$AZ$1,),)=0,#N/A,VLOOKUP(A58,'DB Country PMI'!$A:$AZ,MATCH($A$1,'DB Country PMI'!$A$1:$AZ$1,),))</f>
        <v>48.4</v>
      </c>
      <c r="C58" s="24">
        <f>Table134681112141516171819[[#This Row],[PMI]]-B57</f>
        <v>0.10000000000000142</v>
      </c>
    </row>
    <row r="59" spans="1:3" x14ac:dyDescent="0.2">
      <c r="A59" s="10">
        <v>42064</v>
      </c>
      <c r="B59" s="18">
        <f>IF(VLOOKUP(A59,'DB Country PMI'!$A:$AZ,MATCH($A$1,'DB Country PMI'!$A$1:$AZ$1,),)=0,#N/A,VLOOKUP(A59,'DB Country PMI'!$A:$AZ,MATCH($A$1,'DB Country PMI'!$A$1:$AZ$1,),))</f>
        <v>48.9</v>
      </c>
      <c r="C59" s="24">
        <f>Table134681112141516171819[[#This Row],[PMI]]-B58</f>
        <v>0.5</v>
      </c>
    </row>
    <row r="60" spans="1:3" x14ac:dyDescent="0.2">
      <c r="A60" s="10">
        <v>42095</v>
      </c>
      <c r="B60" s="18">
        <f>IF(VLOOKUP(A60,'DB Country PMI'!$A:$AZ,MATCH($A$1,'DB Country PMI'!$A$1:$AZ$1,),)=0,#N/A,VLOOKUP(A60,'DB Country PMI'!$A:$AZ,MATCH($A$1,'DB Country PMI'!$A$1:$AZ$1,),))</f>
        <v>46.5</v>
      </c>
      <c r="C60" s="24">
        <f>Table134681112141516171819[[#This Row],[PMI]]-B59</f>
        <v>-2.3999999999999986</v>
      </c>
    </row>
    <row r="61" spans="1:3" x14ac:dyDescent="0.2">
      <c r="A61" s="10">
        <v>42125</v>
      </c>
      <c r="B61" s="18">
        <f>IF(VLOOKUP(A61,'DB Country PMI'!$A:$AZ,MATCH($A$1,'DB Country PMI'!$A$1:$AZ$1,),)=0,#N/A,VLOOKUP(A61,'DB Country PMI'!$A:$AZ,MATCH($A$1,'DB Country PMI'!$A$1:$AZ$1,),))</f>
        <v>48</v>
      </c>
      <c r="C61" s="24">
        <f>Table134681112141516171819[[#This Row],[PMI]]-B60</f>
        <v>1.5</v>
      </c>
    </row>
    <row r="62" spans="1:3" x14ac:dyDescent="0.2">
      <c r="A62" s="10">
        <v>42156</v>
      </c>
      <c r="B62" s="18">
        <f>IF(VLOOKUP(A62,'DB Country PMI'!$A:$AZ,MATCH($A$1,'DB Country PMI'!$A$1:$AZ$1,),)=0,#N/A,VLOOKUP(A62,'DB Country PMI'!$A:$AZ,MATCH($A$1,'DB Country PMI'!$A$1:$AZ$1,),))</f>
        <v>46.9</v>
      </c>
      <c r="C62" s="24">
        <f>Table134681112141516171819[[#This Row],[PMI]]-B61</f>
        <v>-1.1000000000000014</v>
      </c>
    </row>
    <row r="63" spans="1:3" x14ac:dyDescent="0.2">
      <c r="A63" s="10">
        <v>42186</v>
      </c>
      <c r="B63" s="18">
        <f>IF(VLOOKUP(A63,'DB Country PMI'!$A:$AZ,MATCH($A$1,'DB Country PMI'!$A$1:$AZ$1,),)=0,#N/A,VLOOKUP(A63,'DB Country PMI'!$A:$AZ,MATCH($A$1,'DB Country PMI'!$A$1:$AZ$1,),))</f>
        <v>30.2</v>
      </c>
      <c r="C63" s="24">
        <f>Table134681112141516171819[[#This Row],[PMI]]-B62</f>
        <v>-16.7</v>
      </c>
    </row>
    <row r="64" spans="1:3" x14ac:dyDescent="0.2">
      <c r="A64" s="10">
        <v>42217</v>
      </c>
      <c r="B64" s="18">
        <f>IF(VLOOKUP(A64,'DB Country PMI'!$A:$AZ,MATCH($A$1,'DB Country PMI'!$A$1:$AZ$1,),)=0,#N/A,VLOOKUP(A64,'DB Country PMI'!$A:$AZ,MATCH($A$1,'DB Country PMI'!$A$1:$AZ$1,),))</f>
        <v>39.1</v>
      </c>
      <c r="C64" s="24">
        <f>Table134681112141516171819[[#This Row],[PMI]]-B63</f>
        <v>8.9000000000000021</v>
      </c>
    </row>
    <row r="65" spans="1:3" x14ac:dyDescent="0.2">
      <c r="A65" s="10">
        <v>42248</v>
      </c>
      <c r="B65" s="18">
        <f>IF(VLOOKUP(A65,'DB Country PMI'!$A:$AZ,MATCH($A$1,'DB Country PMI'!$A$1:$AZ$1,),)=0,#N/A,VLOOKUP(A65,'DB Country PMI'!$A:$AZ,MATCH($A$1,'DB Country PMI'!$A$1:$AZ$1,),))</f>
        <v>43.3</v>
      </c>
      <c r="C65" s="24">
        <f>Table134681112141516171819[[#This Row],[PMI]]-B64</f>
        <v>4.1999999999999957</v>
      </c>
    </row>
    <row r="66" spans="1:3" x14ac:dyDescent="0.2">
      <c r="A66" s="10">
        <v>42278</v>
      </c>
      <c r="B66" s="18">
        <f>IF(VLOOKUP(A66,'DB Country PMI'!$A:$AZ,MATCH($A$1,'DB Country PMI'!$A$1:$AZ$1,),)=0,#N/A,VLOOKUP(A66,'DB Country PMI'!$A:$AZ,MATCH($A$1,'DB Country PMI'!$A$1:$AZ$1,),))</f>
        <v>47.3</v>
      </c>
      <c r="C66" s="24">
        <f>Table134681112141516171819[[#This Row],[PMI]]-B65</f>
        <v>4</v>
      </c>
    </row>
    <row r="67" spans="1:3" x14ac:dyDescent="0.2">
      <c r="A67" s="10">
        <v>42309</v>
      </c>
      <c r="B67" s="18">
        <f>IF(VLOOKUP(A67,'DB Country PMI'!$A:$AZ,MATCH($A$1,'DB Country PMI'!$A$1:$AZ$1,),)=0,#N/A,VLOOKUP(A67,'DB Country PMI'!$A:$AZ,MATCH($A$1,'DB Country PMI'!$A$1:$AZ$1,),))</f>
        <v>48.1</v>
      </c>
      <c r="C67" s="24">
        <f>Table134681112141516171819[[#This Row],[PMI]]-B66</f>
        <v>0.80000000000000426</v>
      </c>
    </row>
    <row r="68" spans="1:3" x14ac:dyDescent="0.2">
      <c r="A68" s="10">
        <v>42339</v>
      </c>
      <c r="B68" s="18">
        <f>IF(VLOOKUP(A68,'DB Country PMI'!$A:$AZ,MATCH($A$1,'DB Country PMI'!$A$1:$AZ$1,),)=0,#N/A,VLOOKUP(A68,'DB Country PMI'!$A:$AZ,MATCH($A$1,'DB Country PMI'!$A$1:$AZ$1,),))</f>
        <v>50.2</v>
      </c>
      <c r="C68" s="24">
        <f>Table134681112141516171819[[#This Row],[PMI]]-B67</f>
        <v>2.1000000000000014</v>
      </c>
    </row>
    <row r="69" spans="1:3" x14ac:dyDescent="0.2">
      <c r="A69" s="10">
        <v>42370</v>
      </c>
      <c r="B69" s="18">
        <f>IF(VLOOKUP(A69,'DB Country PMI'!$A:$AZ,MATCH($A$1,'DB Country PMI'!$A$1:$AZ$1,),)=0,#N/A,VLOOKUP(A69,'DB Country PMI'!$A:$AZ,MATCH($A$1,'DB Country PMI'!$A$1:$AZ$1,),))</f>
        <v>50</v>
      </c>
      <c r="C69" s="24">
        <f>Table134681112141516171819[[#This Row],[PMI]]-B68</f>
        <v>-0.20000000000000284</v>
      </c>
    </row>
    <row r="70" spans="1:3" x14ac:dyDescent="0.2">
      <c r="A70" s="10">
        <v>42401</v>
      </c>
      <c r="B70" s="18">
        <f>IF(VLOOKUP(A70,'DB Country PMI'!$A:$AZ,MATCH($A$1,'DB Country PMI'!$A$1:$AZ$1,),)=0,#N/A,VLOOKUP(A70,'DB Country PMI'!$A:$AZ,MATCH($A$1,'DB Country PMI'!$A$1:$AZ$1,),))</f>
        <v>48.4</v>
      </c>
      <c r="C70" s="24">
        <f>Table134681112141516171819[[#This Row],[PMI]]-B69</f>
        <v>-1.6000000000000014</v>
      </c>
    </row>
    <row r="71" spans="1:3" x14ac:dyDescent="0.2">
      <c r="A71" s="10">
        <v>42430</v>
      </c>
      <c r="B71" s="18">
        <f>IF(VLOOKUP(A71,'DB Country PMI'!$A:$AZ,MATCH($A$1,'DB Country PMI'!$A$1:$AZ$1,),)=0,#N/A,VLOOKUP(A71,'DB Country PMI'!$A:$AZ,MATCH($A$1,'DB Country PMI'!$A$1:$AZ$1,),))</f>
        <v>49</v>
      </c>
      <c r="C71" s="24">
        <f>Table134681112141516171819[[#This Row],[PMI]]-B70</f>
        <v>0.60000000000000142</v>
      </c>
    </row>
    <row r="72" spans="1:3" x14ac:dyDescent="0.2">
      <c r="A72" s="10">
        <v>42461</v>
      </c>
      <c r="B72" s="18">
        <f>IF(VLOOKUP(A72,'DB Country PMI'!$A:$AZ,MATCH($A$1,'DB Country PMI'!$A$1:$AZ$1,),)=0,#N/A,VLOOKUP(A72,'DB Country PMI'!$A:$AZ,MATCH($A$1,'DB Country PMI'!$A$1:$AZ$1,),))</f>
        <v>49.7</v>
      </c>
      <c r="C72" s="24">
        <f>Table134681112141516171819[[#This Row],[PMI]]-B71</f>
        <v>0.70000000000000284</v>
      </c>
    </row>
    <row r="73" spans="1:3" x14ac:dyDescent="0.2">
      <c r="A73" s="10">
        <v>42491</v>
      </c>
      <c r="B73" s="18">
        <f>IF(VLOOKUP(A73,'DB Country PMI'!$A:$AZ,MATCH($A$1,'DB Country PMI'!$A$1:$AZ$1,),)=0,#N/A,VLOOKUP(A73,'DB Country PMI'!$A:$AZ,MATCH($A$1,'DB Country PMI'!$A$1:$AZ$1,),))</f>
        <v>48.4</v>
      </c>
      <c r="C73" s="24">
        <f>Table134681112141516171819[[#This Row],[PMI]]-B72</f>
        <v>-1.3000000000000043</v>
      </c>
    </row>
    <row r="74" spans="1:3" x14ac:dyDescent="0.2">
      <c r="A74" s="10">
        <v>42522</v>
      </c>
      <c r="B74" s="18">
        <f>IF(VLOOKUP(A74,'DB Country PMI'!$A:$AZ,MATCH($A$1,'DB Country PMI'!$A$1:$AZ$1,),)=0,#N/A,VLOOKUP(A74,'DB Country PMI'!$A:$AZ,MATCH($A$1,'DB Country PMI'!$A$1:$AZ$1,),))</f>
        <v>50.4</v>
      </c>
      <c r="C74" s="24">
        <f>Table134681112141516171819[[#This Row],[PMI]]-B73</f>
        <v>2</v>
      </c>
    </row>
    <row r="75" spans="1:3" x14ac:dyDescent="0.2">
      <c r="A75" s="10">
        <v>42552</v>
      </c>
      <c r="B75" s="18">
        <f>IF(VLOOKUP(A75,'DB Country PMI'!$A:$AZ,MATCH($A$1,'DB Country PMI'!$A$1:$AZ$1,),)=0,#N/A,VLOOKUP(A75,'DB Country PMI'!$A:$AZ,MATCH($A$1,'DB Country PMI'!$A$1:$AZ$1,),))</f>
        <v>48.7</v>
      </c>
      <c r="C75" s="24">
        <f>Table134681112141516171819[[#This Row],[PMI]]-B74</f>
        <v>-1.6999999999999957</v>
      </c>
    </row>
    <row r="76" spans="1:3" x14ac:dyDescent="0.2">
      <c r="A76" s="10">
        <v>42583</v>
      </c>
      <c r="B76" s="18">
        <f>IF(VLOOKUP(A76,'DB Country PMI'!$A:$AZ,MATCH($A$1,'DB Country PMI'!$A$1:$AZ$1,),)=0,#N/A,VLOOKUP(A76,'DB Country PMI'!$A:$AZ,MATCH($A$1,'DB Country PMI'!$A$1:$AZ$1,),))</f>
        <v>50.4</v>
      </c>
      <c r="C76" s="24">
        <f>Table134681112141516171819[[#This Row],[PMI]]-B75</f>
        <v>1.6999999999999957</v>
      </c>
    </row>
    <row r="77" spans="1:3" x14ac:dyDescent="0.2">
      <c r="A77" s="10">
        <v>42614</v>
      </c>
      <c r="B77" s="18">
        <f>IF(VLOOKUP(A77,'DB Country PMI'!$A:$AZ,MATCH($A$1,'DB Country PMI'!$A$1:$AZ$1,),)=0,#N/A,VLOOKUP(A77,'DB Country PMI'!$A:$AZ,MATCH($A$1,'DB Country PMI'!$A$1:$AZ$1,),))</f>
        <v>49.2</v>
      </c>
      <c r="C77" s="24">
        <f>Table134681112141516171819[[#This Row],[PMI]]-B76</f>
        <v>-1.1999999999999957</v>
      </c>
    </row>
    <row r="78" spans="1:3" x14ac:dyDescent="0.2">
      <c r="A78" s="10">
        <v>42644</v>
      </c>
      <c r="B78" s="18">
        <f>IF(VLOOKUP(A78,'DB Country PMI'!$A:$AZ,MATCH($A$1,'DB Country PMI'!$A$1:$AZ$1,),)=0,#N/A,VLOOKUP(A78,'DB Country PMI'!$A:$AZ,MATCH($A$1,'DB Country PMI'!$A$1:$AZ$1,),))</f>
        <v>48.6</v>
      </c>
      <c r="C78" s="24">
        <f>Table134681112141516171819[[#This Row],[PMI]]-B77</f>
        <v>-0.60000000000000142</v>
      </c>
    </row>
    <row r="79" spans="1:3" x14ac:dyDescent="0.2">
      <c r="A79" s="10">
        <v>42675</v>
      </c>
      <c r="B79" s="18">
        <f>IF(VLOOKUP(A79,'DB Country PMI'!$A:$AZ,MATCH($A$1,'DB Country PMI'!$A$1:$AZ$1,),)=0,#N/A,VLOOKUP(A79,'DB Country PMI'!$A:$AZ,MATCH($A$1,'DB Country PMI'!$A$1:$AZ$1,),))</f>
        <v>48.3</v>
      </c>
      <c r="C79" s="24">
        <f>Table134681112141516171819[[#This Row],[PMI]]-B78</f>
        <v>-0.30000000000000426</v>
      </c>
    </row>
    <row r="80" spans="1:3" x14ac:dyDescent="0.2">
      <c r="A80" s="10">
        <v>42705</v>
      </c>
      <c r="B80" s="18">
        <f>IF(VLOOKUP(A80,'DB Country PMI'!$A:$AZ,MATCH($A$1,'DB Country PMI'!$A$1:$AZ$1,),)=0,#N/A,VLOOKUP(A80,'DB Country PMI'!$A:$AZ,MATCH($A$1,'DB Country PMI'!$A$1:$AZ$1,),))</f>
        <v>49.3</v>
      </c>
      <c r="C80" s="24">
        <f>Table134681112141516171819[[#This Row],[PMI]]-B79</f>
        <v>1</v>
      </c>
    </row>
    <row r="81" spans="1:3" x14ac:dyDescent="0.2">
      <c r="A81" s="10">
        <v>42736</v>
      </c>
      <c r="B81" s="18">
        <f>IF(VLOOKUP(A81,'DB Country PMI'!$A:$AZ,MATCH($A$1,'DB Country PMI'!$A$1:$AZ$1,),)=0,#N/A,VLOOKUP(A81,'DB Country PMI'!$A:$AZ,MATCH($A$1,'DB Country PMI'!$A$1:$AZ$1,),))</f>
        <v>46.6</v>
      </c>
      <c r="C81" s="24">
        <f>Table134681112141516171819[[#This Row],[PMI]]-B80</f>
        <v>-2.6999999999999957</v>
      </c>
    </row>
    <row r="82" spans="1:3" x14ac:dyDescent="0.2">
      <c r="A82" s="10">
        <v>42767</v>
      </c>
      <c r="B82" s="18">
        <f>IF(VLOOKUP(A82,'DB Country PMI'!$A:$AZ,MATCH($A$1,'DB Country PMI'!$A$1:$AZ$1,),)=0,#N/A,VLOOKUP(A82,'DB Country PMI'!$A:$AZ,MATCH($A$1,'DB Country PMI'!$A$1:$AZ$1,),))</f>
        <v>47.7</v>
      </c>
      <c r="C82" s="24">
        <f>Table134681112141516171819[[#This Row],[PMI]]-B81</f>
        <v>1.1000000000000014</v>
      </c>
    </row>
    <row r="83" spans="1:3" x14ac:dyDescent="0.2">
      <c r="A83" s="10">
        <v>42795</v>
      </c>
      <c r="B83" s="18">
        <f>IF(VLOOKUP(A83,'DB Country PMI'!$A:$AZ,MATCH($A$1,'DB Country PMI'!$A$1:$AZ$1,),)=0,#N/A,VLOOKUP(A83,'DB Country PMI'!$A:$AZ,MATCH($A$1,'DB Country PMI'!$A$1:$AZ$1,),))</f>
        <v>46.7</v>
      </c>
      <c r="C83" s="24">
        <f>Table134681112141516171819[[#This Row],[PMI]]-B82</f>
        <v>-1</v>
      </c>
    </row>
    <row r="84" spans="1:3" x14ac:dyDescent="0.2">
      <c r="A84" s="10">
        <v>42826</v>
      </c>
      <c r="B84" s="18">
        <f>IF(VLOOKUP(A84,'DB Country PMI'!$A:$AZ,MATCH($A$1,'DB Country PMI'!$A$1:$AZ$1,),)=0,#N/A,VLOOKUP(A84,'DB Country PMI'!$A:$AZ,MATCH($A$1,'DB Country PMI'!$A$1:$AZ$1,),))</f>
        <v>48.2</v>
      </c>
      <c r="C84" s="24">
        <f>Table134681112141516171819[[#This Row],[PMI]]-B83</f>
        <v>1.5</v>
      </c>
    </row>
    <row r="85" spans="1:3" x14ac:dyDescent="0.2">
      <c r="A85" s="10">
        <v>42856</v>
      </c>
      <c r="B85" s="18">
        <f>IF(VLOOKUP(A85,'DB Country PMI'!$A:$AZ,MATCH($A$1,'DB Country PMI'!$A$1:$AZ$1,),)=0,#N/A,VLOOKUP(A85,'DB Country PMI'!$A:$AZ,MATCH($A$1,'DB Country PMI'!$A$1:$AZ$1,),))</f>
        <v>49.6</v>
      </c>
      <c r="C85" s="24">
        <f>Table134681112141516171819[[#This Row],[PMI]]-B84</f>
        <v>1.3999999999999986</v>
      </c>
    </row>
    <row r="86" spans="1:3" x14ac:dyDescent="0.2">
      <c r="A86" s="10">
        <v>42887</v>
      </c>
      <c r="B86" s="18">
        <f>IF(VLOOKUP(A86,'DB Country PMI'!$A:$AZ,MATCH($A$1,'DB Country PMI'!$A$1:$AZ$1,),)=0,#N/A,VLOOKUP(A86,'DB Country PMI'!$A:$AZ,MATCH($A$1,'DB Country PMI'!$A$1:$AZ$1,),))</f>
        <v>50.5</v>
      </c>
      <c r="C86" s="24">
        <f>Table134681112141516171819[[#This Row],[PMI]]-B85</f>
        <v>0.89999999999999858</v>
      </c>
    </row>
    <row r="87" spans="1:3" x14ac:dyDescent="0.2">
      <c r="A87" s="10">
        <v>42917</v>
      </c>
      <c r="B87" s="18">
        <f>IF(VLOOKUP(A87,'DB Country PMI'!$A:$AZ,MATCH($A$1,'DB Country PMI'!$A$1:$AZ$1,),)=0,#N/A,VLOOKUP(A87,'DB Country PMI'!$A:$AZ,MATCH($A$1,'DB Country PMI'!$A$1:$AZ$1,),))</f>
        <v>50.5</v>
      </c>
      <c r="C87" s="24">
        <f>Table134681112141516171819[[#This Row],[PMI]]-B86</f>
        <v>0</v>
      </c>
    </row>
    <row r="88" spans="1:3" x14ac:dyDescent="0.2">
      <c r="A88" s="10">
        <v>42948</v>
      </c>
      <c r="B88" s="18">
        <f>IF(VLOOKUP(A88,'DB Country PMI'!$A:$AZ,MATCH($A$1,'DB Country PMI'!$A$1:$AZ$1,),)=0,#N/A,VLOOKUP(A88,'DB Country PMI'!$A:$AZ,MATCH($A$1,'DB Country PMI'!$A$1:$AZ$1,),))</f>
        <v>52.2</v>
      </c>
      <c r="C88" s="24">
        <f>Table134681112141516171819[[#This Row],[PMI]]-B87</f>
        <v>1.7000000000000028</v>
      </c>
    </row>
    <row r="89" spans="1:3" x14ac:dyDescent="0.2">
      <c r="A89" s="10">
        <v>42979</v>
      </c>
      <c r="B89" s="18">
        <f>IF(VLOOKUP(A89,'DB Country PMI'!$A:$AZ,MATCH($A$1,'DB Country PMI'!$A$1:$AZ$1,),)=0,#N/A,VLOOKUP(A89,'DB Country PMI'!$A:$AZ,MATCH($A$1,'DB Country PMI'!$A$1:$AZ$1,),))</f>
        <v>52.8</v>
      </c>
      <c r="C89" s="24">
        <f>Table134681112141516171819[[#This Row],[PMI]]-B88</f>
        <v>0.59999999999999432</v>
      </c>
    </row>
    <row r="90" spans="1:3" x14ac:dyDescent="0.2">
      <c r="A90" s="10">
        <v>43009</v>
      </c>
      <c r="B90" s="18">
        <f>IF(VLOOKUP(A90,'DB Country PMI'!$A:$AZ,MATCH($A$1,'DB Country PMI'!$A$1:$AZ$1,),)=0,#N/A,VLOOKUP(A90,'DB Country PMI'!$A:$AZ,MATCH($A$1,'DB Country PMI'!$A$1:$AZ$1,),))</f>
        <v>52.1</v>
      </c>
      <c r="C90" s="24">
        <f>Table134681112141516171819[[#This Row],[PMI]]-B89</f>
        <v>-0.69999999999999574</v>
      </c>
    </row>
    <row r="91" spans="1:3" x14ac:dyDescent="0.2">
      <c r="A91" s="10">
        <v>43040</v>
      </c>
      <c r="B91" s="18">
        <f>IF(VLOOKUP(A91,'DB Country PMI'!$A:$AZ,MATCH($A$1,'DB Country PMI'!$A$1:$AZ$1,),)=0,#N/A,VLOOKUP(A91,'DB Country PMI'!$A:$AZ,MATCH($A$1,'DB Country PMI'!$A$1:$AZ$1,),))</f>
        <v>52.2</v>
      </c>
      <c r="C91" s="24">
        <f>Table134681112141516171819[[#This Row],[PMI]]-B90</f>
        <v>0.10000000000000142</v>
      </c>
    </row>
    <row r="92" spans="1:3" x14ac:dyDescent="0.2">
      <c r="A92" s="10">
        <v>43070</v>
      </c>
      <c r="B92" s="18">
        <f>IF(VLOOKUP(A92,'DB Country PMI'!$A:$AZ,MATCH($A$1,'DB Country PMI'!$A$1:$AZ$1,),)=0,#N/A,VLOOKUP(A92,'DB Country PMI'!$A:$AZ,MATCH($A$1,'DB Country PMI'!$A$1:$AZ$1,),))</f>
        <v>53.1</v>
      </c>
      <c r="C92" s="24">
        <f>Table134681112141516171819[[#This Row],[PMI]]-B91</f>
        <v>0.89999999999999858</v>
      </c>
    </row>
    <row r="93" spans="1:3" x14ac:dyDescent="0.2">
      <c r="A93" s="10">
        <v>43101</v>
      </c>
      <c r="B93" s="18">
        <f>IF(VLOOKUP(A93,'DB Country PMI'!$A:$AZ,MATCH($A$1,'DB Country PMI'!$A$1:$AZ$1,),)=0,#N/A,VLOOKUP(A93,'DB Country PMI'!$A:$AZ,MATCH($A$1,'DB Country PMI'!$A$1:$AZ$1,),))</f>
        <v>55.2</v>
      </c>
      <c r="C93" s="24">
        <f>Table134681112141516171819[[#This Row],[PMI]]-B92</f>
        <v>2.1000000000000014</v>
      </c>
    </row>
    <row r="94" spans="1:3" x14ac:dyDescent="0.2">
      <c r="A94" s="10">
        <v>43132</v>
      </c>
      <c r="B94" s="18">
        <f>IF(VLOOKUP(A94,'DB Country PMI'!$A:$AZ,MATCH($A$1,'DB Country PMI'!$A$1:$AZ$1,),)=0,#N/A,VLOOKUP(A94,'DB Country PMI'!$A:$AZ,MATCH($A$1,'DB Country PMI'!$A$1:$AZ$1,),))</f>
        <v>56.1</v>
      </c>
      <c r="C94" s="24">
        <f>Table134681112141516171819[[#This Row],[PMI]]-B93</f>
        <v>0.89999999999999858</v>
      </c>
    </row>
    <row r="95" spans="1:3" x14ac:dyDescent="0.2">
      <c r="A95" s="10">
        <v>43160</v>
      </c>
      <c r="B95" s="18">
        <f>IF(VLOOKUP(A95,'DB Country PMI'!$A:$AZ,MATCH($A$1,'DB Country PMI'!$A$1:$AZ$1,),)=0,#N/A,VLOOKUP(A95,'DB Country PMI'!$A:$AZ,MATCH($A$1,'DB Country PMI'!$A$1:$AZ$1,),))</f>
        <v>55</v>
      </c>
      <c r="C95" s="24">
        <f>Table134681112141516171819[[#This Row],[PMI]]-B94</f>
        <v>-1.1000000000000014</v>
      </c>
    </row>
    <row r="96" spans="1:3" x14ac:dyDescent="0.2">
      <c r="A96" s="10">
        <v>43191</v>
      </c>
      <c r="B96" s="18">
        <f>IF(VLOOKUP(A96,'DB Country PMI'!$A:$AZ,MATCH($A$1,'DB Country PMI'!$A$1:$AZ$1,),)=0,#N/A,VLOOKUP(A96,'DB Country PMI'!$A:$AZ,MATCH($A$1,'DB Country PMI'!$A$1:$AZ$1,),))</f>
        <v>52.9</v>
      </c>
      <c r="C96" s="24">
        <f>Table134681112141516171819[[#This Row],[PMI]]-B95</f>
        <v>-2.1000000000000014</v>
      </c>
    </row>
    <row r="97" spans="1:3" x14ac:dyDescent="0.2">
      <c r="A97" s="10">
        <v>43221</v>
      </c>
      <c r="B97" s="18">
        <f>IF(VLOOKUP(A97,'DB Country PMI'!$A:$AZ,MATCH($A$1,'DB Country PMI'!$A$1:$AZ$1,),)=0,#N/A,VLOOKUP(A97,'DB Country PMI'!$A:$AZ,MATCH($A$1,'DB Country PMI'!$A$1:$AZ$1,),))</f>
        <v>54.2</v>
      </c>
      <c r="C97" s="24">
        <f>Table134681112141516171819[[#This Row],[PMI]]-B96</f>
        <v>1.3000000000000043</v>
      </c>
    </row>
    <row r="98" spans="1:3" x14ac:dyDescent="0.2">
      <c r="A98" s="10">
        <v>43252</v>
      </c>
      <c r="B98" s="18">
        <f>IF(VLOOKUP(A98,'DB Country PMI'!$A:$AZ,MATCH($A$1,'DB Country PMI'!$A$1:$AZ$1,),)=0,#N/A,VLOOKUP(A98,'DB Country PMI'!$A:$AZ,MATCH($A$1,'DB Country PMI'!$A$1:$AZ$1,),))</f>
        <v>53.5</v>
      </c>
      <c r="C98" s="24">
        <f>Table134681112141516171819[[#This Row],[PMI]]-B97</f>
        <v>-0.70000000000000284</v>
      </c>
    </row>
    <row r="99" spans="1:3" x14ac:dyDescent="0.2">
      <c r="A99" s="10">
        <v>43282</v>
      </c>
      <c r="B99" s="18">
        <f>IF(VLOOKUP(A99,'DB Country PMI'!$A:$AZ,MATCH($A$1,'DB Country PMI'!$A$1:$AZ$1,),)=0,#N/A,VLOOKUP(A99,'DB Country PMI'!$A:$AZ,MATCH($A$1,'DB Country PMI'!$A$1:$AZ$1,),))</f>
        <v>53.5</v>
      </c>
      <c r="C99" s="24">
        <f>Table134681112141516171819[[#This Row],[PMI]]-B98</f>
        <v>0</v>
      </c>
    </row>
    <row r="100" spans="1:3" x14ac:dyDescent="0.2">
      <c r="A100" s="10">
        <v>43313</v>
      </c>
      <c r="B100" s="18">
        <f>IF(VLOOKUP(A100,'DB Country PMI'!$A:$AZ,MATCH($A$1,'DB Country PMI'!$A$1:$AZ$1,),)=0,#N/A,VLOOKUP(A100,'DB Country PMI'!$A:$AZ,MATCH($A$1,'DB Country PMI'!$A$1:$AZ$1,),))</f>
        <v>53.9</v>
      </c>
      <c r="C100" s="24">
        <f>Table134681112141516171819[[#This Row],[PMI]]-B99</f>
        <v>0.39999999999999858</v>
      </c>
    </row>
    <row r="101" spans="1:3" x14ac:dyDescent="0.2">
      <c r="A101" s="10">
        <v>43344</v>
      </c>
      <c r="B101" s="18">
        <f>IF(VLOOKUP(A101,'DB Country PMI'!$A:$AZ,MATCH($A$1,'DB Country PMI'!$A$1:$AZ$1,),)=0,#N/A,VLOOKUP(A101,'DB Country PMI'!$A:$AZ,MATCH($A$1,'DB Country PMI'!$A$1:$AZ$1,),))</f>
        <v>53.6</v>
      </c>
      <c r="C101" s="24">
        <f>Table134681112141516171819[[#This Row],[PMI]]-B100</f>
        <v>-0.29999999999999716</v>
      </c>
    </row>
    <row r="102" spans="1:3" x14ac:dyDescent="0.2">
      <c r="A102" s="10">
        <v>43374</v>
      </c>
      <c r="B102" s="18">
        <f>IF(VLOOKUP(A102,'DB Country PMI'!$A:$AZ,MATCH($A$1,'DB Country PMI'!$A$1:$AZ$1,),)=0,#N/A,VLOOKUP(A102,'DB Country PMI'!$A:$AZ,MATCH($A$1,'DB Country PMI'!$A$1:$AZ$1,),))</f>
        <v>53.1</v>
      </c>
      <c r="C102" s="24">
        <f>Table134681112141516171819[[#This Row],[PMI]]-B101</f>
        <v>-0.5</v>
      </c>
    </row>
    <row r="103" spans="1:3" x14ac:dyDescent="0.2">
      <c r="A103" s="10">
        <v>43405</v>
      </c>
      <c r="B103" s="18">
        <f>IF(VLOOKUP(A103,'DB Country PMI'!$A:$AZ,MATCH($A$1,'DB Country PMI'!$A$1:$AZ$1,),)=0,#N/A,VLOOKUP(A103,'DB Country PMI'!$A:$AZ,MATCH($A$1,'DB Country PMI'!$A$1:$AZ$1,),))</f>
        <v>54</v>
      </c>
      <c r="C103" s="24">
        <f>Table134681112141516171819[[#This Row],[PMI]]-B102</f>
        <v>0.89999999999999858</v>
      </c>
    </row>
    <row r="104" spans="1:3" x14ac:dyDescent="0.2">
      <c r="A104" s="10">
        <v>43435</v>
      </c>
      <c r="B104" s="18">
        <f>IF(VLOOKUP(A104,'DB Country PMI'!$A:$AZ,MATCH($A$1,'DB Country PMI'!$A$1:$AZ$1,),)=0,#N/A,VLOOKUP(A104,'DB Country PMI'!$A:$AZ,MATCH($A$1,'DB Country PMI'!$A$1:$AZ$1,),))</f>
        <v>53.8</v>
      </c>
      <c r="C104" s="24">
        <f>Table134681112141516171819[[#This Row],[PMI]]-B103</f>
        <v>-0.20000000000000284</v>
      </c>
    </row>
    <row r="105" spans="1:3" x14ac:dyDescent="0.2">
      <c r="A105" s="10">
        <v>43466</v>
      </c>
      <c r="B105" s="18">
        <f>IF(VLOOKUP(A105,'DB Country PMI'!$A:$AZ,MATCH($A$1,'DB Country PMI'!$A$1:$AZ$1,),)=0,#N/A,VLOOKUP(A105,'DB Country PMI'!$A:$AZ,MATCH($A$1,'DB Country PMI'!$A$1:$AZ$1,),))</f>
        <v>53.7</v>
      </c>
      <c r="C105" s="24">
        <f>Table134681112141516171819[[#This Row],[PMI]]-B104</f>
        <v>-9.9999999999994316E-2</v>
      </c>
    </row>
    <row r="106" spans="1:3" x14ac:dyDescent="0.2">
      <c r="A106" s="10">
        <v>43497</v>
      </c>
      <c r="B106" s="18">
        <f>IF(VLOOKUP(A106,'DB Country PMI'!$A:$AZ,MATCH($A$1,'DB Country PMI'!$A$1:$AZ$1,),)=0,#N/A,VLOOKUP(A106,'DB Country PMI'!$A:$AZ,MATCH($A$1,'DB Country PMI'!$A$1:$AZ$1,),))</f>
        <v>54.2</v>
      </c>
      <c r="C106" s="24">
        <f>Table134681112141516171819[[#This Row],[PMI]]-B105</f>
        <v>0.5</v>
      </c>
    </row>
    <row r="107" spans="1:3" x14ac:dyDescent="0.2">
      <c r="A107" s="10">
        <v>43525</v>
      </c>
      <c r="B107" s="18">
        <f>IF(VLOOKUP(A107,'DB Country PMI'!$A:$AZ,MATCH($A$1,'DB Country PMI'!$A$1:$AZ$1,),)=0,#N/A,VLOOKUP(A107,'DB Country PMI'!$A:$AZ,MATCH($A$1,'DB Country PMI'!$A$1:$AZ$1,),))</f>
        <v>54.7</v>
      </c>
      <c r="C107" s="24">
        <f>Table134681112141516171819[[#This Row],[PMI]]-B106</f>
        <v>0.5</v>
      </c>
    </row>
    <row r="108" spans="1:3" x14ac:dyDescent="0.2">
      <c r="A108" s="10">
        <v>43556</v>
      </c>
      <c r="B108" s="18">
        <f>IF(VLOOKUP(A108,'DB Country PMI'!$A:$AZ,MATCH($A$1,'DB Country PMI'!$A$1:$AZ$1,),)=0,#N/A,VLOOKUP(A108,'DB Country PMI'!$A:$AZ,MATCH($A$1,'DB Country PMI'!$A$1:$AZ$1,),))</f>
        <v>56.6</v>
      </c>
      <c r="C108" s="24">
        <f>Table134681112141516171819[[#This Row],[PMI]]-B107</f>
        <v>1.8999999999999986</v>
      </c>
    </row>
    <row r="109" spans="1:3" x14ac:dyDescent="0.2">
      <c r="A109" s="10">
        <v>43586</v>
      </c>
      <c r="B109" s="18">
        <f>IF(VLOOKUP(A109,'DB Country PMI'!$A:$AZ,MATCH($A$1,'DB Country PMI'!$A$1:$AZ$1,),)=0,#N/A,VLOOKUP(A109,'DB Country PMI'!$A:$AZ,MATCH($A$1,'DB Country PMI'!$A$1:$AZ$1,),))</f>
        <v>54.2</v>
      </c>
      <c r="C109" s="24">
        <f>Table134681112141516171819[[#This Row],[PMI]]-B108</f>
        <v>-2.3999999999999986</v>
      </c>
    </row>
    <row r="110" spans="1:3" x14ac:dyDescent="0.2">
      <c r="A110" s="10">
        <v>43617</v>
      </c>
      <c r="B110" s="18">
        <f>IF(VLOOKUP(A110,'DB Country PMI'!$A:$AZ,MATCH($A$1,'DB Country PMI'!$A$1:$AZ$1,),)=0,#N/A,VLOOKUP(A110,'DB Country PMI'!$A:$AZ,MATCH($A$1,'DB Country PMI'!$A$1:$AZ$1,),))</f>
        <v>52.4</v>
      </c>
      <c r="C110" s="24">
        <f>Table134681112141516171819[[#This Row],[PMI]]-B109</f>
        <v>-1.8000000000000043</v>
      </c>
    </row>
    <row r="111" spans="1:3" x14ac:dyDescent="0.2">
      <c r="A111" s="10">
        <v>43647</v>
      </c>
      <c r="B111" s="18">
        <f>IF(VLOOKUP(A111,'DB Country PMI'!$A:$AZ,MATCH($A$1,'DB Country PMI'!$A$1:$AZ$1,),)=0,#N/A,VLOOKUP(A111,'DB Country PMI'!$A:$AZ,MATCH($A$1,'DB Country PMI'!$A$1:$AZ$1,),))</f>
        <v>54.6</v>
      </c>
      <c r="C111" s="24">
        <f>Table134681112141516171819[[#This Row],[PMI]]-B110</f>
        <v>2.2000000000000028</v>
      </c>
    </row>
    <row r="112" spans="1:3" x14ac:dyDescent="0.2">
      <c r="A112" s="10">
        <v>43678</v>
      </c>
      <c r="B112" s="18">
        <f>IF(VLOOKUP(A112,'DB Country PMI'!$A:$AZ,MATCH($A$1,'DB Country PMI'!$A$1:$AZ$1,),)=0,#N/A,VLOOKUP(A112,'DB Country PMI'!$A:$AZ,MATCH($A$1,'DB Country PMI'!$A$1:$AZ$1,),))</f>
        <v>54.9</v>
      </c>
      <c r="C112" s="24">
        <f>Table134681112141516171819[[#This Row],[PMI]]-B111</f>
        <v>0.29999999999999716</v>
      </c>
    </row>
    <row r="113" spans="1:3" x14ac:dyDescent="0.2">
      <c r="A113" s="10">
        <v>43709</v>
      </c>
      <c r="B113" s="18">
        <f>IF(VLOOKUP(A113,'DB Country PMI'!$A:$AZ,MATCH($A$1,'DB Country PMI'!$A$1:$AZ$1,),)=0,#N/A,VLOOKUP(A113,'DB Country PMI'!$A:$AZ,MATCH($A$1,'DB Country PMI'!$A$1:$AZ$1,),))</f>
        <v>53.6</v>
      </c>
      <c r="C113" s="24">
        <f>Table134681112141516171819[[#This Row],[PMI]]-B112</f>
        <v>-1.2999999999999972</v>
      </c>
    </row>
    <row r="114" spans="1:3" x14ac:dyDescent="0.2">
      <c r="A114" s="10">
        <v>43739</v>
      </c>
      <c r="B114" s="18">
        <f>IF(VLOOKUP(A114,'DB Country PMI'!$A:$AZ,MATCH($A$1,'DB Country PMI'!$A$1:$AZ$1,),)=0,#N/A,VLOOKUP(A114,'DB Country PMI'!$A:$AZ,MATCH($A$1,'DB Country PMI'!$A$1:$AZ$1,),))</f>
        <v>53.5</v>
      </c>
      <c r="C114" s="24">
        <f>Table134681112141516171819[[#This Row],[PMI]]-B113</f>
        <v>-0.10000000000000142</v>
      </c>
    </row>
    <row r="115" spans="1:3" x14ac:dyDescent="0.2">
      <c r="A115" s="10">
        <v>43770</v>
      </c>
      <c r="B115" s="18">
        <f>IF(VLOOKUP(A115,'DB Country PMI'!$A:$AZ,MATCH($A$1,'DB Country PMI'!$A$1:$AZ$1,),)=0,#N/A,VLOOKUP(A115,'DB Country PMI'!$A:$AZ,MATCH($A$1,'DB Country PMI'!$A$1:$AZ$1,),))</f>
        <v>54.1</v>
      </c>
      <c r="C115" s="24">
        <f>Table134681112141516171819[[#This Row],[PMI]]-B114</f>
        <v>0.60000000000000142</v>
      </c>
    </row>
    <row r="116" spans="1:3" x14ac:dyDescent="0.2">
      <c r="A116" s="10">
        <v>43800</v>
      </c>
      <c r="B116" s="18">
        <f>IF(VLOOKUP(A116,'DB Country PMI'!$A:$AZ,MATCH($A$1,'DB Country PMI'!$A$1:$AZ$1,),)=0,#N/A,VLOOKUP(A116,'DB Country PMI'!$A:$AZ,MATCH($A$1,'DB Country PMI'!$A$1:$AZ$1,),))</f>
        <v>53.9</v>
      </c>
      <c r="C116" s="24">
        <f>Table134681112141516171819[[#This Row],[PMI]]-B115</f>
        <v>-0.20000000000000284</v>
      </c>
    </row>
    <row r="117" spans="1:3" x14ac:dyDescent="0.2">
      <c r="A117" s="10">
        <v>43831</v>
      </c>
      <c r="B117" s="18">
        <f>IF(VLOOKUP(A117,'DB Country PMI'!$A:$AZ,MATCH($A$1,'DB Country PMI'!$A$1:$AZ$1,),)=0,#N/A,VLOOKUP(A117,'DB Country PMI'!$A:$AZ,MATCH($A$1,'DB Country PMI'!$A$1:$AZ$1,),))</f>
        <v>54.4</v>
      </c>
      <c r="C117" s="24">
        <f>Table134681112141516171819[[#This Row],[PMI]]-B116</f>
        <v>0.5</v>
      </c>
    </row>
    <row r="118" spans="1:3" x14ac:dyDescent="0.2">
      <c r="A118" s="10">
        <v>43862</v>
      </c>
      <c r="B118" s="18">
        <f>IF(VLOOKUP(A118,'DB Country PMI'!$A:$AZ,MATCH($A$1,'DB Country PMI'!$A$1:$AZ$1,),)=0,#N/A,VLOOKUP(A118,'DB Country PMI'!$A:$AZ,MATCH($A$1,'DB Country PMI'!$A$1:$AZ$1,),))</f>
        <v>56.2</v>
      </c>
      <c r="C118" s="24">
        <f>Table134681112141516171819[[#This Row],[PMI]]-B117</f>
        <v>1.8000000000000043</v>
      </c>
    </row>
    <row r="119" spans="1:3" x14ac:dyDescent="0.2">
      <c r="A119" s="10">
        <v>43891</v>
      </c>
      <c r="B119" s="18">
        <f>IF(VLOOKUP(A119,'DB Country PMI'!$A:$AZ,MATCH($A$1,'DB Country PMI'!$A$1:$AZ$1,),)=0,#N/A,VLOOKUP(A119,'DB Country PMI'!$A:$AZ,MATCH($A$1,'DB Country PMI'!$A$1:$AZ$1,),))</f>
        <v>42.5</v>
      </c>
      <c r="C119" s="24">
        <f>Table134681112141516171819[[#This Row],[PMI]]-B118</f>
        <v>-13.700000000000003</v>
      </c>
    </row>
    <row r="120" spans="1:3" x14ac:dyDescent="0.2">
      <c r="A120" s="10">
        <v>43922</v>
      </c>
      <c r="B120" s="18">
        <f>IF(VLOOKUP(A120,'DB Country PMI'!$A:$AZ,MATCH($A$1,'DB Country PMI'!$A$1:$AZ$1,),)=0,#N/A,VLOOKUP(A120,'DB Country PMI'!$A:$AZ,MATCH($A$1,'DB Country PMI'!$A$1:$AZ$1,),))</f>
        <v>29.5</v>
      </c>
      <c r="C120" s="24">
        <f>Table134681112141516171819[[#This Row],[PMI]]-B119</f>
        <v>-13</v>
      </c>
    </row>
    <row r="121" spans="1:3" x14ac:dyDescent="0.2">
      <c r="A121" s="10">
        <v>43952</v>
      </c>
      <c r="B121" s="18">
        <f>IF(VLOOKUP(A121,'DB Country PMI'!$A:$AZ,MATCH($A$1,'DB Country PMI'!$A$1:$AZ$1,),)=0,#N/A,VLOOKUP(A121,'DB Country PMI'!$A:$AZ,MATCH($A$1,'DB Country PMI'!$A$1:$AZ$1,),))</f>
        <v>41.1</v>
      </c>
      <c r="C121" s="24">
        <f>Table134681112141516171819[[#This Row],[PMI]]-B120</f>
        <v>11.600000000000001</v>
      </c>
    </row>
    <row r="122" spans="1:3" x14ac:dyDescent="0.2">
      <c r="A122" s="10">
        <v>43983</v>
      </c>
      <c r="B122" s="18">
        <f>IF(VLOOKUP(A122,'DB Country PMI'!$A:$AZ,MATCH($A$1,'DB Country PMI'!$A$1:$AZ$1,),)=0,#N/A,VLOOKUP(A122,'DB Country PMI'!$A:$AZ,MATCH($A$1,'DB Country PMI'!$A$1:$AZ$1,),))</f>
        <v>49.4</v>
      </c>
      <c r="C122" s="24">
        <f>Table134681112141516171819[[#This Row],[PMI]]-B121</f>
        <v>8.2999999999999972</v>
      </c>
    </row>
    <row r="123" spans="1:3" x14ac:dyDescent="0.2">
      <c r="A123" s="10">
        <v>44013</v>
      </c>
      <c r="B123" s="18">
        <f>IF(VLOOKUP(A123,'DB Country PMI'!$A:$AZ,MATCH($A$1,'DB Country PMI'!$A$1:$AZ$1,),)=0,#N/A,VLOOKUP(A123,'DB Country PMI'!$A:$AZ,MATCH($A$1,'DB Country PMI'!$A$1:$AZ$1,),))</f>
        <v>48.6</v>
      </c>
      <c r="C123" s="24">
        <f>Table134681112141516171819[[#This Row],[PMI]]-B122</f>
        <v>-0.79999999999999716</v>
      </c>
    </row>
    <row r="124" spans="1:3" x14ac:dyDescent="0.2">
      <c r="A124" s="10">
        <v>44044</v>
      </c>
      <c r="B124" s="18">
        <f>IF(VLOOKUP(A124,'DB Country PMI'!$A:$AZ,MATCH($A$1,'DB Country PMI'!$A$1:$AZ$1,),)=0,#N/A,VLOOKUP(A124,'DB Country PMI'!$A:$AZ,MATCH($A$1,'DB Country PMI'!$A$1:$AZ$1,),))</f>
        <v>49.4</v>
      </c>
      <c r="C124" s="24">
        <f>Table134681112141516171819[[#This Row],[PMI]]-B123</f>
        <v>0.79999999999999716</v>
      </c>
    </row>
    <row r="125" spans="1:3" x14ac:dyDescent="0.2">
      <c r="A125" s="10">
        <v>44075</v>
      </c>
      <c r="B125" s="18">
        <f>IF(VLOOKUP(A125,'DB Country PMI'!$A:$AZ,MATCH($A$1,'DB Country PMI'!$A$1:$AZ$1,),)=0,#N/A,VLOOKUP(A125,'DB Country PMI'!$A:$AZ,MATCH($A$1,'DB Country PMI'!$A$1:$AZ$1,),))</f>
        <v>50</v>
      </c>
      <c r="C125" s="24">
        <f>Table134681112141516171819[[#This Row],[PMI]]-B124</f>
        <v>0.60000000000000142</v>
      </c>
    </row>
    <row r="126" spans="1:3" x14ac:dyDescent="0.2">
      <c r="A126" s="10">
        <v>44105</v>
      </c>
      <c r="B126" s="18">
        <f>IF(VLOOKUP(A126,'DB Country PMI'!$A:$AZ,MATCH($A$1,'DB Country PMI'!$A$1:$AZ$1,),)=0,#N/A,VLOOKUP(A126,'DB Country PMI'!$A:$AZ,MATCH($A$1,'DB Country PMI'!$A$1:$AZ$1,),))</f>
        <v>48.7</v>
      </c>
      <c r="C126" s="24">
        <f>Table134681112141516171819[[#This Row],[PMI]]-B125</f>
        <v>-1.2999999999999972</v>
      </c>
    </row>
    <row r="127" spans="1:3" x14ac:dyDescent="0.2">
      <c r="A127" s="10">
        <v>44136</v>
      </c>
      <c r="B127" s="18">
        <f>IF(VLOOKUP(A127,'DB Country PMI'!$A:$AZ,MATCH($A$1,'DB Country PMI'!$A$1:$AZ$1,),)=0,#N/A,VLOOKUP(A127,'DB Country PMI'!$A:$AZ,MATCH($A$1,'DB Country PMI'!$A$1:$AZ$1,),))</f>
        <v>42.3</v>
      </c>
      <c r="C127" s="24">
        <f>Table134681112141516171819[[#This Row],[PMI]]-B126</f>
        <v>-6.4000000000000057</v>
      </c>
    </row>
    <row r="128" spans="1:3" x14ac:dyDescent="0.2">
      <c r="A128" s="10">
        <v>44166</v>
      </c>
      <c r="B128" s="18">
        <f>IF(VLOOKUP(A128,'DB Country PMI'!$A:$AZ,MATCH($A$1,'DB Country PMI'!$A$1:$AZ$1,),)=0,#N/A,VLOOKUP(A128,'DB Country PMI'!$A:$AZ,MATCH($A$1,'DB Country PMI'!$A$1:$AZ$1,),))</f>
        <v>46.9</v>
      </c>
      <c r="C128" s="24">
        <f>Table134681112141516171819[[#This Row],[PMI]]-B127</f>
        <v>4.6000000000000014</v>
      </c>
    </row>
    <row r="129" spans="1:3" x14ac:dyDescent="0.2">
      <c r="A129" s="10">
        <v>44197</v>
      </c>
      <c r="B129" s="18">
        <f>IF(VLOOKUP(A129,'DB Country PMI'!$A:$AZ,MATCH($A$1,'DB Country PMI'!$A$1:$AZ$1,),)=0,#N/A,VLOOKUP(A129,'DB Country PMI'!$A:$AZ,MATCH($A$1,'DB Country PMI'!$A$1:$AZ$1,),))</f>
        <v>50</v>
      </c>
      <c r="C129" s="24">
        <f>Table134681112141516171819[[#This Row],[PMI]]-B128</f>
        <v>3.1000000000000014</v>
      </c>
    </row>
    <row r="130" spans="1:3" x14ac:dyDescent="0.2">
      <c r="A130" s="10">
        <v>44228</v>
      </c>
      <c r="B130" s="18">
        <f>IF(VLOOKUP(A130,'DB Country PMI'!$A:$AZ,MATCH($A$1,'DB Country PMI'!$A$1:$AZ$1,),)=0,#N/A,VLOOKUP(A130,'DB Country PMI'!$A:$AZ,MATCH($A$1,'DB Country PMI'!$A$1:$AZ$1,),))</f>
        <v>49.4</v>
      </c>
      <c r="C130" s="24">
        <f>Table134681112141516171819[[#This Row],[PMI]]-B129</f>
        <v>-0.60000000000000142</v>
      </c>
    </row>
    <row r="131" spans="1:3" x14ac:dyDescent="0.2">
      <c r="A131" s="10">
        <v>44256</v>
      </c>
      <c r="B131" s="18">
        <f>IF(VLOOKUP(A131,'DB Country PMI'!$A:$AZ,MATCH($A$1,'DB Country PMI'!$A$1:$AZ$1,),)=0,#N/A,VLOOKUP(A131,'DB Country PMI'!$A:$AZ,MATCH($A$1,'DB Country PMI'!$A$1:$AZ$1,),))</f>
        <v>51.8</v>
      </c>
      <c r="C131" s="24">
        <f>Table134681112141516171819[[#This Row],[PMI]]-B130</f>
        <v>2.3999999999999986</v>
      </c>
    </row>
    <row r="132" spans="1:3" x14ac:dyDescent="0.2">
      <c r="A132" s="10">
        <v>44287</v>
      </c>
      <c r="B132" s="18">
        <f>IF(VLOOKUP(A132,'DB Country PMI'!$A:$AZ,MATCH($A$1,'DB Country PMI'!$A$1:$AZ$1,),)=0,#N/A,VLOOKUP(A132,'DB Country PMI'!$A:$AZ,MATCH($A$1,'DB Country PMI'!$A$1:$AZ$1,),))</f>
        <v>54.4</v>
      </c>
      <c r="C132" s="24">
        <f>Table134681112141516171819[[#This Row],[PMI]]-B131</f>
        <v>2.6000000000000014</v>
      </c>
    </row>
    <row r="133" spans="1:3" x14ac:dyDescent="0.2">
      <c r="A133" s="10">
        <v>44317</v>
      </c>
      <c r="B133" s="18">
        <f>IF(VLOOKUP(A133,'DB Country PMI'!$A:$AZ,MATCH($A$1,'DB Country PMI'!$A$1:$AZ$1,),)=0,#N/A,VLOOKUP(A133,'DB Country PMI'!$A:$AZ,MATCH($A$1,'DB Country PMI'!$A$1:$AZ$1,),))</f>
        <v>58</v>
      </c>
      <c r="C133" s="24">
        <f>Table134681112141516171819[[#This Row],[PMI]]-B132</f>
        <v>3.6000000000000014</v>
      </c>
    </row>
    <row r="134" spans="1:3" x14ac:dyDescent="0.2">
      <c r="A134" s="10">
        <v>44348</v>
      </c>
      <c r="B134" s="18">
        <f>IF(VLOOKUP(A134,'DB Country PMI'!$A:$AZ,MATCH($A$1,'DB Country PMI'!$A$1:$AZ$1,),)=0,#N/A,VLOOKUP(A134,'DB Country PMI'!$A:$AZ,MATCH($A$1,'DB Country PMI'!$A$1:$AZ$1,),))</f>
        <v>58.6</v>
      </c>
      <c r="C134" s="24">
        <f>Table134681112141516171819[[#This Row],[PMI]]-B133</f>
        <v>0.60000000000000142</v>
      </c>
    </row>
    <row r="135" spans="1:3" x14ac:dyDescent="0.2">
      <c r="A135" s="10">
        <v>44378</v>
      </c>
      <c r="B135" s="18">
        <f>IF(VLOOKUP(A135,'DB Country PMI'!$A:$AZ,MATCH($A$1,'DB Country PMI'!$A$1:$AZ$1,),)=0,#N/A,VLOOKUP(A135,'DB Country PMI'!$A:$AZ,MATCH($A$1,'DB Country PMI'!$A$1:$AZ$1,),))</f>
        <v>57.4</v>
      </c>
      <c r="C135" s="24">
        <f>Table134681112141516171819[[#This Row],[PMI]]-B134</f>
        <v>-1.2000000000000028</v>
      </c>
    </row>
    <row r="136" spans="1:3" x14ac:dyDescent="0.2">
      <c r="A136" s="10">
        <v>44409</v>
      </c>
      <c r="B136" s="18">
        <f>IF(VLOOKUP(A136,'DB Country PMI'!$A:$AZ,MATCH($A$1,'DB Country PMI'!$A$1:$AZ$1,),)=0,#N/A,VLOOKUP(A136,'DB Country PMI'!$A:$AZ,MATCH($A$1,'DB Country PMI'!$A$1:$AZ$1,),))</f>
        <v>59.3</v>
      </c>
      <c r="C136" s="24">
        <f>Table134681112141516171819[[#This Row],[PMI]]-B135</f>
        <v>1.8999999999999986</v>
      </c>
    </row>
    <row r="137" spans="1:3" x14ac:dyDescent="0.2">
      <c r="A137" s="10">
        <v>44440</v>
      </c>
      <c r="B137" s="18">
        <f>IF(VLOOKUP(A137,'DB Country PMI'!$A:$AZ,MATCH($A$1,'DB Country PMI'!$A$1:$AZ$1,),)=0,#N/A,VLOOKUP(A137,'DB Country PMI'!$A:$AZ,MATCH($A$1,'DB Country PMI'!$A$1:$AZ$1,),))</f>
        <v>58.4</v>
      </c>
      <c r="C137" s="24">
        <f>Table134681112141516171819[[#This Row],[PMI]]-B136</f>
        <v>-0.89999999999999858</v>
      </c>
    </row>
    <row r="138" spans="1:3" x14ac:dyDescent="0.2">
      <c r="A138" s="10">
        <v>44470</v>
      </c>
      <c r="B138" s="18">
        <f>IF(VLOOKUP(A138,'DB Country PMI'!$A:$AZ,MATCH($A$1,'DB Country PMI'!$A$1:$AZ$1,),)=0,#N/A,VLOOKUP(A138,'DB Country PMI'!$A:$AZ,MATCH($A$1,'DB Country PMI'!$A$1:$AZ$1,),))</f>
        <v>58.9</v>
      </c>
      <c r="C138" s="24">
        <f>Table134681112141516171819[[#This Row],[PMI]]-B137</f>
        <v>0.5</v>
      </c>
    </row>
    <row r="139" spans="1:3" x14ac:dyDescent="0.2">
      <c r="A139" s="10">
        <v>44501</v>
      </c>
      <c r="B139" s="18">
        <f>IF(VLOOKUP(A139,'DB Country PMI'!$A:$AZ,MATCH($A$1,'DB Country PMI'!$A$1:$AZ$1,),)=0,#N/A,VLOOKUP(A139,'DB Country PMI'!$A:$AZ,MATCH($A$1,'DB Country PMI'!$A$1:$AZ$1,),))</f>
        <v>58.8</v>
      </c>
      <c r="C139" s="24">
        <f>Table134681112141516171819[[#This Row],[PMI]]-B138</f>
        <v>-0.10000000000000142</v>
      </c>
    </row>
    <row r="140" spans="1:3" x14ac:dyDescent="0.2">
      <c r="A140" s="10">
        <v>44531</v>
      </c>
      <c r="B140" s="18">
        <f>IF(VLOOKUP(A140,'DB Country PMI'!$A:$AZ,MATCH($A$1,'DB Country PMI'!$A$1:$AZ$1,),)=0,#N/A,VLOOKUP(A140,'DB Country PMI'!$A:$AZ,MATCH($A$1,'DB Country PMI'!$A$1:$AZ$1,),))</f>
        <v>59</v>
      </c>
      <c r="C140" s="24">
        <f>Table134681112141516171819[[#This Row],[PMI]]-B139</f>
        <v>0.20000000000000284</v>
      </c>
    </row>
    <row r="141" spans="1:3" x14ac:dyDescent="0.2">
      <c r="A141" s="10">
        <v>44562</v>
      </c>
      <c r="B141" s="18">
        <f>IF(VLOOKUP(A141,'DB Country PMI'!$A:$AZ,MATCH($A$1,'DB Country PMI'!$A$1:$AZ$1,),)=0,#N/A,VLOOKUP(A141,'DB Country PMI'!$A:$AZ,MATCH($A$1,'DB Country PMI'!$A$1:$AZ$1,),))</f>
        <v>57.9</v>
      </c>
      <c r="C141" s="24">
        <f>Table134681112141516171819[[#This Row],[PMI]]-B140</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1"/>
  <sheetViews>
    <sheetView zoomScale="180" zoomScaleNormal="180" workbookViewId="0">
      <pane ySplit="5" topLeftCell="A115" activePane="bottomLeft" state="frozen"/>
      <selection pane="bottomLeft" activeCell="O134" sqref="O134"/>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39</v>
      </c>
      <c r="K1" s="63" t="s">
        <v>107</v>
      </c>
    </row>
    <row r="2" spans="1:11" x14ac:dyDescent="0.2">
      <c r="K2" s="63" t="str">
        <f>A1&amp;K1</f>
        <v>Ireland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50.9</v>
      </c>
      <c r="C6" s="18"/>
    </row>
    <row r="7" spans="1:11" x14ac:dyDescent="0.2">
      <c r="A7" s="10">
        <v>40483</v>
      </c>
      <c r="B7" s="18">
        <f>IF(VLOOKUP(A7,'DB Country PMI'!$A:$AZ,MATCH($A$1,'DB Country PMI'!$A$1:$AZ$1,),)=0,#N/A,VLOOKUP(A7,'DB Country PMI'!$A:$AZ,MATCH($A$1,'DB Country PMI'!$A$1:$AZ$1,),))</f>
        <v>51.2</v>
      </c>
      <c r="C7" s="24">
        <f>Table13468111214151617181920[[#This Row],[PMI]]-B6</f>
        <v>0.30000000000000426</v>
      </c>
    </row>
    <row r="8" spans="1:11" x14ac:dyDescent="0.2">
      <c r="A8" s="10">
        <v>40513</v>
      </c>
      <c r="B8" s="18">
        <f>IF(VLOOKUP(A8,'DB Country PMI'!$A:$AZ,MATCH($A$1,'DB Country PMI'!$A$1:$AZ$1,),)=0,#N/A,VLOOKUP(A8,'DB Country PMI'!$A:$AZ,MATCH($A$1,'DB Country PMI'!$A$1:$AZ$1,),))</f>
        <v>52.2</v>
      </c>
      <c r="C8" s="24">
        <f>Table13468111214151617181920[[#This Row],[PMI]]-B7</f>
        <v>1</v>
      </c>
    </row>
    <row r="9" spans="1:11" x14ac:dyDescent="0.2">
      <c r="A9" s="10">
        <v>40544</v>
      </c>
      <c r="B9" s="18">
        <f>IF(VLOOKUP(A9,'DB Country PMI'!$A:$AZ,MATCH($A$1,'DB Country PMI'!$A$1:$AZ$1,),)=0,#N/A,VLOOKUP(A9,'DB Country PMI'!$A:$AZ,MATCH($A$1,'DB Country PMI'!$A$1:$AZ$1,),))</f>
        <v>55.8</v>
      </c>
      <c r="C9" s="24">
        <f>Table13468111214151617181920[[#This Row],[PMI]]-B8</f>
        <v>3.5999999999999943</v>
      </c>
    </row>
    <row r="10" spans="1:11" x14ac:dyDescent="0.2">
      <c r="A10" s="10">
        <v>40575</v>
      </c>
      <c r="B10" s="18">
        <f>IF(VLOOKUP(A10,'DB Country PMI'!$A:$AZ,MATCH($A$1,'DB Country PMI'!$A$1:$AZ$1,),)=0,#N/A,VLOOKUP(A10,'DB Country PMI'!$A:$AZ,MATCH($A$1,'DB Country PMI'!$A$1:$AZ$1,),))</f>
        <v>56.7</v>
      </c>
      <c r="C10" s="24">
        <f>Table13468111214151617181920[[#This Row],[PMI]]-B9</f>
        <v>0.90000000000000568</v>
      </c>
    </row>
    <row r="11" spans="1:11" x14ac:dyDescent="0.2">
      <c r="A11" s="10">
        <v>40603</v>
      </c>
      <c r="B11" s="18">
        <f>IF(VLOOKUP(A11,'DB Country PMI'!$A:$AZ,MATCH($A$1,'DB Country PMI'!$A$1:$AZ$1,),)=0,#N/A,VLOOKUP(A11,'DB Country PMI'!$A:$AZ,MATCH($A$1,'DB Country PMI'!$A$1:$AZ$1,),))</f>
        <v>55.7</v>
      </c>
      <c r="C11" s="24">
        <f>Table13468111214151617181920[[#This Row],[PMI]]-B10</f>
        <v>-1</v>
      </c>
    </row>
    <row r="12" spans="1:11" x14ac:dyDescent="0.2">
      <c r="A12" s="10">
        <v>40634</v>
      </c>
      <c r="B12" s="18">
        <f>IF(VLOOKUP(A12,'DB Country PMI'!$A:$AZ,MATCH($A$1,'DB Country PMI'!$A$1:$AZ$1,),)=0,#N/A,VLOOKUP(A12,'DB Country PMI'!$A:$AZ,MATCH($A$1,'DB Country PMI'!$A$1:$AZ$1,),))</f>
        <v>56</v>
      </c>
      <c r="C12" s="24">
        <f>Table13468111214151617181920[[#This Row],[PMI]]-B11</f>
        <v>0.29999999999999716</v>
      </c>
    </row>
    <row r="13" spans="1:11" x14ac:dyDescent="0.2">
      <c r="A13" s="10">
        <v>40664</v>
      </c>
      <c r="B13" s="18">
        <f>IF(VLOOKUP(A13,'DB Country PMI'!$A:$AZ,MATCH($A$1,'DB Country PMI'!$A$1:$AZ$1,),)=0,#N/A,VLOOKUP(A13,'DB Country PMI'!$A:$AZ,MATCH($A$1,'DB Country PMI'!$A$1:$AZ$1,),))</f>
        <v>51.8</v>
      </c>
      <c r="C13" s="24">
        <f>Table13468111214151617181920[[#This Row],[PMI]]-B12</f>
        <v>-4.2000000000000028</v>
      </c>
    </row>
    <row r="14" spans="1:11" x14ac:dyDescent="0.2">
      <c r="A14" s="10">
        <v>40695</v>
      </c>
      <c r="B14" s="18">
        <f>IF(VLOOKUP(A14,'DB Country PMI'!$A:$AZ,MATCH($A$1,'DB Country PMI'!$A$1:$AZ$1,),)=0,#N/A,VLOOKUP(A14,'DB Country PMI'!$A:$AZ,MATCH($A$1,'DB Country PMI'!$A$1:$AZ$1,),))</f>
        <v>49.8</v>
      </c>
      <c r="C14" s="24">
        <f>Table13468111214151617181920[[#This Row],[PMI]]-B13</f>
        <v>-2</v>
      </c>
    </row>
    <row r="15" spans="1:11" x14ac:dyDescent="0.2">
      <c r="A15" s="10">
        <v>40725</v>
      </c>
      <c r="B15" s="18">
        <f>IF(VLOOKUP(A15,'DB Country PMI'!$A:$AZ,MATCH($A$1,'DB Country PMI'!$A$1:$AZ$1,),)=0,#N/A,VLOOKUP(A15,'DB Country PMI'!$A:$AZ,MATCH($A$1,'DB Country PMI'!$A$1:$AZ$1,),))</f>
        <v>48.2</v>
      </c>
      <c r="C15" s="24">
        <f>Table13468111214151617181920[[#This Row],[PMI]]-B14</f>
        <v>-1.5999999999999943</v>
      </c>
    </row>
    <row r="16" spans="1:11" x14ac:dyDescent="0.2">
      <c r="A16" s="10">
        <v>40756</v>
      </c>
      <c r="B16" s="18">
        <f>IF(VLOOKUP(A16,'DB Country PMI'!$A:$AZ,MATCH($A$1,'DB Country PMI'!$A$1:$AZ$1,),)=0,#N/A,VLOOKUP(A16,'DB Country PMI'!$A:$AZ,MATCH($A$1,'DB Country PMI'!$A$1:$AZ$1,),))</f>
        <v>49.7</v>
      </c>
      <c r="C16" s="24">
        <f>Table13468111214151617181920[[#This Row],[PMI]]-B15</f>
        <v>1.5</v>
      </c>
    </row>
    <row r="17" spans="1:3" x14ac:dyDescent="0.2">
      <c r="A17" s="10">
        <v>40787</v>
      </c>
      <c r="B17" s="18">
        <f>IF(VLOOKUP(A17,'DB Country PMI'!$A:$AZ,MATCH($A$1,'DB Country PMI'!$A$1:$AZ$1,),)=0,#N/A,VLOOKUP(A17,'DB Country PMI'!$A:$AZ,MATCH($A$1,'DB Country PMI'!$A$1:$AZ$1,),))</f>
        <v>47.3</v>
      </c>
      <c r="C17" s="24">
        <f>Table13468111214151617181920[[#This Row],[PMI]]-B16</f>
        <v>-2.4000000000000057</v>
      </c>
    </row>
    <row r="18" spans="1:3" x14ac:dyDescent="0.2">
      <c r="A18" s="10">
        <v>40817</v>
      </c>
      <c r="B18" s="18">
        <f>IF(VLOOKUP(A18,'DB Country PMI'!$A:$AZ,MATCH($A$1,'DB Country PMI'!$A$1:$AZ$1,),)=0,#N/A,VLOOKUP(A18,'DB Country PMI'!$A:$AZ,MATCH($A$1,'DB Country PMI'!$A$1:$AZ$1,),))</f>
        <v>50.1</v>
      </c>
      <c r="C18" s="24">
        <f>Table13468111214151617181920[[#This Row],[PMI]]-B17</f>
        <v>2.8000000000000043</v>
      </c>
    </row>
    <row r="19" spans="1:3" x14ac:dyDescent="0.2">
      <c r="A19" s="10">
        <v>40848</v>
      </c>
      <c r="B19" s="18">
        <f>IF(VLOOKUP(A19,'DB Country PMI'!$A:$AZ,MATCH($A$1,'DB Country PMI'!$A$1:$AZ$1,),)=0,#N/A,VLOOKUP(A19,'DB Country PMI'!$A:$AZ,MATCH($A$1,'DB Country PMI'!$A$1:$AZ$1,),))</f>
        <v>48.5</v>
      </c>
      <c r="C19" s="24">
        <f>Table13468111214151617181920[[#This Row],[PMI]]-B18</f>
        <v>-1.6000000000000014</v>
      </c>
    </row>
    <row r="20" spans="1:3" x14ac:dyDescent="0.2">
      <c r="A20" s="10">
        <v>40878</v>
      </c>
      <c r="B20" s="18">
        <f>IF(VLOOKUP(A20,'DB Country PMI'!$A:$AZ,MATCH($A$1,'DB Country PMI'!$A$1:$AZ$1,),)=0,#N/A,VLOOKUP(A20,'DB Country PMI'!$A:$AZ,MATCH($A$1,'DB Country PMI'!$A$1:$AZ$1,),))</f>
        <v>49.8</v>
      </c>
      <c r="C20" s="24">
        <f>Table13468111214151617181920[[#This Row],[PMI]]-B19</f>
        <v>1.2999999999999972</v>
      </c>
    </row>
    <row r="21" spans="1:3" x14ac:dyDescent="0.2">
      <c r="A21" s="10">
        <v>40909</v>
      </c>
      <c r="B21" s="18">
        <f>IF(VLOOKUP(A21,'DB Country PMI'!$A:$AZ,MATCH($A$1,'DB Country PMI'!$A$1:$AZ$1,),)=0,#N/A,VLOOKUP(A21,'DB Country PMI'!$A:$AZ,MATCH($A$1,'DB Country PMI'!$A$1:$AZ$1,),))</f>
        <v>49.3</v>
      </c>
      <c r="C21" s="24">
        <f>Table13468111214151617181920[[#This Row],[PMI]]-B20</f>
        <v>-0.5</v>
      </c>
    </row>
    <row r="22" spans="1:3" x14ac:dyDescent="0.2">
      <c r="A22" s="10">
        <v>40940</v>
      </c>
      <c r="B22" s="18">
        <f>IF(VLOOKUP(A22,'DB Country PMI'!$A:$AZ,MATCH($A$1,'DB Country PMI'!$A$1:$AZ$1,),)=0,#N/A,VLOOKUP(A22,'DB Country PMI'!$A:$AZ,MATCH($A$1,'DB Country PMI'!$A$1:$AZ$1,),))</f>
        <v>49.7</v>
      </c>
      <c r="C22" s="24">
        <f>Table13468111214151617181920[[#This Row],[PMI]]-B21</f>
        <v>0.40000000000000568</v>
      </c>
    </row>
    <row r="23" spans="1:3" x14ac:dyDescent="0.2">
      <c r="A23" s="10">
        <v>40969</v>
      </c>
      <c r="B23" s="18">
        <f>IF(VLOOKUP(A23,'DB Country PMI'!$A:$AZ,MATCH($A$1,'DB Country PMI'!$A$1:$AZ$1,),)=0,#N/A,VLOOKUP(A23,'DB Country PMI'!$A:$AZ,MATCH($A$1,'DB Country PMI'!$A$1:$AZ$1,),))</f>
        <v>51.5</v>
      </c>
      <c r="C23" s="24">
        <f>Table13468111214151617181920[[#This Row],[PMI]]-B22</f>
        <v>1.7999999999999972</v>
      </c>
    </row>
    <row r="24" spans="1:3" x14ac:dyDescent="0.2">
      <c r="A24" s="10">
        <v>41000</v>
      </c>
      <c r="B24" s="18">
        <f>IF(VLOOKUP(A24,'DB Country PMI'!$A:$AZ,MATCH($A$1,'DB Country PMI'!$A$1:$AZ$1,),)=0,#N/A,VLOOKUP(A24,'DB Country PMI'!$A:$AZ,MATCH($A$1,'DB Country PMI'!$A$1:$AZ$1,),))</f>
        <v>50.1</v>
      </c>
      <c r="C24" s="24">
        <f>Table13468111214151617181920[[#This Row],[PMI]]-B23</f>
        <v>-1.3999999999999986</v>
      </c>
    </row>
    <row r="25" spans="1:3" x14ac:dyDescent="0.2">
      <c r="A25" s="10">
        <v>41030</v>
      </c>
      <c r="B25" s="18">
        <f>IF(VLOOKUP(A25,'DB Country PMI'!$A:$AZ,MATCH($A$1,'DB Country PMI'!$A$1:$AZ$1,),)=0,#N/A,VLOOKUP(A25,'DB Country PMI'!$A:$AZ,MATCH($A$1,'DB Country PMI'!$A$1:$AZ$1,),))</f>
        <v>51.2</v>
      </c>
      <c r="C25" s="24">
        <f>Table13468111214151617181920[[#This Row],[PMI]]-B24</f>
        <v>1.1000000000000014</v>
      </c>
    </row>
    <row r="26" spans="1:3" x14ac:dyDescent="0.2">
      <c r="A26" s="10">
        <v>41061</v>
      </c>
      <c r="B26" s="18">
        <f>IF(VLOOKUP(A26,'DB Country PMI'!$A:$AZ,MATCH($A$1,'DB Country PMI'!$A$1:$AZ$1,),)=0,#N/A,VLOOKUP(A26,'DB Country PMI'!$A:$AZ,MATCH($A$1,'DB Country PMI'!$A$1:$AZ$1,),))</f>
        <v>53.1</v>
      </c>
      <c r="C26" s="24">
        <f>Table13468111214151617181920[[#This Row],[PMI]]-B25</f>
        <v>1.8999999999999986</v>
      </c>
    </row>
    <row r="27" spans="1:3" x14ac:dyDescent="0.2">
      <c r="A27" s="10">
        <v>41091</v>
      </c>
      <c r="B27" s="18">
        <f>IF(VLOOKUP(A27,'DB Country PMI'!$A:$AZ,MATCH($A$1,'DB Country PMI'!$A$1:$AZ$1,),)=0,#N/A,VLOOKUP(A27,'DB Country PMI'!$A:$AZ,MATCH($A$1,'DB Country PMI'!$A$1:$AZ$1,),))</f>
        <v>53.9</v>
      </c>
      <c r="C27" s="24">
        <f>Table13468111214151617181920[[#This Row],[PMI]]-B26</f>
        <v>0.79999999999999716</v>
      </c>
    </row>
    <row r="28" spans="1:3" x14ac:dyDescent="0.2">
      <c r="A28" s="10">
        <v>41122</v>
      </c>
      <c r="B28" s="18">
        <f>IF(VLOOKUP(A28,'DB Country PMI'!$A:$AZ,MATCH($A$1,'DB Country PMI'!$A$1:$AZ$1,),)=0,#N/A,VLOOKUP(A28,'DB Country PMI'!$A:$AZ,MATCH($A$1,'DB Country PMI'!$A$1:$AZ$1,),))</f>
        <v>50.9</v>
      </c>
      <c r="C28" s="24">
        <f>Table13468111214151617181920[[#This Row],[PMI]]-B27</f>
        <v>-3</v>
      </c>
    </row>
    <row r="29" spans="1:3" x14ac:dyDescent="0.2">
      <c r="A29" s="10">
        <v>41153</v>
      </c>
      <c r="B29" s="18">
        <f>IF(VLOOKUP(A29,'DB Country PMI'!$A:$AZ,MATCH($A$1,'DB Country PMI'!$A$1:$AZ$1,),)=0,#N/A,VLOOKUP(A29,'DB Country PMI'!$A:$AZ,MATCH($A$1,'DB Country PMI'!$A$1:$AZ$1,),))</f>
        <v>51.8</v>
      </c>
      <c r="C29" s="24">
        <f>Table13468111214151617181920[[#This Row],[PMI]]-B28</f>
        <v>0.89999999999999858</v>
      </c>
    </row>
    <row r="30" spans="1:3" x14ac:dyDescent="0.2">
      <c r="A30" s="10">
        <v>41183</v>
      </c>
      <c r="B30" s="18">
        <f>IF(VLOOKUP(A30,'DB Country PMI'!$A:$AZ,MATCH($A$1,'DB Country PMI'!$A$1:$AZ$1,),)=0,#N/A,VLOOKUP(A30,'DB Country PMI'!$A:$AZ,MATCH($A$1,'DB Country PMI'!$A$1:$AZ$1,),))</f>
        <v>52.1</v>
      </c>
      <c r="C30" s="24">
        <f>Table13468111214151617181920[[#This Row],[PMI]]-B29</f>
        <v>0.30000000000000426</v>
      </c>
    </row>
    <row r="31" spans="1:3" x14ac:dyDescent="0.2">
      <c r="A31" s="10">
        <v>41214</v>
      </c>
      <c r="B31" s="18">
        <f>IF(VLOOKUP(A31,'DB Country PMI'!$A:$AZ,MATCH($A$1,'DB Country PMI'!$A$1:$AZ$1,),)=0,#N/A,VLOOKUP(A31,'DB Country PMI'!$A:$AZ,MATCH($A$1,'DB Country PMI'!$A$1:$AZ$1,),))</f>
        <v>52.4</v>
      </c>
      <c r="C31" s="24">
        <f>Table13468111214151617181920[[#This Row],[PMI]]-B30</f>
        <v>0.29999999999999716</v>
      </c>
    </row>
    <row r="32" spans="1:3" x14ac:dyDescent="0.2">
      <c r="A32" s="10">
        <v>41244</v>
      </c>
      <c r="B32" s="18">
        <f>IF(VLOOKUP(A32,'DB Country PMI'!$A:$AZ,MATCH($A$1,'DB Country PMI'!$A$1:$AZ$1,),)=0,#N/A,VLOOKUP(A32,'DB Country PMI'!$A:$AZ,MATCH($A$1,'DB Country PMI'!$A$1:$AZ$1,),))</f>
        <v>51.4</v>
      </c>
      <c r="C32" s="24">
        <f>Table13468111214151617181920[[#This Row],[PMI]]-B31</f>
        <v>-1</v>
      </c>
    </row>
    <row r="33" spans="1:3" x14ac:dyDescent="0.2">
      <c r="A33" s="10">
        <v>41275</v>
      </c>
      <c r="B33" s="18">
        <f>IF(VLOOKUP(A33,'DB Country PMI'!$A:$AZ,MATCH($A$1,'DB Country PMI'!$A$1:$AZ$1,),)=0,#N/A,VLOOKUP(A33,'DB Country PMI'!$A:$AZ,MATCH($A$1,'DB Country PMI'!$A$1:$AZ$1,),))</f>
        <v>50.3</v>
      </c>
      <c r="C33" s="24">
        <f>Table13468111214151617181920[[#This Row],[PMI]]-B32</f>
        <v>-1.1000000000000014</v>
      </c>
    </row>
    <row r="34" spans="1:3" x14ac:dyDescent="0.2">
      <c r="A34" s="10">
        <v>41306</v>
      </c>
      <c r="B34" s="18">
        <f>IF(VLOOKUP(A34,'DB Country PMI'!$A:$AZ,MATCH($A$1,'DB Country PMI'!$A$1:$AZ$1,),)=0,#N/A,VLOOKUP(A34,'DB Country PMI'!$A:$AZ,MATCH($A$1,'DB Country PMI'!$A$1:$AZ$1,),))</f>
        <v>51.5</v>
      </c>
      <c r="C34" s="24">
        <f>Table13468111214151617181920[[#This Row],[PMI]]-B33</f>
        <v>1.2000000000000028</v>
      </c>
    </row>
    <row r="35" spans="1:3" x14ac:dyDescent="0.2">
      <c r="A35" s="10">
        <v>41334</v>
      </c>
      <c r="B35" s="18">
        <f>IF(VLOOKUP(A35,'DB Country PMI'!$A:$AZ,MATCH($A$1,'DB Country PMI'!$A$1:$AZ$1,),)=0,#N/A,VLOOKUP(A35,'DB Country PMI'!$A:$AZ,MATCH($A$1,'DB Country PMI'!$A$1:$AZ$1,),))</f>
        <v>48.6</v>
      </c>
      <c r="C35" s="24">
        <f>Table13468111214151617181920[[#This Row],[PMI]]-B34</f>
        <v>-2.8999999999999986</v>
      </c>
    </row>
    <row r="36" spans="1:3" x14ac:dyDescent="0.2">
      <c r="A36" s="10">
        <v>41365</v>
      </c>
      <c r="B36" s="18">
        <f>IF(VLOOKUP(A36,'DB Country PMI'!$A:$AZ,MATCH($A$1,'DB Country PMI'!$A$1:$AZ$1,),)=0,#N/A,VLOOKUP(A36,'DB Country PMI'!$A:$AZ,MATCH($A$1,'DB Country PMI'!$A$1:$AZ$1,),))</f>
        <v>48</v>
      </c>
      <c r="C36" s="24">
        <f>Table13468111214151617181920[[#This Row],[PMI]]-B35</f>
        <v>-0.60000000000000142</v>
      </c>
    </row>
    <row r="37" spans="1:3" x14ac:dyDescent="0.2">
      <c r="A37" s="10">
        <v>41395</v>
      </c>
      <c r="B37" s="18">
        <f>IF(VLOOKUP(A37,'DB Country PMI'!$A:$AZ,MATCH($A$1,'DB Country PMI'!$A$1:$AZ$1,),)=0,#N/A,VLOOKUP(A37,'DB Country PMI'!$A:$AZ,MATCH($A$1,'DB Country PMI'!$A$1:$AZ$1,),))</f>
        <v>49.7</v>
      </c>
      <c r="C37" s="24">
        <f>Table13468111214151617181920[[#This Row],[PMI]]-B36</f>
        <v>1.7000000000000028</v>
      </c>
    </row>
    <row r="38" spans="1:3" x14ac:dyDescent="0.2">
      <c r="A38" s="10">
        <v>41426</v>
      </c>
      <c r="B38" s="18">
        <f>IF(VLOOKUP(A38,'DB Country PMI'!$A:$AZ,MATCH($A$1,'DB Country PMI'!$A$1:$AZ$1,),)=0,#N/A,VLOOKUP(A38,'DB Country PMI'!$A:$AZ,MATCH($A$1,'DB Country PMI'!$A$1:$AZ$1,),))</f>
        <v>50.3</v>
      </c>
      <c r="C38" s="24">
        <f>Table13468111214151617181920[[#This Row],[PMI]]-B37</f>
        <v>0.59999999999999432</v>
      </c>
    </row>
    <row r="39" spans="1:3" x14ac:dyDescent="0.2">
      <c r="A39" s="10">
        <v>41456</v>
      </c>
      <c r="B39" s="18">
        <f>IF(VLOOKUP(A39,'DB Country PMI'!$A:$AZ,MATCH($A$1,'DB Country PMI'!$A$1:$AZ$1,),)=0,#N/A,VLOOKUP(A39,'DB Country PMI'!$A:$AZ,MATCH($A$1,'DB Country PMI'!$A$1:$AZ$1,),))</f>
        <v>51</v>
      </c>
      <c r="C39" s="24">
        <f>Table13468111214151617181920[[#This Row],[PMI]]-B38</f>
        <v>0.70000000000000284</v>
      </c>
    </row>
    <row r="40" spans="1:3" x14ac:dyDescent="0.2">
      <c r="A40" s="10">
        <v>41487</v>
      </c>
      <c r="B40" s="18">
        <f>IF(VLOOKUP(A40,'DB Country PMI'!$A:$AZ,MATCH($A$1,'DB Country PMI'!$A$1:$AZ$1,),)=0,#N/A,VLOOKUP(A40,'DB Country PMI'!$A:$AZ,MATCH($A$1,'DB Country PMI'!$A$1:$AZ$1,),))</f>
        <v>52</v>
      </c>
      <c r="C40" s="24">
        <f>Table13468111214151617181920[[#This Row],[PMI]]-B39</f>
        <v>1</v>
      </c>
    </row>
    <row r="41" spans="1:3" x14ac:dyDescent="0.2">
      <c r="A41" s="10">
        <v>41518</v>
      </c>
      <c r="B41" s="18">
        <f>IF(VLOOKUP(A41,'DB Country PMI'!$A:$AZ,MATCH($A$1,'DB Country PMI'!$A$1:$AZ$1,),)=0,#N/A,VLOOKUP(A41,'DB Country PMI'!$A:$AZ,MATCH($A$1,'DB Country PMI'!$A$1:$AZ$1,),))</f>
        <v>52.7</v>
      </c>
      <c r="C41" s="24">
        <f>Table13468111214151617181920[[#This Row],[PMI]]-B40</f>
        <v>0.70000000000000284</v>
      </c>
    </row>
    <row r="42" spans="1:3" x14ac:dyDescent="0.2">
      <c r="A42" s="10">
        <v>41548</v>
      </c>
      <c r="B42" s="18">
        <f>IF(VLOOKUP(A42,'DB Country PMI'!$A:$AZ,MATCH($A$1,'DB Country PMI'!$A$1:$AZ$1,),)=0,#N/A,VLOOKUP(A42,'DB Country PMI'!$A:$AZ,MATCH($A$1,'DB Country PMI'!$A$1:$AZ$1,),))</f>
        <v>54.9</v>
      </c>
      <c r="C42" s="24">
        <f>Table13468111214151617181920[[#This Row],[PMI]]-B41</f>
        <v>2.1999999999999957</v>
      </c>
    </row>
    <row r="43" spans="1:3" x14ac:dyDescent="0.2">
      <c r="A43" s="10">
        <v>41579</v>
      </c>
      <c r="B43" s="18">
        <f>IF(VLOOKUP(A43,'DB Country PMI'!$A:$AZ,MATCH($A$1,'DB Country PMI'!$A$1:$AZ$1,),)=0,#N/A,VLOOKUP(A43,'DB Country PMI'!$A:$AZ,MATCH($A$1,'DB Country PMI'!$A$1:$AZ$1,),))</f>
        <v>52.4</v>
      </c>
      <c r="C43" s="24">
        <f>Table13468111214151617181920[[#This Row],[PMI]]-B42</f>
        <v>-2.5</v>
      </c>
    </row>
    <row r="44" spans="1:3" x14ac:dyDescent="0.2">
      <c r="A44" s="10">
        <v>41609</v>
      </c>
      <c r="B44" s="18">
        <f>IF(VLOOKUP(A44,'DB Country PMI'!$A:$AZ,MATCH($A$1,'DB Country PMI'!$A$1:$AZ$1,),)=0,#N/A,VLOOKUP(A44,'DB Country PMI'!$A:$AZ,MATCH($A$1,'DB Country PMI'!$A$1:$AZ$1,),))</f>
        <v>53.5</v>
      </c>
      <c r="C44" s="24">
        <f>Table13468111214151617181920[[#This Row],[PMI]]-B43</f>
        <v>1.1000000000000014</v>
      </c>
    </row>
    <row r="45" spans="1:3" x14ac:dyDescent="0.2">
      <c r="A45" s="10">
        <v>41640</v>
      </c>
      <c r="B45" s="18">
        <f>IF(VLOOKUP(A45,'DB Country PMI'!$A:$AZ,MATCH($A$1,'DB Country PMI'!$A$1:$AZ$1,),)=0,#N/A,VLOOKUP(A45,'DB Country PMI'!$A:$AZ,MATCH($A$1,'DB Country PMI'!$A$1:$AZ$1,),))</f>
        <v>52.8</v>
      </c>
      <c r="C45" s="24">
        <f>Table13468111214151617181920[[#This Row],[PMI]]-B44</f>
        <v>-0.70000000000000284</v>
      </c>
    </row>
    <row r="46" spans="1:3" x14ac:dyDescent="0.2">
      <c r="A46" s="10">
        <v>41671</v>
      </c>
      <c r="B46" s="18">
        <f>IF(VLOOKUP(A46,'DB Country PMI'!$A:$AZ,MATCH($A$1,'DB Country PMI'!$A$1:$AZ$1,),)=0,#N/A,VLOOKUP(A46,'DB Country PMI'!$A:$AZ,MATCH($A$1,'DB Country PMI'!$A$1:$AZ$1,),))</f>
        <v>52.9</v>
      </c>
      <c r="C46" s="24">
        <f>Table13468111214151617181920[[#This Row],[PMI]]-B45</f>
        <v>0.10000000000000142</v>
      </c>
    </row>
    <row r="47" spans="1:3" x14ac:dyDescent="0.2">
      <c r="A47" s="10">
        <v>41699</v>
      </c>
      <c r="B47" s="18">
        <f>IF(VLOOKUP(A47,'DB Country PMI'!$A:$AZ,MATCH($A$1,'DB Country PMI'!$A$1:$AZ$1,),)=0,#N/A,VLOOKUP(A47,'DB Country PMI'!$A:$AZ,MATCH($A$1,'DB Country PMI'!$A$1:$AZ$1,),))</f>
        <v>55.5</v>
      </c>
      <c r="C47" s="24">
        <f>Table13468111214151617181920[[#This Row],[PMI]]-B46</f>
        <v>2.6000000000000014</v>
      </c>
    </row>
    <row r="48" spans="1:3" x14ac:dyDescent="0.2">
      <c r="A48" s="10">
        <v>41730</v>
      </c>
      <c r="B48" s="18">
        <f>IF(VLOOKUP(A48,'DB Country PMI'!$A:$AZ,MATCH($A$1,'DB Country PMI'!$A$1:$AZ$1,),)=0,#N/A,VLOOKUP(A48,'DB Country PMI'!$A:$AZ,MATCH($A$1,'DB Country PMI'!$A$1:$AZ$1,),))</f>
        <v>56.1</v>
      </c>
      <c r="C48" s="24">
        <f>Table13468111214151617181920[[#This Row],[PMI]]-B47</f>
        <v>0.60000000000000142</v>
      </c>
    </row>
    <row r="49" spans="1:3" x14ac:dyDescent="0.2">
      <c r="A49" s="10">
        <v>41760</v>
      </c>
      <c r="B49" s="18">
        <f>IF(VLOOKUP(A49,'DB Country PMI'!$A:$AZ,MATCH($A$1,'DB Country PMI'!$A$1:$AZ$1,),)=0,#N/A,VLOOKUP(A49,'DB Country PMI'!$A:$AZ,MATCH($A$1,'DB Country PMI'!$A$1:$AZ$1,),))</f>
        <v>55</v>
      </c>
      <c r="C49" s="24">
        <f>Table13468111214151617181920[[#This Row],[PMI]]-B48</f>
        <v>-1.1000000000000014</v>
      </c>
    </row>
    <row r="50" spans="1:3" x14ac:dyDescent="0.2">
      <c r="A50" s="10">
        <v>41791</v>
      </c>
      <c r="B50" s="18">
        <f>IF(VLOOKUP(A50,'DB Country PMI'!$A:$AZ,MATCH($A$1,'DB Country PMI'!$A$1:$AZ$1,),)=0,#N/A,VLOOKUP(A50,'DB Country PMI'!$A:$AZ,MATCH($A$1,'DB Country PMI'!$A$1:$AZ$1,),))</f>
        <v>55.3</v>
      </c>
      <c r="C50" s="24">
        <f>Table13468111214151617181920[[#This Row],[PMI]]-B49</f>
        <v>0.29999999999999716</v>
      </c>
    </row>
    <row r="51" spans="1:3" x14ac:dyDescent="0.2">
      <c r="A51" s="10">
        <v>41821</v>
      </c>
      <c r="B51" s="18">
        <f>IF(VLOOKUP(A51,'DB Country PMI'!$A:$AZ,MATCH($A$1,'DB Country PMI'!$A$1:$AZ$1,),)=0,#N/A,VLOOKUP(A51,'DB Country PMI'!$A:$AZ,MATCH($A$1,'DB Country PMI'!$A$1:$AZ$1,),))</f>
        <v>55.4</v>
      </c>
      <c r="C51" s="24">
        <f>Table13468111214151617181920[[#This Row],[PMI]]-B50</f>
        <v>0.10000000000000142</v>
      </c>
    </row>
    <row r="52" spans="1:3" x14ac:dyDescent="0.2">
      <c r="A52" s="10">
        <v>41852</v>
      </c>
      <c r="B52" s="18">
        <f>IF(VLOOKUP(A52,'DB Country PMI'!$A:$AZ,MATCH($A$1,'DB Country PMI'!$A$1:$AZ$1,),)=0,#N/A,VLOOKUP(A52,'DB Country PMI'!$A:$AZ,MATCH($A$1,'DB Country PMI'!$A$1:$AZ$1,),))</f>
        <v>57.3</v>
      </c>
      <c r="C52" s="24">
        <f>Table13468111214151617181920[[#This Row],[PMI]]-B51</f>
        <v>1.8999999999999986</v>
      </c>
    </row>
    <row r="53" spans="1:3" x14ac:dyDescent="0.2">
      <c r="A53" s="10">
        <v>41883</v>
      </c>
      <c r="B53" s="18">
        <f>IF(VLOOKUP(A53,'DB Country PMI'!$A:$AZ,MATCH($A$1,'DB Country PMI'!$A$1:$AZ$1,),)=0,#N/A,VLOOKUP(A53,'DB Country PMI'!$A:$AZ,MATCH($A$1,'DB Country PMI'!$A$1:$AZ$1,),))</f>
        <v>55.7</v>
      </c>
      <c r="C53" s="24">
        <f>Table13468111214151617181920[[#This Row],[PMI]]-B52</f>
        <v>-1.5999999999999943</v>
      </c>
    </row>
    <row r="54" spans="1:3" x14ac:dyDescent="0.2">
      <c r="A54" s="10">
        <v>41913</v>
      </c>
      <c r="B54" s="18">
        <f>IF(VLOOKUP(A54,'DB Country PMI'!$A:$AZ,MATCH($A$1,'DB Country PMI'!$A$1:$AZ$1,),)=0,#N/A,VLOOKUP(A54,'DB Country PMI'!$A:$AZ,MATCH($A$1,'DB Country PMI'!$A$1:$AZ$1,),))</f>
        <v>56.6</v>
      </c>
      <c r="C54" s="24">
        <f>Table13468111214151617181920[[#This Row],[PMI]]-B53</f>
        <v>0.89999999999999858</v>
      </c>
    </row>
    <row r="55" spans="1:3" x14ac:dyDescent="0.2">
      <c r="A55" s="10">
        <v>41944</v>
      </c>
      <c r="B55" s="18">
        <f>IF(VLOOKUP(A55,'DB Country PMI'!$A:$AZ,MATCH($A$1,'DB Country PMI'!$A$1:$AZ$1,),)=0,#N/A,VLOOKUP(A55,'DB Country PMI'!$A:$AZ,MATCH($A$1,'DB Country PMI'!$A$1:$AZ$1,),))</f>
        <v>56.2</v>
      </c>
      <c r="C55" s="24">
        <f>Table13468111214151617181920[[#This Row],[PMI]]-B54</f>
        <v>-0.39999999999999858</v>
      </c>
    </row>
    <row r="56" spans="1:3" x14ac:dyDescent="0.2">
      <c r="A56" s="10">
        <v>41974</v>
      </c>
      <c r="B56" s="18">
        <f>IF(VLOOKUP(A56,'DB Country PMI'!$A:$AZ,MATCH($A$1,'DB Country PMI'!$A$1:$AZ$1,),)=0,#N/A,VLOOKUP(A56,'DB Country PMI'!$A:$AZ,MATCH($A$1,'DB Country PMI'!$A$1:$AZ$1,),))</f>
        <v>56.9</v>
      </c>
      <c r="C56" s="24">
        <f>Table13468111214151617181920[[#This Row],[PMI]]-B55</f>
        <v>0.69999999999999574</v>
      </c>
    </row>
    <row r="57" spans="1:3" x14ac:dyDescent="0.2">
      <c r="A57" s="10">
        <v>42005</v>
      </c>
      <c r="B57" s="18">
        <f>IF(VLOOKUP(A57,'DB Country PMI'!$A:$AZ,MATCH($A$1,'DB Country PMI'!$A$1:$AZ$1,),)=0,#N/A,VLOOKUP(A57,'DB Country PMI'!$A:$AZ,MATCH($A$1,'DB Country PMI'!$A$1:$AZ$1,),))</f>
        <v>55.1</v>
      </c>
      <c r="C57" s="24">
        <f>Table13468111214151617181920[[#This Row],[PMI]]-B56</f>
        <v>-1.7999999999999972</v>
      </c>
    </row>
    <row r="58" spans="1:3" x14ac:dyDescent="0.2">
      <c r="A58" s="10">
        <v>42036</v>
      </c>
      <c r="B58" s="18">
        <f>IF(VLOOKUP(A58,'DB Country PMI'!$A:$AZ,MATCH($A$1,'DB Country PMI'!$A$1:$AZ$1,),)=0,#N/A,VLOOKUP(A58,'DB Country PMI'!$A:$AZ,MATCH($A$1,'DB Country PMI'!$A$1:$AZ$1,),))</f>
        <v>57.5</v>
      </c>
      <c r="C58" s="24">
        <f>Table13468111214151617181920[[#This Row],[PMI]]-B57</f>
        <v>2.3999999999999986</v>
      </c>
    </row>
    <row r="59" spans="1:3" x14ac:dyDescent="0.2">
      <c r="A59" s="10">
        <v>42064</v>
      </c>
      <c r="B59" s="18">
        <f>IF(VLOOKUP(A59,'DB Country PMI'!$A:$AZ,MATCH($A$1,'DB Country PMI'!$A$1:$AZ$1,),)=0,#N/A,VLOOKUP(A59,'DB Country PMI'!$A:$AZ,MATCH($A$1,'DB Country PMI'!$A$1:$AZ$1,),))</f>
        <v>56.8</v>
      </c>
      <c r="C59" s="24">
        <f>Table13468111214151617181920[[#This Row],[PMI]]-B58</f>
        <v>-0.70000000000000284</v>
      </c>
    </row>
    <row r="60" spans="1:3" x14ac:dyDescent="0.2">
      <c r="A60" s="10">
        <v>42095</v>
      </c>
      <c r="B60" s="18">
        <f>IF(VLOOKUP(A60,'DB Country PMI'!$A:$AZ,MATCH($A$1,'DB Country PMI'!$A$1:$AZ$1,),)=0,#N/A,VLOOKUP(A60,'DB Country PMI'!$A:$AZ,MATCH($A$1,'DB Country PMI'!$A$1:$AZ$1,),))</f>
        <v>55.8</v>
      </c>
      <c r="C60" s="24">
        <f>Table13468111214151617181920[[#This Row],[PMI]]-B59</f>
        <v>-1</v>
      </c>
    </row>
    <row r="61" spans="1:3" x14ac:dyDescent="0.2">
      <c r="A61" s="10">
        <v>42125</v>
      </c>
      <c r="B61" s="18">
        <f>IF(VLOOKUP(A61,'DB Country PMI'!$A:$AZ,MATCH($A$1,'DB Country PMI'!$A$1:$AZ$1,),)=0,#N/A,VLOOKUP(A61,'DB Country PMI'!$A:$AZ,MATCH($A$1,'DB Country PMI'!$A$1:$AZ$1,),))</f>
        <v>57.1</v>
      </c>
      <c r="C61" s="24">
        <f>Table13468111214151617181920[[#This Row],[PMI]]-B60</f>
        <v>1.3000000000000043</v>
      </c>
    </row>
    <row r="62" spans="1:3" x14ac:dyDescent="0.2">
      <c r="A62" s="10">
        <v>42156</v>
      </c>
      <c r="B62" s="18">
        <f>IF(VLOOKUP(A62,'DB Country PMI'!$A:$AZ,MATCH($A$1,'DB Country PMI'!$A$1:$AZ$1,),)=0,#N/A,VLOOKUP(A62,'DB Country PMI'!$A:$AZ,MATCH($A$1,'DB Country PMI'!$A$1:$AZ$1,),))</f>
        <v>54.6</v>
      </c>
      <c r="C62" s="24">
        <f>Table13468111214151617181920[[#This Row],[PMI]]-B61</f>
        <v>-2.5</v>
      </c>
    </row>
    <row r="63" spans="1:3" x14ac:dyDescent="0.2">
      <c r="A63" s="10">
        <v>42186</v>
      </c>
      <c r="B63" s="18">
        <f>IF(VLOOKUP(A63,'DB Country PMI'!$A:$AZ,MATCH($A$1,'DB Country PMI'!$A$1:$AZ$1,),)=0,#N/A,VLOOKUP(A63,'DB Country PMI'!$A:$AZ,MATCH($A$1,'DB Country PMI'!$A$1:$AZ$1,),))</f>
        <v>56.7</v>
      </c>
      <c r="C63" s="24">
        <f>Table13468111214151617181920[[#This Row],[PMI]]-B62</f>
        <v>2.1000000000000014</v>
      </c>
    </row>
    <row r="64" spans="1:3" x14ac:dyDescent="0.2">
      <c r="A64" s="10">
        <v>42217</v>
      </c>
      <c r="B64" s="18">
        <f>IF(VLOOKUP(A64,'DB Country PMI'!$A:$AZ,MATCH($A$1,'DB Country PMI'!$A$1:$AZ$1,),)=0,#N/A,VLOOKUP(A64,'DB Country PMI'!$A:$AZ,MATCH($A$1,'DB Country PMI'!$A$1:$AZ$1,),))</f>
        <v>53.6</v>
      </c>
      <c r="C64" s="24">
        <f>Table13468111214151617181920[[#This Row],[PMI]]-B63</f>
        <v>-3.1000000000000014</v>
      </c>
    </row>
    <row r="65" spans="1:3" x14ac:dyDescent="0.2">
      <c r="A65" s="10">
        <v>42248</v>
      </c>
      <c r="B65" s="18">
        <f>IF(VLOOKUP(A65,'DB Country PMI'!$A:$AZ,MATCH($A$1,'DB Country PMI'!$A$1:$AZ$1,),)=0,#N/A,VLOOKUP(A65,'DB Country PMI'!$A:$AZ,MATCH($A$1,'DB Country PMI'!$A$1:$AZ$1,),))</f>
        <v>53.8</v>
      </c>
      <c r="C65" s="24">
        <f>Table13468111214151617181920[[#This Row],[PMI]]-B64</f>
        <v>0.19999999999999574</v>
      </c>
    </row>
    <row r="66" spans="1:3" x14ac:dyDescent="0.2">
      <c r="A66" s="10">
        <v>42278</v>
      </c>
      <c r="B66" s="18">
        <f>IF(VLOOKUP(A66,'DB Country PMI'!$A:$AZ,MATCH($A$1,'DB Country PMI'!$A$1:$AZ$1,),)=0,#N/A,VLOOKUP(A66,'DB Country PMI'!$A:$AZ,MATCH($A$1,'DB Country PMI'!$A$1:$AZ$1,),))</f>
        <v>53.6</v>
      </c>
      <c r="C66" s="24">
        <f>Table13468111214151617181920[[#This Row],[PMI]]-B65</f>
        <v>-0.19999999999999574</v>
      </c>
    </row>
    <row r="67" spans="1:3" x14ac:dyDescent="0.2">
      <c r="A67" s="10">
        <v>42309</v>
      </c>
      <c r="B67" s="18">
        <f>IF(VLOOKUP(A67,'DB Country PMI'!$A:$AZ,MATCH($A$1,'DB Country PMI'!$A$1:$AZ$1,),)=0,#N/A,VLOOKUP(A67,'DB Country PMI'!$A:$AZ,MATCH($A$1,'DB Country PMI'!$A$1:$AZ$1,),))</f>
        <v>53.3</v>
      </c>
      <c r="C67" s="24">
        <f>Table13468111214151617181920[[#This Row],[PMI]]-B66</f>
        <v>-0.30000000000000426</v>
      </c>
    </row>
    <row r="68" spans="1:3" x14ac:dyDescent="0.2">
      <c r="A68" s="10">
        <v>42339</v>
      </c>
      <c r="B68" s="18">
        <f>IF(VLOOKUP(A68,'DB Country PMI'!$A:$AZ,MATCH($A$1,'DB Country PMI'!$A$1:$AZ$1,),)=0,#N/A,VLOOKUP(A68,'DB Country PMI'!$A:$AZ,MATCH($A$1,'DB Country PMI'!$A$1:$AZ$1,),))</f>
        <v>54.2</v>
      </c>
      <c r="C68" s="24">
        <f>Table13468111214151617181920[[#This Row],[PMI]]-B67</f>
        <v>0.90000000000000568</v>
      </c>
    </row>
    <row r="69" spans="1:3" x14ac:dyDescent="0.2">
      <c r="A69" s="10">
        <v>42370</v>
      </c>
      <c r="B69" s="18">
        <f>IF(VLOOKUP(A69,'DB Country PMI'!$A:$AZ,MATCH($A$1,'DB Country PMI'!$A$1:$AZ$1,),)=0,#N/A,VLOOKUP(A69,'DB Country PMI'!$A:$AZ,MATCH($A$1,'DB Country PMI'!$A$1:$AZ$1,),))</f>
        <v>54.3</v>
      </c>
      <c r="C69" s="24">
        <f>Table13468111214151617181920[[#This Row],[PMI]]-B68</f>
        <v>9.9999999999994316E-2</v>
      </c>
    </row>
    <row r="70" spans="1:3" x14ac:dyDescent="0.2">
      <c r="A70" s="10">
        <v>42401</v>
      </c>
      <c r="B70" s="18">
        <f>IF(VLOOKUP(A70,'DB Country PMI'!$A:$AZ,MATCH($A$1,'DB Country PMI'!$A$1:$AZ$1,),)=0,#N/A,VLOOKUP(A70,'DB Country PMI'!$A:$AZ,MATCH($A$1,'DB Country PMI'!$A$1:$AZ$1,),))</f>
        <v>52.9</v>
      </c>
      <c r="C70" s="24">
        <f>Table13468111214151617181920[[#This Row],[PMI]]-B69</f>
        <v>-1.3999999999999986</v>
      </c>
    </row>
    <row r="71" spans="1:3" x14ac:dyDescent="0.2">
      <c r="A71" s="10">
        <v>42430</v>
      </c>
      <c r="B71" s="18">
        <f>IF(VLOOKUP(A71,'DB Country PMI'!$A:$AZ,MATCH($A$1,'DB Country PMI'!$A$1:$AZ$1,),)=0,#N/A,VLOOKUP(A71,'DB Country PMI'!$A:$AZ,MATCH($A$1,'DB Country PMI'!$A$1:$AZ$1,),))</f>
        <v>54.9</v>
      </c>
      <c r="C71" s="24">
        <f>Table13468111214151617181920[[#This Row],[PMI]]-B70</f>
        <v>2</v>
      </c>
    </row>
    <row r="72" spans="1:3" x14ac:dyDescent="0.2">
      <c r="A72" s="10">
        <v>42461</v>
      </c>
      <c r="B72" s="18">
        <f>IF(VLOOKUP(A72,'DB Country PMI'!$A:$AZ,MATCH($A$1,'DB Country PMI'!$A$1:$AZ$1,),)=0,#N/A,VLOOKUP(A72,'DB Country PMI'!$A:$AZ,MATCH($A$1,'DB Country PMI'!$A$1:$AZ$1,),))</f>
        <v>52.6</v>
      </c>
      <c r="C72" s="24">
        <f>Table13468111214151617181920[[#This Row],[PMI]]-B71</f>
        <v>-2.2999999999999972</v>
      </c>
    </row>
    <row r="73" spans="1:3" x14ac:dyDescent="0.2">
      <c r="A73" s="10">
        <v>42491</v>
      </c>
      <c r="B73" s="18">
        <f>IF(VLOOKUP(A73,'DB Country PMI'!$A:$AZ,MATCH($A$1,'DB Country PMI'!$A$1:$AZ$1,),)=0,#N/A,VLOOKUP(A73,'DB Country PMI'!$A:$AZ,MATCH($A$1,'DB Country PMI'!$A$1:$AZ$1,),))</f>
        <v>51.5</v>
      </c>
      <c r="C73" s="24">
        <f>Table13468111214151617181920[[#This Row],[PMI]]-B72</f>
        <v>-1.1000000000000014</v>
      </c>
    </row>
    <row r="74" spans="1:3" x14ac:dyDescent="0.2">
      <c r="A74" s="10">
        <v>42522</v>
      </c>
      <c r="B74" s="18">
        <f>IF(VLOOKUP(A74,'DB Country PMI'!$A:$AZ,MATCH($A$1,'DB Country PMI'!$A$1:$AZ$1,),)=0,#N/A,VLOOKUP(A74,'DB Country PMI'!$A:$AZ,MATCH($A$1,'DB Country PMI'!$A$1:$AZ$1,),))</f>
        <v>53</v>
      </c>
      <c r="C74" s="24">
        <f>Table13468111214151617181920[[#This Row],[PMI]]-B73</f>
        <v>1.5</v>
      </c>
    </row>
    <row r="75" spans="1:3" x14ac:dyDescent="0.2">
      <c r="A75" s="10">
        <v>42552</v>
      </c>
      <c r="B75" s="18">
        <f>IF(VLOOKUP(A75,'DB Country PMI'!$A:$AZ,MATCH($A$1,'DB Country PMI'!$A$1:$AZ$1,),)=0,#N/A,VLOOKUP(A75,'DB Country PMI'!$A:$AZ,MATCH($A$1,'DB Country PMI'!$A$1:$AZ$1,),))</f>
        <v>50.2</v>
      </c>
      <c r="C75" s="24">
        <f>Table13468111214151617181920[[#This Row],[PMI]]-B74</f>
        <v>-2.7999999999999972</v>
      </c>
    </row>
    <row r="76" spans="1:3" x14ac:dyDescent="0.2">
      <c r="A76" s="10">
        <v>42583</v>
      </c>
      <c r="B76" s="18">
        <f>IF(VLOOKUP(A76,'DB Country PMI'!$A:$AZ,MATCH($A$1,'DB Country PMI'!$A$1:$AZ$1,),)=0,#N/A,VLOOKUP(A76,'DB Country PMI'!$A:$AZ,MATCH($A$1,'DB Country PMI'!$A$1:$AZ$1,),))</f>
        <v>51.7</v>
      </c>
      <c r="C76" s="24">
        <f>Table13468111214151617181920[[#This Row],[PMI]]-B75</f>
        <v>1.5</v>
      </c>
    </row>
    <row r="77" spans="1:3" x14ac:dyDescent="0.2">
      <c r="A77" s="10">
        <v>42614</v>
      </c>
      <c r="B77" s="18">
        <f>IF(VLOOKUP(A77,'DB Country PMI'!$A:$AZ,MATCH($A$1,'DB Country PMI'!$A$1:$AZ$1,),)=0,#N/A,VLOOKUP(A77,'DB Country PMI'!$A:$AZ,MATCH($A$1,'DB Country PMI'!$A$1:$AZ$1,),))</f>
        <v>51.3</v>
      </c>
      <c r="C77" s="24">
        <f>Table13468111214151617181920[[#This Row],[PMI]]-B76</f>
        <v>-0.40000000000000568</v>
      </c>
    </row>
    <row r="78" spans="1:3" x14ac:dyDescent="0.2">
      <c r="A78" s="10">
        <v>42644</v>
      </c>
      <c r="B78" s="18">
        <f>IF(VLOOKUP(A78,'DB Country PMI'!$A:$AZ,MATCH($A$1,'DB Country PMI'!$A$1:$AZ$1,),)=0,#N/A,VLOOKUP(A78,'DB Country PMI'!$A:$AZ,MATCH($A$1,'DB Country PMI'!$A$1:$AZ$1,),))</f>
        <v>52.1</v>
      </c>
      <c r="C78" s="24">
        <f>Table13468111214151617181920[[#This Row],[PMI]]-B77</f>
        <v>0.80000000000000426</v>
      </c>
    </row>
    <row r="79" spans="1:3" x14ac:dyDescent="0.2">
      <c r="A79" s="10">
        <v>42675</v>
      </c>
      <c r="B79" s="18">
        <f>IF(VLOOKUP(A79,'DB Country PMI'!$A:$AZ,MATCH($A$1,'DB Country PMI'!$A$1:$AZ$1,),)=0,#N/A,VLOOKUP(A79,'DB Country PMI'!$A:$AZ,MATCH($A$1,'DB Country PMI'!$A$1:$AZ$1,),))</f>
        <v>53.7</v>
      </c>
      <c r="C79" s="24">
        <f>Table13468111214151617181920[[#This Row],[PMI]]-B78</f>
        <v>1.6000000000000014</v>
      </c>
    </row>
    <row r="80" spans="1:3" x14ac:dyDescent="0.2">
      <c r="A80" s="10">
        <v>42705</v>
      </c>
      <c r="B80" s="18">
        <f>IF(VLOOKUP(A80,'DB Country PMI'!$A:$AZ,MATCH($A$1,'DB Country PMI'!$A$1:$AZ$1,),)=0,#N/A,VLOOKUP(A80,'DB Country PMI'!$A:$AZ,MATCH($A$1,'DB Country PMI'!$A$1:$AZ$1,),))</f>
        <v>55.7</v>
      </c>
      <c r="C80" s="24">
        <f>Table13468111214151617181920[[#This Row],[PMI]]-B79</f>
        <v>2</v>
      </c>
    </row>
    <row r="81" spans="1:3" x14ac:dyDescent="0.2">
      <c r="A81" s="10">
        <v>42736</v>
      </c>
      <c r="B81" s="18">
        <f>IF(VLOOKUP(A81,'DB Country PMI'!$A:$AZ,MATCH($A$1,'DB Country PMI'!$A$1:$AZ$1,),)=0,#N/A,VLOOKUP(A81,'DB Country PMI'!$A:$AZ,MATCH($A$1,'DB Country PMI'!$A$1:$AZ$1,),))</f>
        <v>55.5</v>
      </c>
      <c r="C81" s="24">
        <f>Table13468111214151617181920[[#This Row],[PMI]]-B80</f>
        <v>-0.20000000000000284</v>
      </c>
    </row>
    <row r="82" spans="1:3" x14ac:dyDescent="0.2">
      <c r="A82" s="10">
        <v>42767</v>
      </c>
      <c r="B82" s="18">
        <f>IF(VLOOKUP(A82,'DB Country PMI'!$A:$AZ,MATCH($A$1,'DB Country PMI'!$A$1:$AZ$1,),)=0,#N/A,VLOOKUP(A82,'DB Country PMI'!$A:$AZ,MATCH($A$1,'DB Country PMI'!$A$1:$AZ$1,),))</f>
        <v>53.8</v>
      </c>
      <c r="C82" s="24">
        <f>Table13468111214151617181920[[#This Row],[PMI]]-B81</f>
        <v>-1.7000000000000028</v>
      </c>
    </row>
    <row r="83" spans="1:3" x14ac:dyDescent="0.2">
      <c r="A83" s="10">
        <v>42795</v>
      </c>
      <c r="B83" s="18">
        <f>IF(VLOOKUP(A83,'DB Country PMI'!$A:$AZ,MATCH($A$1,'DB Country PMI'!$A$1:$AZ$1,),)=0,#N/A,VLOOKUP(A83,'DB Country PMI'!$A:$AZ,MATCH($A$1,'DB Country PMI'!$A$1:$AZ$1,),))</f>
        <v>53.6</v>
      </c>
      <c r="C83" s="24">
        <f>Table13468111214151617181920[[#This Row],[PMI]]-B82</f>
        <v>-0.19999999999999574</v>
      </c>
    </row>
    <row r="84" spans="1:3" x14ac:dyDescent="0.2">
      <c r="A84" s="10">
        <v>42826</v>
      </c>
      <c r="B84" s="18">
        <f>IF(VLOOKUP(A84,'DB Country PMI'!$A:$AZ,MATCH($A$1,'DB Country PMI'!$A$1:$AZ$1,),)=0,#N/A,VLOOKUP(A84,'DB Country PMI'!$A:$AZ,MATCH($A$1,'DB Country PMI'!$A$1:$AZ$1,),))</f>
        <v>55</v>
      </c>
      <c r="C84" s="24">
        <f>Table13468111214151617181920[[#This Row],[PMI]]-B83</f>
        <v>1.3999999999999986</v>
      </c>
    </row>
    <row r="85" spans="1:3" x14ac:dyDescent="0.2">
      <c r="A85" s="10">
        <v>42856</v>
      </c>
      <c r="B85" s="18">
        <f>IF(VLOOKUP(A85,'DB Country PMI'!$A:$AZ,MATCH($A$1,'DB Country PMI'!$A$1:$AZ$1,),)=0,#N/A,VLOOKUP(A85,'DB Country PMI'!$A:$AZ,MATCH($A$1,'DB Country PMI'!$A$1:$AZ$1,),))</f>
        <v>55.9</v>
      </c>
      <c r="C85" s="24">
        <f>Table13468111214151617181920[[#This Row],[PMI]]-B84</f>
        <v>0.89999999999999858</v>
      </c>
    </row>
    <row r="86" spans="1:3" x14ac:dyDescent="0.2">
      <c r="A86" s="10">
        <v>42887</v>
      </c>
      <c r="B86" s="18">
        <f>IF(VLOOKUP(A86,'DB Country PMI'!$A:$AZ,MATCH($A$1,'DB Country PMI'!$A$1:$AZ$1,),)=0,#N/A,VLOOKUP(A86,'DB Country PMI'!$A:$AZ,MATCH($A$1,'DB Country PMI'!$A$1:$AZ$1,),))</f>
        <v>56</v>
      </c>
      <c r="C86" s="24">
        <f>Table13468111214151617181920[[#This Row],[PMI]]-B85</f>
        <v>0.10000000000000142</v>
      </c>
    </row>
    <row r="87" spans="1:3" x14ac:dyDescent="0.2">
      <c r="A87" s="10">
        <v>42917</v>
      </c>
      <c r="B87" s="18">
        <f>IF(VLOOKUP(A87,'DB Country PMI'!$A:$AZ,MATCH($A$1,'DB Country PMI'!$A$1:$AZ$1,),)=0,#N/A,VLOOKUP(A87,'DB Country PMI'!$A:$AZ,MATCH($A$1,'DB Country PMI'!$A$1:$AZ$1,),))</f>
        <v>54.6</v>
      </c>
      <c r="C87" s="24">
        <f>Table13468111214151617181920[[#This Row],[PMI]]-B86</f>
        <v>-1.3999999999999986</v>
      </c>
    </row>
    <row r="88" spans="1:3" x14ac:dyDescent="0.2">
      <c r="A88" s="10">
        <v>42948</v>
      </c>
      <c r="B88" s="18">
        <f>IF(VLOOKUP(A88,'DB Country PMI'!$A:$AZ,MATCH($A$1,'DB Country PMI'!$A$1:$AZ$1,),)=0,#N/A,VLOOKUP(A88,'DB Country PMI'!$A:$AZ,MATCH($A$1,'DB Country PMI'!$A$1:$AZ$1,),))</f>
        <v>56.1</v>
      </c>
      <c r="C88" s="24">
        <f>Table13468111214151617181920[[#This Row],[PMI]]-B87</f>
        <v>1.5</v>
      </c>
    </row>
    <row r="89" spans="1:3" x14ac:dyDescent="0.2">
      <c r="A89" s="10">
        <v>42979</v>
      </c>
      <c r="B89" s="18">
        <f>IF(VLOOKUP(A89,'DB Country PMI'!$A:$AZ,MATCH($A$1,'DB Country PMI'!$A$1:$AZ$1,),)=0,#N/A,VLOOKUP(A89,'DB Country PMI'!$A:$AZ,MATCH($A$1,'DB Country PMI'!$A$1:$AZ$1,),))</f>
        <v>55.4</v>
      </c>
      <c r="C89" s="24">
        <f>Table13468111214151617181920[[#This Row],[PMI]]-B88</f>
        <v>-0.70000000000000284</v>
      </c>
    </row>
    <row r="90" spans="1:3" x14ac:dyDescent="0.2">
      <c r="A90" s="10">
        <v>43009</v>
      </c>
      <c r="B90" s="18">
        <f>IF(VLOOKUP(A90,'DB Country PMI'!$A:$AZ,MATCH($A$1,'DB Country PMI'!$A$1:$AZ$1,),)=0,#N/A,VLOOKUP(A90,'DB Country PMI'!$A:$AZ,MATCH($A$1,'DB Country PMI'!$A$1:$AZ$1,),))</f>
        <v>54.4</v>
      </c>
      <c r="C90" s="24">
        <f>Table13468111214151617181920[[#This Row],[PMI]]-B89</f>
        <v>-1</v>
      </c>
    </row>
    <row r="91" spans="1:3" x14ac:dyDescent="0.2">
      <c r="A91" s="10">
        <v>43040</v>
      </c>
      <c r="B91" s="18">
        <f>IF(VLOOKUP(A91,'DB Country PMI'!$A:$AZ,MATCH($A$1,'DB Country PMI'!$A$1:$AZ$1,),)=0,#N/A,VLOOKUP(A91,'DB Country PMI'!$A:$AZ,MATCH($A$1,'DB Country PMI'!$A$1:$AZ$1,),))</f>
        <v>58.1</v>
      </c>
      <c r="C91" s="24">
        <f>Table13468111214151617181920[[#This Row],[PMI]]-B90</f>
        <v>3.7000000000000028</v>
      </c>
    </row>
    <row r="92" spans="1:3" x14ac:dyDescent="0.2">
      <c r="A92" s="10">
        <v>43070</v>
      </c>
      <c r="B92" s="18">
        <f>IF(VLOOKUP(A92,'DB Country PMI'!$A:$AZ,MATCH($A$1,'DB Country PMI'!$A$1:$AZ$1,),)=0,#N/A,VLOOKUP(A92,'DB Country PMI'!$A:$AZ,MATCH($A$1,'DB Country PMI'!$A$1:$AZ$1,),))</f>
        <v>59.1</v>
      </c>
      <c r="C92" s="24">
        <f>Table13468111214151617181920[[#This Row],[PMI]]-B91</f>
        <v>1</v>
      </c>
    </row>
    <row r="93" spans="1:3" x14ac:dyDescent="0.2">
      <c r="A93" s="10">
        <v>43101</v>
      </c>
      <c r="B93" s="18">
        <f>IF(VLOOKUP(A93,'DB Country PMI'!$A:$AZ,MATCH($A$1,'DB Country PMI'!$A$1:$AZ$1,),)=0,#N/A,VLOOKUP(A93,'DB Country PMI'!$A:$AZ,MATCH($A$1,'DB Country PMI'!$A$1:$AZ$1,),))</f>
        <v>57.6</v>
      </c>
      <c r="C93" s="24">
        <f>Table13468111214151617181920[[#This Row],[PMI]]-B92</f>
        <v>-1.5</v>
      </c>
    </row>
    <row r="94" spans="1:3" x14ac:dyDescent="0.2">
      <c r="A94" s="10">
        <v>43132</v>
      </c>
      <c r="B94" s="18">
        <f>IF(VLOOKUP(A94,'DB Country PMI'!$A:$AZ,MATCH($A$1,'DB Country PMI'!$A$1:$AZ$1,),)=0,#N/A,VLOOKUP(A94,'DB Country PMI'!$A:$AZ,MATCH($A$1,'DB Country PMI'!$A$1:$AZ$1,),))</f>
        <v>56.2</v>
      </c>
      <c r="C94" s="24">
        <f>Table13468111214151617181920[[#This Row],[PMI]]-B93</f>
        <v>-1.3999999999999986</v>
      </c>
    </row>
    <row r="95" spans="1:3" x14ac:dyDescent="0.2">
      <c r="A95" s="10">
        <v>43160</v>
      </c>
      <c r="B95" s="18">
        <f>IF(VLOOKUP(A95,'DB Country PMI'!$A:$AZ,MATCH($A$1,'DB Country PMI'!$A$1:$AZ$1,),)=0,#N/A,VLOOKUP(A95,'DB Country PMI'!$A:$AZ,MATCH($A$1,'DB Country PMI'!$A$1:$AZ$1,),))</f>
        <v>54.1</v>
      </c>
      <c r="C95" s="24">
        <f>Table13468111214151617181920[[#This Row],[PMI]]-B94</f>
        <v>-2.1000000000000014</v>
      </c>
    </row>
    <row r="96" spans="1:3" x14ac:dyDescent="0.2">
      <c r="A96" s="10">
        <v>43191</v>
      </c>
      <c r="B96" s="18">
        <f>IF(VLOOKUP(A96,'DB Country PMI'!$A:$AZ,MATCH($A$1,'DB Country PMI'!$A$1:$AZ$1,),)=0,#N/A,VLOOKUP(A96,'DB Country PMI'!$A:$AZ,MATCH($A$1,'DB Country PMI'!$A$1:$AZ$1,),))</f>
        <v>55.3</v>
      </c>
      <c r="C96" s="24">
        <f>Table13468111214151617181920[[#This Row],[PMI]]-B95</f>
        <v>1.1999999999999957</v>
      </c>
    </row>
    <row r="97" spans="1:3" x14ac:dyDescent="0.2">
      <c r="A97" s="10">
        <v>43221</v>
      </c>
      <c r="B97" s="18">
        <f>IF(VLOOKUP(A97,'DB Country PMI'!$A:$AZ,MATCH($A$1,'DB Country PMI'!$A$1:$AZ$1,),)=0,#N/A,VLOOKUP(A97,'DB Country PMI'!$A:$AZ,MATCH($A$1,'DB Country PMI'!$A$1:$AZ$1,),))</f>
        <v>55.4</v>
      </c>
      <c r="C97" s="24">
        <f>Table13468111214151617181920[[#This Row],[PMI]]-B96</f>
        <v>0.10000000000000142</v>
      </c>
    </row>
    <row r="98" spans="1:3" x14ac:dyDescent="0.2">
      <c r="A98" s="10">
        <v>43252</v>
      </c>
      <c r="B98" s="18">
        <f>IF(VLOOKUP(A98,'DB Country PMI'!$A:$AZ,MATCH($A$1,'DB Country PMI'!$A$1:$AZ$1,),)=0,#N/A,VLOOKUP(A98,'DB Country PMI'!$A:$AZ,MATCH($A$1,'DB Country PMI'!$A$1:$AZ$1,),))</f>
        <v>56.6</v>
      </c>
      <c r="C98" s="24">
        <f>Table13468111214151617181920[[#This Row],[PMI]]-B97</f>
        <v>1.2000000000000028</v>
      </c>
    </row>
    <row r="99" spans="1:3" x14ac:dyDescent="0.2">
      <c r="A99" s="10">
        <v>43282</v>
      </c>
      <c r="B99" s="18">
        <f>IF(VLOOKUP(A99,'DB Country PMI'!$A:$AZ,MATCH($A$1,'DB Country PMI'!$A$1:$AZ$1,),)=0,#N/A,VLOOKUP(A99,'DB Country PMI'!$A:$AZ,MATCH($A$1,'DB Country PMI'!$A$1:$AZ$1,),))</f>
        <v>56.3</v>
      </c>
      <c r="C99" s="24">
        <f>Table13468111214151617181920[[#This Row],[PMI]]-B98</f>
        <v>-0.30000000000000426</v>
      </c>
    </row>
    <row r="100" spans="1:3" x14ac:dyDescent="0.2">
      <c r="A100" s="10">
        <v>43313</v>
      </c>
      <c r="B100" s="18">
        <f>IF(VLOOKUP(A100,'DB Country PMI'!$A:$AZ,MATCH($A$1,'DB Country PMI'!$A$1:$AZ$1,),)=0,#N/A,VLOOKUP(A100,'DB Country PMI'!$A:$AZ,MATCH($A$1,'DB Country PMI'!$A$1:$AZ$1,),))</f>
        <v>57.5</v>
      </c>
      <c r="C100" s="24">
        <f>Table13468111214151617181920[[#This Row],[PMI]]-B99</f>
        <v>1.2000000000000028</v>
      </c>
    </row>
    <row r="101" spans="1:3" x14ac:dyDescent="0.2">
      <c r="A101" s="10">
        <v>43344</v>
      </c>
      <c r="B101" s="18">
        <f>IF(VLOOKUP(A101,'DB Country PMI'!$A:$AZ,MATCH($A$1,'DB Country PMI'!$A$1:$AZ$1,),)=0,#N/A,VLOOKUP(A101,'DB Country PMI'!$A:$AZ,MATCH($A$1,'DB Country PMI'!$A$1:$AZ$1,),))</f>
        <v>56.3</v>
      </c>
      <c r="C101" s="24">
        <f>Table13468111214151617181920[[#This Row],[PMI]]-B100</f>
        <v>-1.2000000000000028</v>
      </c>
    </row>
    <row r="102" spans="1:3" x14ac:dyDescent="0.2">
      <c r="A102" s="10">
        <v>43374</v>
      </c>
      <c r="B102" s="18">
        <f>IF(VLOOKUP(A102,'DB Country PMI'!$A:$AZ,MATCH($A$1,'DB Country PMI'!$A$1:$AZ$1,),)=0,#N/A,VLOOKUP(A102,'DB Country PMI'!$A:$AZ,MATCH($A$1,'DB Country PMI'!$A$1:$AZ$1,),))</f>
        <v>54.9</v>
      </c>
      <c r="C102" s="24">
        <f>Table13468111214151617181920[[#This Row],[PMI]]-B101</f>
        <v>-1.3999999999999986</v>
      </c>
    </row>
    <row r="103" spans="1:3" x14ac:dyDescent="0.2">
      <c r="A103" s="10">
        <v>43405</v>
      </c>
      <c r="B103" s="18">
        <f>IF(VLOOKUP(A103,'DB Country PMI'!$A:$AZ,MATCH($A$1,'DB Country PMI'!$A$1:$AZ$1,),)=0,#N/A,VLOOKUP(A103,'DB Country PMI'!$A:$AZ,MATCH($A$1,'DB Country PMI'!$A$1:$AZ$1,),))</f>
        <v>55.4</v>
      </c>
      <c r="C103" s="24">
        <f>Table13468111214151617181920[[#This Row],[PMI]]-B102</f>
        <v>0.5</v>
      </c>
    </row>
    <row r="104" spans="1:3" x14ac:dyDescent="0.2">
      <c r="A104" s="10">
        <v>43435</v>
      </c>
      <c r="B104" s="18">
        <f>IF(VLOOKUP(A104,'DB Country PMI'!$A:$AZ,MATCH($A$1,'DB Country PMI'!$A$1:$AZ$1,),)=0,#N/A,VLOOKUP(A104,'DB Country PMI'!$A:$AZ,MATCH($A$1,'DB Country PMI'!$A$1:$AZ$1,),))</f>
        <v>54.5</v>
      </c>
      <c r="C104" s="24">
        <f>Table13468111214151617181920[[#This Row],[PMI]]-B103</f>
        <v>-0.89999999999999858</v>
      </c>
    </row>
    <row r="105" spans="1:3" x14ac:dyDescent="0.2">
      <c r="A105" s="10">
        <v>43466</v>
      </c>
      <c r="B105" s="18">
        <f>IF(VLOOKUP(A105,'DB Country PMI'!$A:$AZ,MATCH($A$1,'DB Country PMI'!$A$1:$AZ$1,),)=0,#N/A,VLOOKUP(A105,'DB Country PMI'!$A:$AZ,MATCH($A$1,'DB Country PMI'!$A$1:$AZ$1,),))</f>
        <v>52.6</v>
      </c>
      <c r="C105" s="24">
        <f>Table13468111214151617181920[[#This Row],[PMI]]-B104</f>
        <v>-1.8999999999999986</v>
      </c>
    </row>
    <row r="106" spans="1:3" x14ac:dyDescent="0.2">
      <c r="A106" s="10">
        <v>43497</v>
      </c>
      <c r="B106" s="18">
        <f>IF(VLOOKUP(A106,'DB Country PMI'!$A:$AZ,MATCH($A$1,'DB Country PMI'!$A$1:$AZ$1,),)=0,#N/A,VLOOKUP(A106,'DB Country PMI'!$A:$AZ,MATCH($A$1,'DB Country PMI'!$A$1:$AZ$1,),))</f>
        <v>54</v>
      </c>
      <c r="C106" s="24">
        <f>Table13468111214151617181920[[#This Row],[PMI]]-B105</f>
        <v>1.3999999999999986</v>
      </c>
    </row>
    <row r="107" spans="1:3" x14ac:dyDescent="0.2">
      <c r="A107" s="10">
        <v>43525</v>
      </c>
      <c r="B107" s="18">
        <f>IF(VLOOKUP(A107,'DB Country PMI'!$A:$AZ,MATCH($A$1,'DB Country PMI'!$A$1:$AZ$1,),)=0,#N/A,VLOOKUP(A107,'DB Country PMI'!$A:$AZ,MATCH($A$1,'DB Country PMI'!$A$1:$AZ$1,),))</f>
        <v>53.9</v>
      </c>
      <c r="C107" s="24">
        <f>Table13468111214151617181920[[#This Row],[PMI]]-B106</f>
        <v>-0.10000000000000142</v>
      </c>
    </row>
    <row r="108" spans="1:3" x14ac:dyDescent="0.2">
      <c r="A108" s="10">
        <v>43556</v>
      </c>
      <c r="B108" s="18">
        <f>IF(VLOOKUP(A108,'DB Country PMI'!$A:$AZ,MATCH($A$1,'DB Country PMI'!$A$1:$AZ$1,),)=0,#N/A,VLOOKUP(A108,'DB Country PMI'!$A:$AZ,MATCH($A$1,'DB Country PMI'!$A$1:$AZ$1,),))</f>
        <v>52.5</v>
      </c>
      <c r="C108" s="24">
        <f>Table13468111214151617181920[[#This Row],[PMI]]-B107</f>
        <v>-1.3999999999999986</v>
      </c>
    </row>
    <row r="109" spans="1:3" x14ac:dyDescent="0.2">
      <c r="A109" s="10">
        <v>43586</v>
      </c>
      <c r="B109" s="18">
        <f>IF(VLOOKUP(A109,'DB Country PMI'!$A:$AZ,MATCH($A$1,'DB Country PMI'!$A$1:$AZ$1,),)=0,#N/A,VLOOKUP(A109,'DB Country PMI'!$A:$AZ,MATCH($A$1,'DB Country PMI'!$A$1:$AZ$1,),))</f>
        <v>50.4</v>
      </c>
      <c r="C109" s="24">
        <f>Table13468111214151617181920[[#This Row],[PMI]]-B108</f>
        <v>-2.1000000000000014</v>
      </c>
    </row>
    <row r="110" spans="1:3" x14ac:dyDescent="0.2">
      <c r="A110" s="10">
        <v>43617</v>
      </c>
      <c r="B110" s="18">
        <f>IF(VLOOKUP(A110,'DB Country PMI'!$A:$AZ,MATCH($A$1,'DB Country PMI'!$A$1:$AZ$1,),)=0,#N/A,VLOOKUP(A110,'DB Country PMI'!$A:$AZ,MATCH($A$1,'DB Country PMI'!$A$1:$AZ$1,),))</f>
        <v>49.8</v>
      </c>
      <c r="C110" s="24">
        <f>Table13468111214151617181920[[#This Row],[PMI]]-B109</f>
        <v>-0.60000000000000142</v>
      </c>
    </row>
    <row r="111" spans="1:3" x14ac:dyDescent="0.2">
      <c r="A111" s="10">
        <v>43647</v>
      </c>
      <c r="B111" s="18">
        <f>IF(VLOOKUP(A111,'DB Country PMI'!$A:$AZ,MATCH($A$1,'DB Country PMI'!$A$1:$AZ$1,),)=0,#N/A,VLOOKUP(A111,'DB Country PMI'!$A:$AZ,MATCH($A$1,'DB Country PMI'!$A$1:$AZ$1,),))</f>
        <v>48.7</v>
      </c>
      <c r="C111" s="24">
        <f>Table13468111214151617181920[[#This Row],[PMI]]-B110</f>
        <v>-1.0999999999999943</v>
      </c>
    </row>
    <row r="112" spans="1:3" x14ac:dyDescent="0.2">
      <c r="A112" s="10">
        <v>43678</v>
      </c>
      <c r="B112" s="18">
        <f>IF(VLOOKUP(A112,'DB Country PMI'!$A:$AZ,MATCH($A$1,'DB Country PMI'!$A$1:$AZ$1,),)=0,#N/A,VLOOKUP(A112,'DB Country PMI'!$A:$AZ,MATCH($A$1,'DB Country PMI'!$A$1:$AZ$1,),))</f>
        <v>48.6</v>
      </c>
      <c r="C112" s="24">
        <f>Table13468111214151617181920[[#This Row],[PMI]]-B111</f>
        <v>-0.10000000000000142</v>
      </c>
    </row>
    <row r="113" spans="1:3" x14ac:dyDescent="0.2">
      <c r="A113" s="10">
        <v>43709</v>
      </c>
      <c r="B113" s="18">
        <f>IF(VLOOKUP(A113,'DB Country PMI'!$A:$AZ,MATCH($A$1,'DB Country PMI'!$A$1:$AZ$1,),)=0,#N/A,VLOOKUP(A113,'DB Country PMI'!$A:$AZ,MATCH($A$1,'DB Country PMI'!$A$1:$AZ$1,),))</f>
        <v>48.7</v>
      </c>
      <c r="C113" s="24">
        <f>Table13468111214151617181920[[#This Row],[PMI]]-B112</f>
        <v>0.10000000000000142</v>
      </c>
    </row>
    <row r="114" spans="1:3" x14ac:dyDescent="0.2">
      <c r="A114" s="10">
        <v>43739</v>
      </c>
      <c r="B114" s="18">
        <f>IF(VLOOKUP(A114,'DB Country PMI'!$A:$AZ,MATCH($A$1,'DB Country PMI'!$A$1:$AZ$1,),)=0,#N/A,VLOOKUP(A114,'DB Country PMI'!$A:$AZ,MATCH($A$1,'DB Country PMI'!$A$1:$AZ$1,),))</f>
        <v>50.7</v>
      </c>
      <c r="C114" s="24">
        <f>Table13468111214151617181920[[#This Row],[PMI]]-B113</f>
        <v>2</v>
      </c>
    </row>
    <row r="115" spans="1:3" x14ac:dyDescent="0.2">
      <c r="A115" s="10">
        <v>43770</v>
      </c>
      <c r="B115" s="18">
        <f>IF(VLOOKUP(A115,'DB Country PMI'!$A:$AZ,MATCH($A$1,'DB Country PMI'!$A$1:$AZ$1,),)=0,#N/A,VLOOKUP(A115,'DB Country PMI'!$A:$AZ,MATCH($A$1,'DB Country PMI'!$A$1:$AZ$1,),))</f>
        <v>49.7</v>
      </c>
      <c r="C115" s="24">
        <f>Table13468111214151617181920[[#This Row],[PMI]]-B114</f>
        <v>-1</v>
      </c>
    </row>
    <row r="116" spans="1:3" x14ac:dyDescent="0.2">
      <c r="A116" s="10">
        <v>43800</v>
      </c>
      <c r="B116" s="18">
        <f>IF(VLOOKUP(A116,'DB Country PMI'!$A:$AZ,MATCH($A$1,'DB Country PMI'!$A$1:$AZ$1,),)=0,#N/A,VLOOKUP(A116,'DB Country PMI'!$A:$AZ,MATCH($A$1,'DB Country PMI'!$A$1:$AZ$1,),))</f>
        <v>49.5</v>
      </c>
      <c r="C116" s="24">
        <f>Table13468111214151617181920[[#This Row],[PMI]]-B115</f>
        <v>-0.20000000000000284</v>
      </c>
    </row>
    <row r="117" spans="1:3" x14ac:dyDescent="0.2">
      <c r="A117" s="10">
        <v>43831</v>
      </c>
      <c r="B117" s="18">
        <f>IF(VLOOKUP(A117,'DB Country PMI'!$A:$AZ,MATCH($A$1,'DB Country PMI'!$A$1:$AZ$1,),)=0,#N/A,VLOOKUP(A117,'DB Country PMI'!$A:$AZ,MATCH($A$1,'DB Country PMI'!$A$1:$AZ$1,),))</f>
        <v>51.4</v>
      </c>
      <c r="C117" s="24">
        <f>Table13468111214151617181920[[#This Row],[PMI]]-B116</f>
        <v>1.8999999999999986</v>
      </c>
    </row>
    <row r="118" spans="1:3" x14ac:dyDescent="0.2">
      <c r="A118" s="10">
        <v>43862</v>
      </c>
      <c r="B118" s="18">
        <f>IF(VLOOKUP(A118,'DB Country PMI'!$A:$AZ,MATCH($A$1,'DB Country PMI'!$A$1:$AZ$1,),)=0,#N/A,VLOOKUP(A118,'DB Country PMI'!$A:$AZ,MATCH($A$1,'DB Country PMI'!$A$1:$AZ$1,),))</f>
        <v>51.2</v>
      </c>
      <c r="C118" s="24">
        <f>Table13468111214151617181920[[#This Row],[PMI]]-B117</f>
        <v>-0.19999999999999574</v>
      </c>
    </row>
    <row r="119" spans="1:3" x14ac:dyDescent="0.2">
      <c r="A119" s="10">
        <v>43891</v>
      </c>
      <c r="B119" s="18">
        <f>IF(VLOOKUP(A119,'DB Country PMI'!$A:$AZ,MATCH($A$1,'DB Country PMI'!$A$1:$AZ$1,),)=0,#N/A,VLOOKUP(A119,'DB Country PMI'!$A:$AZ,MATCH($A$1,'DB Country PMI'!$A$1:$AZ$1,),))</f>
        <v>45.1</v>
      </c>
      <c r="C119" s="24">
        <f>Table13468111214151617181920[[#This Row],[PMI]]-B118</f>
        <v>-6.1000000000000014</v>
      </c>
    </row>
    <row r="120" spans="1:3" x14ac:dyDescent="0.2">
      <c r="A120" s="10">
        <v>43922</v>
      </c>
      <c r="B120" s="18">
        <f>IF(VLOOKUP(A120,'DB Country PMI'!$A:$AZ,MATCH($A$1,'DB Country PMI'!$A$1:$AZ$1,),)=0,#N/A,VLOOKUP(A120,'DB Country PMI'!$A:$AZ,MATCH($A$1,'DB Country PMI'!$A$1:$AZ$1,),))</f>
        <v>36</v>
      </c>
      <c r="C120" s="24">
        <f>Table13468111214151617181920[[#This Row],[PMI]]-B119</f>
        <v>-9.1000000000000014</v>
      </c>
    </row>
    <row r="121" spans="1:3" x14ac:dyDescent="0.2">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2">
      <c r="A122" s="10">
        <v>43983</v>
      </c>
      <c r="B122" s="18">
        <f>IF(VLOOKUP(A122,'DB Country PMI'!$A:$AZ,MATCH($A$1,'DB Country PMI'!$A$1:$AZ$1,),)=0,#N/A,VLOOKUP(A122,'DB Country PMI'!$A:$AZ,MATCH($A$1,'DB Country PMI'!$A$1:$AZ$1,),))</f>
        <v>51</v>
      </c>
      <c r="C122" s="24">
        <f>Table13468111214151617181920[[#This Row],[PMI]]-B121</f>
        <v>11.799999999999997</v>
      </c>
    </row>
    <row r="123" spans="1:3" x14ac:dyDescent="0.2">
      <c r="A123" s="10">
        <v>44013</v>
      </c>
      <c r="B123" s="18">
        <f>IF(VLOOKUP(A123,'DB Country PMI'!$A:$AZ,MATCH($A$1,'DB Country PMI'!$A$1:$AZ$1,),)=0,#N/A,VLOOKUP(A123,'DB Country PMI'!$A:$AZ,MATCH($A$1,'DB Country PMI'!$A$1:$AZ$1,),))</f>
        <v>57.3</v>
      </c>
      <c r="C123" s="24">
        <f>Table13468111214151617181920[[#This Row],[PMI]]-B122</f>
        <v>6.2999999999999972</v>
      </c>
    </row>
    <row r="124" spans="1:3" x14ac:dyDescent="0.2">
      <c r="A124" s="10">
        <v>44044</v>
      </c>
      <c r="B124" s="18">
        <f>IF(VLOOKUP(A124,'DB Country PMI'!$A:$AZ,MATCH($A$1,'DB Country PMI'!$A$1:$AZ$1,),)=0,#N/A,VLOOKUP(A124,'DB Country PMI'!$A:$AZ,MATCH($A$1,'DB Country PMI'!$A$1:$AZ$1,),))</f>
        <v>52.3</v>
      </c>
      <c r="C124" s="24">
        <f>Table13468111214151617181920[[#This Row],[PMI]]-B123</f>
        <v>-5</v>
      </c>
    </row>
    <row r="125" spans="1:3" x14ac:dyDescent="0.2">
      <c r="A125" s="10">
        <v>44075</v>
      </c>
      <c r="B125" s="18">
        <f>IF(VLOOKUP(A125,'DB Country PMI'!$A:$AZ,MATCH($A$1,'DB Country PMI'!$A$1:$AZ$1,),)=0,#N/A,VLOOKUP(A125,'DB Country PMI'!$A:$AZ,MATCH($A$1,'DB Country PMI'!$A$1:$AZ$1,),))</f>
        <v>50</v>
      </c>
      <c r="C125" s="24">
        <f>Table13468111214151617181920[[#This Row],[PMI]]-B124</f>
        <v>-2.2999999999999972</v>
      </c>
    </row>
    <row r="126" spans="1:3" x14ac:dyDescent="0.2">
      <c r="A126" s="10">
        <v>44105</v>
      </c>
      <c r="B126" s="18">
        <f>IF(VLOOKUP(A126,'DB Country PMI'!$A:$AZ,MATCH($A$1,'DB Country PMI'!$A$1:$AZ$1,),)=0,#N/A,VLOOKUP(A126,'DB Country PMI'!$A:$AZ,MATCH($A$1,'DB Country PMI'!$A$1:$AZ$1,),))</f>
        <v>50.3</v>
      </c>
      <c r="C126" s="24">
        <f>Table13468111214151617181920[[#This Row],[PMI]]-B125</f>
        <v>0.29999999999999716</v>
      </c>
    </row>
    <row r="127" spans="1:3" x14ac:dyDescent="0.2">
      <c r="A127" s="10">
        <v>44136</v>
      </c>
      <c r="B127" s="18">
        <f>IF(VLOOKUP(A127,'DB Country PMI'!$A:$AZ,MATCH($A$1,'DB Country PMI'!$A$1:$AZ$1,),)=0,#N/A,VLOOKUP(A127,'DB Country PMI'!$A:$AZ,MATCH($A$1,'DB Country PMI'!$A$1:$AZ$1,),))</f>
        <v>52.2</v>
      </c>
      <c r="C127" s="24">
        <f>Table13468111214151617181920[[#This Row],[PMI]]-B126</f>
        <v>1.9000000000000057</v>
      </c>
    </row>
    <row r="128" spans="1:3" x14ac:dyDescent="0.2">
      <c r="A128" s="10">
        <v>44166</v>
      </c>
      <c r="B128" s="18">
        <f>IF(VLOOKUP(A128,'DB Country PMI'!$A:$AZ,MATCH($A$1,'DB Country PMI'!$A$1:$AZ$1,),)=0,#N/A,VLOOKUP(A128,'DB Country PMI'!$A:$AZ,MATCH($A$1,'DB Country PMI'!$A$1:$AZ$1,),))</f>
        <v>57.2</v>
      </c>
      <c r="C128" s="24">
        <f>Table13468111214151617181920[[#This Row],[PMI]]-B127</f>
        <v>5</v>
      </c>
    </row>
    <row r="129" spans="1:3" x14ac:dyDescent="0.2">
      <c r="A129" s="10">
        <v>44197</v>
      </c>
      <c r="B129" s="18">
        <f>IF(VLOOKUP(A129,'DB Country PMI'!$A:$AZ,MATCH($A$1,'DB Country PMI'!$A$1:$AZ$1,),)=0,#N/A,VLOOKUP(A129,'DB Country PMI'!$A:$AZ,MATCH($A$1,'DB Country PMI'!$A$1:$AZ$1,),))</f>
        <v>51.8</v>
      </c>
      <c r="C129" s="24">
        <f>Table13468111214151617181920[[#This Row],[PMI]]-B128</f>
        <v>-5.4000000000000057</v>
      </c>
    </row>
    <row r="130" spans="1:3" x14ac:dyDescent="0.2">
      <c r="A130" s="10">
        <v>44228</v>
      </c>
      <c r="B130" s="18">
        <f>IF(VLOOKUP(A130,'DB Country PMI'!$A:$AZ,MATCH($A$1,'DB Country PMI'!$A$1:$AZ$1,),)=0,#N/A,VLOOKUP(A130,'DB Country PMI'!$A:$AZ,MATCH($A$1,'DB Country PMI'!$A$1:$AZ$1,),))</f>
        <v>52</v>
      </c>
      <c r="C130" s="24">
        <f>Table13468111214151617181920[[#This Row],[PMI]]-B129</f>
        <v>0.20000000000000284</v>
      </c>
    </row>
    <row r="131" spans="1:3" x14ac:dyDescent="0.2">
      <c r="A131" s="10">
        <v>44256</v>
      </c>
      <c r="B131" s="18">
        <f>IF(VLOOKUP(A131,'DB Country PMI'!$A:$AZ,MATCH($A$1,'DB Country PMI'!$A$1:$AZ$1,),)=0,#N/A,VLOOKUP(A131,'DB Country PMI'!$A:$AZ,MATCH($A$1,'DB Country PMI'!$A$1:$AZ$1,),))</f>
        <v>57.1</v>
      </c>
      <c r="C131" s="24">
        <f>Table13468111214151617181920[[#This Row],[PMI]]-B130</f>
        <v>5.1000000000000014</v>
      </c>
    </row>
    <row r="132" spans="1:3" x14ac:dyDescent="0.2">
      <c r="A132" s="10">
        <v>44287</v>
      </c>
      <c r="B132" s="18">
        <f>IF(VLOOKUP(A132,'DB Country PMI'!$A:$AZ,MATCH($A$1,'DB Country PMI'!$A$1:$AZ$1,),)=0,#N/A,VLOOKUP(A132,'DB Country PMI'!$A:$AZ,MATCH($A$1,'DB Country PMI'!$A$1:$AZ$1,),))</f>
        <v>60.8</v>
      </c>
      <c r="C132" s="24">
        <f>Table13468111214151617181920[[#This Row],[PMI]]-B131</f>
        <v>3.6999999999999957</v>
      </c>
    </row>
    <row r="133" spans="1:3" x14ac:dyDescent="0.2">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2">
      <c r="A134" s="10">
        <v>44348</v>
      </c>
      <c r="B134" s="18">
        <f>IF(VLOOKUP(A134,'DB Country PMI'!$A:$AZ,MATCH($A$1,'DB Country PMI'!$A$1:$AZ$1,),)=0,#N/A,VLOOKUP(A134,'DB Country PMI'!$A:$AZ,MATCH($A$1,'DB Country PMI'!$A$1:$AZ$1,),))</f>
        <v>64</v>
      </c>
      <c r="C134" s="24">
        <f>Table13468111214151617181920[[#This Row],[PMI]]-B133</f>
        <v>-9.9999999999994316E-2</v>
      </c>
    </row>
    <row r="135" spans="1:3" x14ac:dyDescent="0.2">
      <c r="A135" s="10">
        <v>44378</v>
      </c>
      <c r="B135" s="18">
        <f>IF(VLOOKUP(A135,'DB Country PMI'!$A:$AZ,MATCH($A$1,'DB Country PMI'!$A$1:$AZ$1,),)=0,#N/A,VLOOKUP(A135,'DB Country PMI'!$A:$AZ,MATCH($A$1,'DB Country PMI'!$A$1:$AZ$1,),))</f>
        <v>63.3</v>
      </c>
      <c r="C135" s="24">
        <f>Table13468111214151617181920[[#This Row],[PMI]]-B134</f>
        <v>-0.70000000000000284</v>
      </c>
    </row>
    <row r="136" spans="1:3" x14ac:dyDescent="0.2">
      <c r="A136" s="10">
        <v>44409</v>
      </c>
      <c r="B136" s="18">
        <f>IF(VLOOKUP(A136,'DB Country PMI'!$A:$AZ,MATCH($A$1,'DB Country PMI'!$A$1:$AZ$1,),)=0,#N/A,VLOOKUP(A136,'DB Country PMI'!$A:$AZ,MATCH($A$1,'DB Country PMI'!$A$1:$AZ$1,),))</f>
        <v>62.8</v>
      </c>
      <c r="C136" s="24">
        <f>Table13468111214151617181920[[#This Row],[PMI]]-B135</f>
        <v>-0.5</v>
      </c>
    </row>
    <row r="137" spans="1:3" x14ac:dyDescent="0.2">
      <c r="A137" s="10">
        <v>44440</v>
      </c>
      <c r="B137" s="18">
        <f>IF(VLOOKUP(A137,'DB Country PMI'!$A:$AZ,MATCH($A$1,'DB Country PMI'!$A$1:$AZ$1,),)=0,#N/A,VLOOKUP(A137,'DB Country PMI'!$A:$AZ,MATCH($A$1,'DB Country PMI'!$A$1:$AZ$1,),))</f>
        <v>60.3</v>
      </c>
      <c r="C137" s="24">
        <f>Table13468111214151617181920[[#This Row],[PMI]]-B136</f>
        <v>-2.5</v>
      </c>
    </row>
    <row r="138" spans="1:3" x14ac:dyDescent="0.2">
      <c r="A138" s="10">
        <v>44470</v>
      </c>
      <c r="B138" s="18">
        <f>IF(VLOOKUP(A138,'DB Country PMI'!$A:$AZ,MATCH($A$1,'DB Country PMI'!$A$1:$AZ$1,),)=0,#N/A,VLOOKUP(A138,'DB Country PMI'!$A:$AZ,MATCH($A$1,'DB Country PMI'!$A$1:$AZ$1,),))</f>
        <v>62.1</v>
      </c>
      <c r="C138" s="24">
        <f>Table13468111214151617181920[[#This Row],[PMI]]-B137</f>
        <v>1.8000000000000043</v>
      </c>
    </row>
    <row r="139" spans="1:3" x14ac:dyDescent="0.2">
      <c r="A139" s="10">
        <v>44501</v>
      </c>
      <c r="B139" s="18">
        <f>IF(VLOOKUP(A139,'DB Country PMI'!$A:$AZ,MATCH($A$1,'DB Country PMI'!$A$1:$AZ$1,),)=0,#N/A,VLOOKUP(A139,'DB Country PMI'!$A:$AZ,MATCH($A$1,'DB Country PMI'!$A$1:$AZ$1,),))</f>
        <v>59.9</v>
      </c>
      <c r="C139" s="24">
        <f>Table13468111214151617181920[[#This Row],[PMI]]-B138</f>
        <v>-2.2000000000000028</v>
      </c>
    </row>
    <row r="140" spans="1:3" x14ac:dyDescent="0.2">
      <c r="A140" s="10">
        <v>44531</v>
      </c>
      <c r="B140" s="18">
        <f>IF(VLOOKUP(A140,'DB Country PMI'!$A:$AZ,MATCH($A$1,'DB Country PMI'!$A$1:$AZ$1,),)=0,#N/A,VLOOKUP(A140,'DB Country PMI'!$A:$AZ,MATCH($A$1,'DB Country PMI'!$A$1:$AZ$1,),))</f>
        <v>58.3</v>
      </c>
      <c r="C140" s="24">
        <f>Table13468111214151617181920[[#This Row],[PMI]]-B139</f>
        <v>-1.6000000000000014</v>
      </c>
    </row>
    <row r="141" spans="1:3" x14ac:dyDescent="0.2">
      <c r="A141" s="10">
        <v>44562</v>
      </c>
      <c r="B141" s="18">
        <f>IF(VLOOKUP(A141,'DB Country PMI'!$A:$AZ,MATCH($A$1,'DB Country PMI'!$A$1:$AZ$1,),)=0,#N/A,VLOOKUP(A141,'DB Country PMI'!$A:$AZ,MATCH($A$1,'DB Country PMI'!$A$1:$AZ$1,),))</f>
        <v>59.4</v>
      </c>
      <c r="C141" s="24">
        <f>Table13468111214151617181920[[#This Row],[PMI]]-B140</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1"/>
  <sheetViews>
    <sheetView zoomScale="170" zoomScaleNormal="170" workbookViewId="0">
      <pane ySplit="5" topLeftCell="A106" activePane="bottomLeft" state="frozen"/>
      <selection pane="bottomLeft" activeCell="S125" sqref="S125"/>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40</v>
      </c>
      <c r="K1" s="63" t="s">
        <v>107</v>
      </c>
    </row>
    <row r="2" spans="1:11" x14ac:dyDescent="0.2">
      <c r="K2" s="63" t="str">
        <f>A1&amp;K1</f>
        <v>Turkey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54.3</v>
      </c>
      <c r="C6" s="18"/>
    </row>
    <row r="7" spans="1:11" x14ac:dyDescent="0.2">
      <c r="A7" s="10">
        <v>40483</v>
      </c>
      <c r="B7" s="18">
        <f>IF(VLOOKUP(A7,'DB Country PMI'!$A:$AZ,MATCH($A$1,'DB Country PMI'!$A$1:$AZ$1,),)=0,#N/A,VLOOKUP(A7,'DB Country PMI'!$A:$AZ,MATCH($A$1,'DB Country PMI'!$A$1:$AZ$1,),))</f>
        <v>56.4</v>
      </c>
      <c r="C7" s="24">
        <f>Table134681112141516171819202225303334[[#This Row],[PMI]]-B6</f>
        <v>2.1000000000000014</v>
      </c>
    </row>
    <row r="8" spans="1:11" x14ac:dyDescent="0.2">
      <c r="A8" s="10">
        <v>40513</v>
      </c>
      <c r="B8" s="18">
        <f>IF(VLOOKUP(A8,'DB Country PMI'!$A:$AZ,MATCH($A$1,'DB Country PMI'!$A$1:$AZ$1,),)=0,#N/A,VLOOKUP(A8,'DB Country PMI'!$A:$AZ,MATCH($A$1,'DB Country PMI'!$A$1:$AZ$1,),))</f>
        <v>56.4</v>
      </c>
      <c r="C8" s="24">
        <f>Table134681112141516171819202225303334[[#This Row],[PMI]]-B7</f>
        <v>0</v>
      </c>
    </row>
    <row r="9" spans="1:11" x14ac:dyDescent="0.2">
      <c r="A9" s="10">
        <v>40544</v>
      </c>
      <c r="B9" s="18">
        <f>IF(VLOOKUP(A9,'DB Country PMI'!$A:$AZ,MATCH($A$1,'DB Country PMI'!$A$1:$AZ$1,),)=0,#N/A,VLOOKUP(A9,'DB Country PMI'!$A:$AZ,MATCH($A$1,'DB Country PMI'!$A$1:$AZ$1,),))</f>
        <v>57.2</v>
      </c>
      <c r="C9" s="24">
        <f>Table134681112141516171819202225303334[[#This Row],[PMI]]-B8</f>
        <v>0.80000000000000426</v>
      </c>
    </row>
    <row r="10" spans="1:11" x14ac:dyDescent="0.2">
      <c r="A10" s="10">
        <v>40575</v>
      </c>
      <c r="B10" s="18">
        <f>IF(VLOOKUP(A10,'DB Country PMI'!$A:$AZ,MATCH($A$1,'DB Country PMI'!$A$1:$AZ$1,),)=0,#N/A,VLOOKUP(A10,'DB Country PMI'!$A:$AZ,MATCH($A$1,'DB Country PMI'!$A$1:$AZ$1,),))</f>
        <v>58.5</v>
      </c>
      <c r="C10" s="24">
        <f>Table134681112141516171819202225303334[[#This Row],[PMI]]-B9</f>
        <v>1.2999999999999972</v>
      </c>
    </row>
    <row r="11" spans="1:11" x14ac:dyDescent="0.2">
      <c r="A11" s="10">
        <v>40603</v>
      </c>
      <c r="B11" s="18">
        <f>IF(VLOOKUP(A11,'DB Country PMI'!$A:$AZ,MATCH($A$1,'DB Country PMI'!$A$1:$AZ$1,),)=0,#N/A,VLOOKUP(A11,'DB Country PMI'!$A:$AZ,MATCH($A$1,'DB Country PMI'!$A$1:$AZ$1,),))</f>
        <v>56.1</v>
      </c>
      <c r="C11" s="24">
        <f>Table134681112141516171819202225303334[[#This Row],[PMI]]-B10</f>
        <v>-2.3999999999999986</v>
      </c>
    </row>
    <row r="12" spans="1:11" x14ac:dyDescent="0.2">
      <c r="A12" s="10">
        <v>40634</v>
      </c>
      <c r="B12" s="18">
        <f>IF(VLOOKUP(A12,'DB Country PMI'!$A:$AZ,MATCH($A$1,'DB Country PMI'!$A$1:$AZ$1,),)=0,#N/A,VLOOKUP(A12,'DB Country PMI'!$A:$AZ,MATCH($A$1,'DB Country PMI'!$A$1:$AZ$1,),))</f>
        <v>52.7</v>
      </c>
      <c r="C12" s="24">
        <f>Table134681112141516171819202225303334[[#This Row],[PMI]]-B11</f>
        <v>-3.3999999999999986</v>
      </c>
    </row>
    <row r="13" spans="1:11" x14ac:dyDescent="0.2">
      <c r="A13" s="10">
        <v>40664</v>
      </c>
      <c r="B13" s="18">
        <f>IF(VLOOKUP(A13,'DB Country PMI'!$A:$AZ,MATCH($A$1,'DB Country PMI'!$A$1:$AZ$1,),)=0,#N/A,VLOOKUP(A13,'DB Country PMI'!$A:$AZ,MATCH($A$1,'DB Country PMI'!$A$1:$AZ$1,),))</f>
        <v>50.6</v>
      </c>
      <c r="C13" s="24">
        <f>Table134681112141516171819202225303334[[#This Row],[PMI]]-B12</f>
        <v>-2.1000000000000014</v>
      </c>
    </row>
    <row r="14" spans="1:11" x14ac:dyDescent="0.2">
      <c r="A14" s="10">
        <v>40695</v>
      </c>
      <c r="B14" s="18">
        <f>IF(VLOOKUP(A14,'DB Country PMI'!$A:$AZ,MATCH($A$1,'DB Country PMI'!$A$1:$AZ$1,),)=0,#N/A,VLOOKUP(A14,'DB Country PMI'!$A:$AZ,MATCH($A$1,'DB Country PMI'!$A$1:$AZ$1,),))</f>
        <v>52.3</v>
      </c>
      <c r="C14" s="24">
        <f>Table134681112141516171819202225303334[[#This Row],[PMI]]-B13</f>
        <v>1.6999999999999957</v>
      </c>
    </row>
    <row r="15" spans="1:11" x14ac:dyDescent="0.2">
      <c r="A15" s="10">
        <v>40725</v>
      </c>
      <c r="B15" s="18">
        <f>IF(VLOOKUP(A15,'DB Country PMI'!$A:$AZ,MATCH($A$1,'DB Country PMI'!$A$1:$AZ$1,),)=0,#N/A,VLOOKUP(A15,'DB Country PMI'!$A:$AZ,MATCH($A$1,'DB Country PMI'!$A$1:$AZ$1,),))</f>
        <v>52.3</v>
      </c>
      <c r="C15" s="24">
        <f>Table134681112141516171819202225303334[[#This Row],[PMI]]-B14</f>
        <v>0</v>
      </c>
    </row>
    <row r="16" spans="1:11" x14ac:dyDescent="0.2">
      <c r="A16" s="10">
        <v>40756</v>
      </c>
      <c r="B16" s="18">
        <f>IF(VLOOKUP(A16,'DB Country PMI'!$A:$AZ,MATCH($A$1,'DB Country PMI'!$A$1:$AZ$1,),)=0,#N/A,VLOOKUP(A16,'DB Country PMI'!$A:$AZ,MATCH($A$1,'DB Country PMI'!$A$1:$AZ$1,),))</f>
        <v>49.8</v>
      </c>
      <c r="C16" s="24">
        <f>Table134681112141516171819202225303334[[#This Row],[PMI]]-B15</f>
        <v>-2.5</v>
      </c>
    </row>
    <row r="17" spans="1:3" x14ac:dyDescent="0.2">
      <c r="A17" s="10">
        <v>40787</v>
      </c>
      <c r="B17" s="18">
        <f>IF(VLOOKUP(A17,'DB Country PMI'!$A:$AZ,MATCH($A$1,'DB Country PMI'!$A$1:$AZ$1,),)=0,#N/A,VLOOKUP(A17,'DB Country PMI'!$A:$AZ,MATCH($A$1,'DB Country PMI'!$A$1:$AZ$1,),))</f>
        <v>51.5</v>
      </c>
      <c r="C17" s="24">
        <f>Table134681112141516171819202225303334[[#This Row],[PMI]]-B16</f>
        <v>1.7000000000000028</v>
      </c>
    </row>
    <row r="18" spans="1:3" x14ac:dyDescent="0.2">
      <c r="A18" s="10">
        <v>40817</v>
      </c>
      <c r="B18" s="18">
        <f>IF(VLOOKUP(A18,'DB Country PMI'!$A:$AZ,MATCH($A$1,'DB Country PMI'!$A$1:$AZ$1,),)=0,#N/A,VLOOKUP(A18,'DB Country PMI'!$A:$AZ,MATCH($A$1,'DB Country PMI'!$A$1:$AZ$1,),))</f>
        <v>53.3</v>
      </c>
      <c r="C18" s="24">
        <f>Table134681112141516171819202225303334[[#This Row],[PMI]]-B17</f>
        <v>1.7999999999999972</v>
      </c>
    </row>
    <row r="19" spans="1:3" x14ac:dyDescent="0.2">
      <c r="A19" s="10">
        <v>40848</v>
      </c>
      <c r="B19" s="18">
        <f>IF(VLOOKUP(A19,'DB Country PMI'!$A:$AZ,MATCH($A$1,'DB Country PMI'!$A$1:$AZ$1,),)=0,#N/A,VLOOKUP(A19,'DB Country PMI'!$A:$AZ,MATCH($A$1,'DB Country PMI'!$A$1:$AZ$1,),))</f>
        <v>52.3</v>
      </c>
      <c r="C19" s="24">
        <f>Table134681112141516171819202225303334[[#This Row],[PMI]]-B18</f>
        <v>-1</v>
      </c>
    </row>
    <row r="20" spans="1:3" x14ac:dyDescent="0.2">
      <c r="A20" s="10">
        <v>40878</v>
      </c>
      <c r="B20" s="18">
        <f>IF(VLOOKUP(A20,'DB Country PMI'!$A:$AZ,MATCH($A$1,'DB Country PMI'!$A$1:$AZ$1,),)=0,#N/A,VLOOKUP(A20,'DB Country PMI'!$A:$AZ,MATCH($A$1,'DB Country PMI'!$A$1:$AZ$1,),))</f>
        <v>52</v>
      </c>
      <c r="C20" s="24">
        <f>Table134681112141516171819202225303334[[#This Row],[PMI]]-B19</f>
        <v>-0.29999999999999716</v>
      </c>
    </row>
    <row r="21" spans="1:3" x14ac:dyDescent="0.2">
      <c r="A21" s="10">
        <v>40909</v>
      </c>
      <c r="B21" s="18">
        <f>IF(VLOOKUP(A21,'DB Country PMI'!$A:$AZ,MATCH($A$1,'DB Country PMI'!$A$1:$AZ$1,),)=0,#N/A,VLOOKUP(A21,'DB Country PMI'!$A:$AZ,MATCH($A$1,'DB Country PMI'!$A$1:$AZ$1,),))</f>
        <v>51.7</v>
      </c>
      <c r="C21" s="24">
        <f>Table134681112141516171819202225303334[[#This Row],[PMI]]-B20</f>
        <v>-0.29999999999999716</v>
      </c>
    </row>
    <row r="22" spans="1:3" x14ac:dyDescent="0.2">
      <c r="A22" s="10">
        <v>40940</v>
      </c>
      <c r="B22" s="18">
        <f>IF(VLOOKUP(A22,'DB Country PMI'!$A:$AZ,MATCH($A$1,'DB Country PMI'!$A$1:$AZ$1,),)=0,#N/A,VLOOKUP(A22,'DB Country PMI'!$A:$AZ,MATCH($A$1,'DB Country PMI'!$A$1:$AZ$1,),))</f>
        <v>49.6</v>
      </c>
      <c r="C22" s="24">
        <f>Table134681112141516171819202225303334[[#This Row],[PMI]]-B21</f>
        <v>-2.1000000000000014</v>
      </c>
    </row>
    <row r="23" spans="1:3" x14ac:dyDescent="0.2">
      <c r="A23" s="10">
        <v>40969</v>
      </c>
      <c r="B23" s="18">
        <f>IF(VLOOKUP(A23,'DB Country PMI'!$A:$AZ,MATCH($A$1,'DB Country PMI'!$A$1:$AZ$1,),)=0,#N/A,VLOOKUP(A23,'DB Country PMI'!$A:$AZ,MATCH($A$1,'DB Country PMI'!$A$1:$AZ$1,),))</f>
        <v>49.6</v>
      </c>
      <c r="C23" s="24">
        <f>Table134681112141516171819202225303334[[#This Row],[PMI]]-B22</f>
        <v>0</v>
      </c>
    </row>
    <row r="24" spans="1:3" x14ac:dyDescent="0.2">
      <c r="A24" s="10">
        <v>41000</v>
      </c>
      <c r="B24" s="18">
        <f>IF(VLOOKUP(A24,'DB Country PMI'!$A:$AZ,MATCH($A$1,'DB Country PMI'!$A$1:$AZ$1,),)=0,#N/A,VLOOKUP(A24,'DB Country PMI'!$A:$AZ,MATCH($A$1,'DB Country PMI'!$A$1:$AZ$1,),))</f>
        <v>52.3</v>
      </c>
      <c r="C24" s="24">
        <f>Table134681112141516171819202225303334[[#This Row],[PMI]]-B23</f>
        <v>2.6999999999999957</v>
      </c>
    </row>
    <row r="25" spans="1:3" x14ac:dyDescent="0.2">
      <c r="A25" s="10">
        <v>41030</v>
      </c>
      <c r="B25" s="18">
        <f>IF(VLOOKUP(A25,'DB Country PMI'!$A:$AZ,MATCH($A$1,'DB Country PMI'!$A$1:$AZ$1,),)=0,#N/A,VLOOKUP(A25,'DB Country PMI'!$A:$AZ,MATCH($A$1,'DB Country PMI'!$A$1:$AZ$1,),))</f>
        <v>50.2</v>
      </c>
      <c r="C25" s="24">
        <f>Table134681112141516171819202225303334[[#This Row],[PMI]]-B24</f>
        <v>-2.0999999999999943</v>
      </c>
    </row>
    <row r="26" spans="1:3" x14ac:dyDescent="0.2">
      <c r="A26" s="10">
        <v>41061</v>
      </c>
      <c r="B26" s="18">
        <f>IF(VLOOKUP(A26,'DB Country PMI'!$A:$AZ,MATCH($A$1,'DB Country PMI'!$A$1:$AZ$1,),)=0,#N/A,VLOOKUP(A26,'DB Country PMI'!$A:$AZ,MATCH($A$1,'DB Country PMI'!$A$1:$AZ$1,),))</f>
        <v>51.4</v>
      </c>
      <c r="C26" s="24">
        <f>Table134681112141516171819202225303334[[#This Row],[PMI]]-B25</f>
        <v>1.1999999999999957</v>
      </c>
    </row>
    <row r="27" spans="1:3" x14ac:dyDescent="0.2">
      <c r="A27" s="10">
        <v>41091</v>
      </c>
      <c r="B27" s="18">
        <f>IF(VLOOKUP(A27,'DB Country PMI'!$A:$AZ,MATCH($A$1,'DB Country PMI'!$A$1:$AZ$1,),)=0,#N/A,VLOOKUP(A27,'DB Country PMI'!$A:$AZ,MATCH($A$1,'DB Country PMI'!$A$1:$AZ$1,),))</f>
        <v>49.4</v>
      </c>
      <c r="C27" s="24">
        <f>Table134681112141516171819202225303334[[#This Row],[PMI]]-B26</f>
        <v>-2</v>
      </c>
    </row>
    <row r="28" spans="1:3" x14ac:dyDescent="0.2">
      <c r="A28" s="10">
        <v>41122</v>
      </c>
      <c r="B28" s="18">
        <f>IF(VLOOKUP(A28,'DB Country PMI'!$A:$AZ,MATCH($A$1,'DB Country PMI'!$A$1:$AZ$1,),)=0,#N/A,VLOOKUP(A28,'DB Country PMI'!$A:$AZ,MATCH($A$1,'DB Country PMI'!$A$1:$AZ$1,),))</f>
        <v>50</v>
      </c>
      <c r="C28" s="24">
        <f>Table134681112141516171819202225303334[[#This Row],[PMI]]-B27</f>
        <v>0.60000000000000142</v>
      </c>
    </row>
    <row r="29" spans="1:3" x14ac:dyDescent="0.2">
      <c r="A29" s="10">
        <v>41153</v>
      </c>
      <c r="B29" s="18">
        <f>IF(VLOOKUP(A29,'DB Country PMI'!$A:$AZ,MATCH($A$1,'DB Country PMI'!$A$1:$AZ$1,),)=0,#N/A,VLOOKUP(A29,'DB Country PMI'!$A:$AZ,MATCH($A$1,'DB Country PMI'!$A$1:$AZ$1,),))</f>
        <v>52.2</v>
      </c>
      <c r="C29" s="24">
        <f>Table134681112141516171819202225303334[[#This Row],[PMI]]-B28</f>
        <v>2.2000000000000028</v>
      </c>
    </row>
    <row r="30" spans="1:3" x14ac:dyDescent="0.2">
      <c r="A30" s="10">
        <v>41183</v>
      </c>
      <c r="B30" s="18">
        <f>IF(VLOOKUP(A30,'DB Country PMI'!$A:$AZ,MATCH($A$1,'DB Country PMI'!$A$1:$AZ$1,),)=0,#N/A,VLOOKUP(A30,'DB Country PMI'!$A:$AZ,MATCH($A$1,'DB Country PMI'!$A$1:$AZ$1,),))</f>
        <v>52.5</v>
      </c>
      <c r="C30" s="24">
        <f>Table134681112141516171819202225303334[[#This Row],[PMI]]-B29</f>
        <v>0.29999999999999716</v>
      </c>
    </row>
    <row r="31" spans="1:3" x14ac:dyDescent="0.2">
      <c r="A31" s="10">
        <v>41214</v>
      </c>
      <c r="B31" s="18">
        <f>IF(VLOOKUP(A31,'DB Country PMI'!$A:$AZ,MATCH($A$1,'DB Country PMI'!$A$1:$AZ$1,),)=0,#N/A,VLOOKUP(A31,'DB Country PMI'!$A:$AZ,MATCH($A$1,'DB Country PMI'!$A$1:$AZ$1,),))</f>
        <v>51.6</v>
      </c>
      <c r="C31" s="24">
        <f>Table134681112141516171819202225303334[[#This Row],[PMI]]-B30</f>
        <v>-0.89999999999999858</v>
      </c>
    </row>
    <row r="32" spans="1:3" x14ac:dyDescent="0.2">
      <c r="A32" s="10">
        <v>41244</v>
      </c>
      <c r="B32" s="18">
        <f>IF(VLOOKUP(A32,'DB Country PMI'!$A:$AZ,MATCH($A$1,'DB Country PMI'!$A$1:$AZ$1,),)=0,#N/A,VLOOKUP(A32,'DB Country PMI'!$A:$AZ,MATCH($A$1,'DB Country PMI'!$A$1:$AZ$1,),))</f>
        <v>53.1</v>
      </c>
      <c r="C32" s="24">
        <f>Table134681112141516171819202225303334[[#This Row],[PMI]]-B31</f>
        <v>1.5</v>
      </c>
    </row>
    <row r="33" spans="1:3" x14ac:dyDescent="0.2">
      <c r="A33" s="10">
        <v>41275</v>
      </c>
      <c r="B33" s="18">
        <f>IF(VLOOKUP(A33,'DB Country PMI'!$A:$AZ,MATCH($A$1,'DB Country PMI'!$A$1:$AZ$1,),)=0,#N/A,VLOOKUP(A33,'DB Country PMI'!$A:$AZ,MATCH($A$1,'DB Country PMI'!$A$1:$AZ$1,),))</f>
        <v>54</v>
      </c>
      <c r="C33" s="24">
        <f>Table134681112141516171819202225303334[[#This Row],[PMI]]-B32</f>
        <v>0.89999999999999858</v>
      </c>
    </row>
    <row r="34" spans="1:3" x14ac:dyDescent="0.2">
      <c r="A34" s="10">
        <v>41306</v>
      </c>
      <c r="B34" s="18">
        <f>IF(VLOOKUP(A34,'DB Country PMI'!$A:$AZ,MATCH($A$1,'DB Country PMI'!$A$1:$AZ$1,),)=0,#N/A,VLOOKUP(A34,'DB Country PMI'!$A:$AZ,MATCH($A$1,'DB Country PMI'!$A$1:$AZ$1,),))</f>
        <v>53.5</v>
      </c>
      <c r="C34" s="24">
        <f>Table134681112141516171819202225303334[[#This Row],[PMI]]-B33</f>
        <v>-0.5</v>
      </c>
    </row>
    <row r="35" spans="1:3" x14ac:dyDescent="0.2">
      <c r="A35" s="10">
        <v>41334</v>
      </c>
      <c r="B35" s="18">
        <f>IF(VLOOKUP(A35,'DB Country PMI'!$A:$AZ,MATCH($A$1,'DB Country PMI'!$A$1:$AZ$1,),)=0,#N/A,VLOOKUP(A35,'DB Country PMI'!$A:$AZ,MATCH($A$1,'DB Country PMI'!$A$1:$AZ$1,),))</f>
        <v>52.3</v>
      </c>
      <c r="C35" s="24">
        <f>Table134681112141516171819202225303334[[#This Row],[PMI]]-B34</f>
        <v>-1.2000000000000028</v>
      </c>
    </row>
    <row r="36" spans="1:3" x14ac:dyDescent="0.2">
      <c r="A36" s="10">
        <v>41365</v>
      </c>
      <c r="B36" s="18">
        <f>IF(VLOOKUP(A36,'DB Country PMI'!$A:$AZ,MATCH($A$1,'DB Country PMI'!$A$1:$AZ$1,),)=0,#N/A,VLOOKUP(A36,'DB Country PMI'!$A:$AZ,MATCH($A$1,'DB Country PMI'!$A$1:$AZ$1,),))</f>
        <v>51.3</v>
      </c>
      <c r="C36" s="24">
        <f>Table134681112141516171819202225303334[[#This Row],[PMI]]-B35</f>
        <v>-1</v>
      </c>
    </row>
    <row r="37" spans="1:3" x14ac:dyDescent="0.2">
      <c r="A37" s="10">
        <v>41395</v>
      </c>
      <c r="B37" s="18">
        <f>IF(VLOOKUP(A37,'DB Country PMI'!$A:$AZ,MATCH($A$1,'DB Country PMI'!$A$1:$AZ$1,),)=0,#N/A,VLOOKUP(A37,'DB Country PMI'!$A:$AZ,MATCH($A$1,'DB Country PMI'!$A$1:$AZ$1,),))</f>
        <v>51.1</v>
      </c>
      <c r="C37" s="24">
        <f>Table134681112141516171819202225303334[[#This Row],[PMI]]-B36</f>
        <v>-0.19999999999999574</v>
      </c>
    </row>
    <row r="38" spans="1:3" x14ac:dyDescent="0.2">
      <c r="A38" s="10">
        <v>41426</v>
      </c>
      <c r="B38" s="18">
        <f>IF(VLOOKUP(A38,'DB Country PMI'!$A:$AZ,MATCH($A$1,'DB Country PMI'!$A$1:$AZ$1,),)=0,#N/A,VLOOKUP(A38,'DB Country PMI'!$A:$AZ,MATCH($A$1,'DB Country PMI'!$A$1:$AZ$1,),))</f>
        <v>51.2</v>
      </c>
      <c r="C38" s="24">
        <f>Table134681112141516171819202225303334[[#This Row],[PMI]]-B37</f>
        <v>0.10000000000000142</v>
      </c>
    </row>
    <row r="39" spans="1:3" x14ac:dyDescent="0.2">
      <c r="A39" s="10">
        <v>41456</v>
      </c>
      <c r="B39" s="18">
        <f>IF(VLOOKUP(A39,'DB Country PMI'!$A:$AZ,MATCH($A$1,'DB Country PMI'!$A$1:$AZ$1,),)=0,#N/A,VLOOKUP(A39,'DB Country PMI'!$A:$AZ,MATCH($A$1,'DB Country PMI'!$A$1:$AZ$1,),))</f>
        <v>49.8</v>
      </c>
      <c r="C39" s="24">
        <f>Table134681112141516171819202225303334[[#This Row],[PMI]]-B38</f>
        <v>-1.4000000000000057</v>
      </c>
    </row>
    <row r="40" spans="1:3" x14ac:dyDescent="0.2">
      <c r="A40" s="10">
        <v>41487</v>
      </c>
      <c r="B40" s="18">
        <f>IF(VLOOKUP(A40,'DB Country PMI'!$A:$AZ,MATCH($A$1,'DB Country PMI'!$A$1:$AZ$1,),)=0,#N/A,VLOOKUP(A40,'DB Country PMI'!$A:$AZ,MATCH($A$1,'DB Country PMI'!$A$1:$AZ$1,),))</f>
        <v>50.9</v>
      </c>
      <c r="C40" s="24">
        <f>Table134681112141516171819202225303334[[#This Row],[PMI]]-B39</f>
        <v>1.1000000000000014</v>
      </c>
    </row>
    <row r="41" spans="1:3" x14ac:dyDescent="0.2">
      <c r="A41" s="10">
        <v>41518</v>
      </c>
      <c r="B41" s="18">
        <f>IF(VLOOKUP(A41,'DB Country PMI'!$A:$AZ,MATCH($A$1,'DB Country PMI'!$A$1:$AZ$1,),)=0,#N/A,VLOOKUP(A41,'DB Country PMI'!$A:$AZ,MATCH($A$1,'DB Country PMI'!$A$1:$AZ$1,),))</f>
        <v>54</v>
      </c>
      <c r="C41" s="24">
        <f>Table134681112141516171819202225303334[[#This Row],[PMI]]-B40</f>
        <v>3.1000000000000014</v>
      </c>
    </row>
    <row r="42" spans="1:3" x14ac:dyDescent="0.2">
      <c r="A42" s="10">
        <v>41548</v>
      </c>
      <c r="B42" s="18">
        <f>IF(VLOOKUP(A42,'DB Country PMI'!$A:$AZ,MATCH($A$1,'DB Country PMI'!$A$1:$AZ$1,),)=0,#N/A,VLOOKUP(A42,'DB Country PMI'!$A:$AZ,MATCH($A$1,'DB Country PMI'!$A$1:$AZ$1,),))</f>
        <v>53.3</v>
      </c>
      <c r="C42" s="24">
        <f>Table134681112141516171819202225303334[[#This Row],[PMI]]-B41</f>
        <v>-0.70000000000000284</v>
      </c>
    </row>
    <row r="43" spans="1:3" x14ac:dyDescent="0.2">
      <c r="A43" s="10">
        <v>41579</v>
      </c>
      <c r="B43" s="18">
        <f>IF(VLOOKUP(A43,'DB Country PMI'!$A:$AZ,MATCH($A$1,'DB Country PMI'!$A$1:$AZ$1,),)=0,#N/A,VLOOKUP(A43,'DB Country PMI'!$A:$AZ,MATCH($A$1,'DB Country PMI'!$A$1:$AZ$1,),))</f>
        <v>55</v>
      </c>
      <c r="C43" s="24">
        <f>Table134681112141516171819202225303334[[#This Row],[PMI]]-B42</f>
        <v>1.7000000000000028</v>
      </c>
    </row>
    <row r="44" spans="1:3" x14ac:dyDescent="0.2">
      <c r="A44" s="10">
        <v>41609</v>
      </c>
      <c r="B44" s="18">
        <f>IF(VLOOKUP(A44,'DB Country PMI'!$A:$AZ,MATCH($A$1,'DB Country PMI'!$A$1:$AZ$1,),)=0,#N/A,VLOOKUP(A44,'DB Country PMI'!$A:$AZ,MATCH($A$1,'DB Country PMI'!$A$1:$AZ$1,),))</f>
        <v>53.5</v>
      </c>
      <c r="C44" s="24">
        <f>Table134681112141516171819202225303334[[#This Row],[PMI]]-B43</f>
        <v>-1.5</v>
      </c>
    </row>
    <row r="45" spans="1:3" x14ac:dyDescent="0.2">
      <c r="A45" s="10">
        <v>41640</v>
      </c>
      <c r="B45" s="18">
        <f>IF(VLOOKUP(A45,'DB Country PMI'!$A:$AZ,MATCH($A$1,'DB Country PMI'!$A$1:$AZ$1,),)=0,#N/A,VLOOKUP(A45,'DB Country PMI'!$A:$AZ,MATCH($A$1,'DB Country PMI'!$A$1:$AZ$1,),))</f>
        <v>52.7</v>
      </c>
      <c r="C45" s="24">
        <f>Table134681112141516171819202225303334[[#This Row],[PMI]]-B44</f>
        <v>-0.79999999999999716</v>
      </c>
    </row>
    <row r="46" spans="1:3" x14ac:dyDescent="0.2">
      <c r="A46" s="10">
        <v>41671</v>
      </c>
      <c r="B46" s="18">
        <f>IF(VLOOKUP(A46,'DB Country PMI'!$A:$AZ,MATCH($A$1,'DB Country PMI'!$A$1:$AZ$1,),)=0,#N/A,VLOOKUP(A46,'DB Country PMI'!$A:$AZ,MATCH($A$1,'DB Country PMI'!$A$1:$AZ$1,),))</f>
        <v>53.4</v>
      </c>
      <c r="C46" s="24">
        <f>Table134681112141516171819202225303334[[#This Row],[PMI]]-B45</f>
        <v>0.69999999999999574</v>
      </c>
    </row>
    <row r="47" spans="1:3" x14ac:dyDescent="0.2">
      <c r="A47" s="10">
        <v>41699</v>
      </c>
      <c r="B47" s="18">
        <f>IF(VLOOKUP(A47,'DB Country PMI'!$A:$AZ,MATCH($A$1,'DB Country PMI'!$A$1:$AZ$1,),)=0,#N/A,VLOOKUP(A47,'DB Country PMI'!$A:$AZ,MATCH($A$1,'DB Country PMI'!$A$1:$AZ$1,),))</f>
        <v>51.7</v>
      </c>
      <c r="C47" s="24">
        <f>Table134681112141516171819202225303334[[#This Row],[PMI]]-B46</f>
        <v>-1.6999999999999957</v>
      </c>
    </row>
    <row r="48" spans="1:3" x14ac:dyDescent="0.2">
      <c r="A48" s="10">
        <v>41730</v>
      </c>
      <c r="B48" s="18">
        <f>IF(VLOOKUP(A48,'DB Country PMI'!$A:$AZ,MATCH($A$1,'DB Country PMI'!$A$1:$AZ$1,),)=0,#N/A,VLOOKUP(A48,'DB Country PMI'!$A:$AZ,MATCH($A$1,'DB Country PMI'!$A$1:$AZ$1,),))</f>
        <v>51.1</v>
      </c>
      <c r="C48" s="24">
        <f>Table134681112141516171819202225303334[[#This Row],[PMI]]-B47</f>
        <v>-0.60000000000000142</v>
      </c>
    </row>
    <row r="49" spans="1:3" x14ac:dyDescent="0.2">
      <c r="A49" s="10">
        <v>41760</v>
      </c>
      <c r="B49" s="18">
        <f>IF(VLOOKUP(A49,'DB Country PMI'!$A:$AZ,MATCH($A$1,'DB Country PMI'!$A$1:$AZ$1,),)=0,#N/A,VLOOKUP(A49,'DB Country PMI'!$A:$AZ,MATCH($A$1,'DB Country PMI'!$A$1:$AZ$1,),))</f>
        <v>50.1</v>
      </c>
      <c r="C49" s="24">
        <f>Table134681112141516171819202225303334[[#This Row],[PMI]]-B48</f>
        <v>-1</v>
      </c>
    </row>
    <row r="50" spans="1:3" x14ac:dyDescent="0.2">
      <c r="A50" s="10">
        <v>41791</v>
      </c>
      <c r="B50" s="18">
        <f>IF(VLOOKUP(A50,'DB Country PMI'!$A:$AZ,MATCH($A$1,'DB Country PMI'!$A$1:$AZ$1,),)=0,#N/A,VLOOKUP(A50,'DB Country PMI'!$A:$AZ,MATCH($A$1,'DB Country PMI'!$A$1:$AZ$1,),))</f>
        <v>48.8</v>
      </c>
      <c r="C50" s="24">
        <f>Table134681112141516171819202225303334[[#This Row],[PMI]]-B49</f>
        <v>-1.3000000000000043</v>
      </c>
    </row>
    <row r="51" spans="1:3" x14ac:dyDescent="0.2">
      <c r="A51" s="10">
        <v>41821</v>
      </c>
      <c r="B51" s="18">
        <f>IF(VLOOKUP(A51,'DB Country PMI'!$A:$AZ,MATCH($A$1,'DB Country PMI'!$A$1:$AZ$1,),)=0,#N/A,VLOOKUP(A51,'DB Country PMI'!$A:$AZ,MATCH($A$1,'DB Country PMI'!$A$1:$AZ$1,),))</f>
        <v>48.5</v>
      </c>
      <c r="C51" s="24">
        <f>Table134681112141516171819202225303334[[#This Row],[PMI]]-B50</f>
        <v>-0.29999999999999716</v>
      </c>
    </row>
    <row r="52" spans="1:3" x14ac:dyDescent="0.2">
      <c r="A52" s="10">
        <v>41852</v>
      </c>
      <c r="B52" s="18">
        <f>IF(VLOOKUP(A52,'DB Country PMI'!$A:$AZ,MATCH($A$1,'DB Country PMI'!$A$1:$AZ$1,),)=0,#N/A,VLOOKUP(A52,'DB Country PMI'!$A:$AZ,MATCH($A$1,'DB Country PMI'!$A$1:$AZ$1,),))</f>
        <v>50</v>
      </c>
      <c r="C52" s="24">
        <f>Table134681112141516171819202225303334[[#This Row],[PMI]]-B51</f>
        <v>1.5</v>
      </c>
    </row>
    <row r="53" spans="1:3" x14ac:dyDescent="0.2">
      <c r="A53" s="10">
        <v>41883</v>
      </c>
      <c r="B53" s="18">
        <f>IF(VLOOKUP(A53,'DB Country PMI'!$A:$AZ,MATCH($A$1,'DB Country PMI'!$A$1:$AZ$1,),)=0,#N/A,VLOOKUP(A53,'DB Country PMI'!$A:$AZ,MATCH($A$1,'DB Country PMI'!$A$1:$AZ$1,),))</f>
        <v>50.4</v>
      </c>
      <c r="C53" s="24">
        <f>Table134681112141516171819202225303334[[#This Row],[PMI]]-B52</f>
        <v>0.39999999999999858</v>
      </c>
    </row>
    <row r="54" spans="1:3" x14ac:dyDescent="0.2">
      <c r="A54" s="10">
        <v>41913</v>
      </c>
      <c r="B54" s="18">
        <f>IF(VLOOKUP(A54,'DB Country PMI'!$A:$AZ,MATCH($A$1,'DB Country PMI'!$A$1:$AZ$1,),)=0,#N/A,VLOOKUP(A54,'DB Country PMI'!$A:$AZ,MATCH($A$1,'DB Country PMI'!$A$1:$AZ$1,),))</f>
        <v>51.5</v>
      </c>
      <c r="C54" s="24">
        <f>Table134681112141516171819202225303334[[#This Row],[PMI]]-B53</f>
        <v>1.1000000000000014</v>
      </c>
    </row>
    <row r="55" spans="1:3" x14ac:dyDescent="0.2">
      <c r="A55" s="10">
        <v>41944</v>
      </c>
      <c r="B55" s="18">
        <f>IF(VLOOKUP(A55,'DB Country PMI'!$A:$AZ,MATCH($A$1,'DB Country PMI'!$A$1:$AZ$1,),)=0,#N/A,VLOOKUP(A55,'DB Country PMI'!$A:$AZ,MATCH($A$1,'DB Country PMI'!$A$1:$AZ$1,),))</f>
        <v>52.2</v>
      </c>
      <c r="C55" s="24">
        <f>Table134681112141516171819202225303334[[#This Row],[PMI]]-B54</f>
        <v>0.70000000000000284</v>
      </c>
    </row>
    <row r="56" spans="1:3" x14ac:dyDescent="0.2">
      <c r="A56" s="10">
        <v>41974</v>
      </c>
      <c r="B56" s="18">
        <f>IF(VLOOKUP(A56,'DB Country PMI'!$A:$AZ,MATCH($A$1,'DB Country PMI'!$A$1:$AZ$1,),)=0,#N/A,VLOOKUP(A56,'DB Country PMI'!$A:$AZ,MATCH($A$1,'DB Country PMI'!$A$1:$AZ$1,),))</f>
        <v>51.4</v>
      </c>
      <c r="C56" s="24">
        <f>Table134681112141516171819202225303334[[#This Row],[PMI]]-B55</f>
        <v>-0.80000000000000426</v>
      </c>
    </row>
    <row r="57" spans="1:3" x14ac:dyDescent="0.2">
      <c r="A57" s="10">
        <v>42005</v>
      </c>
      <c r="B57" s="18">
        <f>IF(VLOOKUP(A57,'DB Country PMI'!$A:$AZ,MATCH($A$1,'DB Country PMI'!$A$1:$AZ$1,),)=0,#N/A,VLOOKUP(A57,'DB Country PMI'!$A:$AZ,MATCH($A$1,'DB Country PMI'!$A$1:$AZ$1,),))</f>
        <v>49.8</v>
      </c>
      <c r="C57" s="24">
        <f>Table134681112141516171819202225303334[[#This Row],[PMI]]-B56</f>
        <v>-1.6000000000000014</v>
      </c>
    </row>
    <row r="58" spans="1:3" x14ac:dyDescent="0.2">
      <c r="A58" s="10">
        <v>42036</v>
      </c>
      <c r="B58" s="18">
        <f>IF(VLOOKUP(A58,'DB Country PMI'!$A:$AZ,MATCH($A$1,'DB Country PMI'!$A$1:$AZ$1,),)=0,#N/A,VLOOKUP(A58,'DB Country PMI'!$A:$AZ,MATCH($A$1,'DB Country PMI'!$A$1:$AZ$1,),))</f>
        <v>49.6</v>
      </c>
      <c r="C58" s="24">
        <f>Table134681112141516171819202225303334[[#This Row],[PMI]]-B57</f>
        <v>-0.19999999999999574</v>
      </c>
    </row>
    <row r="59" spans="1:3" x14ac:dyDescent="0.2">
      <c r="A59" s="10">
        <v>42064</v>
      </c>
      <c r="B59" s="18">
        <f>IF(VLOOKUP(A59,'DB Country PMI'!$A:$AZ,MATCH($A$1,'DB Country PMI'!$A$1:$AZ$1,),)=0,#N/A,VLOOKUP(A59,'DB Country PMI'!$A:$AZ,MATCH($A$1,'DB Country PMI'!$A$1:$AZ$1,),))</f>
        <v>48</v>
      </c>
      <c r="C59" s="24">
        <f>Table134681112141516171819202225303334[[#This Row],[PMI]]-B58</f>
        <v>-1.6000000000000014</v>
      </c>
    </row>
    <row r="60" spans="1:3" x14ac:dyDescent="0.2">
      <c r="A60" s="10">
        <v>42095</v>
      </c>
      <c r="B60" s="18">
        <f>IF(VLOOKUP(A60,'DB Country PMI'!$A:$AZ,MATCH($A$1,'DB Country PMI'!$A$1:$AZ$1,),)=0,#N/A,VLOOKUP(A60,'DB Country PMI'!$A:$AZ,MATCH($A$1,'DB Country PMI'!$A$1:$AZ$1,),))</f>
        <v>48.5</v>
      </c>
      <c r="C60" s="24">
        <f>Table134681112141516171819202225303334[[#This Row],[PMI]]-B59</f>
        <v>0.5</v>
      </c>
    </row>
    <row r="61" spans="1:3" x14ac:dyDescent="0.2">
      <c r="A61" s="10">
        <v>42125</v>
      </c>
      <c r="B61" s="18">
        <f>IF(VLOOKUP(A61,'DB Country PMI'!$A:$AZ,MATCH($A$1,'DB Country PMI'!$A$1:$AZ$1,),)=0,#N/A,VLOOKUP(A61,'DB Country PMI'!$A:$AZ,MATCH($A$1,'DB Country PMI'!$A$1:$AZ$1,),))</f>
        <v>50.2</v>
      </c>
      <c r="C61" s="24">
        <f>Table134681112141516171819202225303334[[#This Row],[PMI]]-B60</f>
        <v>1.7000000000000028</v>
      </c>
    </row>
    <row r="62" spans="1:3" x14ac:dyDescent="0.2">
      <c r="A62" s="10">
        <v>42156</v>
      </c>
      <c r="B62" s="18">
        <f>IF(VLOOKUP(A62,'DB Country PMI'!$A:$AZ,MATCH($A$1,'DB Country PMI'!$A$1:$AZ$1,),)=0,#N/A,VLOOKUP(A62,'DB Country PMI'!$A:$AZ,MATCH($A$1,'DB Country PMI'!$A$1:$AZ$1,),))</f>
        <v>49</v>
      </c>
      <c r="C62" s="24">
        <f>Table134681112141516171819202225303334[[#This Row],[PMI]]-B61</f>
        <v>-1.2000000000000028</v>
      </c>
    </row>
    <row r="63" spans="1:3" x14ac:dyDescent="0.2">
      <c r="A63" s="10">
        <v>42186</v>
      </c>
      <c r="B63" s="18">
        <f>IF(VLOOKUP(A63,'DB Country PMI'!$A:$AZ,MATCH($A$1,'DB Country PMI'!$A$1:$AZ$1,),)=0,#N/A,VLOOKUP(A63,'DB Country PMI'!$A:$AZ,MATCH($A$1,'DB Country PMI'!$A$1:$AZ$1,),))</f>
        <v>50.1</v>
      </c>
      <c r="C63" s="24">
        <f>Table134681112141516171819202225303334[[#This Row],[PMI]]-B62</f>
        <v>1.1000000000000014</v>
      </c>
    </row>
    <row r="64" spans="1:3" x14ac:dyDescent="0.2">
      <c r="A64" s="10">
        <v>42217</v>
      </c>
      <c r="B64" s="18">
        <f>IF(VLOOKUP(A64,'DB Country PMI'!$A:$AZ,MATCH($A$1,'DB Country PMI'!$A$1:$AZ$1,),)=0,#N/A,VLOOKUP(A64,'DB Country PMI'!$A:$AZ,MATCH($A$1,'DB Country PMI'!$A$1:$AZ$1,),))</f>
        <v>49.3</v>
      </c>
      <c r="C64" s="24">
        <f>Table134681112141516171819202225303334[[#This Row],[PMI]]-B63</f>
        <v>-0.80000000000000426</v>
      </c>
    </row>
    <row r="65" spans="1:3" x14ac:dyDescent="0.2">
      <c r="A65" s="10">
        <v>42248</v>
      </c>
      <c r="B65" s="18">
        <f>IF(VLOOKUP(A65,'DB Country PMI'!$A:$AZ,MATCH($A$1,'DB Country PMI'!$A$1:$AZ$1,),)=0,#N/A,VLOOKUP(A65,'DB Country PMI'!$A:$AZ,MATCH($A$1,'DB Country PMI'!$A$1:$AZ$1,),))</f>
        <v>48.8</v>
      </c>
      <c r="C65" s="24">
        <f>Table134681112141516171819202225303334[[#This Row],[PMI]]-B64</f>
        <v>-0.5</v>
      </c>
    </row>
    <row r="66" spans="1:3" x14ac:dyDescent="0.2">
      <c r="A66" s="10">
        <v>42278</v>
      </c>
      <c r="B66" s="18">
        <f>IF(VLOOKUP(A66,'DB Country PMI'!$A:$AZ,MATCH($A$1,'DB Country PMI'!$A$1:$AZ$1,),)=0,#N/A,VLOOKUP(A66,'DB Country PMI'!$A:$AZ,MATCH($A$1,'DB Country PMI'!$A$1:$AZ$1,),))</f>
        <v>49.5</v>
      </c>
      <c r="C66" s="24">
        <f>Table134681112141516171819202225303334[[#This Row],[PMI]]-B65</f>
        <v>0.70000000000000284</v>
      </c>
    </row>
    <row r="67" spans="1:3" x14ac:dyDescent="0.2">
      <c r="A67" s="10">
        <v>42309</v>
      </c>
      <c r="B67" s="18">
        <f>IF(VLOOKUP(A67,'DB Country PMI'!$A:$AZ,MATCH($A$1,'DB Country PMI'!$A$1:$AZ$1,),)=0,#N/A,VLOOKUP(A67,'DB Country PMI'!$A:$AZ,MATCH($A$1,'DB Country PMI'!$A$1:$AZ$1,),))</f>
        <v>50.9</v>
      </c>
      <c r="C67" s="24">
        <f>Table134681112141516171819202225303334[[#This Row],[PMI]]-B66</f>
        <v>1.3999999999999986</v>
      </c>
    </row>
    <row r="68" spans="1:3" x14ac:dyDescent="0.2">
      <c r="A68" s="10">
        <v>42339</v>
      </c>
      <c r="B68" s="18">
        <f>IF(VLOOKUP(A68,'DB Country PMI'!$A:$AZ,MATCH($A$1,'DB Country PMI'!$A$1:$AZ$1,),)=0,#N/A,VLOOKUP(A68,'DB Country PMI'!$A:$AZ,MATCH($A$1,'DB Country PMI'!$A$1:$AZ$1,),))</f>
        <v>52.2</v>
      </c>
      <c r="C68" s="24">
        <f>Table134681112141516171819202225303334[[#This Row],[PMI]]-B67</f>
        <v>1.3000000000000043</v>
      </c>
    </row>
    <row r="69" spans="1:3" x14ac:dyDescent="0.2">
      <c r="A69" s="10">
        <v>42370</v>
      </c>
      <c r="B69" s="18">
        <f>IF(VLOOKUP(A69,'DB Country PMI'!$A:$AZ,MATCH($A$1,'DB Country PMI'!$A$1:$AZ$1,),)=0,#N/A,VLOOKUP(A69,'DB Country PMI'!$A:$AZ,MATCH($A$1,'DB Country PMI'!$A$1:$AZ$1,),))</f>
        <v>50.9</v>
      </c>
      <c r="C69" s="24">
        <f>Table134681112141516171819202225303334[[#This Row],[PMI]]-B68</f>
        <v>-1.3000000000000043</v>
      </c>
    </row>
    <row r="70" spans="1:3" x14ac:dyDescent="0.2">
      <c r="A70" s="10">
        <v>42401</v>
      </c>
      <c r="B70" s="18">
        <f>IF(VLOOKUP(A70,'DB Country PMI'!$A:$AZ,MATCH($A$1,'DB Country PMI'!$A$1:$AZ$1,),)=0,#N/A,VLOOKUP(A70,'DB Country PMI'!$A:$AZ,MATCH($A$1,'DB Country PMI'!$A$1:$AZ$1,),))</f>
        <v>50.3</v>
      </c>
      <c r="C70" s="24">
        <f>Table134681112141516171819202225303334[[#This Row],[PMI]]-B69</f>
        <v>-0.60000000000000142</v>
      </c>
    </row>
    <row r="71" spans="1:3" x14ac:dyDescent="0.2">
      <c r="A71" s="10">
        <v>42430</v>
      </c>
      <c r="B71" s="18">
        <f>IF(VLOOKUP(A71,'DB Country PMI'!$A:$AZ,MATCH($A$1,'DB Country PMI'!$A$1:$AZ$1,),)=0,#N/A,VLOOKUP(A71,'DB Country PMI'!$A:$AZ,MATCH($A$1,'DB Country PMI'!$A$1:$AZ$1,),))</f>
        <v>49.2</v>
      </c>
      <c r="C71" s="24">
        <f>Table134681112141516171819202225303334[[#This Row],[PMI]]-B70</f>
        <v>-1.0999999999999943</v>
      </c>
    </row>
    <row r="72" spans="1:3" x14ac:dyDescent="0.2">
      <c r="A72" s="10">
        <v>42461</v>
      </c>
      <c r="B72" s="18">
        <f>IF(VLOOKUP(A72,'DB Country PMI'!$A:$AZ,MATCH($A$1,'DB Country PMI'!$A$1:$AZ$1,),)=0,#N/A,VLOOKUP(A72,'DB Country PMI'!$A:$AZ,MATCH($A$1,'DB Country PMI'!$A$1:$AZ$1,),))</f>
        <v>48.9</v>
      </c>
      <c r="C72" s="24">
        <f>Table134681112141516171819202225303334[[#This Row],[PMI]]-B71</f>
        <v>-0.30000000000000426</v>
      </c>
    </row>
    <row r="73" spans="1:3" x14ac:dyDescent="0.2">
      <c r="A73" s="10">
        <v>42491</v>
      </c>
      <c r="B73" s="18">
        <f>IF(VLOOKUP(A73,'DB Country PMI'!$A:$AZ,MATCH($A$1,'DB Country PMI'!$A$1:$AZ$1,),)=0,#N/A,VLOOKUP(A73,'DB Country PMI'!$A:$AZ,MATCH($A$1,'DB Country PMI'!$A$1:$AZ$1,),))</f>
        <v>49.4</v>
      </c>
      <c r="C73" s="24">
        <f>Table134681112141516171819202225303334[[#This Row],[PMI]]-B72</f>
        <v>0.5</v>
      </c>
    </row>
    <row r="74" spans="1:3" x14ac:dyDescent="0.2">
      <c r="A74" s="10">
        <v>42522</v>
      </c>
      <c r="B74" s="18">
        <f>IF(VLOOKUP(A74,'DB Country PMI'!$A:$AZ,MATCH($A$1,'DB Country PMI'!$A$1:$AZ$1,),)=0,#N/A,VLOOKUP(A74,'DB Country PMI'!$A:$AZ,MATCH($A$1,'DB Country PMI'!$A$1:$AZ$1,),))</f>
        <v>47.4</v>
      </c>
      <c r="C74" s="24">
        <f>Table134681112141516171819202225303334[[#This Row],[PMI]]-B73</f>
        <v>-2</v>
      </c>
    </row>
    <row r="75" spans="1:3" x14ac:dyDescent="0.2">
      <c r="A75" s="10">
        <v>42552</v>
      </c>
      <c r="B75" s="18">
        <f>IF(VLOOKUP(A75,'DB Country PMI'!$A:$AZ,MATCH($A$1,'DB Country PMI'!$A$1:$AZ$1,),)=0,#N/A,VLOOKUP(A75,'DB Country PMI'!$A:$AZ,MATCH($A$1,'DB Country PMI'!$A$1:$AZ$1,),))</f>
        <v>47.6</v>
      </c>
      <c r="C75" s="24">
        <f>Table134681112141516171819202225303334[[#This Row],[PMI]]-B74</f>
        <v>0.20000000000000284</v>
      </c>
    </row>
    <row r="76" spans="1:3" x14ac:dyDescent="0.2">
      <c r="A76" s="10">
        <v>42583</v>
      </c>
      <c r="B76" s="18">
        <f>IF(VLOOKUP(A76,'DB Country PMI'!$A:$AZ,MATCH($A$1,'DB Country PMI'!$A$1:$AZ$1,),)=0,#N/A,VLOOKUP(A76,'DB Country PMI'!$A:$AZ,MATCH($A$1,'DB Country PMI'!$A$1:$AZ$1,),))</f>
        <v>47</v>
      </c>
      <c r="C76" s="24">
        <f>Table134681112141516171819202225303334[[#This Row],[PMI]]-B75</f>
        <v>-0.60000000000000142</v>
      </c>
    </row>
    <row r="77" spans="1:3" x14ac:dyDescent="0.2">
      <c r="A77" s="10">
        <v>42614</v>
      </c>
      <c r="B77" s="18">
        <f>IF(VLOOKUP(A77,'DB Country PMI'!$A:$AZ,MATCH($A$1,'DB Country PMI'!$A$1:$AZ$1,),)=0,#N/A,VLOOKUP(A77,'DB Country PMI'!$A:$AZ,MATCH($A$1,'DB Country PMI'!$A$1:$AZ$1,),))</f>
        <v>48.3</v>
      </c>
      <c r="C77" s="24">
        <f>Table134681112141516171819202225303334[[#This Row],[PMI]]-B76</f>
        <v>1.2999999999999972</v>
      </c>
    </row>
    <row r="78" spans="1:3" x14ac:dyDescent="0.2">
      <c r="A78" s="10">
        <v>42644</v>
      </c>
      <c r="B78" s="18">
        <f>IF(VLOOKUP(A78,'DB Country PMI'!$A:$AZ,MATCH($A$1,'DB Country PMI'!$A$1:$AZ$1,),)=0,#N/A,VLOOKUP(A78,'DB Country PMI'!$A:$AZ,MATCH($A$1,'DB Country PMI'!$A$1:$AZ$1,),))</f>
        <v>49.8</v>
      </c>
      <c r="C78" s="24">
        <f>Table134681112141516171819202225303334[[#This Row],[PMI]]-B77</f>
        <v>1.5</v>
      </c>
    </row>
    <row r="79" spans="1:3" x14ac:dyDescent="0.2">
      <c r="A79" s="10">
        <v>42675</v>
      </c>
      <c r="B79" s="18">
        <f>IF(VLOOKUP(A79,'DB Country PMI'!$A:$AZ,MATCH($A$1,'DB Country PMI'!$A$1:$AZ$1,),)=0,#N/A,VLOOKUP(A79,'DB Country PMI'!$A:$AZ,MATCH($A$1,'DB Country PMI'!$A$1:$AZ$1,),))</f>
        <v>48.8</v>
      </c>
      <c r="C79" s="24">
        <f>Table134681112141516171819202225303334[[#This Row],[PMI]]-B78</f>
        <v>-1</v>
      </c>
    </row>
    <row r="80" spans="1:3" x14ac:dyDescent="0.2">
      <c r="A80" s="10">
        <v>42705</v>
      </c>
      <c r="B80" s="18">
        <f>IF(VLOOKUP(A80,'DB Country PMI'!$A:$AZ,MATCH($A$1,'DB Country PMI'!$A$1:$AZ$1,),)=0,#N/A,VLOOKUP(A80,'DB Country PMI'!$A:$AZ,MATCH($A$1,'DB Country PMI'!$A$1:$AZ$1,),))</f>
        <v>47.7</v>
      </c>
      <c r="C80" s="24">
        <f>Table134681112141516171819202225303334[[#This Row],[PMI]]-B79</f>
        <v>-1.0999999999999943</v>
      </c>
    </row>
    <row r="81" spans="1:3" x14ac:dyDescent="0.2">
      <c r="A81" s="10">
        <v>42736</v>
      </c>
      <c r="B81" s="18">
        <f>IF(VLOOKUP(A81,'DB Country PMI'!$A:$AZ,MATCH($A$1,'DB Country PMI'!$A$1:$AZ$1,),)=0,#N/A,VLOOKUP(A81,'DB Country PMI'!$A:$AZ,MATCH($A$1,'DB Country PMI'!$A$1:$AZ$1,),))</f>
        <v>48.7</v>
      </c>
      <c r="C81" s="24">
        <f>Table134681112141516171819202225303334[[#This Row],[PMI]]-B80</f>
        <v>1</v>
      </c>
    </row>
    <row r="82" spans="1:3" x14ac:dyDescent="0.2">
      <c r="A82" s="10">
        <v>42767</v>
      </c>
      <c r="B82" s="18">
        <f>IF(VLOOKUP(A82,'DB Country PMI'!$A:$AZ,MATCH($A$1,'DB Country PMI'!$A$1:$AZ$1,),)=0,#N/A,VLOOKUP(A82,'DB Country PMI'!$A:$AZ,MATCH($A$1,'DB Country PMI'!$A$1:$AZ$1,),))</f>
        <v>49.7</v>
      </c>
      <c r="C82" s="24">
        <f>Table134681112141516171819202225303334[[#This Row],[PMI]]-B81</f>
        <v>1</v>
      </c>
    </row>
    <row r="83" spans="1:3" x14ac:dyDescent="0.2">
      <c r="A83" s="10">
        <v>42795</v>
      </c>
      <c r="B83" s="18">
        <f>IF(VLOOKUP(A83,'DB Country PMI'!$A:$AZ,MATCH($A$1,'DB Country PMI'!$A$1:$AZ$1,),)=0,#N/A,VLOOKUP(A83,'DB Country PMI'!$A:$AZ,MATCH($A$1,'DB Country PMI'!$A$1:$AZ$1,),))</f>
        <v>52.3</v>
      </c>
      <c r="C83" s="24">
        <f>Table134681112141516171819202225303334[[#This Row],[PMI]]-B82</f>
        <v>2.5999999999999943</v>
      </c>
    </row>
    <row r="84" spans="1:3" x14ac:dyDescent="0.2">
      <c r="A84" s="10">
        <v>42826</v>
      </c>
      <c r="B84" s="18">
        <f>IF(VLOOKUP(A84,'DB Country PMI'!$A:$AZ,MATCH($A$1,'DB Country PMI'!$A$1:$AZ$1,),)=0,#N/A,VLOOKUP(A84,'DB Country PMI'!$A:$AZ,MATCH($A$1,'DB Country PMI'!$A$1:$AZ$1,),))</f>
        <v>51.7</v>
      </c>
      <c r="C84" s="24">
        <f>Table134681112141516171819202225303334[[#This Row],[PMI]]-B83</f>
        <v>-0.59999999999999432</v>
      </c>
    </row>
    <row r="85" spans="1:3" x14ac:dyDescent="0.2">
      <c r="A85" s="10">
        <v>42856</v>
      </c>
      <c r="B85" s="18">
        <f>IF(VLOOKUP(A85,'DB Country PMI'!$A:$AZ,MATCH($A$1,'DB Country PMI'!$A$1:$AZ$1,),)=0,#N/A,VLOOKUP(A85,'DB Country PMI'!$A:$AZ,MATCH($A$1,'DB Country PMI'!$A$1:$AZ$1,),))</f>
        <v>53.5</v>
      </c>
      <c r="C85" s="24">
        <f>Table134681112141516171819202225303334[[#This Row],[PMI]]-B84</f>
        <v>1.7999999999999972</v>
      </c>
    </row>
    <row r="86" spans="1:3" x14ac:dyDescent="0.2">
      <c r="A86" s="10">
        <v>42887</v>
      </c>
      <c r="B86" s="18">
        <f>IF(VLOOKUP(A86,'DB Country PMI'!$A:$AZ,MATCH($A$1,'DB Country PMI'!$A$1:$AZ$1,),)=0,#N/A,VLOOKUP(A86,'DB Country PMI'!$A:$AZ,MATCH($A$1,'DB Country PMI'!$A$1:$AZ$1,),))</f>
        <v>54.7</v>
      </c>
      <c r="C86" s="24">
        <f>Table134681112141516171819202225303334[[#This Row],[PMI]]-B85</f>
        <v>1.2000000000000028</v>
      </c>
    </row>
    <row r="87" spans="1:3" x14ac:dyDescent="0.2">
      <c r="A87" s="10">
        <v>42917</v>
      </c>
      <c r="B87" s="18">
        <f>IF(VLOOKUP(A87,'DB Country PMI'!$A:$AZ,MATCH($A$1,'DB Country PMI'!$A$1:$AZ$1,),)=0,#N/A,VLOOKUP(A87,'DB Country PMI'!$A:$AZ,MATCH($A$1,'DB Country PMI'!$A$1:$AZ$1,),))</f>
        <v>53.6</v>
      </c>
      <c r="C87" s="24">
        <f>Table134681112141516171819202225303334[[#This Row],[PMI]]-B86</f>
        <v>-1.1000000000000014</v>
      </c>
    </row>
    <row r="88" spans="1:3" x14ac:dyDescent="0.2">
      <c r="A88" s="10">
        <v>42948</v>
      </c>
      <c r="B88" s="18">
        <f>IF(VLOOKUP(A88,'DB Country PMI'!$A:$AZ,MATCH($A$1,'DB Country PMI'!$A$1:$AZ$1,),)=0,#N/A,VLOOKUP(A88,'DB Country PMI'!$A:$AZ,MATCH($A$1,'DB Country PMI'!$A$1:$AZ$1,),))</f>
        <v>55.3</v>
      </c>
      <c r="C88" s="24">
        <f>Table134681112141516171819202225303334[[#This Row],[PMI]]-B87</f>
        <v>1.6999999999999957</v>
      </c>
    </row>
    <row r="89" spans="1:3" x14ac:dyDescent="0.2">
      <c r="A89" s="10">
        <v>42979</v>
      </c>
      <c r="B89" s="18">
        <f>IF(VLOOKUP(A89,'DB Country PMI'!$A:$AZ,MATCH($A$1,'DB Country PMI'!$A$1:$AZ$1,),)=0,#N/A,VLOOKUP(A89,'DB Country PMI'!$A:$AZ,MATCH($A$1,'DB Country PMI'!$A$1:$AZ$1,),))</f>
        <v>53.5</v>
      </c>
      <c r="C89" s="24">
        <f>Table134681112141516171819202225303334[[#This Row],[PMI]]-B88</f>
        <v>-1.7999999999999972</v>
      </c>
    </row>
    <row r="90" spans="1:3" x14ac:dyDescent="0.2">
      <c r="A90" s="10">
        <v>43009</v>
      </c>
      <c r="B90" s="18">
        <f>IF(VLOOKUP(A90,'DB Country PMI'!$A:$AZ,MATCH($A$1,'DB Country PMI'!$A$1:$AZ$1,),)=0,#N/A,VLOOKUP(A90,'DB Country PMI'!$A:$AZ,MATCH($A$1,'DB Country PMI'!$A$1:$AZ$1,),))</f>
        <v>52.8</v>
      </c>
      <c r="C90" s="24">
        <f>Table134681112141516171819202225303334[[#This Row],[PMI]]-B89</f>
        <v>-0.70000000000000284</v>
      </c>
    </row>
    <row r="91" spans="1:3" x14ac:dyDescent="0.2">
      <c r="A91" s="10">
        <v>43040</v>
      </c>
      <c r="B91" s="18">
        <f>IF(VLOOKUP(A91,'DB Country PMI'!$A:$AZ,MATCH($A$1,'DB Country PMI'!$A$1:$AZ$1,),)=0,#N/A,VLOOKUP(A91,'DB Country PMI'!$A:$AZ,MATCH($A$1,'DB Country PMI'!$A$1:$AZ$1,),))</f>
        <v>52.9</v>
      </c>
      <c r="C91" s="24">
        <f>Table134681112141516171819202225303334[[#This Row],[PMI]]-B90</f>
        <v>0.10000000000000142</v>
      </c>
    </row>
    <row r="92" spans="1:3" x14ac:dyDescent="0.2">
      <c r="A92" s="10">
        <v>43070</v>
      </c>
      <c r="B92" s="18">
        <f>IF(VLOOKUP(A92,'DB Country PMI'!$A:$AZ,MATCH($A$1,'DB Country PMI'!$A$1:$AZ$1,),)=0,#N/A,VLOOKUP(A92,'DB Country PMI'!$A:$AZ,MATCH($A$1,'DB Country PMI'!$A$1:$AZ$1,),))</f>
        <v>54.9</v>
      </c>
      <c r="C92" s="24">
        <f>Table134681112141516171819202225303334[[#This Row],[PMI]]-B91</f>
        <v>2</v>
      </c>
    </row>
    <row r="93" spans="1:3" x14ac:dyDescent="0.2">
      <c r="A93" s="10">
        <v>43101</v>
      </c>
      <c r="B93" s="18">
        <f>IF(VLOOKUP(A93,'DB Country PMI'!$A:$AZ,MATCH($A$1,'DB Country PMI'!$A$1:$AZ$1,),)=0,#N/A,VLOOKUP(A93,'DB Country PMI'!$A:$AZ,MATCH($A$1,'DB Country PMI'!$A$1:$AZ$1,),))</f>
        <v>55.7</v>
      </c>
      <c r="C93" s="24">
        <f>Table134681112141516171819202225303334[[#This Row],[PMI]]-B92</f>
        <v>0.80000000000000426</v>
      </c>
    </row>
    <row r="94" spans="1:3" x14ac:dyDescent="0.2">
      <c r="A94" s="10">
        <v>43132</v>
      </c>
      <c r="B94" s="18">
        <f>IF(VLOOKUP(A94,'DB Country PMI'!$A:$AZ,MATCH($A$1,'DB Country PMI'!$A$1:$AZ$1,),)=0,#N/A,VLOOKUP(A94,'DB Country PMI'!$A:$AZ,MATCH($A$1,'DB Country PMI'!$A$1:$AZ$1,),))</f>
        <v>55.6</v>
      </c>
      <c r="C94" s="24">
        <f>Table134681112141516171819202225303334[[#This Row],[PMI]]-B93</f>
        <v>-0.10000000000000142</v>
      </c>
    </row>
    <row r="95" spans="1:3" x14ac:dyDescent="0.2">
      <c r="A95" s="10">
        <v>43160</v>
      </c>
      <c r="B95" s="18">
        <f>IF(VLOOKUP(A95,'DB Country PMI'!$A:$AZ,MATCH($A$1,'DB Country PMI'!$A$1:$AZ$1,),)=0,#N/A,VLOOKUP(A95,'DB Country PMI'!$A:$AZ,MATCH($A$1,'DB Country PMI'!$A$1:$AZ$1,),))</f>
        <v>51.8</v>
      </c>
      <c r="C95" s="24">
        <f>Table134681112141516171819202225303334[[#This Row],[PMI]]-B94</f>
        <v>-3.8000000000000043</v>
      </c>
    </row>
    <row r="96" spans="1:3" x14ac:dyDescent="0.2">
      <c r="A96" s="10">
        <v>43191</v>
      </c>
      <c r="B96" s="18">
        <f>IF(VLOOKUP(A96,'DB Country PMI'!$A:$AZ,MATCH($A$1,'DB Country PMI'!$A$1:$AZ$1,),)=0,#N/A,VLOOKUP(A96,'DB Country PMI'!$A:$AZ,MATCH($A$1,'DB Country PMI'!$A$1:$AZ$1,),))</f>
        <v>48.9</v>
      </c>
      <c r="C96" s="24">
        <f>Table134681112141516171819202225303334[[#This Row],[PMI]]-B95</f>
        <v>-2.8999999999999986</v>
      </c>
    </row>
    <row r="97" spans="1:3" x14ac:dyDescent="0.2">
      <c r="A97" s="10">
        <v>43221</v>
      </c>
      <c r="B97" s="18">
        <f>IF(VLOOKUP(A97,'DB Country PMI'!$A:$AZ,MATCH($A$1,'DB Country PMI'!$A$1:$AZ$1,),)=0,#N/A,VLOOKUP(A97,'DB Country PMI'!$A:$AZ,MATCH($A$1,'DB Country PMI'!$A$1:$AZ$1,),))</f>
        <v>46.4</v>
      </c>
      <c r="C97" s="24">
        <f>Table134681112141516171819202225303334[[#This Row],[PMI]]-B96</f>
        <v>-2.5</v>
      </c>
    </row>
    <row r="98" spans="1:3" x14ac:dyDescent="0.2">
      <c r="A98" s="10">
        <v>43252</v>
      </c>
      <c r="B98" s="18">
        <f>IF(VLOOKUP(A98,'DB Country PMI'!$A:$AZ,MATCH($A$1,'DB Country PMI'!$A$1:$AZ$1,),)=0,#N/A,VLOOKUP(A98,'DB Country PMI'!$A:$AZ,MATCH($A$1,'DB Country PMI'!$A$1:$AZ$1,),))</f>
        <v>46.8</v>
      </c>
      <c r="C98" s="24">
        <f>Table134681112141516171819202225303334[[#This Row],[PMI]]-B97</f>
        <v>0.39999999999999858</v>
      </c>
    </row>
    <row r="99" spans="1:3" x14ac:dyDescent="0.2">
      <c r="A99" s="10">
        <v>43282</v>
      </c>
      <c r="B99" s="18">
        <f>IF(VLOOKUP(A99,'DB Country PMI'!$A:$AZ,MATCH($A$1,'DB Country PMI'!$A$1:$AZ$1,),)=0,#N/A,VLOOKUP(A99,'DB Country PMI'!$A:$AZ,MATCH($A$1,'DB Country PMI'!$A$1:$AZ$1,),))</f>
        <v>49</v>
      </c>
      <c r="C99" s="24">
        <f>Table134681112141516171819202225303334[[#This Row],[PMI]]-B98</f>
        <v>2.2000000000000028</v>
      </c>
    </row>
    <row r="100" spans="1:3" x14ac:dyDescent="0.2">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2">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2">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2">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2">
      <c r="A104" s="10">
        <v>43435</v>
      </c>
      <c r="B104" s="18">
        <f>IF(VLOOKUP(A104,'DB Country PMI'!$A:$AZ,MATCH($A$1,'DB Country PMI'!$A$1:$AZ$1,),)=0,#N/A,VLOOKUP(A104,'DB Country PMI'!$A:$AZ,MATCH($A$1,'DB Country PMI'!$A$1:$AZ$1,),))</f>
        <v>44.2</v>
      </c>
      <c r="C104" s="24">
        <f>Table134681112141516171819202225303334[[#This Row],[PMI]]-B103</f>
        <v>-0.5</v>
      </c>
    </row>
    <row r="105" spans="1:3" x14ac:dyDescent="0.2">
      <c r="A105" s="10">
        <v>43466</v>
      </c>
      <c r="B105" s="18">
        <f>IF(VLOOKUP(A105,'DB Country PMI'!$A:$AZ,MATCH($A$1,'DB Country PMI'!$A$1:$AZ$1,),)=0,#N/A,VLOOKUP(A105,'DB Country PMI'!$A:$AZ,MATCH($A$1,'DB Country PMI'!$A$1:$AZ$1,),))</f>
        <v>44.2</v>
      </c>
      <c r="C105" s="24">
        <f>Table134681112141516171819202225303334[[#This Row],[PMI]]-B104</f>
        <v>0</v>
      </c>
    </row>
    <row r="106" spans="1:3" x14ac:dyDescent="0.2">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2">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2">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2">
      <c r="A109" s="10">
        <v>43586</v>
      </c>
      <c r="B109" s="18">
        <f>IF(VLOOKUP(A109,'DB Country PMI'!$A:$AZ,MATCH($A$1,'DB Country PMI'!$A$1:$AZ$1,),)=0,#N/A,VLOOKUP(A109,'DB Country PMI'!$A:$AZ,MATCH($A$1,'DB Country PMI'!$A$1:$AZ$1,),))</f>
        <v>45.3</v>
      </c>
      <c r="C109" s="24">
        <f>Table134681112141516171819202225303334[[#This Row],[PMI]]-B108</f>
        <v>-1.5</v>
      </c>
    </row>
    <row r="110" spans="1:3" x14ac:dyDescent="0.2">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2">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2">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2">
      <c r="A113" s="10">
        <v>43709</v>
      </c>
      <c r="B113" s="18">
        <f>IF(VLOOKUP(A113,'DB Country PMI'!$A:$AZ,MATCH($A$1,'DB Country PMI'!$A$1:$AZ$1,),)=0,#N/A,VLOOKUP(A113,'DB Country PMI'!$A:$AZ,MATCH($A$1,'DB Country PMI'!$A$1:$AZ$1,),))</f>
        <v>50</v>
      </c>
      <c r="C113" s="24">
        <f>Table134681112141516171819202225303334[[#This Row],[PMI]]-B112</f>
        <v>2</v>
      </c>
    </row>
    <row r="114" spans="1:3" x14ac:dyDescent="0.2">
      <c r="A114" s="10">
        <v>43739</v>
      </c>
      <c r="B114" s="18">
        <f>IF(VLOOKUP(A114,'DB Country PMI'!$A:$AZ,MATCH($A$1,'DB Country PMI'!$A$1:$AZ$1,),)=0,#N/A,VLOOKUP(A114,'DB Country PMI'!$A:$AZ,MATCH($A$1,'DB Country PMI'!$A$1:$AZ$1,),))</f>
        <v>49</v>
      </c>
      <c r="C114" s="24">
        <f>Table134681112141516171819202225303334[[#This Row],[PMI]]-B113</f>
        <v>-1</v>
      </c>
    </row>
    <row r="115" spans="1:3" x14ac:dyDescent="0.2">
      <c r="A115" s="10">
        <v>43770</v>
      </c>
      <c r="B115" s="18">
        <f>IF(VLOOKUP(A115,'DB Country PMI'!$A:$AZ,MATCH($A$1,'DB Country PMI'!$A$1:$AZ$1,),)=0,#N/A,VLOOKUP(A115,'DB Country PMI'!$A:$AZ,MATCH($A$1,'DB Country PMI'!$A$1:$AZ$1,),))</f>
        <v>49.5</v>
      </c>
      <c r="C115" s="24">
        <f>Table134681112141516171819202225303334[[#This Row],[PMI]]-B114</f>
        <v>0.5</v>
      </c>
    </row>
    <row r="116" spans="1:3" x14ac:dyDescent="0.2">
      <c r="A116" s="10">
        <v>43800</v>
      </c>
      <c r="B116" s="18">
        <f>IF(VLOOKUP(A116,'DB Country PMI'!$A:$AZ,MATCH($A$1,'DB Country PMI'!$A$1:$AZ$1,),)=0,#N/A,VLOOKUP(A116,'DB Country PMI'!$A:$AZ,MATCH($A$1,'DB Country PMI'!$A$1:$AZ$1,),))</f>
        <v>49.5</v>
      </c>
      <c r="C116" s="24">
        <f>Table134681112141516171819202225303334[[#This Row],[PMI]]-B115</f>
        <v>0</v>
      </c>
    </row>
    <row r="117" spans="1:3" x14ac:dyDescent="0.2">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2">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2">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2">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2">
      <c r="A121" s="10">
        <v>43952</v>
      </c>
      <c r="B121" s="18">
        <f>IF(VLOOKUP(A121,'DB Country PMI'!$A:$AZ,MATCH($A$1,'DB Country PMI'!$A$1:$AZ$1,),)=0,#N/A,VLOOKUP(A121,'DB Country PMI'!$A:$AZ,MATCH($A$1,'DB Country PMI'!$A$1:$AZ$1,),))</f>
        <v>40.9</v>
      </c>
      <c r="C121" s="24">
        <f>Table134681112141516171819202225303334[[#This Row],[PMI]]-B120</f>
        <v>7.5</v>
      </c>
    </row>
    <row r="122" spans="1:3" x14ac:dyDescent="0.2">
      <c r="A122" s="10">
        <v>43983</v>
      </c>
      <c r="B122" s="18">
        <f>IF(VLOOKUP(A122,'DB Country PMI'!$A:$AZ,MATCH($A$1,'DB Country PMI'!$A$1:$AZ$1,),)=0,#N/A,VLOOKUP(A122,'DB Country PMI'!$A:$AZ,MATCH($A$1,'DB Country PMI'!$A$1:$AZ$1,),))</f>
        <v>53.9</v>
      </c>
      <c r="C122" s="24">
        <f>Table134681112141516171819202225303334[[#This Row],[PMI]]-B121</f>
        <v>13</v>
      </c>
    </row>
    <row r="123" spans="1:3" x14ac:dyDescent="0.2">
      <c r="A123" s="10">
        <v>44013</v>
      </c>
      <c r="B123" s="18">
        <f>IF(VLOOKUP(A123,'DB Country PMI'!$A:$AZ,MATCH($A$1,'DB Country PMI'!$A$1:$AZ$1,),)=0,#N/A,VLOOKUP(A123,'DB Country PMI'!$A:$AZ,MATCH($A$1,'DB Country PMI'!$A$1:$AZ$1,),))</f>
        <v>56.9</v>
      </c>
      <c r="C123" s="24">
        <f>Table134681112141516171819202225303334[[#This Row],[PMI]]-B122</f>
        <v>3</v>
      </c>
    </row>
    <row r="124" spans="1:3" x14ac:dyDescent="0.2">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2">
      <c r="A125" s="10">
        <v>44075</v>
      </c>
      <c r="B125" s="18">
        <f>IF(VLOOKUP(A125,'DB Country PMI'!$A:$AZ,MATCH($A$1,'DB Country PMI'!$A$1:$AZ$1,),)=0,#N/A,VLOOKUP(A125,'DB Country PMI'!$A:$AZ,MATCH($A$1,'DB Country PMI'!$A$1:$AZ$1,),))</f>
        <v>52.8</v>
      </c>
      <c r="C125" s="24">
        <f>Table134681112141516171819202225303334[[#This Row],[PMI]]-B124</f>
        <v>-1.5</v>
      </c>
    </row>
    <row r="126" spans="1:3" x14ac:dyDescent="0.2">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2">
      <c r="A127" s="10">
        <v>44136</v>
      </c>
      <c r="B127" s="18">
        <f>IF(VLOOKUP(A127,'DB Country PMI'!$A:$AZ,MATCH($A$1,'DB Country PMI'!$A$1:$AZ$1,),)=0,#N/A,VLOOKUP(A127,'DB Country PMI'!$A:$AZ,MATCH($A$1,'DB Country PMI'!$A$1:$AZ$1,),))</f>
        <v>51.4</v>
      </c>
      <c r="C127" s="24">
        <f>Table134681112141516171819202225303334[[#This Row],[PMI]]-B126</f>
        <v>-2.5</v>
      </c>
    </row>
    <row r="128" spans="1:3" x14ac:dyDescent="0.2">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2">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2">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2">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2">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2">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2">
      <c r="A134" s="10">
        <v>44348</v>
      </c>
      <c r="B134" s="18">
        <f>IF(VLOOKUP(A134,'DB Country PMI'!$A:$AZ,MATCH($A$1,'DB Country PMI'!$A$1:$AZ$1,),)=0,#N/A,VLOOKUP(A134,'DB Country PMI'!$A:$AZ,MATCH($A$1,'DB Country PMI'!$A$1:$AZ$1,),))</f>
        <v>51.3</v>
      </c>
      <c r="C134" s="24">
        <f>Table134681112141516171819202225303334[[#This Row],[PMI]]-B133</f>
        <v>2</v>
      </c>
    </row>
    <row r="135" spans="1:3" x14ac:dyDescent="0.2">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2">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2">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2">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2">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2">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2">
      <c r="A141" s="10">
        <v>44562</v>
      </c>
      <c r="B141" s="18">
        <f>IF(VLOOKUP(A141,'DB Country PMI'!$A:$AZ,MATCH($A$1,'DB Country PMI'!$A$1:$AZ$1,),)=0,#N/A,VLOOKUP(A141,'DB Country PMI'!$A:$AZ,MATCH($A$1,'DB Country PMI'!$A$1:$AZ$1,),))</f>
        <v>50.5</v>
      </c>
      <c r="C141" s="24">
        <f>Table134681112141516171819202225303334[[#This Row],[PMI]]-B140</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41"/>
  <sheetViews>
    <sheetView zoomScale="160" zoomScaleNormal="160" workbookViewId="0">
      <pane ySplit="5" topLeftCell="A102" activePane="bottomLeft" state="frozen"/>
      <selection pane="bottomLeft" activeCell="N113" sqref="N113"/>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48</v>
      </c>
      <c r="K1" s="63" t="s">
        <v>107</v>
      </c>
    </row>
    <row r="2" spans="1:11" x14ac:dyDescent="0.2">
      <c r="K2" s="63" t="str">
        <f>A1&amp;K1</f>
        <v>Czech Republic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57.3</v>
      </c>
      <c r="C7" s="24">
        <f>Table13468111214151617181920222530333435[[#This Row],[PMI]]-B6</f>
        <v>9.9999999999994316E-2</v>
      </c>
    </row>
    <row r="8" spans="1:11" x14ac:dyDescent="0.2">
      <c r="A8" s="10">
        <v>40513</v>
      </c>
      <c r="B8" s="18">
        <f>IF(VLOOKUP(A8,'DB Country PMI'!$A:$AZ,MATCH($A$1,'DB Country PMI'!$A$1:$AZ$1,),)=0,#N/A,VLOOKUP(A8,'DB Country PMI'!$A:$AZ,MATCH($A$1,'DB Country PMI'!$A$1:$AZ$1,),))</f>
        <v>58.4</v>
      </c>
      <c r="C8" s="24">
        <f>Table13468111214151617181920222530333435[[#This Row],[PMI]]-B7</f>
        <v>1.1000000000000014</v>
      </c>
    </row>
    <row r="9" spans="1:11" x14ac:dyDescent="0.2">
      <c r="A9" s="10">
        <v>40544</v>
      </c>
      <c r="B9" s="18">
        <f>IF(VLOOKUP(A9,'DB Country PMI'!$A:$AZ,MATCH($A$1,'DB Country PMI'!$A$1:$AZ$1,),)=0,#N/A,VLOOKUP(A9,'DB Country PMI'!$A:$AZ,MATCH($A$1,'DB Country PMI'!$A$1:$AZ$1,),))</f>
        <v>60.5</v>
      </c>
      <c r="C9" s="24">
        <f>Table13468111214151617181920222530333435[[#This Row],[PMI]]-B8</f>
        <v>2.1000000000000014</v>
      </c>
    </row>
    <row r="10" spans="1:11" x14ac:dyDescent="0.2">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2">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2">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2">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2">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2">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2">
      <c r="A16" s="10">
        <v>40756</v>
      </c>
      <c r="B16" s="18">
        <f>IF(VLOOKUP(A16,'DB Country PMI'!$A:$AZ,MATCH($A$1,'DB Country PMI'!$A$1:$AZ$1,),)=0,#N/A,VLOOKUP(A16,'DB Country PMI'!$A:$AZ,MATCH($A$1,'DB Country PMI'!$A$1:$AZ$1,),))</f>
        <v>53.4</v>
      </c>
      <c r="C16" s="24">
        <f>Table13468111214151617181920222530333435[[#This Row],[PMI]]-B15</f>
        <v>0</v>
      </c>
    </row>
    <row r="17" spans="1:3" x14ac:dyDescent="0.2">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2">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2">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2">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2">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2">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2">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2">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2">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2">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2">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2">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2">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2">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2">
      <c r="A31" s="10">
        <v>41214</v>
      </c>
      <c r="B31" s="18">
        <f>IF(VLOOKUP(A31,'DB Country PMI'!$A:$AZ,MATCH($A$1,'DB Country PMI'!$A$1:$AZ$1,),)=0,#N/A,VLOOKUP(A31,'DB Country PMI'!$A:$AZ,MATCH($A$1,'DB Country PMI'!$A$1:$AZ$1,),))</f>
        <v>48.2</v>
      </c>
      <c r="C31" s="24">
        <f>Table13468111214151617181920222530333435[[#This Row],[PMI]]-B30</f>
        <v>1</v>
      </c>
    </row>
    <row r="32" spans="1:3" x14ac:dyDescent="0.2">
      <c r="A32" s="10">
        <v>41244</v>
      </c>
      <c r="B32" s="18">
        <f>IF(VLOOKUP(A32,'DB Country PMI'!$A:$AZ,MATCH($A$1,'DB Country PMI'!$A$1:$AZ$1,),)=0,#N/A,VLOOKUP(A32,'DB Country PMI'!$A:$AZ,MATCH($A$1,'DB Country PMI'!$A$1:$AZ$1,),))</f>
        <v>46</v>
      </c>
      <c r="C32" s="24">
        <f>Table13468111214151617181920222530333435[[#This Row],[PMI]]-B31</f>
        <v>-2.2000000000000028</v>
      </c>
    </row>
    <row r="33" spans="1:3" x14ac:dyDescent="0.2">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2">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2">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2">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2">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2">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2">
      <c r="A39" s="10">
        <v>41456</v>
      </c>
      <c r="B39" s="18">
        <f>IF(VLOOKUP(A39,'DB Country PMI'!$A:$AZ,MATCH($A$1,'DB Country PMI'!$A$1:$AZ$1,),)=0,#N/A,VLOOKUP(A39,'DB Country PMI'!$A:$AZ,MATCH($A$1,'DB Country PMI'!$A$1:$AZ$1,),))</f>
        <v>52</v>
      </c>
      <c r="C39" s="24">
        <f>Table13468111214151617181920222530333435[[#This Row],[PMI]]-B38</f>
        <v>1</v>
      </c>
    </row>
    <row r="40" spans="1:3" x14ac:dyDescent="0.2">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2">
      <c r="A41" s="10">
        <v>41518</v>
      </c>
      <c r="B41" s="18">
        <f>IF(VLOOKUP(A41,'DB Country PMI'!$A:$AZ,MATCH($A$1,'DB Country PMI'!$A$1:$AZ$1,),)=0,#N/A,VLOOKUP(A41,'DB Country PMI'!$A:$AZ,MATCH($A$1,'DB Country PMI'!$A$1:$AZ$1,),))</f>
        <v>53.4</v>
      </c>
      <c r="C41" s="24">
        <f>Table13468111214151617181920222530333435[[#This Row],[PMI]]-B40</f>
        <v>-0.5</v>
      </c>
    </row>
    <row r="42" spans="1:3" x14ac:dyDescent="0.2">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2">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2">
      <c r="A44" s="10">
        <v>41609</v>
      </c>
      <c r="B44" s="18">
        <f>IF(VLOOKUP(A44,'DB Country PMI'!$A:$AZ,MATCH($A$1,'DB Country PMI'!$A$1:$AZ$1,),)=0,#N/A,VLOOKUP(A44,'DB Country PMI'!$A:$AZ,MATCH($A$1,'DB Country PMI'!$A$1:$AZ$1,),))</f>
        <v>54.9</v>
      </c>
      <c r="C44" s="24">
        <f>Table13468111214151617181920222530333435[[#This Row],[PMI]]-B43</f>
        <v>-0.5</v>
      </c>
    </row>
    <row r="45" spans="1:3" x14ac:dyDescent="0.2">
      <c r="A45" s="10">
        <v>41640</v>
      </c>
      <c r="B45" s="18">
        <f>IF(VLOOKUP(A45,'DB Country PMI'!$A:$AZ,MATCH($A$1,'DB Country PMI'!$A$1:$AZ$1,),)=0,#N/A,VLOOKUP(A45,'DB Country PMI'!$A:$AZ,MATCH($A$1,'DB Country PMI'!$A$1:$AZ$1,),))</f>
        <v>55.9</v>
      </c>
      <c r="C45" s="24">
        <f>Table13468111214151617181920222530333435[[#This Row],[PMI]]-B44</f>
        <v>1</v>
      </c>
    </row>
    <row r="46" spans="1:3" x14ac:dyDescent="0.2">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2">
      <c r="A47" s="10">
        <v>41699</v>
      </c>
      <c r="B47" s="18">
        <f>IF(VLOOKUP(A47,'DB Country PMI'!$A:$AZ,MATCH($A$1,'DB Country PMI'!$A$1:$AZ$1,),)=0,#N/A,VLOOKUP(A47,'DB Country PMI'!$A:$AZ,MATCH($A$1,'DB Country PMI'!$A$1:$AZ$1,),))</f>
        <v>55.5</v>
      </c>
      <c r="C47" s="24">
        <f>Table13468111214151617181920222530333435[[#This Row],[PMI]]-B46</f>
        <v>-1</v>
      </c>
    </row>
    <row r="48" spans="1:3" x14ac:dyDescent="0.2">
      <c r="A48" s="10">
        <v>41730</v>
      </c>
      <c r="B48" s="18">
        <f>IF(VLOOKUP(A48,'DB Country PMI'!$A:$AZ,MATCH($A$1,'DB Country PMI'!$A$1:$AZ$1,),)=0,#N/A,VLOOKUP(A48,'DB Country PMI'!$A:$AZ,MATCH($A$1,'DB Country PMI'!$A$1:$AZ$1,),))</f>
        <v>56.5</v>
      </c>
      <c r="C48" s="24">
        <f>Table13468111214151617181920222530333435[[#This Row],[PMI]]-B47</f>
        <v>1</v>
      </c>
    </row>
    <row r="49" spans="1:3" x14ac:dyDescent="0.2">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2">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2">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2">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2">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2">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2">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2">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2">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2">
      <c r="A58" s="10">
        <v>42036</v>
      </c>
      <c r="B58" s="18">
        <f>IF(VLOOKUP(A58,'DB Country PMI'!$A:$AZ,MATCH($A$1,'DB Country PMI'!$A$1:$AZ$1,),)=0,#N/A,VLOOKUP(A58,'DB Country PMI'!$A:$AZ,MATCH($A$1,'DB Country PMI'!$A$1:$AZ$1,),))</f>
        <v>55.6</v>
      </c>
      <c r="C58" s="24">
        <f>Table13468111214151617181920222530333435[[#This Row],[PMI]]-B57</f>
        <v>-0.5</v>
      </c>
    </row>
    <row r="59" spans="1:3" x14ac:dyDescent="0.2">
      <c r="A59" s="10">
        <v>42064</v>
      </c>
      <c r="B59" s="18">
        <f>IF(VLOOKUP(A59,'DB Country PMI'!$A:$AZ,MATCH($A$1,'DB Country PMI'!$A$1:$AZ$1,),)=0,#N/A,VLOOKUP(A59,'DB Country PMI'!$A:$AZ,MATCH($A$1,'DB Country PMI'!$A$1:$AZ$1,),))</f>
        <v>56.1</v>
      </c>
      <c r="C59" s="24">
        <f>Table13468111214151617181920222530333435[[#This Row],[PMI]]-B58</f>
        <v>0.5</v>
      </c>
    </row>
    <row r="60" spans="1:3" x14ac:dyDescent="0.2">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2">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2">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2">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2">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2">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2">
      <c r="A66" s="10">
        <v>42278</v>
      </c>
      <c r="B66" s="18">
        <f>IF(VLOOKUP(A66,'DB Country PMI'!$A:$AZ,MATCH($A$1,'DB Country PMI'!$A$1:$AZ$1,),)=0,#N/A,VLOOKUP(A66,'DB Country PMI'!$A:$AZ,MATCH($A$1,'DB Country PMI'!$A$1:$AZ$1,),))</f>
        <v>54</v>
      </c>
      <c r="C66" s="24">
        <f>Table13468111214151617181920222530333435[[#This Row],[PMI]]-B65</f>
        <v>-1.5</v>
      </c>
    </row>
    <row r="67" spans="1:3" x14ac:dyDescent="0.2">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2">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2">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2">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2">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2">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2">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2">
      <c r="A74" s="10">
        <v>42522</v>
      </c>
      <c r="B74" s="18">
        <f>IF(VLOOKUP(A74,'DB Country PMI'!$A:$AZ,MATCH($A$1,'DB Country PMI'!$A$1:$AZ$1,),)=0,#N/A,VLOOKUP(A74,'DB Country PMI'!$A:$AZ,MATCH($A$1,'DB Country PMI'!$A$1:$AZ$1,),))</f>
        <v>51.8</v>
      </c>
      <c r="C74" s="24">
        <f>Table13468111214151617181920222530333435[[#This Row],[PMI]]-B73</f>
        <v>-1.5</v>
      </c>
    </row>
    <row r="75" spans="1:3" x14ac:dyDescent="0.2">
      <c r="A75" s="10">
        <v>42552</v>
      </c>
      <c r="B75" s="18">
        <f>IF(VLOOKUP(A75,'DB Country PMI'!$A:$AZ,MATCH($A$1,'DB Country PMI'!$A$1:$AZ$1,),)=0,#N/A,VLOOKUP(A75,'DB Country PMI'!$A:$AZ,MATCH($A$1,'DB Country PMI'!$A$1:$AZ$1,),))</f>
        <v>49.3</v>
      </c>
      <c r="C75" s="24">
        <f>Table13468111214151617181920222530333435[[#This Row],[PMI]]-B74</f>
        <v>-2.5</v>
      </c>
    </row>
    <row r="76" spans="1:3" x14ac:dyDescent="0.2">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2">
      <c r="A77" s="10">
        <v>42614</v>
      </c>
      <c r="B77" s="18">
        <f>IF(VLOOKUP(A77,'DB Country PMI'!$A:$AZ,MATCH($A$1,'DB Country PMI'!$A$1:$AZ$1,),)=0,#N/A,VLOOKUP(A77,'DB Country PMI'!$A:$AZ,MATCH($A$1,'DB Country PMI'!$A$1:$AZ$1,),))</f>
        <v>52</v>
      </c>
      <c r="C77" s="24">
        <f>Table13468111214151617181920222530333435[[#This Row],[PMI]]-B76</f>
        <v>1.8999999999999986</v>
      </c>
    </row>
    <row r="78" spans="1:3" x14ac:dyDescent="0.2">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2">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2">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2">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2">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2">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2">
      <c r="A84" s="10">
        <v>42826</v>
      </c>
      <c r="B84" s="18">
        <f>IF(VLOOKUP(A84,'DB Country PMI'!$A:$AZ,MATCH($A$1,'DB Country PMI'!$A$1:$AZ$1,),)=0,#N/A,VLOOKUP(A84,'DB Country PMI'!$A:$AZ,MATCH($A$1,'DB Country PMI'!$A$1:$AZ$1,),))</f>
        <v>57.5</v>
      </c>
      <c r="C84" s="24">
        <f>Table13468111214151617181920222530333435[[#This Row],[PMI]]-B83</f>
        <v>0</v>
      </c>
    </row>
    <row r="85" spans="1:3" x14ac:dyDescent="0.2">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2">
      <c r="A86" s="10">
        <v>42887</v>
      </c>
      <c r="B86" s="18">
        <f>IF(VLOOKUP(A86,'DB Country PMI'!$A:$AZ,MATCH($A$1,'DB Country PMI'!$A$1:$AZ$1,),)=0,#N/A,VLOOKUP(A86,'DB Country PMI'!$A:$AZ,MATCH($A$1,'DB Country PMI'!$A$1:$AZ$1,),))</f>
        <v>56.4</v>
      </c>
      <c r="C86" s="24">
        <f>Table13468111214151617181920222530333435[[#This Row],[PMI]]-B85</f>
        <v>0</v>
      </c>
    </row>
    <row r="87" spans="1:3" x14ac:dyDescent="0.2">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2">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2">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2">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2">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2">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2">
      <c r="A93" s="10">
        <v>43101</v>
      </c>
      <c r="B93" s="18">
        <f>IF(VLOOKUP(A93,'DB Country PMI'!$A:$AZ,MATCH($A$1,'DB Country PMI'!$A$1:$AZ$1,),)=0,#N/A,VLOOKUP(A93,'DB Country PMI'!$A:$AZ,MATCH($A$1,'DB Country PMI'!$A$1:$AZ$1,),))</f>
        <v>59.8</v>
      </c>
      <c r="C93" s="24">
        <f>Table13468111214151617181920222530333435[[#This Row],[PMI]]-B92</f>
        <v>0</v>
      </c>
    </row>
    <row r="94" spans="1:3" x14ac:dyDescent="0.2">
      <c r="A94" s="10">
        <v>43132</v>
      </c>
      <c r="B94" s="18">
        <f>IF(VLOOKUP(A94,'DB Country PMI'!$A:$AZ,MATCH($A$1,'DB Country PMI'!$A$1:$AZ$1,),)=0,#N/A,VLOOKUP(A94,'DB Country PMI'!$A:$AZ,MATCH($A$1,'DB Country PMI'!$A$1:$AZ$1,),))</f>
        <v>58.8</v>
      </c>
      <c r="C94" s="24">
        <f>Table13468111214151617181920222530333435[[#This Row],[PMI]]-B93</f>
        <v>-1</v>
      </c>
    </row>
    <row r="95" spans="1:3" x14ac:dyDescent="0.2">
      <c r="A95" s="10">
        <v>43160</v>
      </c>
      <c r="B95" s="18">
        <f>IF(VLOOKUP(A95,'DB Country PMI'!$A:$AZ,MATCH($A$1,'DB Country PMI'!$A$1:$AZ$1,),)=0,#N/A,VLOOKUP(A95,'DB Country PMI'!$A:$AZ,MATCH($A$1,'DB Country PMI'!$A$1:$AZ$1,),))</f>
        <v>57.3</v>
      </c>
      <c r="C95" s="24">
        <f>Table13468111214151617181920222530333435[[#This Row],[PMI]]-B94</f>
        <v>-1.5</v>
      </c>
    </row>
    <row r="96" spans="1:3" x14ac:dyDescent="0.2">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2">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2">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2">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2">
      <c r="A100" s="10">
        <v>43313</v>
      </c>
      <c r="B100" s="18">
        <f>IF(VLOOKUP(A100,'DB Country PMI'!$A:$AZ,MATCH($A$1,'DB Country PMI'!$A$1:$AZ$1,),)=0,#N/A,VLOOKUP(A100,'DB Country PMI'!$A:$AZ,MATCH($A$1,'DB Country PMI'!$A$1:$AZ$1,),))</f>
        <v>54.9</v>
      </c>
      <c r="C100" s="24">
        <f>Table13468111214151617181920222530333435[[#This Row],[PMI]]-B99</f>
        <v>-0.5</v>
      </c>
    </row>
    <row r="101" spans="1:3" x14ac:dyDescent="0.2">
      <c r="A101" s="10">
        <v>43344</v>
      </c>
      <c r="B101" s="18">
        <f>IF(VLOOKUP(A101,'DB Country PMI'!$A:$AZ,MATCH($A$1,'DB Country PMI'!$A$1:$AZ$1,),)=0,#N/A,VLOOKUP(A101,'DB Country PMI'!$A:$AZ,MATCH($A$1,'DB Country PMI'!$A$1:$AZ$1,),))</f>
        <v>53.4</v>
      </c>
      <c r="C101" s="24">
        <f>Table13468111214151617181920222530333435[[#This Row],[PMI]]-B100</f>
        <v>-1.5</v>
      </c>
    </row>
    <row r="102" spans="1:3" x14ac:dyDescent="0.2">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2">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2">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2">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2">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2">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2">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2">
      <c r="A109" s="10">
        <v>43586</v>
      </c>
      <c r="B109" s="18">
        <f>IF(VLOOKUP(A109,'DB Country PMI'!$A:$AZ,MATCH($A$1,'DB Country PMI'!$A$1:$AZ$1,),)=0,#N/A,VLOOKUP(A109,'DB Country PMI'!$A:$AZ,MATCH($A$1,'DB Country PMI'!$A$1:$AZ$1,),))</f>
        <v>46.6</v>
      </c>
      <c r="C109" s="24">
        <f>Table13468111214151617181920222530333435[[#This Row],[PMI]]-B108</f>
        <v>0</v>
      </c>
    </row>
    <row r="110" spans="1:3" x14ac:dyDescent="0.2">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2">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2">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2">
      <c r="A113" s="10">
        <v>43709</v>
      </c>
      <c r="B113" s="18">
        <f>IF(VLOOKUP(A113,'DB Country PMI'!$A:$AZ,MATCH($A$1,'DB Country PMI'!$A$1:$AZ$1,),)=0,#N/A,VLOOKUP(A113,'DB Country PMI'!$A:$AZ,MATCH($A$1,'DB Country PMI'!$A$1:$AZ$1,),))</f>
        <v>44.9</v>
      </c>
      <c r="C113" s="24">
        <f>Table13468111214151617181920222530333435[[#This Row],[PMI]]-B112</f>
        <v>0</v>
      </c>
    </row>
    <row r="114" spans="1:3" x14ac:dyDescent="0.2">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2">
      <c r="A115" s="10">
        <v>43770</v>
      </c>
      <c r="B115" s="18">
        <f>IF(VLOOKUP(A115,'DB Country PMI'!$A:$AZ,MATCH($A$1,'DB Country PMI'!$A$1:$AZ$1,),)=0,#N/A,VLOOKUP(A115,'DB Country PMI'!$A:$AZ,MATCH($A$1,'DB Country PMI'!$A$1:$AZ$1,),))</f>
        <v>43.5</v>
      </c>
      <c r="C115" s="24">
        <f>Table13468111214151617181920222530333435[[#This Row],[PMI]]-B114</f>
        <v>-1.5</v>
      </c>
    </row>
    <row r="116" spans="1:3" x14ac:dyDescent="0.2">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2">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2">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2">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2">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2">
      <c r="A121" s="10">
        <v>43952</v>
      </c>
      <c r="B121" s="18">
        <f>IF(VLOOKUP(A121,'DB Country PMI'!$A:$AZ,MATCH($A$1,'DB Country PMI'!$A$1:$AZ$1,),)=0,#N/A,VLOOKUP(A121,'DB Country PMI'!$A:$AZ,MATCH($A$1,'DB Country PMI'!$A$1:$AZ$1,),))</f>
        <v>39.6</v>
      </c>
      <c r="C121" s="24">
        <f>Table13468111214151617181920222530333435[[#This Row],[PMI]]-B120</f>
        <v>4.5</v>
      </c>
    </row>
    <row r="122" spans="1:3" x14ac:dyDescent="0.2">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2">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2">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2">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2">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2">
      <c r="A127" s="10">
        <v>44136</v>
      </c>
      <c r="B127" s="18">
        <f>IF(VLOOKUP(A127,'DB Country PMI'!$A:$AZ,MATCH($A$1,'DB Country PMI'!$A$1:$AZ$1,),)=0,#N/A,VLOOKUP(A127,'DB Country PMI'!$A:$AZ,MATCH($A$1,'DB Country PMI'!$A$1:$AZ$1,),))</f>
        <v>53.9</v>
      </c>
      <c r="C127" s="24">
        <f>Table13468111214151617181920222530333435[[#This Row],[PMI]]-B126</f>
        <v>2</v>
      </c>
    </row>
    <row r="128" spans="1:3" x14ac:dyDescent="0.2">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2">
      <c r="A129" s="10">
        <v>44197</v>
      </c>
      <c r="B129" s="18">
        <f>IF(VLOOKUP(A129,'DB Country PMI'!$A:$AZ,MATCH($A$1,'DB Country PMI'!$A$1:$AZ$1,),)=0,#N/A,VLOOKUP(A129,'DB Country PMI'!$A:$AZ,MATCH($A$1,'DB Country PMI'!$A$1:$AZ$1,),))</f>
        <v>57</v>
      </c>
      <c r="C129" s="24">
        <f>Table13468111214151617181920222530333435[[#This Row],[PMI]]-B128</f>
        <v>0</v>
      </c>
    </row>
    <row r="130" spans="1:3" x14ac:dyDescent="0.2">
      <c r="A130" s="10">
        <v>44228</v>
      </c>
      <c r="B130" s="18">
        <f>IF(VLOOKUP(A130,'DB Country PMI'!$A:$AZ,MATCH($A$1,'DB Country PMI'!$A$1:$AZ$1,),)=0,#N/A,VLOOKUP(A130,'DB Country PMI'!$A:$AZ,MATCH($A$1,'DB Country PMI'!$A$1:$AZ$1,),))</f>
        <v>56.5</v>
      </c>
      <c r="C130" s="24">
        <f>Table13468111214151617181920222530333435[[#This Row],[PMI]]-B129</f>
        <v>-0.5</v>
      </c>
    </row>
    <row r="131" spans="1:3" x14ac:dyDescent="0.2">
      <c r="A131" s="10">
        <v>44256</v>
      </c>
      <c r="B131" s="18">
        <f>IF(VLOOKUP(A131,'DB Country PMI'!$A:$AZ,MATCH($A$1,'DB Country PMI'!$A$1:$AZ$1,),)=0,#N/A,VLOOKUP(A131,'DB Country PMI'!$A:$AZ,MATCH($A$1,'DB Country PMI'!$A$1:$AZ$1,),))</f>
        <v>58</v>
      </c>
      <c r="C131" s="24">
        <f>Table13468111214151617181920222530333435[[#This Row],[PMI]]-B130</f>
        <v>1.5</v>
      </c>
    </row>
    <row r="132" spans="1:3" x14ac:dyDescent="0.2">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2">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2">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2">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2">
      <c r="A136" s="10">
        <v>44409</v>
      </c>
      <c r="B136" s="18">
        <f>IF(VLOOKUP(A136,'DB Country PMI'!$A:$AZ,MATCH($A$1,'DB Country PMI'!$A$1:$AZ$1,),)=0,#N/A,VLOOKUP(A136,'DB Country PMI'!$A:$AZ,MATCH($A$1,'DB Country PMI'!$A$1:$AZ$1,),))</f>
        <v>61</v>
      </c>
      <c r="C136" s="24">
        <f>Table13468111214151617181920222530333435[[#This Row],[PMI]]-B135</f>
        <v>-1</v>
      </c>
    </row>
    <row r="137" spans="1:3" x14ac:dyDescent="0.2">
      <c r="A137" s="10">
        <v>44440</v>
      </c>
      <c r="B137" s="18">
        <f>IF(VLOOKUP(A137,'DB Country PMI'!$A:$AZ,MATCH($A$1,'DB Country PMI'!$A$1:$AZ$1,),)=0,#N/A,VLOOKUP(A137,'DB Country PMI'!$A:$AZ,MATCH($A$1,'DB Country PMI'!$A$1:$AZ$1,),))</f>
        <v>58</v>
      </c>
      <c r="C137" s="24">
        <f>Table13468111214151617181920222530333435[[#This Row],[PMI]]-B136</f>
        <v>-3</v>
      </c>
    </row>
    <row r="138" spans="1:3" x14ac:dyDescent="0.2">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2">
      <c r="A139" s="10">
        <v>44501</v>
      </c>
      <c r="B139" s="18">
        <f>IF(VLOOKUP(A139,'DB Country PMI'!$A:$AZ,MATCH($A$1,'DB Country PMI'!$A$1:$AZ$1,),)=0,#N/A,VLOOKUP(A139,'DB Country PMI'!$A:$AZ,MATCH($A$1,'DB Country PMI'!$A$1:$AZ$1,),))</f>
        <v>57.1</v>
      </c>
      <c r="C139" s="24">
        <f>Table13468111214151617181920222530333435[[#This Row],[PMI]]-B138</f>
        <v>2</v>
      </c>
    </row>
    <row r="140" spans="1:3" x14ac:dyDescent="0.2">
      <c r="A140" s="10">
        <v>44531</v>
      </c>
      <c r="B140" s="18">
        <f>IF(VLOOKUP(A140,'DB Country PMI'!$A:$AZ,MATCH($A$1,'DB Country PMI'!$A$1:$AZ$1,),)=0,#N/A,VLOOKUP(A140,'DB Country PMI'!$A:$AZ,MATCH($A$1,'DB Country PMI'!$A$1:$AZ$1,),))</f>
        <v>59.1</v>
      </c>
      <c r="C140" s="24">
        <f>Table13468111214151617181920222530333435[[#This Row],[PMI]]-B139</f>
        <v>2</v>
      </c>
    </row>
    <row r="141" spans="1:3" x14ac:dyDescent="0.2">
      <c r="A141" s="10">
        <v>44562</v>
      </c>
      <c r="B141" s="18">
        <f>IF(VLOOKUP(A141,'DB Country PMI'!$A:$AZ,MATCH($A$1,'DB Country PMI'!$A$1:$AZ$1,),)=0,#N/A,VLOOKUP(A141,'DB Country PMI'!$A:$AZ,MATCH($A$1,'DB Country PMI'!$A$1:$AZ$1,),))</f>
        <v>59</v>
      </c>
      <c r="C141" s="24">
        <f>Table13468111214151617181920222530333435[[#This Row],[PMI]]-B140</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41"/>
  <sheetViews>
    <sheetView zoomScale="160" zoomScaleNormal="160" workbookViewId="0">
      <pane ySplit="5" topLeftCell="A105" activePane="bottomLeft" state="frozen"/>
      <selection pane="bottomLeft" activeCell="T126" sqref="T126"/>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42</v>
      </c>
      <c r="K1" s="63" t="s">
        <v>107</v>
      </c>
    </row>
    <row r="2" spans="1:11" x14ac:dyDescent="0.2">
      <c r="K2" s="63" t="str">
        <f>A1&amp;K1</f>
        <v>Poland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55.6</v>
      </c>
      <c r="C6" s="18"/>
    </row>
    <row r="7" spans="1:11" x14ac:dyDescent="0.2">
      <c r="A7" s="10">
        <v>40483</v>
      </c>
      <c r="B7" s="18">
        <f>IF(VLOOKUP(A7,'DB Country PMI'!$A:$AZ,MATCH($A$1,'DB Country PMI'!$A$1:$AZ$1,),)=0,#N/A,VLOOKUP(A7,'DB Country PMI'!$A:$AZ,MATCH($A$1,'DB Country PMI'!$A$1:$AZ$1,),))</f>
        <v>55.9</v>
      </c>
      <c r="C7" s="24">
        <f>Table1346811121415161718192022253033343536[[#This Row],[PMI]]-B6</f>
        <v>0.29999999999999716</v>
      </c>
    </row>
    <row r="8" spans="1:11" x14ac:dyDescent="0.2">
      <c r="A8" s="10">
        <v>40513</v>
      </c>
      <c r="B8" s="18">
        <f>IF(VLOOKUP(A8,'DB Country PMI'!$A:$AZ,MATCH($A$1,'DB Country PMI'!$A$1:$AZ$1,),)=0,#N/A,VLOOKUP(A8,'DB Country PMI'!$A:$AZ,MATCH($A$1,'DB Country PMI'!$A$1:$AZ$1,),))</f>
        <v>56.3</v>
      </c>
      <c r="C8" s="24">
        <f>Table1346811121415161718192022253033343536[[#This Row],[PMI]]-B7</f>
        <v>0.39999999999999858</v>
      </c>
    </row>
    <row r="9" spans="1:11" x14ac:dyDescent="0.2">
      <c r="A9" s="10">
        <v>40544</v>
      </c>
      <c r="B9" s="18">
        <f>IF(VLOOKUP(A9,'DB Country PMI'!$A:$AZ,MATCH($A$1,'DB Country PMI'!$A$1:$AZ$1,),)=0,#N/A,VLOOKUP(A9,'DB Country PMI'!$A:$AZ,MATCH($A$1,'DB Country PMI'!$A$1:$AZ$1,),))</f>
        <v>55.6</v>
      </c>
      <c r="C9" s="24">
        <f>Table1346811121415161718192022253033343536[[#This Row],[PMI]]-B8</f>
        <v>-0.69999999999999574</v>
      </c>
    </row>
    <row r="10" spans="1:11" x14ac:dyDescent="0.2">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2">
      <c r="A11" s="10">
        <v>40603</v>
      </c>
      <c r="B11" s="18">
        <f>IF(VLOOKUP(A11,'DB Country PMI'!$A:$AZ,MATCH($A$1,'DB Country PMI'!$A$1:$AZ$1,),)=0,#N/A,VLOOKUP(A11,'DB Country PMI'!$A:$AZ,MATCH($A$1,'DB Country PMI'!$A$1:$AZ$1,),))</f>
        <v>54.8</v>
      </c>
      <c r="C11" s="24">
        <f>Table1346811121415161718192022253033343536[[#This Row],[PMI]]-B10</f>
        <v>1</v>
      </c>
    </row>
    <row r="12" spans="1:11" x14ac:dyDescent="0.2">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2">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2">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2">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2">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2">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2">
      <c r="A18" s="10">
        <v>40817</v>
      </c>
      <c r="B18" s="18">
        <f>IF(VLOOKUP(A18,'DB Country PMI'!$A:$AZ,MATCH($A$1,'DB Country PMI'!$A$1:$AZ$1,),)=0,#N/A,VLOOKUP(A18,'DB Country PMI'!$A:$AZ,MATCH($A$1,'DB Country PMI'!$A$1:$AZ$1,),))</f>
        <v>51.7</v>
      </c>
      <c r="C18" s="24">
        <f>Table1346811121415161718192022253033343536[[#This Row],[PMI]]-B17</f>
        <v>1.5</v>
      </c>
    </row>
    <row r="19" spans="1:3" x14ac:dyDescent="0.2">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2">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2">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2">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2">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2">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2">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2">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2">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2">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2">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2">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2">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2">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2">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2">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2">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2">
      <c r="A36" s="10">
        <v>41365</v>
      </c>
      <c r="B36" s="18">
        <f>IF(VLOOKUP(A36,'DB Country PMI'!$A:$AZ,MATCH($A$1,'DB Country PMI'!$A$1:$AZ$1,),)=0,#N/A,VLOOKUP(A36,'DB Country PMI'!$A:$AZ,MATCH($A$1,'DB Country PMI'!$A$1:$AZ$1,),))</f>
        <v>48</v>
      </c>
      <c r="C36" s="24">
        <f>Table1346811121415161718192022253033343536[[#This Row],[PMI]]-B35</f>
        <v>0</v>
      </c>
    </row>
    <row r="37" spans="1:3" x14ac:dyDescent="0.2">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2">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2">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2">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2">
      <c r="A41" s="10">
        <v>41518</v>
      </c>
      <c r="B41" s="18">
        <f>IF(VLOOKUP(A41,'DB Country PMI'!$A:$AZ,MATCH($A$1,'DB Country PMI'!$A$1:$AZ$1,),)=0,#N/A,VLOOKUP(A41,'DB Country PMI'!$A:$AZ,MATCH($A$1,'DB Country PMI'!$A$1:$AZ$1,),))</f>
        <v>52.6</v>
      </c>
      <c r="C41" s="24">
        <f>Table1346811121415161718192022253033343536[[#This Row],[PMI]]-B40</f>
        <v>1.5</v>
      </c>
    </row>
    <row r="42" spans="1:3" x14ac:dyDescent="0.2">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2">
      <c r="A43" s="10">
        <v>41579</v>
      </c>
      <c r="B43" s="18">
        <f>IF(VLOOKUP(A43,'DB Country PMI'!$A:$AZ,MATCH($A$1,'DB Country PMI'!$A$1:$AZ$1,),)=0,#N/A,VLOOKUP(A43,'DB Country PMI'!$A:$AZ,MATCH($A$1,'DB Country PMI'!$A$1:$AZ$1,),))</f>
        <v>54.4</v>
      </c>
      <c r="C43" s="24">
        <f>Table1346811121415161718192022253033343536[[#This Row],[PMI]]-B42</f>
        <v>1</v>
      </c>
    </row>
    <row r="44" spans="1:3" x14ac:dyDescent="0.2">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2">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2">
      <c r="A46" s="10">
        <v>41671</v>
      </c>
      <c r="B46" s="18">
        <f>IF(VLOOKUP(A46,'DB Country PMI'!$A:$AZ,MATCH($A$1,'DB Country PMI'!$A$1:$AZ$1,),)=0,#N/A,VLOOKUP(A46,'DB Country PMI'!$A:$AZ,MATCH($A$1,'DB Country PMI'!$A$1:$AZ$1,),))</f>
        <v>55.9</v>
      </c>
      <c r="C46" s="24">
        <f>Table1346811121415161718192022253033343536[[#This Row],[PMI]]-B45</f>
        <v>0.5</v>
      </c>
    </row>
    <row r="47" spans="1:3" x14ac:dyDescent="0.2">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2">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2">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2">
      <c r="A50" s="10">
        <v>41791</v>
      </c>
      <c r="B50" s="18">
        <f>IF(VLOOKUP(A50,'DB Country PMI'!$A:$AZ,MATCH($A$1,'DB Country PMI'!$A$1:$AZ$1,),)=0,#N/A,VLOOKUP(A50,'DB Country PMI'!$A:$AZ,MATCH($A$1,'DB Country PMI'!$A$1:$AZ$1,),))</f>
        <v>50.3</v>
      </c>
      <c r="C50" s="24">
        <f>Table1346811121415161718192022253033343536[[#This Row],[PMI]]-B49</f>
        <v>-0.5</v>
      </c>
    </row>
    <row r="51" spans="1:3" x14ac:dyDescent="0.2">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2">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2">
      <c r="A53" s="10">
        <v>41883</v>
      </c>
      <c r="B53" s="18">
        <f>IF(VLOOKUP(A53,'DB Country PMI'!$A:$AZ,MATCH($A$1,'DB Country PMI'!$A$1:$AZ$1,),)=0,#N/A,VLOOKUP(A53,'DB Country PMI'!$A:$AZ,MATCH($A$1,'DB Country PMI'!$A$1:$AZ$1,),))</f>
        <v>49.5</v>
      </c>
      <c r="C53" s="24">
        <f>Table1346811121415161718192022253033343536[[#This Row],[PMI]]-B52</f>
        <v>0.5</v>
      </c>
    </row>
    <row r="54" spans="1:3" x14ac:dyDescent="0.2">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2">
      <c r="A55" s="10">
        <v>41944</v>
      </c>
      <c r="B55" s="18">
        <f>IF(VLOOKUP(A55,'DB Country PMI'!$A:$AZ,MATCH($A$1,'DB Country PMI'!$A$1:$AZ$1,),)=0,#N/A,VLOOKUP(A55,'DB Country PMI'!$A:$AZ,MATCH($A$1,'DB Country PMI'!$A$1:$AZ$1,),))</f>
        <v>53.2</v>
      </c>
      <c r="C55" s="24">
        <f>Table1346811121415161718192022253033343536[[#This Row],[PMI]]-B54</f>
        <v>2</v>
      </c>
    </row>
    <row r="56" spans="1:3" x14ac:dyDescent="0.2">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2">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2">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2">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2">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2">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2">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2">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2">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2">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2">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2">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2">
      <c r="A68" s="10">
        <v>42339</v>
      </c>
      <c r="B68" s="18">
        <f>IF(VLOOKUP(A68,'DB Country PMI'!$A:$AZ,MATCH($A$1,'DB Country PMI'!$A$1:$AZ$1,),)=0,#N/A,VLOOKUP(A68,'DB Country PMI'!$A:$AZ,MATCH($A$1,'DB Country PMI'!$A$1:$AZ$1,),))</f>
        <v>52.1</v>
      </c>
      <c r="C68" s="24">
        <f>Table1346811121415161718192022253033343536[[#This Row],[PMI]]-B67</f>
        <v>0</v>
      </c>
    </row>
    <row r="69" spans="1:3" x14ac:dyDescent="0.2">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2">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2">
      <c r="A71" s="10">
        <v>42430</v>
      </c>
      <c r="B71" s="18">
        <f>IF(VLOOKUP(A71,'DB Country PMI'!$A:$AZ,MATCH($A$1,'DB Country PMI'!$A$1:$AZ$1,),)=0,#N/A,VLOOKUP(A71,'DB Country PMI'!$A:$AZ,MATCH($A$1,'DB Country PMI'!$A$1:$AZ$1,),))</f>
        <v>53.8</v>
      </c>
      <c r="C71" s="24">
        <f>Table1346811121415161718192022253033343536[[#This Row],[PMI]]-B70</f>
        <v>1</v>
      </c>
    </row>
    <row r="72" spans="1:3" x14ac:dyDescent="0.2">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2">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2">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2">
      <c r="A75" s="10">
        <v>42552</v>
      </c>
      <c r="B75" s="18">
        <f>IF(VLOOKUP(A75,'DB Country PMI'!$A:$AZ,MATCH($A$1,'DB Country PMI'!$A$1:$AZ$1,),)=0,#N/A,VLOOKUP(A75,'DB Country PMI'!$A:$AZ,MATCH($A$1,'DB Country PMI'!$A$1:$AZ$1,),))</f>
        <v>50.3</v>
      </c>
      <c r="C75" s="24">
        <f>Table1346811121415161718192022253033343536[[#This Row],[PMI]]-B74</f>
        <v>-1.5</v>
      </c>
    </row>
    <row r="76" spans="1:3" x14ac:dyDescent="0.2">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2">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2">
      <c r="A78" s="10">
        <v>42644</v>
      </c>
      <c r="B78" s="18">
        <f>IF(VLOOKUP(A78,'DB Country PMI'!$A:$AZ,MATCH($A$1,'DB Country PMI'!$A$1:$AZ$1,),)=0,#N/A,VLOOKUP(A78,'DB Country PMI'!$A:$AZ,MATCH($A$1,'DB Country PMI'!$A$1:$AZ$1,),))</f>
        <v>50.2</v>
      </c>
      <c r="C78" s="24">
        <f>Table1346811121415161718192022253033343536[[#This Row],[PMI]]-B77</f>
        <v>-2</v>
      </c>
    </row>
    <row r="79" spans="1:3" x14ac:dyDescent="0.2">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2">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2">
      <c r="A81" s="10">
        <v>42736</v>
      </c>
      <c r="B81" s="18">
        <f>IF(VLOOKUP(A81,'DB Country PMI'!$A:$AZ,MATCH($A$1,'DB Country PMI'!$A$1:$AZ$1,),)=0,#N/A,VLOOKUP(A81,'DB Country PMI'!$A:$AZ,MATCH($A$1,'DB Country PMI'!$A$1:$AZ$1,),))</f>
        <v>54.8</v>
      </c>
      <c r="C81" s="24">
        <f>Table1346811121415161718192022253033343536[[#This Row],[PMI]]-B80</f>
        <v>0.5</v>
      </c>
    </row>
    <row r="82" spans="1:3" x14ac:dyDescent="0.2">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2">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2">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2">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2">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2">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2">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2">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2">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2">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2">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2">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2">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2">
      <c r="A95" s="10">
        <v>43160</v>
      </c>
      <c r="B95" s="18">
        <f>IF(VLOOKUP(A95,'DB Country PMI'!$A:$AZ,MATCH($A$1,'DB Country PMI'!$A$1:$AZ$1,),)=0,#N/A,VLOOKUP(A95,'DB Country PMI'!$A:$AZ,MATCH($A$1,'DB Country PMI'!$A$1:$AZ$1,),))</f>
        <v>53.7</v>
      </c>
      <c r="C95" s="24">
        <f>Table1346811121415161718192022253033343536[[#This Row],[PMI]]-B94</f>
        <v>0</v>
      </c>
    </row>
    <row r="96" spans="1:3" x14ac:dyDescent="0.2">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2">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2">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2">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2">
      <c r="A100" s="10">
        <v>43313</v>
      </c>
      <c r="B100" s="18">
        <f>IF(VLOOKUP(A100,'DB Country PMI'!$A:$AZ,MATCH($A$1,'DB Country PMI'!$A$1:$AZ$1,),)=0,#N/A,VLOOKUP(A100,'DB Country PMI'!$A:$AZ,MATCH($A$1,'DB Country PMI'!$A$1:$AZ$1,),))</f>
        <v>51.4</v>
      </c>
      <c r="C100" s="24">
        <f>Table1346811121415161718192022253033343536[[#This Row],[PMI]]-B99</f>
        <v>-1.5</v>
      </c>
    </row>
    <row r="101" spans="1:3" x14ac:dyDescent="0.2">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2">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2">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2">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2">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2">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2">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2">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2">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2">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2">
      <c r="A111" s="10">
        <v>43647</v>
      </c>
      <c r="B111" s="18">
        <f>IF(VLOOKUP(A111,'DB Country PMI'!$A:$AZ,MATCH($A$1,'DB Country PMI'!$A$1:$AZ$1,),)=0,#N/A,VLOOKUP(A111,'DB Country PMI'!$A:$AZ,MATCH($A$1,'DB Country PMI'!$A$1:$AZ$1,),))</f>
        <v>47.4</v>
      </c>
      <c r="C111" s="24">
        <f>Table1346811121415161718192022253033343536[[#This Row],[PMI]]-B110</f>
        <v>-1</v>
      </c>
    </row>
    <row r="112" spans="1:3" x14ac:dyDescent="0.2">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2">
      <c r="A113" s="10">
        <v>43709</v>
      </c>
      <c r="B113" s="18">
        <f>IF(VLOOKUP(A113,'DB Country PMI'!$A:$AZ,MATCH($A$1,'DB Country PMI'!$A$1:$AZ$1,),)=0,#N/A,VLOOKUP(A113,'DB Country PMI'!$A:$AZ,MATCH($A$1,'DB Country PMI'!$A$1:$AZ$1,),))</f>
        <v>47.8</v>
      </c>
      <c r="C113" s="24">
        <f>Table1346811121415161718192022253033343536[[#This Row],[PMI]]-B112</f>
        <v>-1</v>
      </c>
    </row>
    <row r="114" spans="1:3" x14ac:dyDescent="0.2">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2">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2">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2">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2">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2">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2">
      <c r="A120" s="10">
        <v>43922</v>
      </c>
      <c r="B120" s="18">
        <f>IF(VLOOKUP(A120,'DB Country PMI'!$A:$AZ,MATCH($A$1,'DB Country PMI'!$A$1:$AZ$1,),)=0,#N/A,VLOOKUP(A120,'DB Country PMI'!$A:$AZ,MATCH($A$1,'DB Country PMI'!$A$1:$AZ$1,),))</f>
        <v>31.9</v>
      </c>
      <c r="C120" s="24">
        <f>Table1346811121415161718192022253033343536[[#This Row],[PMI]]-B119</f>
        <v>-10.5</v>
      </c>
    </row>
    <row r="121" spans="1:3" x14ac:dyDescent="0.2">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2">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2">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2">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2">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2">
      <c r="A126" s="10">
        <v>44105</v>
      </c>
      <c r="B126" s="18">
        <f>IF(VLOOKUP(A126,'DB Country PMI'!$A:$AZ,MATCH($A$1,'DB Country PMI'!$A$1:$AZ$1,),)=0,#N/A,VLOOKUP(A126,'DB Country PMI'!$A:$AZ,MATCH($A$1,'DB Country PMI'!$A$1:$AZ$1,),))</f>
        <v>50.8</v>
      </c>
      <c r="C126" s="24">
        <f>Table1346811121415161718192022253033343536[[#This Row],[PMI]]-B125</f>
        <v>0</v>
      </c>
    </row>
    <row r="127" spans="1:3" x14ac:dyDescent="0.2">
      <c r="A127" s="10">
        <v>44136</v>
      </c>
      <c r="B127" s="18">
        <f>IF(VLOOKUP(A127,'DB Country PMI'!$A:$AZ,MATCH($A$1,'DB Country PMI'!$A$1:$AZ$1,),)=0,#N/A,VLOOKUP(A127,'DB Country PMI'!$A:$AZ,MATCH($A$1,'DB Country PMI'!$A$1:$AZ$1,),))</f>
        <v>50.8</v>
      </c>
      <c r="C127" s="24">
        <f>Table1346811121415161718192022253033343536[[#This Row],[PMI]]-B126</f>
        <v>0</v>
      </c>
    </row>
    <row r="128" spans="1:3" x14ac:dyDescent="0.2">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2">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2">
      <c r="A130" s="10">
        <v>44228</v>
      </c>
      <c r="B130" s="18">
        <f>IF(VLOOKUP(A130,'DB Country PMI'!$A:$AZ,MATCH($A$1,'DB Country PMI'!$A$1:$AZ$1,),)=0,#N/A,VLOOKUP(A130,'DB Country PMI'!$A:$AZ,MATCH($A$1,'DB Country PMI'!$A$1:$AZ$1,),))</f>
        <v>53.4</v>
      </c>
      <c r="C130" s="24">
        <f>Table1346811121415161718192022253033343536[[#This Row],[PMI]]-B129</f>
        <v>1.5</v>
      </c>
    </row>
    <row r="131" spans="1:3" x14ac:dyDescent="0.2">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2">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2">
      <c r="A133" s="10">
        <v>44317</v>
      </c>
      <c r="B133" s="18">
        <f>IF(VLOOKUP(A133,'DB Country PMI'!$A:$AZ,MATCH($A$1,'DB Country PMI'!$A$1:$AZ$1,),)=0,#N/A,VLOOKUP(A133,'DB Country PMI'!$A:$AZ,MATCH($A$1,'DB Country PMI'!$A$1:$AZ$1,),))</f>
        <v>57.2</v>
      </c>
      <c r="C133" s="24">
        <f>Table1346811121415161718192022253033343536[[#This Row],[PMI]]-B132</f>
        <v>3.5</v>
      </c>
    </row>
    <row r="134" spans="1:3" x14ac:dyDescent="0.2">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2">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2">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2">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2">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2">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2">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2">
      <c r="A141" s="10">
        <v>44562</v>
      </c>
      <c r="B141" s="18">
        <f>IF(VLOOKUP(A141,'DB Country PMI'!$A:$AZ,MATCH($A$1,'DB Country PMI'!$A$1:$AZ$1,),)=0,#N/A,VLOOKUP(A141,'DB Country PMI'!$A:$AZ,MATCH($A$1,'DB Country PMI'!$A$1:$AZ$1,),))</f>
        <v>54.5</v>
      </c>
      <c r="C141" s="24">
        <f>Table1346811121415161718192022253033343536[[#This Row],[PMI]]-B140</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42"/>
  <sheetViews>
    <sheetView zoomScale="160" zoomScaleNormal="160" workbookViewId="0">
      <pane ySplit="5" topLeftCell="A302" activePane="bottomLeft" state="frozen"/>
      <selection pane="bottomLeft" activeCell="P307" sqref="P307"/>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43</v>
      </c>
      <c r="K1" s="63" t="s">
        <v>107</v>
      </c>
    </row>
    <row r="2" spans="1:11" x14ac:dyDescent="0.2">
      <c r="K2" s="63" t="str">
        <f>A1&amp;K1</f>
        <v>Denmark Manufacturing PMI</v>
      </c>
    </row>
    <row r="4" spans="1:11" ht="16" customHeight="1" thickBot="1" x14ac:dyDescent="0.25"/>
    <row r="5" spans="1:11" ht="16" customHeight="1" thickBot="1" x14ac:dyDescent="0.25">
      <c r="A5" s="21" t="s">
        <v>44</v>
      </c>
      <c r="B5" s="22" t="s">
        <v>103</v>
      </c>
      <c r="C5" s="22" t="s">
        <v>104</v>
      </c>
    </row>
    <row r="6" spans="1:11" x14ac:dyDescent="0.2">
      <c r="A6" s="17">
        <v>34335</v>
      </c>
      <c r="B6" s="18">
        <f>IF(VLOOKUP(A6,'DB Country PMI'!$A:$AZ,MATCH($A$1,'DB Country PMI'!$A$1:$AZ$1,),)=0,#N/A,VLOOKUP(A6,'DB Country PMI'!$A:$AZ,MATCH($A$1,'DB Country PMI'!$A$1:$AZ$1,),))</f>
        <v>62.8</v>
      </c>
      <c r="C6" s="18"/>
    </row>
    <row r="7" spans="1:11" x14ac:dyDescent="0.2">
      <c r="A7" s="10">
        <v>34366</v>
      </c>
      <c r="B7" s="18">
        <f>IF(VLOOKUP(A7,'DB Country PMI'!$A:$AZ,MATCH($A$1,'DB Country PMI'!$A$1:$AZ$1,),)=0,#N/A,VLOOKUP(A7,'DB Country PMI'!$A:$AZ,MATCH($A$1,'DB Country PMI'!$A$1:$AZ$1,),))</f>
        <v>67.53</v>
      </c>
      <c r="C7" s="24">
        <f>Table13[[#This Row],[PMI]]-B6</f>
        <v>4.730000000000004</v>
      </c>
    </row>
    <row r="8" spans="1:11" x14ac:dyDescent="0.2">
      <c r="A8" s="10">
        <v>34394</v>
      </c>
      <c r="B8" s="18">
        <f>IF(VLOOKUP(A8,'DB Country PMI'!$A:$AZ,MATCH($A$1,'DB Country PMI'!$A$1:$AZ$1,),)=0,#N/A,VLOOKUP(A8,'DB Country PMI'!$A:$AZ,MATCH($A$1,'DB Country PMI'!$A$1:$AZ$1,),))</f>
        <v>61.89</v>
      </c>
      <c r="C8" s="24">
        <f>Table13[[#This Row],[PMI]]-B7</f>
        <v>-5.6400000000000006</v>
      </c>
    </row>
    <row r="9" spans="1:11" x14ac:dyDescent="0.2">
      <c r="A9" s="10">
        <v>34425</v>
      </c>
      <c r="B9" s="18">
        <f>IF(VLOOKUP(A9,'DB Country PMI'!$A:$AZ,MATCH($A$1,'DB Country PMI'!$A$1:$AZ$1,),)=0,#N/A,VLOOKUP(A9,'DB Country PMI'!$A:$AZ,MATCH($A$1,'DB Country PMI'!$A$1:$AZ$1,),))</f>
        <v>60.57</v>
      </c>
      <c r="C9" s="24">
        <f>Table13[[#This Row],[PMI]]-B8</f>
        <v>-1.3200000000000003</v>
      </c>
    </row>
    <row r="10" spans="1:11" x14ac:dyDescent="0.2">
      <c r="A10" s="10">
        <v>34455</v>
      </c>
      <c r="B10" s="18">
        <f>IF(VLOOKUP(A10,'DB Country PMI'!$A:$AZ,MATCH($A$1,'DB Country PMI'!$A$1:$AZ$1,),)=0,#N/A,VLOOKUP(A10,'DB Country PMI'!$A:$AZ,MATCH($A$1,'DB Country PMI'!$A$1:$AZ$1,),))</f>
        <v>63.1</v>
      </c>
      <c r="C10" s="24">
        <f>Table13[[#This Row],[PMI]]-B9</f>
        <v>2.5300000000000011</v>
      </c>
    </row>
    <row r="11" spans="1:11" x14ac:dyDescent="0.2">
      <c r="A11" s="10">
        <v>34486</v>
      </c>
      <c r="B11" s="18">
        <f>IF(VLOOKUP(A11,'DB Country PMI'!$A:$AZ,MATCH($A$1,'DB Country PMI'!$A$1:$AZ$1,),)=0,#N/A,VLOOKUP(A11,'DB Country PMI'!$A:$AZ,MATCH($A$1,'DB Country PMI'!$A$1:$AZ$1,),))</f>
        <v>62.94</v>
      </c>
      <c r="C11" s="24">
        <f>Table13[[#This Row],[PMI]]-B10</f>
        <v>-0.16000000000000369</v>
      </c>
    </row>
    <row r="12" spans="1:11" x14ac:dyDescent="0.2">
      <c r="A12" s="10">
        <v>34516</v>
      </c>
      <c r="B12" s="18">
        <f>IF(VLOOKUP(A12,'DB Country PMI'!$A:$AZ,MATCH($A$1,'DB Country PMI'!$A$1:$AZ$1,),)=0,#N/A,VLOOKUP(A12,'DB Country PMI'!$A:$AZ,MATCH($A$1,'DB Country PMI'!$A$1:$AZ$1,),))</f>
        <v>63.1</v>
      </c>
      <c r="C12" s="24">
        <f>Table13[[#This Row],[PMI]]-B11</f>
        <v>0.16000000000000369</v>
      </c>
    </row>
    <row r="13" spans="1:11" x14ac:dyDescent="0.2">
      <c r="A13" s="10">
        <v>34547</v>
      </c>
      <c r="B13" s="18">
        <f>IF(VLOOKUP(A13,'DB Country PMI'!$A:$AZ,MATCH($A$1,'DB Country PMI'!$A$1:$AZ$1,),)=0,#N/A,VLOOKUP(A13,'DB Country PMI'!$A:$AZ,MATCH($A$1,'DB Country PMI'!$A$1:$AZ$1,),))</f>
        <v>59.49</v>
      </c>
      <c r="C13" s="24">
        <f>Table13[[#This Row],[PMI]]-B12</f>
        <v>-3.6099999999999994</v>
      </c>
    </row>
    <row r="14" spans="1:11" x14ac:dyDescent="0.2">
      <c r="A14" s="10">
        <v>34578</v>
      </c>
      <c r="B14" s="18">
        <f>IF(VLOOKUP(A14,'DB Country PMI'!$A:$AZ,MATCH($A$1,'DB Country PMI'!$A$1:$AZ$1,),)=0,#N/A,VLOOKUP(A14,'DB Country PMI'!$A:$AZ,MATCH($A$1,'DB Country PMI'!$A$1:$AZ$1,),))</f>
        <v>59.36</v>
      </c>
      <c r="C14" s="24">
        <f>Table13[[#This Row],[PMI]]-B13</f>
        <v>-0.13000000000000256</v>
      </c>
    </row>
    <row r="15" spans="1:11" x14ac:dyDescent="0.2">
      <c r="A15" s="10">
        <v>34608</v>
      </c>
      <c r="B15" s="18">
        <f>IF(VLOOKUP(A15,'DB Country PMI'!$A:$AZ,MATCH($A$1,'DB Country PMI'!$A$1:$AZ$1,),)=0,#N/A,VLOOKUP(A15,'DB Country PMI'!$A:$AZ,MATCH($A$1,'DB Country PMI'!$A$1:$AZ$1,),))</f>
        <v>61.33</v>
      </c>
      <c r="C15" s="24">
        <f>Table13[[#This Row],[PMI]]-B14</f>
        <v>1.9699999999999989</v>
      </c>
    </row>
    <row r="16" spans="1:11" x14ac:dyDescent="0.2">
      <c r="A16" s="10">
        <v>34639</v>
      </c>
      <c r="B16" s="18">
        <f>IF(VLOOKUP(A16,'DB Country PMI'!$A:$AZ,MATCH($A$1,'DB Country PMI'!$A$1:$AZ$1,),)=0,#N/A,VLOOKUP(A16,'DB Country PMI'!$A:$AZ,MATCH($A$1,'DB Country PMI'!$A$1:$AZ$1,),))</f>
        <v>60.53</v>
      </c>
      <c r="C16" s="24">
        <f>Table13[[#This Row],[PMI]]-B15</f>
        <v>-0.79999999999999716</v>
      </c>
    </row>
    <row r="17" spans="1:3" x14ac:dyDescent="0.2">
      <c r="A17" s="10">
        <v>34669</v>
      </c>
      <c r="B17" s="18">
        <f>IF(VLOOKUP(A17,'DB Country PMI'!$A:$AZ,MATCH($A$1,'DB Country PMI'!$A$1:$AZ$1,),)=0,#N/A,VLOOKUP(A17,'DB Country PMI'!$A:$AZ,MATCH($A$1,'DB Country PMI'!$A$1:$AZ$1,),))</f>
        <v>62.29</v>
      </c>
      <c r="C17" s="24">
        <f>Table13[[#This Row],[PMI]]-B16</f>
        <v>1.759999999999998</v>
      </c>
    </row>
    <row r="18" spans="1:3" x14ac:dyDescent="0.2">
      <c r="A18" s="10">
        <v>34700</v>
      </c>
      <c r="B18" s="18">
        <f>IF(VLOOKUP(A18,'DB Country PMI'!$A:$AZ,MATCH($A$1,'DB Country PMI'!$A$1:$AZ$1,),)=0,#N/A,VLOOKUP(A18,'DB Country PMI'!$A:$AZ,MATCH($A$1,'DB Country PMI'!$A$1:$AZ$1,),))</f>
        <v>62.95</v>
      </c>
      <c r="C18" s="24">
        <f>Table13[[#This Row],[PMI]]-B17</f>
        <v>0.66000000000000369</v>
      </c>
    </row>
    <row r="19" spans="1:3" x14ac:dyDescent="0.2">
      <c r="A19" s="10">
        <v>34731</v>
      </c>
      <c r="B19" s="18">
        <f>IF(VLOOKUP(A19,'DB Country PMI'!$A:$AZ,MATCH($A$1,'DB Country PMI'!$A$1:$AZ$1,),)=0,#N/A,VLOOKUP(A19,'DB Country PMI'!$A:$AZ,MATCH($A$1,'DB Country PMI'!$A$1:$AZ$1,),))</f>
        <v>63.78</v>
      </c>
      <c r="C19" s="24">
        <f>Table13[[#This Row],[PMI]]-B18</f>
        <v>0.82999999999999829</v>
      </c>
    </row>
    <row r="20" spans="1:3" x14ac:dyDescent="0.2">
      <c r="A20" s="10">
        <v>34759</v>
      </c>
      <c r="B20" s="18">
        <f>IF(VLOOKUP(A20,'DB Country PMI'!$A:$AZ,MATCH($A$1,'DB Country PMI'!$A$1:$AZ$1,),)=0,#N/A,VLOOKUP(A20,'DB Country PMI'!$A:$AZ,MATCH($A$1,'DB Country PMI'!$A$1:$AZ$1,),))</f>
        <v>61.91</v>
      </c>
      <c r="C20" s="24">
        <f>Table13[[#This Row],[PMI]]-B19</f>
        <v>-1.8700000000000045</v>
      </c>
    </row>
    <row r="21" spans="1:3" x14ac:dyDescent="0.2">
      <c r="A21" s="10">
        <v>34790</v>
      </c>
      <c r="B21" s="18">
        <f>IF(VLOOKUP(A21,'DB Country PMI'!$A:$AZ,MATCH($A$1,'DB Country PMI'!$A$1:$AZ$1,),)=0,#N/A,VLOOKUP(A21,'DB Country PMI'!$A:$AZ,MATCH($A$1,'DB Country PMI'!$A$1:$AZ$1,),))</f>
        <v>59.68</v>
      </c>
      <c r="C21" s="24">
        <f>Table13[[#This Row],[PMI]]-B20</f>
        <v>-2.2299999999999969</v>
      </c>
    </row>
    <row r="22" spans="1:3" x14ac:dyDescent="0.2">
      <c r="A22" s="10">
        <v>34820</v>
      </c>
      <c r="B22" s="18">
        <f>IF(VLOOKUP(A22,'DB Country PMI'!$A:$AZ,MATCH($A$1,'DB Country PMI'!$A$1:$AZ$1,),)=0,#N/A,VLOOKUP(A22,'DB Country PMI'!$A:$AZ,MATCH($A$1,'DB Country PMI'!$A$1:$AZ$1,),))</f>
        <v>58.91</v>
      </c>
      <c r="C22" s="24">
        <f>Table13[[#This Row],[PMI]]-B21</f>
        <v>-0.77000000000000313</v>
      </c>
    </row>
    <row r="23" spans="1:3" x14ac:dyDescent="0.2">
      <c r="A23" s="10">
        <v>34851</v>
      </c>
      <c r="B23" s="18">
        <f>IF(VLOOKUP(A23,'DB Country PMI'!$A:$AZ,MATCH($A$1,'DB Country PMI'!$A$1:$AZ$1,),)=0,#N/A,VLOOKUP(A23,'DB Country PMI'!$A:$AZ,MATCH($A$1,'DB Country PMI'!$A$1:$AZ$1,),))</f>
        <v>58.16</v>
      </c>
      <c r="C23" s="24">
        <f>Table13[[#This Row],[PMI]]-B22</f>
        <v>-0.75</v>
      </c>
    </row>
    <row r="24" spans="1:3" x14ac:dyDescent="0.2">
      <c r="A24" s="10">
        <v>34881</v>
      </c>
      <c r="B24" s="18">
        <f>IF(VLOOKUP(A24,'DB Country PMI'!$A:$AZ,MATCH($A$1,'DB Country PMI'!$A$1:$AZ$1,),)=0,#N/A,VLOOKUP(A24,'DB Country PMI'!$A:$AZ,MATCH($A$1,'DB Country PMI'!$A$1:$AZ$1,),))</f>
        <v>65.400000000000006</v>
      </c>
      <c r="C24" s="24">
        <f>Table13[[#This Row],[PMI]]-B23</f>
        <v>7.2400000000000091</v>
      </c>
    </row>
    <row r="25" spans="1:3" x14ac:dyDescent="0.2">
      <c r="A25" s="10">
        <v>34912</v>
      </c>
      <c r="B25" s="18">
        <f>IF(VLOOKUP(A25,'DB Country PMI'!$A:$AZ,MATCH($A$1,'DB Country PMI'!$A$1:$AZ$1,),)=0,#N/A,VLOOKUP(A25,'DB Country PMI'!$A:$AZ,MATCH($A$1,'DB Country PMI'!$A$1:$AZ$1,),))</f>
        <v>56.52</v>
      </c>
      <c r="C25" s="24">
        <f>Table13[[#This Row],[PMI]]-B24</f>
        <v>-8.8800000000000026</v>
      </c>
    </row>
    <row r="26" spans="1:3" x14ac:dyDescent="0.2">
      <c r="A26" s="10">
        <v>34943</v>
      </c>
      <c r="B26" s="18">
        <f>IF(VLOOKUP(A26,'DB Country PMI'!$A:$AZ,MATCH($A$1,'DB Country PMI'!$A$1:$AZ$1,),)=0,#N/A,VLOOKUP(A26,'DB Country PMI'!$A:$AZ,MATCH($A$1,'DB Country PMI'!$A$1:$AZ$1,),))</f>
        <v>55.66</v>
      </c>
      <c r="C26" s="24">
        <f>Table13[[#This Row],[PMI]]-B25</f>
        <v>-0.86000000000000654</v>
      </c>
    </row>
    <row r="27" spans="1:3" x14ac:dyDescent="0.2">
      <c r="A27" s="10">
        <v>34973</v>
      </c>
      <c r="B27" s="18">
        <f>IF(VLOOKUP(A27,'DB Country PMI'!$A:$AZ,MATCH($A$1,'DB Country PMI'!$A$1:$AZ$1,),)=0,#N/A,VLOOKUP(A27,'DB Country PMI'!$A:$AZ,MATCH($A$1,'DB Country PMI'!$A$1:$AZ$1,),))</f>
        <v>53.13</v>
      </c>
      <c r="C27" s="24">
        <f>Table13[[#This Row],[PMI]]-B26</f>
        <v>-2.529999999999994</v>
      </c>
    </row>
    <row r="28" spans="1:3" x14ac:dyDescent="0.2">
      <c r="A28" s="10">
        <v>35004</v>
      </c>
      <c r="B28" s="18">
        <f>IF(VLOOKUP(A28,'DB Country PMI'!$A:$AZ,MATCH($A$1,'DB Country PMI'!$A$1:$AZ$1,),)=0,#N/A,VLOOKUP(A28,'DB Country PMI'!$A:$AZ,MATCH($A$1,'DB Country PMI'!$A$1:$AZ$1,),))</f>
        <v>55.08</v>
      </c>
      <c r="C28" s="24">
        <f>Table13[[#This Row],[PMI]]-B27</f>
        <v>1.9499999999999957</v>
      </c>
    </row>
    <row r="29" spans="1:3" x14ac:dyDescent="0.2">
      <c r="A29" s="10">
        <v>35034</v>
      </c>
      <c r="B29" s="18">
        <f>IF(VLOOKUP(A29,'DB Country PMI'!$A:$AZ,MATCH($A$1,'DB Country PMI'!$A$1:$AZ$1,),)=0,#N/A,VLOOKUP(A29,'DB Country PMI'!$A:$AZ,MATCH($A$1,'DB Country PMI'!$A$1:$AZ$1,),))</f>
        <v>54.03</v>
      </c>
      <c r="C29" s="24">
        <f>Table13[[#This Row],[PMI]]-B28</f>
        <v>-1.0499999999999972</v>
      </c>
    </row>
    <row r="30" spans="1:3" x14ac:dyDescent="0.2">
      <c r="A30" s="10">
        <v>35065</v>
      </c>
      <c r="B30" s="18">
        <f>IF(VLOOKUP(A30,'DB Country PMI'!$A:$AZ,MATCH($A$1,'DB Country PMI'!$A$1:$AZ$1,),)=0,#N/A,VLOOKUP(A30,'DB Country PMI'!$A:$AZ,MATCH($A$1,'DB Country PMI'!$A$1:$AZ$1,),))</f>
        <v>50.16</v>
      </c>
      <c r="C30" s="24">
        <f>Table13[[#This Row],[PMI]]-B29</f>
        <v>-3.8700000000000045</v>
      </c>
    </row>
    <row r="31" spans="1:3" x14ac:dyDescent="0.2">
      <c r="A31" s="10">
        <v>35096</v>
      </c>
      <c r="B31" s="18">
        <f>IF(VLOOKUP(A31,'DB Country PMI'!$A:$AZ,MATCH($A$1,'DB Country PMI'!$A$1:$AZ$1,),)=0,#N/A,VLOOKUP(A31,'DB Country PMI'!$A:$AZ,MATCH($A$1,'DB Country PMI'!$A$1:$AZ$1,),))</f>
        <v>46.38</v>
      </c>
      <c r="C31" s="24">
        <f>Table13[[#This Row],[PMI]]-B30</f>
        <v>-3.779999999999994</v>
      </c>
    </row>
    <row r="32" spans="1:3" x14ac:dyDescent="0.2">
      <c r="A32" s="10">
        <v>35125</v>
      </c>
      <c r="B32" s="18">
        <f>IF(VLOOKUP(A32,'DB Country PMI'!$A:$AZ,MATCH($A$1,'DB Country PMI'!$A$1:$AZ$1,),)=0,#N/A,VLOOKUP(A32,'DB Country PMI'!$A:$AZ,MATCH($A$1,'DB Country PMI'!$A$1:$AZ$1,),))</f>
        <v>52.65</v>
      </c>
      <c r="C32" s="24">
        <f>Table13[[#This Row],[PMI]]-B31</f>
        <v>6.269999999999996</v>
      </c>
    </row>
    <row r="33" spans="1:3" x14ac:dyDescent="0.2">
      <c r="A33" s="10">
        <v>35156</v>
      </c>
      <c r="B33" s="18">
        <f>IF(VLOOKUP(A33,'DB Country PMI'!$A:$AZ,MATCH($A$1,'DB Country PMI'!$A$1:$AZ$1,),)=0,#N/A,VLOOKUP(A33,'DB Country PMI'!$A:$AZ,MATCH($A$1,'DB Country PMI'!$A$1:$AZ$1,),))</f>
        <v>54.64</v>
      </c>
      <c r="C33" s="24">
        <f>Table13[[#This Row],[PMI]]-B32</f>
        <v>1.990000000000002</v>
      </c>
    </row>
    <row r="34" spans="1:3" x14ac:dyDescent="0.2">
      <c r="A34" s="10">
        <v>35186</v>
      </c>
      <c r="B34" s="18">
        <f>IF(VLOOKUP(A34,'DB Country PMI'!$A:$AZ,MATCH($A$1,'DB Country PMI'!$A$1:$AZ$1,),)=0,#N/A,VLOOKUP(A34,'DB Country PMI'!$A:$AZ,MATCH($A$1,'DB Country PMI'!$A$1:$AZ$1,),))</f>
        <v>48.99</v>
      </c>
      <c r="C34" s="24">
        <f>Table13[[#This Row],[PMI]]-B33</f>
        <v>-5.6499999999999986</v>
      </c>
    </row>
    <row r="35" spans="1:3" x14ac:dyDescent="0.2">
      <c r="A35" s="10">
        <v>35217</v>
      </c>
      <c r="B35" s="18">
        <f>IF(VLOOKUP(A35,'DB Country PMI'!$A:$AZ,MATCH($A$1,'DB Country PMI'!$A$1:$AZ$1,),)=0,#N/A,VLOOKUP(A35,'DB Country PMI'!$A:$AZ,MATCH($A$1,'DB Country PMI'!$A$1:$AZ$1,),))</f>
        <v>50.64</v>
      </c>
      <c r="C35" s="24">
        <f>Table13[[#This Row],[PMI]]-B34</f>
        <v>1.6499999999999986</v>
      </c>
    </row>
    <row r="36" spans="1:3" x14ac:dyDescent="0.2">
      <c r="A36" s="10">
        <v>35247</v>
      </c>
      <c r="B36" s="18">
        <f>IF(VLOOKUP(A36,'DB Country PMI'!$A:$AZ,MATCH($A$1,'DB Country PMI'!$A$1:$AZ$1,),)=0,#N/A,VLOOKUP(A36,'DB Country PMI'!$A:$AZ,MATCH($A$1,'DB Country PMI'!$A$1:$AZ$1,),))</f>
        <v>54.72</v>
      </c>
      <c r="C36" s="24">
        <f>Table13[[#This Row],[PMI]]-B35</f>
        <v>4.0799999999999983</v>
      </c>
    </row>
    <row r="37" spans="1:3" x14ac:dyDescent="0.2">
      <c r="A37" s="10">
        <v>35278</v>
      </c>
      <c r="B37" s="18">
        <f>IF(VLOOKUP(A37,'DB Country PMI'!$A:$AZ,MATCH($A$1,'DB Country PMI'!$A$1:$AZ$1,),)=0,#N/A,VLOOKUP(A37,'DB Country PMI'!$A:$AZ,MATCH($A$1,'DB Country PMI'!$A$1:$AZ$1,),))</f>
        <v>56.46</v>
      </c>
      <c r="C37" s="24">
        <f>Table13[[#This Row],[PMI]]-B36</f>
        <v>1.740000000000002</v>
      </c>
    </row>
    <row r="38" spans="1:3" x14ac:dyDescent="0.2">
      <c r="A38" s="10">
        <v>35309</v>
      </c>
      <c r="B38" s="18">
        <f>IF(VLOOKUP(A38,'DB Country PMI'!$A:$AZ,MATCH($A$1,'DB Country PMI'!$A$1:$AZ$1,),)=0,#N/A,VLOOKUP(A38,'DB Country PMI'!$A:$AZ,MATCH($A$1,'DB Country PMI'!$A$1:$AZ$1,),))</f>
        <v>59.28</v>
      </c>
      <c r="C38" s="24">
        <f>Table13[[#This Row],[PMI]]-B37</f>
        <v>2.8200000000000003</v>
      </c>
    </row>
    <row r="39" spans="1:3" x14ac:dyDescent="0.2">
      <c r="A39" s="10">
        <v>35339</v>
      </c>
      <c r="B39" s="18">
        <f>IF(VLOOKUP(A39,'DB Country PMI'!$A:$AZ,MATCH($A$1,'DB Country PMI'!$A$1:$AZ$1,),)=0,#N/A,VLOOKUP(A39,'DB Country PMI'!$A:$AZ,MATCH($A$1,'DB Country PMI'!$A$1:$AZ$1,),))</f>
        <v>57.49</v>
      </c>
      <c r="C39" s="24">
        <f>Table13[[#This Row],[PMI]]-B38</f>
        <v>-1.7899999999999991</v>
      </c>
    </row>
    <row r="40" spans="1:3" x14ac:dyDescent="0.2">
      <c r="A40" s="10">
        <v>35370</v>
      </c>
      <c r="B40" s="18">
        <f>IF(VLOOKUP(A40,'DB Country PMI'!$A:$AZ,MATCH($A$1,'DB Country PMI'!$A$1:$AZ$1,),)=0,#N/A,VLOOKUP(A40,'DB Country PMI'!$A:$AZ,MATCH($A$1,'DB Country PMI'!$A$1:$AZ$1,),))</f>
        <v>61.57</v>
      </c>
      <c r="C40" s="24">
        <f>Table13[[#This Row],[PMI]]-B39</f>
        <v>4.0799999999999983</v>
      </c>
    </row>
    <row r="41" spans="1:3" x14ac:dyDescent="0.2">
      <c r="A41" s="10">
        <v>35400</v>
      </c>
      <c r="B41" s="18">
        <f>IF(VLOOKUP(A41,'DB Country PMI'!$A:$AZ,MATCH($A$1,'DB Country PMI'!$A$1:$AZ$1,),)=0,#N/A,VLOOKUP(A41,'DB Country PMI'!$A:$AZ,MATCH($A$1,'DB Country PMI'!$A$1:$AZ$1,),))</f>
        <v>60.71</v>
      </c>
      <c r="C41" s="24">
        <f>Table13[[#This Row],[PMI]]-B40</f>
        <v>-0.85999999999999943</v>
      </c>
    </row>
    <row r="42" spans="1:3" x14ac:dyDescent="0.2">
      <c r="A42" s="10">
        <v>35431</v>
      </c>
      <c r="B42" s="18">
        <f>IF(VLOOKUP(A42,'DB Country PMI'!$A:$AZ,MATCH($A$1,'DB Country PMI'!$A$1:$AZ$1,),)=0,#N/A,VLOOKUP(A42,'DB Country PMI'!$A:$AZ,MATCH($A$1,'DB Country PMI'!$A$1:$AZ$1,),))</f>
        <v>62.72</v>
      </c>
      <c r="C42" s="24">
        <f>Table13[[#This Row],[PMI]]-B41</f>
        <v>2.009999999999998</v>
      </c>
    </row>
    <row r="43" spans="1:3" x14ac:dyDescent="0.2">
      <c r="A43" s="10">
        <v>35462</v>
      </c>
      <c r="B43" s="18">
        <f>IF(VLOOKUP(A43,'DB Country PMI'!$A:$AZ,MATCH($A$1,'DB Country PMI'!$A$1:$AZ$1,),)=0,#N/A,VLOOKUP(A43,'DB Country PMI'!$A:$AZ,MATCH($A$1,'DB Country PMI'!$A$1:$AZ$1,),))</f>
        <v>57.65</v>
      </c>
      <c r="C43" s="24">
        <f>Table13[[#This Row],[PMI]]-B42</f>
        <v>-5.07</v>
      </c>
    </row>
    <row r="44" spans="1:3" x14ac:dyDescent="0.2">
      <c r="A44" s="10">
        <v>35490</v>
      </c>
      <c r="B44" s="18">
        <f>IF(VLOOKUP(A44,'DB Country PMI'!$A:$AZ,MATCH($A$1,'DB Country PMI'!$A$1:$AZ$1,),)=0,#N/A,VLOOKUP(A44,'DB Country PMI'!$A:$AZ,MATCH($A$1,'DB Country PMI'!$A$1:$AZ$1,),))</f>
        <v>60.39</v>
      </c>
      <c r="C44" s="24">
        <f>Table13[[#This Row],[PMI]]-B43</f>
        <v>2.740000000000002</v>
      </c>
    </row>
    <row r="45" spans="1:3" x14ac:dyDescent="0.2">
      <c r="A45" s="10">
        <v>35521</v>
      </c>
      <c r="B45" s="18">
        <f>IF(VLOOKUP(A45,'DB Country PMI'!$A:$AZ,MATCH($A$1,'DB Country PMI'!$A$1:$AZ$1,),)=0,#N/A,VLOOKUP(A45,'DB Country PMI'!$A:$AZ,MATCH($A$1,'DB Country PMI'!$A$1:$AZ$1,),))</f>
        <v>60.87</v>
      </c>
      <c r="C45" s="24">
        <f>Table13[[#This Row],[PMI]]-B44</f>
        <v>0.47999999999999687</v>
      </c>
    </row>
    <row r="46" spans="1:3" x14ac:dyDescent="0.2">
      <c r="A46" s="10">
        <v>35551</v>
      </c>
      <c r="B46" s="18">
        <f>IF(VLOOKUP(A46,'DB Country PMI'!$A:$AZ,MATCH($A$1,'DB Country PMI'!$A$1:$AZ$1,),)=0,#N/A,VLOOKUP(A46,'DB Country PMI'!$A:$AZ,MATCH($A$1,'DB Country PMI'!$A$1:$AZ$1,),))</f>
        <v>64.19</v>
      </c>
      <c r="C46" s="24">
        <f>Table13[[#This Row],[PMI]]-B45</f>
        <v>3.3200000000000003</v>
      </c>
    </row>
    <row r="47" spans="1:3" x14ac:dyDescent="0.2">
      <c r="A47" s="10">
        <v>35582</v>
      </c>
      <c r="B47" s="18">
        <f>IF(VLOOKUP(A47,'DB Country PMI'!$A:$AZ,MATCH($A$1,'DB Country PMI'!$A$1:$AZ$1,),)=0,#N/A,VLOOKUP(A47,'DB Country PMI'!$A:$AZ,MATCH($A$1,'DB Country PMI'!$A$1:$AZ$1,),))</f>
        <v>63.39</v>
      </c>
      <c r="C47" s="24">
        <f>Table13[[#This Row],[PMI]]-B46</f>
        <v>-0.79999999999999716</v>
      </c>
    </row>
    <row r="48" spans="1:3" x14ac:dyDescent="0.2">
      <c r="A48" s="10">
        <v>35612</v>
      </c>
      <c r="B48" s="18">
        <f>IF(VLOOKUP(A48,'DB Country PMI'!$A:$AZ,MATCH($A$1,'DB Country PMI'!$A$1:$AZ$1,),)=0,#N/A,VLOOKUP(A48,'DB Country PMI'!$A:$AZ,MATCH($A$1,'DB Country PMI'!$A$1:$AZ$1,),))</f>
        <v>54.92</v>
      </c>
      <c r="C48" s="24">
        <f>Table13[[#This Row],[PMI]]-B47</f>
        <v>-8.4699999999999989</v>
      </c>
    </row>
    <row r="49" spans="1:3" x14ac:dyDescent="0.2">
      <c r="A49" s="10">
        <v>35643</v>
      </c>
      <c r="B49" s="18">
        <f>IF(VLOOKUP(A49,'DB Country PMI'!$A:$AZ,MATCH($A$1,'DB Country PMI'!$A$1:$AZ$1,),)=0,#N/A,VLOOKUP(A49,'DB Country PMI'!$A:$AZ,MATCH($A$1,'DB Country PMI'!$A$1:$AZ$1,),))</f>
        <v>61.25</v>
      </c>
      <c r="C49" s="24">
        <f>Table13[[#This Row],[PMI]]-B48</f>
        <v>6.3299999999999983</v>
      </c>
    </row>
    <row r="50" spans="1:3" x14ac:dyDescent="0.2">
      <c r="A50" s="10">
        <v>35674</v>
      </c>
      <c r="B50" s="18">
        <f>IF(VLOOKUP(A50,'DB Country PMI'!$A:$AZ,MATCH($A$1,'DB Country PMI'!$A$1:$AZ$1,),)=0,#N/A,VLOOKUP(A50,'DB Country PMI'!$A:$AZ,MATCH($A$1,'DB Country PMI'!$A$1:$AZ$1,),))</f>
        <v>61.84</v>
      </c>
      <c r="C50" s="24">
        <f>Table13[[#This Row],[PMI]]-B49</f>
        <v>0.59000000000000341</v>
      </c>
    </row>
    <row r="51" spans="1:3" x14ac:dyDescent="0.2">
      <c r="A51" s="10">
        <v>35704</v>
      </c>
      <c r="B51" s="18">
        <f>IF(VLOOKUP(A51,'DB Country PMI'!$A:$AZ,MATCH($A$1,'DB Country PMI'!$A$1:$AZ$1,),)=0,#N/A,VLOOKUP(A51,'DB Country PMI'!$A:$AZ,MATCH($A$1,'DB Country PMI'!$A$1:$AZ$1,),))</f>
        <v>58.84</v>
      </c>
      <c r="C51" s="24">
        <f>Table13[[#This Row],[PMI]]-B50</f>
        <v>-3</v>
      </c>
    </row>
    <row r="52" spans="1:3" x14ac:dyDescent="0.2">
      <c r="A52" s="10">
        <v>35735</v>
      </c>
      <c r="B52" s="18">
        <f>IF(VLOOKUP(A52,'DB Country PMI'!$A:$AZ,MATCH($A$1,'DB Country PMI'!$A$1:$AZ$1,),)=0,#N/A,VLOOKUP(A52,'DB Country PMI'!$A:$AZ,MATCH($A$1,'DB Country PMI'!$A$1:$AZ$1,),))</f>
        <v>56.3</v>
      </c>
      <c r="C52" s="24">
        <f>Table13[[#This Row],[PMI]]-B51</f>
        <v>-2.5400000000000063</v>
      </c>
    </row>
    <row r="53" spans="1:3" x14ac:dyDescent="0.2">
      <c r="A53" s="10">
        <v>35765</v>
      </c>
      <c r="B53" s="18">
        <f>IF(VLOOKUP(A53,'DB Country PMI'!$A:$AZ,MATCH($A$1,'DB Country PMI'!$A$1:$AZ$1,),)=0,#N/A,VLOOKUP(A53,'DB Country PMI'!$A:$AZ,MATCH($A$1,'DB Country PMI'!$A$1:$AZ$1,),))</f>
        <v>56.74</v>
      </c>
      <c r="C53" s="24">
        <f>Table13[[#This Row],[PMI]]-B52</f>
        <v>0.44000000000000483</v>
      </c>
    </row>
    <row r="54" spans="1:3" x14ac:dyDescent="0.2">
      <c r="A54" s="10">
        <v>35796</v>
      </c>
      <c r="B54" s="18">
        <f>IF(VLOOKUP(A54,'DB Country PMI'!$A:$AZ,MATCH($A$1,'DB Country PMI'!$A$1:$AZ$1,),)=0,#N/A,VLOOKUP(A54,'DB Country PMI'!$A:$AZ,MATCH($A$1,'DB Country PMI'!$A$1:$AZ$1,),))</f>
        <v>55.77</v>
      </c>
      <c r="C54" s="24">
        <f>Table13[[#This Row],[PMI]]-B53</f>
        <v>-0.96999999999999886</v>
      </c>
    </row>
    <row r="55" spans="1:3" x14ac:dyDescent="0.2">
      <c r="A55" s="10">
        <v>35827</v>
      </c>
      <c r="B55" s="18">
        <f>IF(VLOOKUP(A55,'DB Country PMI'!$A:$AZ,MATCH($A$1,'DB Country PMI'!$A$1:$AZ$1,),)=0,#N/A,VLOOKUP(A55,'DB Country PMI'!$A:$AZ,MATCH($A$1,'DB Country PMI'!$A$1:$AZ$1,),))</f>
        <v>55.65</v>
      </c>
      <c r="C55" s="24">
        <f>Table13[[#This Row],[PMI]]-B54</f>
        <v>-0.12000000000000455</v>
      </c>
    </row>
    <row r="56" spans="1:3" x14ac:dyDescent="0.2">
      <c r="A56" s="10">
        <v>35855</v>
      </c>
      <c r="B56" s="18">
        <f>IF(VLOOKUP(A56,'DB Country PMI'!$A:$AZ,MATCH($A$1,'DB Country PMI'!$A$1:$AZ$1,),)=0,#N/A,VLOOKUP(A56,'DB Country PMI'!$A:$AZ,MATCH($A$1,'DB Country PMI'!$A$1:$AZ$1,),))</f>
        <v>58.86</v>
      </c>
      <c r="C56" s="24">
        <f>Table13[[#This Row],[PMI]]-B55</f>
        <v>3.2100000000000009</v>
      </c>
    </row>
    <row r="57" spans="1:3" x14ac:dyDescent="0.2">
      <c r="A57" s="10">
        <v>35886</v>
      </c>
      <c r="B57" s="18">
        <f>IF(VLOOKUP(A57,'DB Country PMI'!$A:$AZ,MATCH($A$1,'DB Country PMI'!$A$1:$AZ$1,),)=0,#N/A,VLOOKUP(A57,'DB Country PMI'!$A:$AZ,MATCH($A$1,'DB Country PMI'!$A$1:$AZ$1,),))</f>
        <v>58.81</v>
      </c>
      <c r="C57" s="24">
        <f>Table13[[#This Row],[PMI]]-B56</f>
        <v>-4.9999999999997158E-2</v>
      </c>
    </row>
    <row r="58" spans="1:3" x14ac:dyDescent="0.2">
      <c r="A58" s="10">
        <v>35916</v>
      </c>
      <c r="B58" s="18">
        <f>IF(VLOOKUP(A58,'DB Country PMI'!$A:$AZ,MATCH($A$1,'DB Country PMI'!$A$1:$AZ$1,),)=0,#N/A,VLOOKUP(A58,'DB Country PMI'!$A:$AZ,MATCH($A$1,'DB Country PMI'!$A$1:$AZ$1,),))</f>
        <v>60.33</v>
      </c>
      <c r="C58" s="24">
        <f>Table13[[#This Row],[PMI]]-B57</f>
        <v>1.519999999999996</v>
      </c>
    </row>
    <row r="59" spans="1:3" x14ac:dyDescent="0.2">
      <c r="A59" s="10">
        <v>35947</v>
      </c>
      <c r="B59" s="18">
        <f>IF(VLOOKUP(A59,'DB Country PMI'!$A:$AZ,MATCH($A$1,'DB Country PMI'!$A$1:$AZ$1,),)=0,#N/A,VLOOKUP(A59,'DB Country PMI'!$A:$AZ,MATCH($A$1,'DB Country PMI'!$A$1:$AZ$1,),))</f>
        <v>57.46</v>
      </c>
      <c r="C59" s="24">
        <f>Table13[[#This Row],[PMI]]-B58</f>
        <v>-2.8699999999999974</v>
      </c>
    </row>
    <row r="60" spans="1:3" x14ac:dyDescent="0.2">
      <c r="A60" s="10">
        <v>35977</v>
      </c>
      <c r="B60" s="18">
        <f>IF(VLOOKUP(A60,'DB Country PMI'!$A:$AZ,MATCH($A$1,'DB Country PMI'!$A$1:$AZ$1,),)=0,#N/A,VLOOKUP(A60,'DB Country PMI'!$A:$AZ,MATCH($A$1,'DB Country PMI'!$A$1:$AZ$1,),))</f>
        <v>50.71</v>
      </c>
      <c r="C60" s="24">
        <f>Table13[[#This Row],[PMI]]-B59</f>
        <v>-6.75</v>
      </c>
    </row>
    <row r="61" spans="1:3" x14ac:dyDescent="0.2">
      <c r="A61" s="10">
        <v>36008</v>
      </c>
      <c r="B61" s="18">
        <f>IF(VLOOKUP(A61,'DB Country PMI'!$A:$AZ,MATCH($A$1,'DB Country PMI'!$A$1:$AZ$1,),)=0,#N/A,VLOOKUP(A61,'DB Country PMI'!$A:$AZ,MATCH($A$1,'DB Country PMI'!$A$1:$AZ$1,),))</f>
        <v>62.84</v>
      </c>
      <c r="C61" s="24">
        <f>Table13[[#This Row],[PMI]]-B60</f>
        <v>12.130000000000003</v>
      </c>
    </row>
    <row r="62" spans="1:3" x14ac:dyDescent="0.2">
      <c r="A62" s="10">
        <v>36039</v>
      </c>
      <c r="B62" s="18">
        <f>IF(VLOOKUP(A62,'DB Country PMI'!$A:$AZ,MATCH($A$1,'DB Country PMI'!$A$1:$AZ$1,),)=0,#N/A,VLOOKUP(A62,'DB Country PMI'!$A:$AZ,MATCH($A$1,'DB Country PMI'!$A$1:$AZ$1,),))</f>
        <v>51.54</v>
      </c>
      <c r="C62" s="24">
        <f>Table13[[#This Row],[PMI]]-B61</f>
        <v>-11.300000000000004</v>
      </c>
    </row>
    <row r="63" spans="1:3" x14ac:dyDescent="0.2">
      <c r="A63" s="10">
        <v>36069</v>
      </c>
      <c r="B63" s="18">
        <f>IF(VLOOKUP(A63,'DB Country PMI'!$A:$AZ,MATCH($A$1,'DB Country PMI'!$A$1:$AZ$1,),)=0,#N/A,VLOOKUP(A63,'DB Country PMI'!$A:$AZ,MATCH($A$1,'DB Country PMI'!$A$1:$AZ$1,),))</f>
        <v>54.96</v>
      </c>
      <c r="C63" s="24">
        <f>Table13[[#This Row],[PMI]]-B62</f>
        <v>3.4200000000000017</v>
      </c>
    </row>
    <row r="64" spans="1:3" x14ac:dyDescent="0.2">
      <c r="A64" s="10">
        <v>36100</v>
      </c>
      <c r="B64" s="18">
        <f>IF(VLOOKUP(A64,'DB Country PMI'!$A:$AZ,MATCH($A$1,'DB Country PMI'!$A$1:$AZ$1,),)=0,#N/A,VLOOKUP(A64,'DB Country PMI'!$A:$AZ,MATCH($A$1,'DB Country PMI'!$A$1:$AZ$1,),))</f>
        <v>48.18</v>
      </c>
      <c r="C64" s="24">
        <f>Table13[[#This Row],[PMI]]-B63</f>
        <v>-6.7800000000000011</v>
      </c>
    </row>
    <row r="65" spans="1:3" x14ac:dyDescent="0.2">
      <c r="A65" s="10">
        <v>36130</v>
      </c>
      <c r="B65" s="18">
        <f>IF(VLOOKUP(A65,'DB Country PMI'!$A:$AZ,MATCH($A$1,'DB Country PMI'!$A$1:$AZ$1,),)=0,#N/A,VLOOKUP(A65,'DB Country PMI'!$A:$AZ,MATCH($A$1,'DB Country PMI'!$A$1:$AZ$1,),))</f>
        <v>49.94</v>
      </c>
      <c r="C65" s="24">
        <f>Table13[[#This Row],[PMI]]-B64</f>
        <v>1.759999999999998</v>
      </c>
    </row>
    <row r="66" spans="1:3" x14ac:dyDescent="0.2">
      <c r="A66" s="10">
        <v>36161</v>
      </c>
      <c r="B66" s="18">
        <f>IF(VLOOKUP(A66,'DB Country PMI'!$A:$AZ,MATCH($A$1,'DB Country PMI'!$A$1:$AZ$1,),)=0,#N/A,VLOOKUP(A66,'DB Country PMI'!$A:$AZ,MATCH($A$1,'DB Country PMI'!$A$1:$AZ$1,),))</f>
        <v>53.69</v>
      </c>
      <c r="C66" s="24">
        <f>Table13[[#This Row],[PMI]]-B65</f>
        <v>3.75</v>
      </c>
    </row>
    <row r="67" spans="1:3" x14ac:dyDescent="0.2">
      <c r="A67" s="10">
        <v>36192</v>
      </c>
      <c r="B67" s="18">
        <f>IF(VLOOKUP(A67,'DB Country PMI'!$A:$AZ,MATCH($A$1,'DB Country PMI'!$A$1:$AZ$1,),)=0,#N/A,VLOOKUP(A67,'DB Country PMI'!$A:$AZ,MATCH($A$1,'DB Country PMI'!$A$1:$AZ$1,),))</f>
        <v>55.51</v>
      </c>
      <c r="C67" s="24">
        <f>Table13[[#This Row],[PMI]]-B66</f>
        <v>1.8200000000000003</v>
      </c>
    </row>
    <row r="68" spans="1:3" x14ac:dyDescent="0.2">
      <c r="A68" s="10">
        <v>36220</v>
      </c>
      <c r="B68" s="18">
        <f>IF(VLOOKUP(A68,'DB Country PMI'!$A:$AZ,MATCH($A$1,'DB Country PMI'!$A$1:$AZ$1,),)=0,#N/A,VLOOKUP(A68,'DB Country PMI'!$A:$AZ,MATCH($A$1,'DB Country PMI'!$A$1:$AZ$1,),))</f>
        <v>45.32</v>
      </c>
      <c r="C68" s="24">
        <f>Table13[[#This Row],[PMI]]-B67</f>
        <v>-10.189999999999998</v>
      </c>
    </row>
    <row r="69" spans="1:3" x14ac:dyDescent="0.2">
      <c r="A69" s="10">
        <v>36251</v>
      </c>
      <c r="B69" s="18">
        <f>IF(VLOOKUP(A69,'DB Country PMI'!$A:$AZ,MATCH($A$1,'DB Country PMI'!$A$1:$AZ$1,),)=0,#N/A,VLOOKUP(A69,'DB Country PMI'!$A:$AZ,MATCH($A$1,'DB Country PMI'!$A$1:$AZ$1,),))</f>
        <v>50.98</v>
      </c>
      <c r="C69" s="24">
        <f>Table13[[#This Row],[PMI]]-B68</f>
        <v>5.6599999999999966</v>
      </c>
    </row>
    <row r="70" spans="1:3" x14ac:dyDescent="0.2">
      <c r="A70" s="10">
        <v>36281</v>
      </c>
      <c r="B70" s="18">
        <f>IF(VLOOKUP(A70,'DB Country PMI'!$A:$AZ,MATCH($A$1,'DB Country PMI'!$A$1:$AZ$1,),)=0,#N/A,VLOOKUP(A70,'DB Country PMI'!$A:$AZ,MATCH($A$1,'DB Country PMI'!$A$1:$AZ$1,),))</f>
        <v>48.33</v>
      </c>
      <c r="C70" s="24">
        <f>Table13[[#This Row],[PMI]]-B69</f>
        <v>-2.6499999999999986</v>
      </c>
    </row>
    <row r="71" spans="1:3" x14ac:dyDescent="0.2">
      <c r="A71" s="10">
        <v>36312</v>
      </c>
      <c r="B71" s="18">
        <f>IF(VLOOKUP(A71,'DB Country PMI'!$A:$AZ,MATCH($A$1,'DB Country PMI'!$A$1:$AZ$1,),)=0,#N/A,VLOOKUP(A71,'DB Country PMI'!$A:$AZ,MATCH($A$1,'DB Country PMI'!$A$1:$AZ$1,),))</f>
        <v>51.51</v>
      </c>
      <c r="C71" s="24">
        <f>Table13[[#This Row],[PMI]]-B70</f>
        <v>3.1799999999999997</v>
      </c>
    </row>
    <row r="72" spans="1:3" x14ac:dyDescent="0.2">
      <c r="A72" s="10">
        <v>36342</v>
      </c>
      <c r="B72" s="18">
        <f>IF(VLOOKUP(A72,'DB Country PMI'!$A:$AZ,MATCH($A$1,'DB Country PMI'!$A$1:$AZ$1,),)=0,#N/A,VLOOKUP(A72,'DB Country PMI'!$A:$AZ,MATCH($A$1,'DB Country PMI'!$A$1:$AZ$1,),))</f>
        <v>53.07</v>
      </c>
      <c r="C72" s="24">
        <f>Table13[[#This Row],[PMI]]-B71</f>
        <v>1.5600000000000023</v>
      </c>
    </row>
    <row r="73" spans="1:3" x14ac:dyDescent="0.2">
      <c r="A73" s="10">
        <v>36373</v>
      </c>
      <c r="B73" s="18">
        <f>IF(VLOOKUP(A73,'DB Country PMI'!$A:$AZ,MATCH($A$1,'DB Country PMI'!$A$1:$AZ$1,),)=0,#N/A,VLOOKUP(A73,'DB Country PMI'!$A:$AZ,MATCH($A$1,'DB Country PMI'!$A$1:$AZ$1,),))</f>
        <v>49.58</v>
      </c>
      <c r="C73" s="24">
        <f>Table13[[#This Row],[PMI]]-B72</f>
        <v>-3.490000000000002</v>
      </c>
    </row>
    <row r="74" spans="1:3" x14ac:dyDescent="0.2">
      <c r="A74" s="10">
        <v>36404</v>
      </c>
      <c r="B74" s="18">
        <f>IF(VLOOKUP(A74,'DB Country PMI'!$A:$AZ,MATCH($A$1,'DB Country PMI'!$A$1:$AZ$1,),)=0,#N/A,VLOOKUP(A74,'DB Country PMI'!$A:$AZ,MATCH($A$1,'DB Country PMI'!$A$1:$AZ$1,),))</f>
        <v>52.05</v>
      </c>
      <c r="C74" s="24">
        <f>Table13[[#This Row],[PMI]]-B73</f>
        <v>2.4699999999999989</v>
      </c>
    </row>
    <row r="75" spans="1:3" x14ac:dyDescent="0.2">
      <c r="A75" s="10">
        <v>36434</v>
      </c>
      <c r="B75" s="18">
        <f>IF(VLOOKUP(A75,'DB Country PMI'!$A:$AZ,MATCH($A$1,'DB Country PMI'!$A$1:$AZ$1,),)=0,#N/A,VLOOKUP(A75,'DB Country PMI'!$A:$AZ,MATCH($A$1,'DB Country PMI'!$A$1:$AZ$1,),))</f>
        <v>69.790000000000006</v>
      </c>
      <c r="C75" s="24">
        <f>Table13[[#This Row],[PMI]]-B74</f>
        <v>17.740000000000009</v>
      </c>
    </row>
    <row r="76" spans="1:3" x14ac:dyDescent="0.2">
      <c r="A76" s="10">
        <v>36465</v>
      </c>
      <c r="B76" s="18">
        <f>IF(VLOOKUP(A76,'DB Country PMI'!$A:$AZ,MATCH($A$1,'DB Country PMI'!$A$1:$AZ$1,),)=0,#N/A,VLOOKUP(A76,'DB Country PMI'!$A:$AZ,MATCH($A$1,'DB Country PMI'!$A$1:$AZ$1,),))</f>
        <v>64.63</v>
      </c>
      <c r="C76" s="24">
        <f>Table13[[#This Row],[PMI]]-B75</f>
        <v>-5.1600000000000108</v>
      </c>
    </row>
    <row r="77" spans="1:3" x14ac:dyDescent="0.2">
      <c r="A77" s="10">
        <v>36495</v>
      </c>
      <c r="B77" s="18">
        <f>IF(VLOOKUP(A77,'DB Country PMI'!$A:$AZ,MATCH($A$1,'DB Country PMI'!$A$1:$AZ$1,),)=0,#N/A,VLOOKUP(A77,'DB Country PMI'!$A:$AZ,MATCH($A$1,'DB Country PMI'!$A$1:$AZ$1,),))</f>
        <v>46.56</v>
      </c>
      <c r="C77" s="24">
        <f>Table13[[#This Row],[PMI]]-B76</f>
        <v>-18.069999999999993</v>
      </c>
    </row>
    <row r="78" spans="1:3" x14ac:dyDescent="0.2">
      <c r="A78" s="10">
        <v>36526</v>
      </c>
      <c r="B78" s="18">
        <f>IF(VLOOKUP(A78,'DB Country PMI'!$A:$AZ,MATCH($A$1,'DB Country PMI'!$A$1:$AZ$1,),)=0,#N/A,VLOOKUP(A78,'DB Country PMI'!$A:$AZ,MATCH($A$1,'DB Country PMI'!$A$1:$AZ$1,),))</f>
        <v>56.5</v>
      </c>
      <c r="C78" s="24">
        <f>Table13[[#This Row],[PMI]]-B77</f>
        <v>9.9399999999999977</v>
      </c>
    </row>
    <row r="79" spans="1:3" x14ac:dyDescent="0.2">
      <c r="A79" s="10">
        <v>36557</v>
      </c>
      <c r="B79" s="18">
        <f>IF(VLOOKUP(A79,'DB Country PMI'!$A:$AZ,MATCH($A$1,'DB Country PMI'!$A$1:$AZ$1,),)=0,#N/A,VLOOKUP(A79,'DB Country PMI'!$A:$AZ,MATCH($A$1,'DB Country PMI'!$A$1:$AZ$1,),))</f>
        <v>60.09</v>
      </c>
      <c r="C79" s="24">
        <f>Table13[[#This Row],[PMI]]-B78</f>
        <v>3.5900000000000034</v>
      </c>
    </row>
    <row r="80" spans="1:3" x14ac:dyDescent="0.2">
      <c r="A80" s="10">
        <v>36586</v>
      </c>
      <c r="B80" s="18">
        <f>IF(VLOOKUP(A80,'DB Country PMI'!$A:$AZ,MATCH($A$1,'DB Country PMI'!$A$1:$AZ$1,),)=0,#N/A,VLOOKUP(A80,'DB Country PMI'!$A:$AZ,MATCH($A$1,'DB Country PMI'!$A$1:$AZ$1,),))</f>
        <v>58.03</v>
      </c>
      <c r="C80" s="24">
        <f>Table13[[#This Row],[PMI]]-B79</f>
        <v>-2.0600000000000023</v>
      </c>
    </row>
    <row r="81" spans="1:3" x14ac:dyDescent="0.2">
      <c r="A81" s="10">
        <v>36617</v>
      </c>
      <c r="B81" s="18">
        <f>IF(VLOOKUP(A81,'DB Country PMI'!$A:$AZ,MATCH($A$1,'DB Country PMI'!$A$1:$AZ$1,),)=0,#N/A,VLOOKUP(A81,'DB Country PMI'!$A:$AZ,MATCH($A$1,'DB Country PMI'!$A$1:$AZ$1,),))</f>
        <v>54.9</v>
      </c>
      <c r="C81" s="24">
        <f>Table13[[#This Row],[PMI]]-B80</f>
        <v>-3.1300000000000026</v>
      </c>
    </row>
    <row r="82" spans="1:3" x14ac:dyDescent="0.2">
      <c r="A82" s="10">
        <v>36647</v>
      </c>
      <c r="B82" s="18">
        <f>IF(VLOOKUP(A82,'DB Country PMI'!$A:$AZ,MATCH($A$1,'DB Country PMI'!$A$1:$AZ$1,),)=0,#N/A,VLOOKUP(A82,'DB Country PMI'!$A:$AZ,MATCH($A$1,'DB Country PMI'!$A$1:$AZ$1,),))</f>
        <v>55.18</v>
      </c>
      <c r="C82" s="24">
        <f>Table13[[#This Row],[PMI]]-B81</f>
        <v>0.28000000000000114</v>
      </c>
    </row>
    <row r="83" spans="1:3" x14ac:dyDescent="0.2">
      <c r="A83" s="10">
        <v>36678</v>
      </c>
      <c r="B83" s="18">
        <f>IF(VLOOKUP(A83,'DB Country PMI'!$A:$AZ,MATCH($A$1,'DB Country PMI'!$A$1:$AZ$1,),)=0,#N/A,VLOOKUP(A83,'DB Country PMI'!$A:$AZ,MATCH($A$1,'DB Country PMI'!$A$1:$AZ$1,),))</f>
        <v>53.67</v>
      </c>
      <c r="C83" s="24">
        <f>Table13[[#This Row],[PMI]]-B82</f>
        <v>-1.509999999999998</v>
      </c>
    </row>
    <row r="84" spans="1:3" x14ac:dyDescent="0.2">
      <c r="A84" s="10">
        <v>36708</v>
      </c>
      <c r="B84" s="18">
        <f>IF(VLOOKUP(A84,'DB Country PMI'!$A:$AZ,MATCH($A$1,'DB Country PMI'!$A$1:$AZ$1,),)=0,#N/A,VLOOKUP(A84,'DB Country PMI'!$A:$AZ,MATCH($A$1,'DB Country PMI'!$A$1:$AZ$1,),))</f>
        <v>64.069999999999993</v>
      </c>
      <c r="C84" s="24">
        <f>Table13[[#This Row],[PMI]]-B83</f>
        <v>10.399999999999991</v>
      </c>
    </row>
    <row r="85" spans="1:3" x14ac:dyDescent="0.2">
      <c r="A85" s="10">
        <v>36739</v>
      </c>
      <c r="B85" s="18">
        <f>IF(VLOOKUP(A85,'DB Country PMI'!$A:$AZ,MATCH($A$1,'DB Country PMI'!$A$1:$AZ$1,),)=0,#N/A,VLOOKUP(A85,'DB Country PMI'!$A:$AZ,MATCH($A$1,'DB Country PMI'!$A$1:$AZ$1,),))</f>
        <v>56.81</v>
      </c>
      <c r="C85" s="24">
        <f>Table13[[#This Row],[PMI]]-B84</f>
        <v>-7.2599999999999909</v>
      </c>
    </row>
    <row r="86" spans="1:3" x14ac:dyDescent="0.2">
      <c r="A86" s="10">
        <v>36770</v>
      </c>
      <c r="B86" s="18">
        <f>IF(VLOOKUP(A86,'DB Country PMI'!$A:$AZ,MATCH($A$1,'DB Country PMI'!$A$1:$AZ$1,),)=0,#N/A,VLOOKUP(A86,'DB Country PMI'!$A:$AZ,MATCH($A$1,'DB Country PMI'!$A$1:$AZ$1,),))</f>
        <v>56.21</v>
      </c>
      <c r="C86" s="24">
        <f>Table13[[#This Row],[PMI]]-B85</f>
        <v>-0.60000000000000142</v>
      </c>
    </row>
    <row r="87" spans="1:3" x14ac:dyDescent="0.2">
      <c r="A87" s="10">
        <v>36800</v>
      </c>
      <c r="B87" s="18">
        <f>IF(VLOOKUP(A87,'DB Country PMI'!$A:$AZ,MATCH($A$1,'DB Country PMI'!$A$1:$AZ$1,),)=0,#N/A,VLOOKUP(A87,'DB Country PMI'!$A:$AZ,MATCH($A$1,'DB Country PMI'!$A$1:$AZ$1,),))</f>
        <v>59.71</v>
      </c>
      <c r="C87" s="24">
        <f>Table13[[#This Row],[PMI]]-B86</f>
        <v>3.5</v>
      </c>
    </row>
    <row r="88" spans="1:3" x14ac:dyDescent="0.2">
      <c r="A88" s="10">
        <v>36831</v>
      </c>
      <c r="B88" s="18">
        <f>IF(VLOOKUP(A88,'DB Country PMI'!$A:$AZ,MATCH($A$1,'DB Country PMI'!$A$1:$AZ$1,),)=0,#N/A,VLOOKUP(A88,'DB Country PMI'!$A:$AZ,MATCH($A$1,'DB Country PMI'!$A$1:$AZ$1,),))</f>
        <v>54.29</v>
      </c>
      <c r="C88" s="24">
        <f>Table13[[#This Row],[PMI]]-B87</f>
        <v>-5.4200000000000017</v>
      </c>
    </row>
    <row r="89" spans="1:3" x14ac:dyDescent="0.2">
      <c r="A89" s="10">
        <v>36861</v>
      </c>
      <c r="B89" s="18">
        <f>IF(VLOOKUP(A89,'DB Country PMI'!$A:$AZ,MATCH($A$1,'DB Country PMI'!$A$1:$AZ$1,),)=0,#N/A,VLOOKUP(A89,'DB Country PMI'!$A:$AZ,MATCH($A$1,'DB Country PMI'!$A$1:$AZ$1,),))</f>
        <v>55.54</v>
      </c>
      <c r="C89" s="24">
        <f>Table13[[#This Row],[PMI]]-B88</f>
        <v>1.25</v>
      </c>
    </row>
    <row r="90" spans="1:3" x14ac:dyDescent="0.2">
      <c r="A90" s="10">
        <v>36892</v>
      </c>
      <c r="B90" s="18">
        <f>IF(VLOOKUP(A90,'DB Country PMI'!$A:$AZ,MATCH($A$1,'DB Country PMI'!$A$1:$AZ$1,),)=0,#N/A,VLOOKUP(A90,'DB Country PMI'!$A:$AZ,MATCH($A$1,'DB Country PMI'!$A$1:$AZ$1,),))</f>
        <v>52.88</v>
      </c>
      <c r="C90" s="24">
        <f>Table13[[#This Row],[PMI]]-B89</f>
        <v>-2.6599999999999966</v>
      </c>
    </row>
    <row r="91" spans="1:3" x14ac:dyDescent="0.2">
      <c r="A91" s="10">
        <v>36923</v>
      </c>
      <c r="B91" s="18">
        <f>IF(VLOOKUP(A91,'DB Country PMI'!$A:$AZ,MATCH($A$1,'DB Country PMI'!$A$1:$AZ$1,),)=0,#N/A,VLOOKUP(A91,'DB Country PMI'!$A:$AZ,MATCH($A$1,'DB Country PMI'!$A$1:$AZ$1,),))</f>
        <v>51.59</v>
      </c>
      <c r="C91" s="24">
        <f>Table13[[#This Row],[PMI]]-B90</f>
        <v>-1.2899999999999991</v>
      </c>
    </row>
    <row r="92" spans="1:3" x14ac:dyDescent="0.2">
      <c r="A92" s="10">
        <v>36951</v>
      </c>
      <c r="B92" s="18">
        <f>IF(VLOOKUP(A92,'DB Country PMI'!$A:$AZ,MATCH($A$1,'DB Country PMI'!$A$1:$AZ$1,),)=0,#N/A,VLOOKUP(A92,'DB Country PMI'!$A:$AZ,MATCH($A$1,'DB Country PMI'!$A$1:$AZ$1,),))</f>
        <v>52.49</v>
      </c>
      <c r="C92" s="24">
        <f>Table13[[#This Row],[PMI]]-B91</f>
        <v>0.89999999999999858</v>
      </c>
    </row>
    <row r="93" spans="1:3" x14ac:dyDescent="0.2">
      <c r="A93" s="10">
        <v>36982</v>
      </c>
      <c r="B93" s="18">
        <f>IF(VLOOKUP(A93,'DB Country PMI'!$A:$AZ,MATCH($A$1,'DB Country PMI'!$A$1:$AZ$1,),)=0,#N/A,VLOOKUP(A93,'DB Country PMI'!$A:$AZ,MATCH($A$1,'DB Country PMI'!$A$1:$AZ$1,),))</f>
        <v>49.61</v>
      </c>
      <c r="C93" s="24">
        <f>Table13[[#This Row],[PMI]]-B92</f>
        <v>-2.8800000000000026</v>
      </c>
    </row>
    <row r="94" spans="1:3" x14ac:dyDescent="0.2">
      <c r="A94" s="10">
        <v>37012</v>
      </c>
      <c r="B94" s="18">
        <f>IF(VLOOKUP(A94,'DB Country PMI'!$A:$AZ,MATCH($A$1,'DB Country PMI'!$A$1:$AZ$1,),)=0,#N/A,VLOOKUP(A94,'DB Country PMI'!$A:$AZ,MATCH($A$1,'DB Country PMI'!$A$1:$AZ$1,),))</f>
        <v>52.89</v>
      </c>
      <c r="C94" s="24">
        <f>Table13[[#This Row],[PMI]]-B93</f>
        <v>3.2800000000000011</v>
      </c>
    </row>
    <row r="95" spans="1:3" x14ac:dyDescent="0.2">
      <c r="A95" s="10">
        <v>37043</v>
      </c>
      <c r="B95" s="18">
        <f>IF(VLOOKUP(A95,'DB Country PMI'!$A:$AZ,MATCH($A$1,'DB Country PMI'!$A$1:$AZ$1,),)=0,#N/A,VLOOKUP(A95,'DB Country PMI'!$A:$AZ,MATCH($A$1,'DB Country PMI'!$A$1:$AZ$1,),))</f>
        <v>53.97</v>
      </c>
      <c r="C95" s="24">
        <f>Table13[[#This Row],[PMI]]-B94</f>
        <v>1.0799999999999983</v>
      </c>
    </row>
    <row r="96" spans="1:3" x14ac:dyDescent="0.2">
      <c r="A96" s="10">
        <v>37073</v>
      </c>
      <c r="B96" s="18">
        <f>IF(VLOOKUP(A96,'DB Country PMI'!$A:$AZ,MATCH($A$1,'DB Country PMI'!$A$1:$AZ$1,),)=0,#N/A,VLOOKUP(A96,'DB Country PMI'!$A:$AZ,MATCH($A$1,'DB Country PMI'!$A$1:$AZ$1,),))</f>
        <v>50.42</v>
      </c>
      <c r="C96" s="24">
        <f>Table13[[#This Row],[PMI]]-B95</f>
        <v>-3.5499999999999972</v>
      </c>
    </row>
    <row r="97" spans="1:3" x14ac:dyDescent="0.2">
      <c r="A97" s="10">
        <v>37104</v>
      </c>
      <c r="B97" s="18">
        <f>IF(VLOOKUP(A97,'DB Country PMI'!$A:$AZ,MATCH($A$1,'DB Country PMI'!$A$1:$AZ$1,),)=0,#N/A,VLOOKUP(A97,'DB Country PMI'!$A:$AZ,MATCH($A$1,'DB Country PMI'!$A$1:$AZ$1,),))</f>
        <v>53.21</v>
      </c>
      <c r="C97" s="24">
        <f>Table13[[#This Row],[PMI]]-B96</f>
        <v>2.7899999999999991</v>
      </c>
    </row>
    <row r="98" spans="1:3" x14ac:dyDescent="0.2">
      <c r="A98" s="10">
        <v>37135</v>
      </c>
      <c r="B98" s="18">
        <f>IF(VLOOKUP(A98,'DB Country PMI'!$A:$AZ,MATCH($A$1,'DB Country PMI'!$A$1:$AZ$1,),)=0,#N/A,VLOOKUP(A98,'DB Country PMI'!$A:$AZ,MATCH($A$1,'DB Country PMI'!$A$1:$AZ$1,),))</f>
        <v>47.75</v>
      </c>
      <c r="C98" s="24">
        <f>Table13[[#This Row],[PMI]]-B97</f>
        <v>-5.4600000000000009</v>
      </c>
    </row>
    <row r="99" spans="1:3" x14ac:dyDescent="0.2">
      <c r="A99" s="10">
        <v>37165</v>
      </c>
      <c r="B99" s="18">
        <f>IF(VLOOKUP(A99,'DB Country PMI'!$A:$AZ,MATCH($A$1,'DB Country PMI'!$A$1:$AZ$1,),)=0,#N/A,VLOOKUP(A99,'DB Country PMI'!$A:$AZ,MATCH($A$1,'DB Country PMI'!$A$1:$AZ$1,),))</f>
        <v>46.09</v>
      </c>
      <c r="C99" s="24">
        <f>Table13[[#This Row],[PMI]]-B98</f>
        <v>-1.6599999999999966</v>
      </c>
    </row>
    <row r="100" spans="1:3" x14ac:dyDescent="0.2">
      <c r="A100" s="10">
        <v>37196</v>
      </c>
      <c r="B100" s="18">
        <f>IF(VLOOKUP(A100,'DB Country PMI'!$A:$AZ,MATCH($A$1,'DB Country PMI'!$A$1:$AZ$1,),)=0,#N/A,VLOOKUP(A100,'DB Country PMI'!$A:$AZ,MATCH($A$1,'DB Country PMI'!$A$1:$AZ$1,),))</f>
        <v>50.81</v>
      </c>
      <c r="C100" s="24">
        <f>Table13[[#This Row],[PMI]]-B99</f>
        <v>4.7199999999999989</v>
      </c>
    </row>
    <row r="101" spans="1:3" x14ac:dyDescent="0.2">
      <c r="A101" s="10">
        <v>37226</v>
      </c>
      <c r="B101" s="18">
        <f>IF(VLOOKUP(A101,'DB Country PMI'!$A:$AZ,MATCH($A$1,'DB Country PMI'!$A$1:$AZ$1,),)=0,#N/A,VLOOKUP(A101,'DB Country PMI'!$A:$AZ,MATCH($A$1,'DB Country PMI'!$A$1:$AZ$1,),))</f>
        <v>46.1</v>
      </c>
      <c r="C101" s="24">
        <f>Table13[[#This Row],[PMI]]-B100</f>
        <v>-4.7100000000000009</v>
      </c>
    </row>
    <row r="102" spans="1:3" x14ac:dyDescent="0.2">
      <c r="A102" s="10">
        <v>37257</v>
      </c>
      <c r="B102" s="18">
        <f>IF(VLOOKUP(A102,'DB Country PMI'!$A:$AZ,MATCH($A$1,'DB Country PMI'!$A$1:$AZ$1,),)=0,#N/A,VLOOKUP(A102,'DB Country PMI'!$A:$AZ,MATCH($A$1,'DB Country PMI'!$A$1:$AZ$1,),))</f>
        <v>52.42</v>
      </c>
      <c r="C102" s="24">
        <f>Table13[[#This Row],[PMI]]-B101</f>
        <v>6.32</v>
      </c>
    </row>
    <row r="103" spans="1:3" x14ac:dyDescent="0.2">
      <c r="A103" s="10">
        <v>37288</v>
      </c>
      <c r="B103" s="18">
        <f>IF(VLOOKUP(A103,'DB Country PMI'!$A:$AZ,MATCH($A$1,'DB Country PMI'!$A$1:$AZ$1,),)=0,#N/A,VLOOKUP(A103,'DB Country PMI'!$A:$AZ,MATCH($A$1,'DB Country PMI'!$A$1:$AZ$1,),))</f>
        <v>53.28</v>
      </c>
      <c r="C103" s="24">
        <f>Table13[[#This Row],[PMI]]-B102</f>
        <v>0.85999999999999943</v>
      </c>
    </row>
    <row r="104" spans="1:3" x14ac:dyDescent="0.2">
      <c r="A104" s="10">
        <v>37316</v>
      </c>
      <c r="B104" s="18">
        <f>IF(VLOOKUP(A104,'DB Country PMI'!$A:$AZ,MATCH($A$1,'DB Country PMI'!$A$1:$AZ$1,),)=0,#N/A,VLOOKUP(A104,'DB Country PMI'!$A:$AZ,MATCH($A$1,'DB Country PMI'!$A$1:$AZ$1,),))</f>
        <v>53.02</v>
      </c>
      <c r="C104" s="24">
        <f>Table13[[#This Row],[PMI]]-B103</f>
        <v>-0.25999999999999801</v>
      </c>
    </row>
    <row r="105" spans="1:3" x14ac:dyDescent="0.2">
      <c r="A105" s="10">
        <v>37347</v>
      </c>
      <c r="B105" s="18">
        <f>IF(VLOOKUP(A105,'DB Country PMI'!$A:$AZ,MATCH($A$1,'DB Country PMI'!$A$1:$AZ$1,),)=0,#N/A,VLOOKUP(A105,'DB Country PMI'!$A:$AZ,MATCH($A$1,'DB Country PMI'!$A$1:$AZ$1,),))</f>
        <v>55.71</v>
      </c>
      <c r="C105" s="24">
        <f>Table13[[#This Row],[PMI]]-B104</f>
        <v>2.6899999999999977</v>
      </c>
    </row>
    <row r="106" spans="1:3" x14ac:dyDescent="0.2">
      <c r="A106" s="10">
        <v>37377</v>
      </c>
      <c r="B106" s="18">
        <f>IF(VLOOKUP(A106,'DB Country PMI'!$A:$AZ,MATCH($A$1,'DB Country PMI'!$A$1:$AZ$1,),)=0,#N/A,VLOOKUP(A106,'DB Country PMI'!$A:$AZ,MATCH($A$1,'DB Country PMI'!$A$1:$AZ$1,),))</f>
        <v>52.26</v>
      </c>
      <c r="C106" s="24">
        <f>Table13[[#This Row],[PMI]]-B105</f>
        <v>-3.4500000000000028</v>
      </c>
    </row>
    <row r="107" spans="1:3" x14ac:dyDescent="0.2">
      <c r="A107" s="10">
        <v>37408</v>
      </c>
      <c r="B107" s="18">
        <f>IF(VLOOKUP(A107,'DB Country PMI'!$A:$AZ,MATCH($A$1,'DB Country PMI'!$A$1:$AZ$1,),)=0,#N/A,VLOOKUP(A107,'DB Country PMI'!$A:$AZ,MATCH($A$1,'DB Country PMI'!$A$1:$AZ$1,),))</f>
        <v>53.98</v>
      </c>
      <c r="C107" s="24">
        <f>Table13[[#This Row],[PMI]]-B106</f>
        <v>1.7199999999999989</v>
      </c>
    </row>
    <row r="108" spans="1:3" x14ac:dyDescent="0.2">
      <c r="A108" s="10">
        <v>37438</v>
      </c>
      <c r="B108" s="18">
        <f>IF(VLOOKUP(A108,'DB Country PMI'!$A:$AZ,MATCH($A$1,'DB Country PMI'!$A$1:$AZ$1,),)=0,#N/A,VLOOKUP(A108,'DB Country PMI'!$A:$AZ,MATCH($A$1,'DB Country PMI'!$A$1:$AZ$1,),))</f>
        <v>54.33</v>
      </c>
      <c r="C108" s="24">
        <f>Table13[[#This Row],[PMI]]-B107</f>
        <v>0.35000000000000142</v>
      </c>
    </row>
    <row r="109" spans="1:3" x14ac:dyDescent="0.2">
      <c r="A109" s="10">
        <v>37469</v>
      </c>
      <c r="B109" s="18">
        <f>IF(VLOOKUP(A109,'DB Country PMI'!$A:$AZ,MATCH($A$1,'DB Country PMI'!$A$1:$AZ$1,),)=0,#N/A,VLOOKUP(A109,'DB Country PMI'!$A:$AZ,MATCH($A$1,'DB Country PMI'!$A$1:$AZ$1,),))</f>
        <v>53.11</v>
      </c>
      <c r="C109" s="24">
        <f>Table13[[#This Row],[PMI]]-B108</f>
        <v>-1.2199999999999989</v>
      </c>
    </row>
    <row r="110" spans="1:3" x14ac:dyDescent="0.2">
      <c r="A110" s="10">
        <v>37500</v>
      </c>
      <c r="B110" s="18">
        <f>IF(VLOOKUP(A110,'DB Country PMI'!$A:$AZ,MATCH($A$1,'DB Country PMI'!$A$1:$AZ$1,),)=0,#N/A,VLOOKUP(A110,'DB Country PMI'!$A:$AZ,MATCH($A$1,'DB Country PMI'!$A$1:$AZ$1,),))</f>
        <v>52.08</v>
      </c>
      <c r="C110" s="24">
        <f>Table13[[#This Row],[PMI]]-B109</f>
        <v>-1.0300000000000011</v>
      </c>
    </row>
    <row r="111" spans="1:3" x14ac:dyDescent="0.2">
      <c r="A111" s="10">
        <v>37530</v>
      </c>
      <c r="B111" s="18">
        <f>IF(VLOOKUP(A111,'DB Country PMI'!$A:$AZ,MATCH($A$1,'DB Country PMI'!$A$1:$AZ$1,),)=0,#N/A,VLOOKUP(A111,'DB Country PMI'!$A:$AZ,MATCH($A$1,'DB Country PMI'!$A$1:$AZ$1,),))</f>
        <v>47.57</v>
      </c>
      <c r="C111" s="24">
        <f>Table13[[#This Row],[PMI]]-B110</f>
        <v>-4.509999999999998</v>
      </c>
    </row>
    <row r="112" spans="1:3" x14ac:dyDescent="0.2">
      <c r="A112" s="14">
        <v>37561</v>
      </c>
      <c r="B112" s="18">
        <f>IF(VLOOKUP(A112,'DB Country PMI'!$A:$AZ,MATCH($A$1,'DB Country PMI'!$A$1:$AZ$1,),)=0,#N/A,VLOOKUP(A112,'DB Country PMI'!$A:$AZ,MATCH($A$1,'DB Country PMI'!$A$1:$AZ$1,),))</f>
        <v>47.96</v>
      </c>
      <c r="C112" s="15">
        <f>Table13[[#This Row],[PMI]]-B111</f>
        <v>0.39000000000000057</v>
      </c>
    </row>
    <row r="113" spans="1:3" x14ac:dyDescent="0.2">
      <c r="A113" s="10">
        <v>37591</v>
      </c>
      <c r="B113" s="18">
        <f>IF(VLOOKUP(A113,'DB Country PMI'!$A:$AZ,MATCH($A$1,'DB Country PMI'!$A$1:$AZ$1,),)=0,#N/A,VLOOKUP(A113,'DB Country PMI'!$A:$AZ,MATCH($A$1,'DB Country PMI'!$A$1:$AZ$1,),))</f>
        <v>48.71</v>
      </c>
      <c r="C113" s="24">
        <f>Table13[[#This Row],[PMI]]-B112</f>
        <v>0.75</v>
      </c>
    </row>
    <row r="114" spans="1:3" x14ac:dyDescent="0.2">
      <c r="A114" s="10">
        <v>37622</v>
      </c>
      <c r="B114" s="18">
        <f>IF(VLOOKUP(A114,'DB Country PMI'!$A:$AZ,MATCH($A$1,'DB Country PMI'!$A$1:$AZ$1,),)=0,#N/A,VLOOKUP(A114,'DB Country PMI'!$A:$AZ,MATCH($A$1,'DB Country PMI'!$A$1:$AZ$1,),))</f>
        <v>46.3</v>
      </c>
      <c r="C114" s="24">
        <f>Table13[[#This Row],[PMI]]-B113</f>
        <v>-2.4100000000000037</v>
      </c>
    </row>
    <row r="115" spans="1:3" x14ac:dyDescent="0.2">
      <c r="A115" s="10">
        <v>37653</v>
      </c>
      <c r="B115" s="18">
        <f>IF(VLOOKUP(A115,'DB Country PMI'!$A:$AZ,MATCH($A$1,'DB Country PMI'!$A$1:$AZ$1,),)=0,#N/A,VLOOKUP(A115,'DB Country PMI'!$A:$AZ,MATCH($A$1,'DB Country PMI'!$A$1:$AZ$1,),))</f>
        <v>46.27</v>
      </c>
      <c r="C115" s="24">
        <f>Table13[[#This Row],[PMI]]-B114</f>
        <v>-2.9999999999994031E-2</v>
      </c>
    </row>
    <row r="116" spans="1:3" x14ac:dyDescent="0.2">
      <c r="A116" s="10">
        <v>37681</v>
      </c>
      <c r="B116" s="18">
        <f>IF(VLOOKUP(A116,'DB Country PMI'!$A:$AZ,MATCH($A$1,'DB Country PMI'!$A$1:$AZ$1,),)=0,#N/A,VLOOKUP(A116,'DB Country PMI'!$A:$AZ,MATCH($A$1,'DB Country PMI'!$A$1:$AZ$1,),))</f>
        <v>49.92</v>
      </c>
      <c r="C116" s="24">
        <f>Table13[[#This Row],[PMI]]-B115</f>
        <v>3.6499999999999986</v>
      </c>
    </row>
    <row r="117" spans="1:3" x14ac:dyDescent="0.2">
      <c r="A117" s="10">
        <v>37712</v>
      </c>
      <c r="B117" s="18">
        <f>IF(VLOOKUP(A117,'DB Country PMI'!$A:$AZ,MATCH($A$1,'DB Country PMI'!$A$1:$AZ$1,),)=0,#N/A,VLOOKUP(A117,'DB Country PMI'!$A:$AZ,MATCH($A$1,'DB Country PMI'!$A$1:$AZ$1,),))</f>
        <v>52.91</v>
      </c>
      <c r="C117" s="24">
        <f>Table13[[#This Row],[PMI]]-B116</f>
        <v>2.9899999999999949</v>
      </c>
    </row>
    <row r="118" spans="1:3" x14ac:dyDescent="0.2">
      <c r="A118" s="10">
        <v>37742</v>
      </c>
      <c r="B118" s="18">
        <f>IF(VLOOKUP(A118,'DB Country PMI'!$A:$AZ,MATCH($A$1,'DB Country PMI'!$A$1:$AZ$1,),)=0,#N/A,VLOOKUP(A118,'DB Country PMI'!$A:$AZ,MATCH($A$1,'DB Country PMI'!$A$1:$AZ$1,),))</f>
        <v>50.11</v>
      </c>
      <c r="C118" s="24">
        <f>Table13[[#This Row],[PMI]]-B117</f>
        <v>-2.7999999999999972</v>
      </c>
    </row>
    <row r="119" spans="1:3" x14ac:dyDescent="0.2">
      <c r="A119" s="10">
        <v>37773</v>
      </c>
      <c r="B119" s="18">
        <f>IF(VLOOKUP(A119,'DB Country PMI'!$A:$AZ,MATCH($A$1,'DB Country PMI'!$A$1:$AZ$1,),)=0,#N/A,VLOOKUP(A119,'DB Country PMI'!$A:$AZ,MATCH($A$1,'DB Country PMI'!$A$1:$AZ$1,),))</f>
        <v>47.14</v>
      </c>
      <c r="C119" s="24">
        <f>Table13[[#This Row],[PMI]]-B118</f>
        <v>-2.9699999999999989</v>
      </c>
    </row>
    <row r="120" spans="1:3" x14ac:dyDescent="0.2">
      <c r="A120" s="10">
        <v>37803</v>
      </c>
      <c r="B120" s="18">
        <f>IF(VLOOKUP(A120,'DB Country PMI'!$A:$AZ,MATCH($A$1,'DB Country PMI'!$A$1:$AZ$1,),)=0,#N/A,VLOOKUP(A120,'DB Country PMI'!$A:$AZ,MATCH($A$1,'DB Country PMI'!$A$1:$AZ$1,),))</f>
        <v>49.65</v>
      </c>
      <c r="C120" s="24">
        <f>Table13[[#This Row],[PMI]]-B119</f>
        <v>2.509999999999998</v>
      </c>
    </row>
    <row r="121" spans="1:3" x14ac:dyDescent="0.2">
      <c r="A121" s="10">
        <v>37834</v>
      </c>
      <c r="B121" s="18">
        <f>IF(VLOOKUP(A121,'DB Country PMI'!$A:$AZ,MATCH($A$1,'DB Country PMI'!$A$1:$AZ$1,),)=0,#N/A,VLOOKUP(A121,'DB Country PMI'!$A:$AZ,MATCH($A$1,'DB Country PMI'!$A$1:$AZ$1,),))</f>
        <v>49.78</v>
      </c>
      <c r="C121" s="24">
        <f>Table13[[#This Row],[PMI]]-B120</f>
        <v>0.13000000000000256</v>
      </c>
    </row>
    <row r="122" spans="1:3" x14ac:dyDescent="0.2">
      <c r="A122" s="10">
        <v>37865</v>
      </c>
      <c r="B122" s="18">
        <f>IF(VLOOKUP(A122,'DB Country PMI'!$A:$AZ,MATCH($A$1,'DB Country PMI'!$A$1:$AZ$1,),)=0,#N/A,VLOOKUP(A122,'DB Country PMI'!$A:$AZ,MATCH($A$1,'DB Country PMI'!$A$1:$AZ$1,),))</f>
        <v>59.65</v>
      </c>
      <c r="C122" s="24">
        <f>Table13[[#This Row],[PMI]]-B121</f>
        <v>9.8699999999999974</v>
      </c>
    </row>
    <row r="123" spans="1:3" x14ac:dyDescent="0.2">
      <c r="A123" s="10">
        <v>37895</v>
      </c>
      <c r="B123" s="18">
        <f>IF(VLOOKUP(A123,'DB Country PMI'!$A:$AZ,MATCH($A$1,'DB Country PMI'!$A$1:$AZ$1,),)=0,#N/A,VLOOKUP(A123,'DB Country PMI'!$A:$AZ,MATCH($A$1,'DB Country PMI'!$A$1:$AZ$1,),))</f>
        <v>54.14</v>
      </c>
      <c r="C123" s="24">
        <f>Table13[[#This Row],[PMI]]-B122</f>
        <v>-5.509999999999998</v>
      </c>
    </row>
    <row r="124" spans="1:3" x14ac:dyDescent="0.2">
      <c r="A124" s="10">
        <v>37926</v>
      </c>
      <c r="B124" s="18">
        <f>IF(VLOOKUP(A124,'DB Country PMI'!$A:$AZ,MATCH($A$1,'DB Country PMI'!$A$1:$AZ$1,),)=0,#N/A,VLOOKUP(A124,'DB Country PMI'!$A:$AZ,MATCH($A$1,'DB Country PMI'!$A$1:$AZ$1,),))</f>
        <v>57.7</v>
      </c>
      <c r="C124" s="24">
        <f>Table13[[#This Row],[PMI]]-B123</f>
        <v>3.5600000000000023</v>
      </c>
    </row>
    <row r="125" spans="1:3" x14ac:dyDescent="0.2">
      <c r="A125" s="10">
        <v>37956</v>
      </c>
      <c r="B125" s="18">
        <f>IF(VLOOKUP(A125,'DB Country PMI'!$A:$AZ,MATCH($A$1,'DB Country PMI'!$A$1:$AZ$1,),)=0,#N/A,VLOOKUP(A125,'DB Country PMI'!$A:$AZ,MATCH($A$1,'DB Country PMI'!$A$1:$AZ$1,),))</f>
        <v>60.4</v>
      </c>
      <c r="C125" s="24">
        <f>Table13[[#This Row],[PMI]]-B124</f>
        <v>2.6999999999999957</v>
      </c>
    </row>
    <row r="126" spans="1:3" x14ac:dyDescent="0.2">
      <c r="A126" s="10">
        <v>37987</v>
      </c>
      <c r="B126" s="18">
        <f>IF(VLOOKUP(A126,'DB Country PMI'!$A:$AZ,MATCH($A$1,'DB Country PMI'!$A$1:$AZ$1,),)=0,#N/A,VLOOKUP(A126,'DB Country PMI'!$A:$AZ,MATCH($A$1,'DB Country PMI'!$A$1:$AZ$1,),))</f>
        <v>46.37</v>
      </c>
      <c r="C126" s="24">
        <f>Table13[[#This Row],[PMI]]-B125</f>
        <v>-14.030000000000001</v>
      </c>
    </row>
    <row r="127" spans="1:3" x14ac:dyDescent="0.2">
      <c r="A127" s="10">
        <v>38018</v>
      </c>
      <c r="B127" s="18">
        <f>IF(VLOOKUP(A127,'DB Country PMI'!$A:$AZ,MATCH($A$1,'DB Country PMI'!$A$1:$AZ$1,),)=0,#N/A,VLOOKUP(A127,'DB Country PMI'!$A:$AZ,MATCH($A$1,'DB Country PMI'!$A$1:$AZ$1,),))</f>
        <v>56.97</v>
      </c>
      <c r="C127" s="24">
        <f>Table13[[#This Row],[PMI]]-B126</f>
        <v>10.600000000000001</v>
      </c>
    </row>
    <row r="128" spans="1:3" x14ac:dyDescent="0.2">
      <c r="A128" s="10">
        <v>38047</v>
      </c>
      <c r="B128" s="18">
        <f>IF(VLOOKUP(A128,'DB Country PMI'!$A:$AZ,MATCH($A$1,'DB Country PMI'!$A$1:$AZ$1,),)=0,#N/A,VLOOKUP(A128,'DB Country PMI'!$A:$AZ,MATCH($A$1,'DB Country PMI'!$A$1:$AZ$1,),))</f>
        <v>58.99</v>
      </c>
      <c r="C128" s="24">
        <f>Table13[[#This Row],[PMI]]-B127</f>
        <v>2.0200000000000031</v>
      </c>
    </row>
    <row r="129" spans="1:3" x14ac:dyDescent="0.2">
      <c r="A129" s="10">
        <v>38078</v>
      </c>
      <c r="B129" s="18">
        <f>IF(VLOOKUP(A129,'DB Country PMI'!$A:$AZ,MATCH($A$1,'DB Country PMI'!$A$1:$AZ$1,),)=0,#N/A,VLOOKUP(A129,'DB Country PMI'!$A:$AZ,MATCH($A$1,'DB Country PMI'!$A$1:$AZ$1,),))</f>
        <v>59.16</v>
      </c>
      <c r="C129" s="24">
        <f>Table13[[#This Row],[PMI]]-B128</f>
        <v>0.1699999999999946</v>
      </c>
    </row>
    <row r="130" spans="1:3" x14ac:dyDescent="0.2">
      <c r="A130" s="10">
        <v>38108</v>
      </c>
      <c r="B130" s="18">
        <f>IF(VLOOKUP(A130,'DB Country PMI'!$A:$AZ,MATCH($A$1,'DB Country PMI'!$A$1:$AZ$1,),)=0,#N/A,VLOOKUP(A130,'DB Country PMI'!$A:$AZ,MATCH($A$1,'DB Country PMI'!$A$1:$AZ$1,),))</f>
        <v>61.27</v>
      </c>
      <c r="C130" s="24">
        <f>Table13[[#This Row],[PMI]]-B129</f>
        <v>2.1100000000000065</v>
      </c>
    </row>
    <row r="131" spans="1:3" x14ac:dyDescent="0.2">
      <c r="A131" s="10">
        <v>38139</v>
      </c>
      <c r="B131" s="18">
        <f>IF(VLOOKUP(A131,'DB Country PMI'!$A:$AZ,MATCH($A$1,'DB Country PMI'!$A$1:$AZ$1,),)=0,#N/A,VLOOKUP(A131,'DB Country PMI'!$A:$AZ,MATCH($A$1,'DB Country PMI'!$A$1:$AZ$1,),))</f>
        <v>51.93</v>
      </c>
      <c r="C131" s="24">
        <f>Table13[[#This Row],[PMI]]-B130</f>
        <v>-9.3400000000000034</v>
      </c>
    </row>
    <row r="132" spans="1:3" x14ac:dyDescent="0.2">
      <c r="A132" s="10">
        <v>38169</v>
      </c>
      <c r="B132" s="18">
        <f>IF(VLOOKUP(A132,'DB Country PMI'!$A:$AZ,MATCH($A$1,'DB Country PMI'!$A$1:$AZ$1,),)=0,#N/A,VLOOKUP(A132,'DB Country PMI'!$A:$AZ,MATCH($A$1,'DB Country PMI'!$A$1:$AZ$1,),))</f>
        <v>56.18</v>
      </c>
      <c r="C132" s="24">
        <f>Table13[[#This Row],[PMI]]-B131</f>
        <v>4.25</v>
      </c>
    </row>
    <row r="133" spans="1:3" x14ac:dyDescent="0.2">
      <c r="A133" s="10">
        <v>38200</v>
      </c>
      <c r="B133" s="18">
        <f>IF(VLOOKUP(A133,'DB Country PMI'!$A:$AZ,MATCH($A$1,'DB Country PMI'!$A$1:$AZ$1,),)=0,#N/A,VLOOKUP(A133,'DB Country PMI'!$A:$AZ,MATCH($A$1,'DB Country PMI'!$A$1:$AZ$1,),))</f>
        <v>62.38</v>
      </c>
      <c r="C133" s="24">
        <f>Table13[[#This Row],[PMI]]-B132</f>
        <v>6.2000000000000028</v>
      </c>
    </row>
    <row r="134" spans="1:3" x14ac:dyDescent="0.2">
      <c r="A134" s="10">
        <v>38231</v>
      </c>
      <c r="B134" s="18">
        <f>IF(VLOOKUP(A134,'DB Country PMI'!$A:$AZ,MATCH($A$1,'DB Country PMI'!$A$1:$AZ$1,),)=0,#N/A,VLOOKUP(A134,'DB Country PMI'!$A:$AZ,MATCH($A$1,'DB Country PMI'!$A$1:$AZ$1,),))</f>
        <v>57.36</v>
      </c>
      <c r="C134" s="24">
        <f>Table13[[#This Row],[PMI]]-B133</f>
        <v>-5.0200000000000031</v>
      </c>
    </row>
    <row r="135" spans="1:3" x14ac:dyDescent="0.2">
      <c r="A135" s="10">
        <v>38261</v>
      </c>
      <c r="B135" s="18">
        <f>IF(VLOOKUP(A135,'DB Country PMI'!$A:$AZ,MATCH($A$1,'DB Country PMI'!$A$1:$AZ$1,),)=0,#N/A,VLOOKUP(A135,'DB Country PMI'!$A:$AZ,MATCH($A$1,'DB Country PMI'!$A$1:$AZ$1,),))</f>
        <v>56.87</v>
      </c>
      <c r="C135" s="24">
        <f>Table13[[#This Row],[PMI]]-B134</f>
        <v>-0.49000000000000199</v>
      </c>
    </row>
    <row r="136" spans="1:3" x14ac:dyDescent="0.2">
      <c r="A136" s="10">
        <v>38292</v>
      </c>
      <c r="B136" s="18">
        <f>IF(VLOOKUP(A136,'DB Country PMI'!$A:$AZ,MATCH($A$1,'DB Country PMI'!$A$1:$AZ$1,),)=0,#N/A,VLOOKUP(A136,'DB Country PMI'!$A:$AZ,MATCH($A$1,'DB Country PMI'!$A$1:$AZ$1,),))</f>
        <v>54.39</v>
      </c>
      <c r="C136" s="24">
        <f>Table13[[#This Row],[PMI]]-B135</f>
        <v>-2.4799999999999969</v>
      </c>
    </row>
    <row r="137" spans="1:3" x14ac:dyDescent="0.2">
      <c r="A137" s="10">
        <v>38322</v>
      </c>
      <c r="B137" s="18">
        <f>IF(VLOOKUP(A137,'DB Country PMI'!$A:$AZ,MATCH($A$1,'DB Country PMI'!$A$1:$AZ$1,),)=0,#N/A,VLOOKUP(A137,'DB Country PMI'!$A:$AZ,MATCH($A$1,'DB Country PMI'!$A$1:$AZ$1,),))</f>
        <v>57.58</v>
      </c>
      <c r="C137" s="24">
        <f>Table13[[#This Row],[PMI]]-B136</f>
        <v>3.1899999999999977</v>
      </c>
    </row>
    <row r="138" spans="1:3" x14ac:dyDescent="0.2">
      <c r="A138" s="10">
        <v>38353</v>
      </c>
      <c r="B138" s="18">
        <f>IF(VLOOKUP(A138,'DB Country PMI'!$A:$AZ,MATCH($A$1,'DB Country PMI'!$A$1:$AZ$1,),)=0,#N/A,VLOOKUP(A138,'DB Country PMI'!$A:$AZ,MATCH($A$1,'DB Country PMI'!$A$1:$AZ$1,),))</f>
        <v>59.37</v>
      </c>
      <c r="C138" s="24">
        <f>Table13[[#This Row],[PMI]]-B137</f>
        <v>1.7899999999999991</v>
      </c>
    </row>
    <row r="139" spans="1:3" x14ac:dyDescent="0.2">
      <c r="A139" s="10">
        <v>38384</v>
      </c>
      <c r="B139" s="18">
        <f>IF(VLOOKUP(A139,'DB Country PMI'!$A:$AZ,MATCH($A$1,'DB Country PMI'!$A$1:$AZ$1,),)=0,#N/A,VLOOKUP(A139,'DB Country PMI'!$A:$AZ,MATCH($A$1,'DB Country PMI'!$A$1:$AZ$1,),))</f>
        <v>55.3</v>
      </c>
      <c r="C139" s="24">
        <f>Table13[[#This Row],[PMI]]-B138</f>
        <v>-4.07</v>
      </c>
    </row>
    <row r="140" spans="1:3" x14ac:dyDescent="0.2">
      <c r="A140" s="10">
        <v>38412</v>
      </c>
      <c r="B140" s="18">
        <f>IF(VLOOKUP(A140,'DB Country PMI'!$A:$AZ,MATCH($A$1,'DB Country PMI'!$A$1:$AZ$1,),)=0,#N/A,VLOOKUP(A140,'DB Country PMI'!$A:$AZ,MATCH($A$1,'DB Country PMI'!$A$1:$AZ$1,),))</f>
        <v>56.66</v>
      </c>
      <c r="C140" s="24">
        <f>Table13[[#This Row],[PMI]]-B139</f>
        <v>1.3599999999999994</v>
      </c>
    </row>
    <row r="141" spans="1:3" x14ac:dyDescent="0.2">
      <c r="A141" s="10">
        <v>38443</v>
      </c>
      <c r="B141" s="18">
        <f>IF(VLOOKUP(A141,'DB Country PMI'!$A:$AZ,MATCH($A$1,'DB Country PMI'!$A$1:$AZ$1,),)=0,#N/A,VLOOKUP(A141,'DB Country PMI'!$A:$AZ,MATCH($A$1,'DB Country PMI'!$A$1:$AZ$1,),))</f>
        <v>52.88</v>
      </c>
      <c r="C141" s="24">
        <f>Table13[[#This Row],[PMI]]-B140</f>
        <v>-3.779999999999994</v>
      </c>
    </row>
    <row r="142" spans="1:3" x14ac:dyDescent="0.2">
      <c r="A142" s="10">
        <v>38473</v>
      </c>
      <c r="B142" s="18">
        <f>IF(VLOOKUP(A142,'DB Country PMI'!$A:$AZ,MATCH($A$1,'DB Country PMI'!$A$1:$AZ$1,),)=0,#N/A,VLOOKUP(A142,'DB Country PMI'!$A:$AZ,MATCH($A$1,'DB Country PMI'!$A$1:$AZ$1,),))</f>
        <v>53.51</v>
      </c>
      <c r="C142" s="24">
        <f>Table13[[#This Row],[PMI]]-B141</f>
        <v>0.62999999999999545</v>
      </c>
    </row>
    <row r="143" spans="1:3" x14ac:dyDescent="0.2">
      <c r="A143" s="10">
        <v>38504</v>
      </c>
      <c r="B143" s="18">
        <f>IF(VLOOKUP(A143,'DB Country PMI'!$A:$AZ,MATCH($A$1,'DB Country PMI'!$A$1:$AZ$1,),)=0,#N/A,VLOOKUP(A143,'DB Country PMI'!$A:$AZ,MATCH($A$1,'DB Country PMI'!$A$1:$AZ$1,),))</f>
        <v>58.58</v>
      </c>
      <c r="C143" s="24">
        <f>Table13[[#This Row],[PMI]]-B142</f>
        <v>5.07</v>
      </c>
    </row>
    <row r="144" spans="1:3" x14ac:dyDescent="0.2">
      <c r="A144" s="10">
        <v>38534</v>
      </c>
      <c r="B144" s="18">
        <f>IF(VLOOKUP(A144,'DB Country PMI'!$A:$AZ,MATCH($A$1,'DB Country PMI'!$A$1:$AZ$1,),)=0,#N/A,VLOOKUP(A144,'DB Country PMI'!$A:$AZ,MATCH($A$1,'DB Country PMI'!$A$1:$AZ$1,),))</f>
        <v>56.43</v>
      </c>
      <c r="C144" s="24">
        <f>Table13[[#This Row],[PMI]]-B143</f>
        <v>-2.1499999999999986</v>
      </c>
    </row>
    <row r="145" spans="1:3" x14ac:dyDescent="0.2">
      <c r="A145" s="10">
        <v>38565</v>
      </c>
      <c r="B145" s="18">
        <f>IF(VLOOKUP(A145,'DB Country PMI'!$A:$AZ,MATCH($A$1,'DB Country PMI'!$A$1:$AZ$1,),)=0,#N/A,VLOOKUP(A145,'DB Country PMI'!$A:$AZ,MATCH($A$1,'DB Country PMI'!$A$1:$AZ$1,),))</f>
        <v>56.34</v>
      </c>
      <c r="C145" s="24">
        <f>Table13[[#This Row],[PMI]]-B144</f>
        <v>-8.9999999999996305E-2</v>
      </c>
    </row>
    <row r="146" spans="1:3" x14ac:dyDescent="0.2">
      <c r="A146" s="10">
        <v>38596</v>
      </c>
      <c r="B146" s="18">
        <f>IF(VLOOKUP(A146,'DB Country PMI'!$A:$AZ,MATCH($A$1,'DB Country PMI'!$A$1:$AZ$1,),)=0,#N/A,VLOOKUP(A146,'DB Country PMI'!$A:$AZ,MATCH($A$1,'DB Country PMI'!$A$1:$AZ$1,),))</f>
        <v>61.16</v>
      </c>
      <c r="C146" s="24">
        <f>Table13[[#This Row],[PMI]]-B145</f>
        <v>4.8199999999999932</v>
      </c>
    </row>
    <row r="147" spans="1:3" x14ac:dyDescent="0.2">
      <c r="A147" s="10">
        <v>38626</v>
      </c>
      <c r="B147" s="18">
        <f>IF(VLOOKUP(A147,'DB Country PMI'!$A:$AZ,MATCH($A$1,'DB Country PMI'!$A$1:$AZ$1,),)=0,#N/A,VLOOKUP(A147,'DB Country PMI'!$A:$AZ,MATCH($A$1,'DB Country PMI'!$A$1:$AZ$1,),))</f>
        <v>68.930000000000007</v>
      </c>
      <c r="C147" s="24">
        <f>Table13[[#This Row],[PMI]]-B146</f>
        <v>7.7700000000000102</v>
      </c>
    </row>
    <row r="148" spans="1:3" x14ac:dyDescent="0.2">
      <c r="A148" s="10">
        <v>38657</v>
      </c>
      <c r="B148" s="18">
        <f>IF(VLOOKUP(A148,'DB Country PMI'!$A:$AZ,MATCH($A$1,'DB Country PMI'!$A$1:$AZ$1,),)=0,#N/A,VLOOKUP(A148,'DB Country PMI'!$A:$AZ,MATCH($A$1,'DB Country PMI'!$A$1:$AZ$1,),))</f>
        <v>57.53</v>
      </c>
      <c r="C148" s="24">
        <f>Table13[[#This Row],[PMI]]-B147</f>
        <v>-11.400000000000006</v>
      </c>
    </row>
    <row r="149" spans="1:3" x14ac:dyDescent="0.2">
      <c r="A149" s="10">
        <v>38687</v>
      </c>
      <c r="B149" s="18">
        <f>IF(VLOOKUP(A149,'DB Country PMI'!$A:$AZ,MATCH($A$1,'DB Country PMI'!$A$1:$AZ$1,),)=0,#N/A,VLOOKUP(A149,'DB Country PMI'!$A:$AZ,MATCH($A$1,'DB Country PMI'!$A$1:$AZ$1,),))</f>
        <v>59.8</v>
      </c>
      <c r="C149" s="24">
        <f>Table13[[#This Row],[PMI]]-B148</f>
        <v>2.269999999999996</v>
      </c>
    </row>
    <row r="150" spans="1:3" x14ac:dyDescent="0.2">
      <c r="A150" s="10">
        <v>38718</v>
      </c>
      <c r="B150" s="18">
        <f>IF(VLOOKUP(A150,'DB Country PMI'!$A:$AZ,MATCH($A$1,'DB Country PMI'!$A$1:$AZ$1,),)=0,#N/A,VLOOKUP(A150,'DB Country PMI'!$A:$AZ,MATCH($A$1,'DB Country PMI'!$A$1:$AZ$1,),))</f>
        <v>58.97</v>
      </c>
      <c r="C150" s="24">
        <f>Table13[[#This Row],[PMI]]-B149</f>
        <v>-0.82999999999999829</v>
      </c>
    </row>
    <row r="151" spans="1:3" x14ac:dyDescent="0.2">
      <c r="A151" s="10">
        <v>38749</v>
      </c>
      <c r="B151" s="18">
        <f>IF(VLOOKUP(A151,'DB Country PMI'!$A:$AZ,MATCH($A$1,'DB Country PMI'!$A$1:$AZ$1,),)=0,#N/A,VLOOKUP(A151,'DB Country PMI'!$A:$AZ,MATCH($A$1,'DB Country PMI'!$A$1:$AZ$1,),))</f>
        <v>60.32</v>
      </c>
      <c r="C151" s="24">
        <f>Table13[[#This Row],[PMI]]-B150</f>
        <v>1.3500000000000014</v>
      </c>
    </row>
    <row r="152" spans="1:3" x14ac:dyDescent="0.2">
      <c r="A152" s="10">
        <v>38777</v>
      </c>
      <c r="B152" s="18">
        <f>IF(VLOOKUP(A152,'DB Country PMI'!$A:$AZ,MATCH($A$1,'DB Country PMI'!$A$1:$AZ$1,),)=0,#N/A,VLOOKUP(A152,'DB Country PMI'!$A:$AZ,MATCH($A$1,'DB Country PMI'!$A$1:$AZ$1,),))</f>
        <v>52.93</v>
      </c>
      <c r="C152" s="24">
        <f>Table13[[#This Row],[PMI]]-B151</f>
        <v>-7.3900000000000006</v>
      </c>
    </row>
    <row r="153" spans="1:3" x14ac:dyDescent="0.2">
      <c r="A153" s="10">
        <v>38808</v>
      </c>
      <c r="B153" s="18">
        <f>IF(VLOOKUP(A153,'DB Country PMI'!$A:$AZ,MATCH($A$1,'DB Country PMI'!$A$1:$AZ$1,),)=0,#N/A,VLOOKUP(A153,'DB Country PMI'!$A:$AZ,MATCH($A$1,'DB Country PMI'!$A$1:$AZ$1,),))</f>
        <v>55.97</v>
      </c>
      <c r="C153" s="24">
        <f>Table13[[#This Row],[PMI]]-B152</f>
        <v>3.0399999999999991</v>
      </c>
    </row>
    <row r="154" spans="1:3" x14ac:dyDescent="0.2">
      <c r="A154" s="10">
        <v>38838</v>
      </c>
      <c r="B154" s="18">
        <f>IF(VLOOKUP(A154,'DB Country PMI'!$A:$AZ,MATCH($A$1,'DB Country PMI'!$A$1:$AZ$1,),)=0,#N/A,VLOOKUP(A154,'DB Country PMI'!$A:$AZ,MATCH($A$1,'DB Country PMI'!$A$1:$AZ$1,),))</f>
        <v>56.87</v>
      </c>
      <c r="C154" s="24">
        <f>Table13[[#This Row],[PMI]]-B153</f>
        <v>0.89999999999999858</v>
      </c>
    </row>
    <row r="155" spans="1:3" x14ac:dyDescent="0.2">
      <c r="A155" s="10">
        <v>38869</v>
      </c>
      <c r="B155" s="18">
        <f>IF(VLOOKUP(A155,'DB Country PMI'!$A:$AZ,MATCH($A$1,'DB Country PMI'!$A$1:$AZ$1,),)=0,#N/A,VLOOKUP(A155,'DB Country PMI'!$A:$AZ,MATCH($A$1,'DB Country PMI'!$A$1:$AZ$1,),))</f>
        <v>56.69</v>
      </c>
      <c r="C155" s="24">
        <f>Table13[[#This Row],[PMI]]-B154</f>
        <v>-0.17999999999999972</v>
      </c>
    </row>
    <row r="156" spans="1:3" x14ac:dyDescent="0.2">
      <c r="A156" s="10">
        <v>38899</v>
      </c>
      <c r="B156" s="18">
        <f>IF(VLOOKUP(A156,'DB Country PMI'!$A:$AZ,MATCH($A$1,'DB Country PMI'!$A$1:$AZ$1,),)=0,#N/A,VLOOKUP(A156,'DB Country PMI'!$A:$AZ,MATCH($A$1,'DB Country PMI'!$A$1:$AZ$1,),))</f>
        <v>58.32</v>
      </c>
      <c r="C156" s="24">
        <f>Table13[[#This Row],[PMI]]-B155</f>
        <v>1.6300000000000026</v>
      </c>
    </row>
    <row r="157" spans="1:3" x14ac:dyDescent="0.2">
      <c r="A157" s="10">
        <v>38930</v>
      </c>
      <c r="B157" s="18">
        <f>IF(VLOOKUP(A157,'DB Country PMI'!$A:$AZ,MATCH($A$1,'DB Country PMI'!$A$1:$AZ$1,),)=0,#N/A,VLOOKUP(A157,'DB Country PMI'!$A:$AZ,MATCH($A$1,'DB Country PMI'!$A$1:$AZ$1,),))</f>
        <v>63.49</v>
      </c>
      <c r="C157" s="24">
        <f>Table13[[#This Row],[PMI]]-B156</f>
        <v>5.1700000000000017</v>
      </c>
    </row>
    <row r="158" spans="1:3" x14ac:dyDescent="0.2">
      <c r="A158" s="10">
        <v>38961</v>
      </c>
      <c r="B158" s="18">
        <f>IF(VLOOKUP(A158,'DB Country PMI'!$A:$AZ,MATCH($A$1,'DB Country PMI'!$A$1:$AZ$1,),)=0,#N/A,VLOOKUP(A158,'DB Country PMI'!$A:$AZ,MATCH($A$1,'DB Country PMI'!$A$1:$AZ$1,),))</f>
        <v>62.87</v>
      </c>
      <c r="C158" s="24">
        <f>Table13[[#This Row],[PMI]]-B157</f>
        <v>-0.62000000000000455</v>
      </c>
    </row>
    <row r="159" spans="1:3" x14ac:dyDescent="0.2">
      <c r="A159" s="10">
        <v>38991</v>
      </c>
      <c r="B159" s="18">
        <f>IF(VLOOKUP(A159,'DB Country PMI'!$A:$AZ,MATCH($A$1,'DB Country PMI'!$A$1:$AZ$1,),)=0,#N/A,VLOOKUP(A159,'DB Country PMI'!$A:$AZ,MATCH($A$1,'DB Country PMI'!$A$1:$AZ$1,),))</f>
        <v>62.65</v>
      </c>
      <c r="C159" s="24">
        <f>Table13[[#This Row],[PMI]]-B158</f>
        <v>-0.21999999999999886</v>
      </c>
    </row>
    <row r="160" spans="1:3" x14ac:dyDescent="0.2">
      <c r="A160" s="10">
        <v>39022</v>
      </c>
      <c r="B160" s="18">
        <f>IF(VLOOKUP(A160,'DB Country PMI'!$A:$AZ,MATCH($A$1,'DB Country PMI'!$A$1:$AZ$1,),)=0,#N/A,VLOOKUP(A160,'DB Country PMI'!$A:$AZ,MATCH($A$1,'DB Country PMI'!$A$1:$AZ$1,),))</f>
        <v>66.77</v>
      </c>
      <c r="C160" s="24">
        <f>Table13[[#This Row],[PMI]]-B159</f>
        <v>4.1199999999999974</v>
      </c>
    </row>
    <row r="161" spans="1:3" x14ac:dyDescent="0.2">
      <c r="A161" s="10">
        <v>39052</v>
      </c>
      <c r="B161" s="18">
        <f>IF(VLOOKUP(A161,'DB Country PMI'!$A:$AZ,MATCH($A$1,'DB Country PMI'!$A$1:$AZ$1,),)=0,#N/A,VLOOKUP(A161,'DB Country PMI'!$A:$AZ,MATCH($A$1,'DB Country PMI'!$A$1:$AZ$1,),))</f>
        <v>62.5</v>
      </c>
      <c r="C161" s="24">
        <f>Table13[[#This Row],[PMI]]-B160</f>
        <v>-4.269999999999996</v>
      </c>
    </row>
    <row r="162" spans="1:3" x14ac:dyDescent="0.2">
      <c r="A162" s="10">
        <v>39083</v>
      </c>
      <c r="B162" s="18">
        <f>IF(VLOOKUP(A162,'DB Country PMI'!$A:$AZ,MATCH($A$1,'DB Country PMI'!$A$1:$AZ$1,),)=0,#N/A,VLOOKUP(A162,'DB Country PMI'!$A:$AZ,MATCH($A$1,'DB Country PMI'!$A$1:$AZ$1,),))</f>
        <v>55.72</v>
      </c>
      <c r="C162" s="24">
        <f>Table13[[#This Row],[PMI]]-B161</f>
        <v>-6.7800000000000011</v>
      </c>
    </row>
    <row r="163" spans="1:3" x14ac:dyDescent="0.2">
      <c r="A163" s="10">
        <v>39114</v>
      </c>
      <c r="B163" s="18">
        <f>IF(VLOOKUP(A163,'DB Country PMI'!$A:$AZ,MATCH($A$1,'DB Country PMI'!$A$1:$AZ$1,),)=0,#N/A,VLOOKUP(A163,'DB Country PMI'!$A:$AZ,MATCH($A$1,'DB Country PMI'!$A$1:$AZ$1,),))</f>
        <v>60.51</v>
      </c>
      <c r="C163" s="24">
        <f>Table13[[#This Row],[PMI]]-B162</f>
        <v>4.7899999999999991</v>
      </c>
    </row>
    <row r="164" spans="1:3" x14ac:dyDescent="0.2">
      <c r="A164" s="10">
        <v>39142</v>
      </c>
      <c r="B164" s="18">
        <f>IF(VLOOKUP(A164,'DB Country PMI'!$A:$AZ,MATCH($A$1,'DB Country PMI'!$A$1:$AZ$1,),)=0,#N/A,VLOOKUP(A164,'DB Country PMI'!$A:$AZ,MATCH($A$1,'DB Country PMI'!$A$1:$AZ$1,),))</f>
        <v>65.52</v>
      </c>
      <c r="C164" s="24">
        <f>Table13[[#This Row],[PMI]]-B163</f>
        <v>5.009999999999998</v>
      </c>
    </row>
    <row r="165" spans="1:3" x14ac:dyDescent="0.2">
      <c r="A165" s="10">
        <v>39173</v>
      </c>
      <c r="B165" s="18">
        <f>IF(VLOOKUP(A165,'DB Country PMI'!$A:$AZ,MATCH($A$1,'DB Country PMI'!$A$1:$AZ$1,),)=0,#N/A,VLOOKUP(A165,'DB Country PMI'!$A:$AZ,MATCH($A$1,'DB Country PMI'!$A$1:$AZ$1,),))</f>
        <v>63.43</v>
      </c>
      <c r="C165" s="24">
        <f>Table13[[#This Row],[PMI]]-B164</f>
        <v>-2.0899999999999963</v>
      </c>
    </row>
    <row r="166" spans="1:3" x14ac:dyDescent="0.2">
      <c r="A166" s="10">
        <v>39203</v>
      </c>
      <c r="B166" s="18">
        <f>IF(VLOOKUP(A166,'DB Country PMI'!$A:$AZ,MATCH($A$1,'DB Country PMI'!$A$1:$AZ$1,),)=0,#N/A,VLOOKUP(A166,'DB Country PMI'!$A:$AZ,MATCH($A$1,'DB Country PMI'!$A$1:$AZ$1,),))</f>
        <v>62.81</v>
      </c>
      <c r="C166" s="24">
        <f>Table13[[#This Row],[PMI]]-B165</f>
        <v>-0.61999999999999744</v>
      </c>
    </row>
    <row r="167" spans="1:3" x14ac:dyDescent="0.2">
      <c r="A167" s="10">
        <v>39234</v>
      </c>
      <c r="B167" s="18">
        <f>IF(VLOOKUP(A167,'DB Country PMI'!$A:$AZ,MATCH($A$1,'DB Country PMI'!$A$1:$AZ$1,),)=0,#N/A,VLOOKUP(A167,'DB Country PMI'!$A:$AZ,MATCH($A$1,'DB Country PMI'!$A$1:$AZ$1,),))</f>
        <v>59.06</v>
      </c>
      <c r="C167" s="24">
        <f>Table13[[#This Row],[PMI]]-B166</f>
        <v>-3.75</v>
      </c>
    </row>
    <row r="168" spans="1:3" x14ac:dyDescent="0.2">
      <c r="A168" s="10">
        <v>39264</v>
      </c>
      <c r="B168" s="18">
        <f>IF(VLOOKUP(A168,'DB Country PMI'!$A:$AZ,MATCH($A$1,'DB Country PMI'!$A$1:$AZ$1,),)=0,#N/A,VLOOKUP(A168,'DB Country PMI'!$A:$AZ,MATCH($A$1,'DB Country PMI'!$A$1:$AZ$1,),))</f>
        <v>63.94</v>
      </c>
      <c r="C168" s="24">
        <f>Table13[[#This Row],[PMI]]-B167</f>
        <v>4.8799999999999955</v>
      </c>
    </row>
    <row r="169" spans="1:3" x14ac:dyDescent="0.2">
      <c r="A169" s="10">
        <v>39295</v>
      </c>
      <c r="B169" s="18">
        <f>IF(VLOOKUP(A169,'DB Country PMI'!$A:$AZ,MATCH($A$1,'DB Country PMI'!$A$1:$AZ$1,),)=0,#N/A,VLOOKUP(A169,'DB Country PMI'!$A:$AZ,MATCH($A$1,'DB Country PMI'!$A$1:$AZ$1,),))</f>
        <v>55.08</v>
      </c>
      <c r="C169" s="24">
        <f>Table13[[#This Row],[PMI]]-B168</f>
        <v>-8.86</v>
      </c>
    </row>
    <row r="170" spans="1:3" x14ac:dyDescent="0.2">
      <c r="A170" s="10">
        <v>39326</v>
      </c>
      <c r="B170" s="18">
        <f>IF(VLOOKUP(A170,'DB Country PMI'!$A:$AZ,MATCH($A$1,'DB Country PMI'!$A$1:$AZ$1,),)=0,#N/A,VLOOKUP(A170,'DB Country PMI'!$A:$AZ,MATCH($A$1,'DB Country PMI'!$A$1:$AZ$1,),))</f>
        <v>57.16</v>
      </c>
      <c r="C170" s="24">
        <f>Table13[[#This Row],[PMI]]-B169</f>
        <v>2.0799999999999983</v>
      </c>
    </row>
    <row r="171" spans="1:3" x14ac:dyDescent="0.2">
      <c r="A171" s="10">
        <v>39356</v>
      </c>
      <c r="B171" s="18">
        <f>IF(VLOOKUP(A171,'DB Country PMI'!$A:$AZ,MATCH($A$1,'DB Country PMI'!$A$1:$AZ$1,),)=0,#N/A,VLOOKUP(A171,'DB Country PMI'!$A:$AZ,MATCH($A$1,'DB Country PMI'!$A$1:$AZ$1,),))</f>
        <v>59.94</v>
      </c>
      <c r="C171" s="24">
        <f>Table13[[#This Row],[PMI]]-B170</f>
        <v>2.7800000000000011</v>
      </c>
    </row>
    <row r="172" spans="1:3" x14ac:dyDescent="0.2">
      <c r="A172" s="10">
        <v>39387</v>
      </c>
      <c r="B172" s="18">
        <f>IF(VLOOKUP(A172,'DB Country PMI'!$A:$AZ,MATCH($A$1,'DB Country PMI'!$A$1:$AZ$1,),)=0,#N/A,VLOOKUP(A172,'DB Country PMI'!$A:$AZ,MATCH($A$1,'DB Country PMI'!$A$1:$AZ$1,),))</f>
        <v>57.03</v>
      </c>
      <c r="C172" s="24">
        <f>Table13[[#This Row],[PMI]]-B171</f>
        <v>-2.9099999999999966</v>
      </c>
    </row>
    <row r="173" spans="1:3" x14ac:dyDescent="0.2">
      <c r="A173" s="10">
        <v>39417</v>
      </c>
      <c r="B173" s="18">
        <f>IF(VLOOKUP(A173,'DB Country PMI'!$A:$AZ,MATCH($A$1,'DB Country PMI'!$A$1:$AZ$1,),)=0,#N/A,VLOOKUP(A173,'DB Country PMI'!$A:$AZ,MATCH($A$1,'DB Country PMI'!$A$1:$AZ$1,),))</f>
        <v>55.62</v>
      </c>
      <c r="C173" s="24">
        <f>Table13[[#This Row],[PMI]]-B172</f>
        <v>-1.4100000000000037</v>
      </c>
    </row>
    <row r="174" spans="1:3" x14ac:dyDescent="0.2">
      <c r="A174" s="10">
        <v>39448</v>
      </c>
      <c r="B174" s="18">
        <f>IF(VLOOKUP(A174,'DB Country PMI'!$A:$AZ,MATCH($A$1,'DB Country PMI'!$A$1:$AZ$1,),)=0,#N/A,VLOOKUP(A174,'DB Country PMI'!$A:$AZ,MATCH($A$1,'DB Country PMI'!$A$1:$AZ$1,),))</f>
        <v>56.34</v>
      </c>
      <c r="C174" s="24">
        <f>Table13[[#This Row],[PMI]]-B173</f>
        <v>0.72000000000000597</v>
      </c>
    </row>
    <row r="175" spans="1:3" x14ac:dyDescent="0.2">
      <c r="A175" s="10">
        <v>39479</v>
      </c>
      <c r="B175" s="18">
        <f>IF(VLOOKUP(A175,'DB Country PMI'!$A:$AZ,MATCH($A$1,'DB Country PMI'!$A$1:$AZ$1,),)=0,#N/A,VLOOKUP(A175,'DB Country PMI'!$A:$AZ,MATCH($A$1,'DB Country PMI'!$A$1:$AZ$1,),))</f>
        <v>64.819999999999993</v>
      </c>
      <c r="C175" s="24">
        <f>Table13[[#This Row],[PMI]]-B174</f>
        <v>8.4799999999999898</v>
      </c>
    </row>
    <row r="176" spans="1:3" x14ac:dyDescent="0.2">
      <c r="A176" s="10">
        <v>39508</v>
      </c>
      <c r="B176" s="18">
        <f>IF(VLOOKUP(A176,'DB Country PMI'!$A:$AZ,MATCH($A$1,'DB Country PMI'!$A$1:$AZ$1,),)=0,#N/A,VLOOKUP(A176,'DB Country PMI'!$A:$AZ,MATCH($A$1,'DB Country PMI'!$A$1:$AZ$1,),))</f>
        <v>57.03</v>
      </c>
      <c r="C176" s="24">
        <f>Table13[[#This Row],[PMI]]-B175</f>
        <v>-7.789999999999992</v>
      </c>
    </row>
    <row r="177" spans="1:3" x14ac:dyDescent="0.2">
      <c r="A177" s="10">
        <v>39539</v>
      </c>
      <c r="B177" s="18">
        <f>IF(VLOOKUP(A177,'DB Country PMI'!$A:$AZ,MATCH($A$1,'DB Country PMI'!$A$1:$AZ$1,),)=0,#N/A,VLOOKUP(A177,'DB Country PMI'!$A:$AZ,MATCH($A$1,'DB Country PMI'!$A$1:$AZ$1,),))</f>
        <v>44.91</v>
      </c>
      <c r="C177" s="24">
        <f>Table13[[#This Row],[PMI]]-B176</f>
        <v>-12.120000000000005</v>
      </c>
    </row>
    <row r="178" spans="1:3" x14ac:dyDescent="0.2">
      <c r="A178" s="10">
        <v>39569</v>
      </c>
      <c r="B178" s="18">
        <f>IF(VLOOKUP(A178,'DB Country PMI'!$A:$AZ,MATCH($A$1,'DB Country PMI'!$A$1:$AZ$1,),)=0,#N/A,VLOOKUP(A178,'DB Country PMI'!$A:$AZ,MATCH($A$1,'DB Country PMI'!$A$1:$AZ$1,),))</f>
        <v>66.78</v>
      </c>
      <c r="C178" s="24">
        <f>Table13[[#This Row],[PMI]]-B177</f>
        <v>21.870000000000005</v>
      </c>
    </row>
    <row r="179" spans="1:3" x14ac:dyDescent="0.2">
      <c r="A179" s="10">
        <v>39600</v>
      </c>
      <c r="B179" s="18">
        <f>IF(VLOOKUP(A179,'DB Country PMI'!$A:$AZ,MATCH($A$1,'DB Country PMI'!$A$1:$AZ$1,),)=0,#N/A,VLOOKUP(A179,'DB Country PMI'!$A:$AZ,MATCH($A$1,'DB Country PMI'!$A$1:$AZ$1,),))</f>
        <v>62.6</v>
      </c>
      <c r="C179" s="24">
        <f>Table13[[#This Row],[PMI]]-B178</f>
        <v>-4.18</v>
      </c>
    </row>
    <row r="180" spans="1:3" x14ac:dyDescent="0.2">
      <c r="A180" s="10">
        <v>39630</v>
      </c>
      <c r="B180" s="18">
        <f>IF(VLOOKUP(A180,'DB Country PMI'!$A:$AZ,MATCH($A$1,'DB Country PMI'!$A$1:$AZ$1,),)=0,#N/A,VLOOKUP(A180,'DB Country PMI'!$A:$AZ,MATCH($A$1,'DB Country PMI'!$A$1:$AZ$1,),))</f>
        <v>38.909999999999997</v>
      </c>
      <c r="C180" s="24">
        <f>Table13[[#This Row],[PMI]]-B179</f>
        <v>-23.690000000000005</v>
      </c>
    </row>
    <row r="181" spans="1:3" x14ac:dyDescent="0.2">
      <c r="A181" s="10">
        <v>39661</v>
      </c>
      <c r="B181" s="18">
        <f>IF(VLOOKUP(A181,'DB Country PMI'!$A:$AZ,MATCH($A$1,'DB Country PMI'!$A$1:$AZ$1,),)=0,#N/A,VLOOKUP(A181,'DB Country PMI'!$A:$AZ,MATCH($A$1,'DB Country PMI'!$A$1:$AZ$1,),))</f>
        <v>48.73</v>
      </c>
      <c r="C181" s="24">
        <f>Table13[[#This Row],[PMI]]-B180</f>
        <v>9.82</v>
      </c>
    </row>
    <row r="182" spans="1:3" x14ac:dyDescent="0.2">
      <c r="A182" s="10">
        <v>39692</v>
      </c>
      <c r="B182" s="18">
        <f>IF(VLOOKUP(A182,'DB Country PMI'!$A:$AZ,MATCH($A$1,'DB Country PMI'!$A$1:$AZ$1,),)=0,#N/A,VLOOKUP(A182,'DB Country PMI'!$A:$AZ,MATCH($A$1,'DB Country PMI'!$A$1:$AZ$1,),))</f>
        <v>52.91</v>
      </c>
      <c r="C182" s="24">
        <f>Table13[[#This Row],[PMI]]-B181</f>
        <v>4.18</v>
      </c>
    </row>
    <row r="183" spans="1:3" x14ac:dyDescent="0.2">
      <c r="A183" s="10">
        <v>39722</v>
      </c>
      <c r="B183" s="18">
        <f>IF(VLOOKUP(A183,'DB Country PMI'!$A:$AZ,MATCH($A$1,'DB Country PMI'!$A$1:$AZ$1,),)=0,#N/A,VLOOKUP(A183,'DB Country PMI'!$A:$AZ,MATCH($A$1,'DB Country PMI'!$A$1:$AZ$1,),))</f>
        <v>40.79</v>
      </c>
      <c r="C183" s="24">
        <f>Table13[[#This Row],[PMI]]-B182</f>
        <v>-12.119999999999997</v>
      </c>
    </row>
    <row r="184" spans="1:3" x14ac:dyDescent="0.2">
      <c r="A184" s="10">
        <v>39753</v>
      </c>
      <c r="B184" s="18">
        <f>IF(VLOOKUP(A184,'DB Country PMI'!$A:$AZ,MATCH($A$1,'DB Country PMI'!$A$1:$AZ$1,),)=0,#N/A,VLOOKUP(A184,'DB Country PMI'!$A:$AZ,MATCH($A$1,'DB Country PMI'!$A$1:$AZ$1,),))</f>
        <v>45.47</v>
      </c>
      <c r="C184" s="24">
        <f>Table13[[#This Row],[PMI]]-B183</f>
        <v>4.68</v>
      </c>
    </row>
    <row r="185" spans="1:3" x14ac:dyDescent="0.2">
      <c r="A185" s="10">
        <v>39783</v>
      </c>
      <c r="B185" s="18">
        <f>IF(VLOOKUP(A185,'DB Country PMI'!$A:$AZ,MATCH($A$1,'DB Country PMI'!$A$1:$AZ$1,),)=0,#N/A,VLOOKUP(A185,'DB Country PMI'!$A:$AZ,MATCH($A$1,'DB Country PMI'!$A$1:$AZ$1,),))</f>
        <v>40.299999999999997</v>
      </c>
      <c r="C185" s="24">
        <f>Table13[[#This Row],[PMI]]-B184</f>
        <v>-5.1700000000000017</v>
      </c>
    </row>
    <row r="186" spans="1:3" x14ac:dyDescent="0.2">
      <c r="A186" s="10">
        <v>39814</v>
      </c>
      <c r="B186" s="18">
        <f>IF(VLOOKUP(A186,'DB Country PMI'!$A:$AZ,MATCH($A$1,'DB Country PMI'!$A$1:$AZ$1,),)=0,#N/A,VLOOKUP(A186,'DB Country PMI'!$A:$AZ,MATCH($A$1,'DB Country PMI'!$A$1:$AZ$1,),))</f>
        <v>25.32</v>
      </c>
      <c r="C186" s="24">
        <f>Table13[[#This Row],[PMI]]-B185</f>
        <v>-14.979999999999997</v>
      </c>
    </row>
    <row r="187" spans="1:3" x14ac:dyDescent="0.2">
      <c r="A187" s="10">
        <v>39845</v>
      </c>
      <c r="B187" s="18">
        <f>IF(VLOOKUP(A187,'DB Country PMI'!$A:$AZ,MATCH($A$1,'DB Country PMI'!$A$1:$AZ$1,),)=0,#N/A,VLOOKUP(A187,'DB Country PMI'!$A:$AZ,MATCH($A$1,'DB Country PMI'!$A$1:$AZ$1,),))</f>
        <v>25.02</v>
      </c>
      <c r="C187" s="24">
        <f>Table13[[#This Row],[PMI]]-B186</f>
        <v>-0.30000000000000071</v>
      </c>
    </row>
    <row r="188" spans="1:3" x14ac:dyDescent="0.2">
      <c r="A188" s="10">
        <v>39873</v>
      </c>
      <c r="B188" s="18">
        <f>IF(VLOOKUP(A188,'DB Country PMI'!$A:$AZ,MATCH($A$1,'DB Country PMI'!$A$1:$AZ$1,),)=0,#N/A,VLOOKUP(A188,'DB Country PMI'!$A:$AZ,MATCH($A$1,'DB Country PMI'!$A$1:$AZ$1,),))</f>
        <v>30.56</v>
      </c>
      <c r="C188" s="24">
        <f>Table13[[#This Row],[PMI]]-B187</f>
        <v>5.5399999999999991</v>
      </c>
    </row>
    <row r="189" spans="1:3" x14ac:dyDescent="0.2">
      <c r="A189" s="10">
        <v>39904</v>
      </c>
      <c r="B189" s="18">
        <f>IF(VLOOKUP(A189,'DB Country PMI'!$A:$AZ,MATCH($A$1,'DB Country PMI'!$A$1:$AZ$1,),)=0,#N/A,VLOOKUP(A189,'DB Country PMI'!$A:$AZ,MATCH($A$1,'DB Country PMI'!$A$1:$AZ$1,),))</f>
        <v>34.450000000000003</v>
      </c>
      <c r="C189" s="24">
        <f>Table13[[#This Row],[PMI]]-B188</f>
        <v>3.8900000000000041</v>
      </c>
    </row>
    <row r="190" spans="1:3" x14ac:dyDescent="0.2">
      <c r="A190" s="10">
        <v>39934</v>
      </c>
      <c r="B190" s="18">
        <f>IF(VLOOKUP(A190,'DB Country PMI'!$A:$AZ,MATCH($A$1,'DB Country PMI'!$A$1:$AZ$1,),)=0,#N/A,VLOOKUP(A190,'DB Country PMI'!$A:$AZ,MATCH($A$1,'DB Country PMI'!$A$1:$AZ$1,),))</f>
        <v>27.75</v>
      </c>
      <c r="C190" s="24">
        <f>Table13[[#This Row],[PMI]]-B189</f>
        <v>-6.7000000000000028</v>
      </c>
    </row>
    <row r="191" spans="1:3" x14ac:dyDescent="0.2">
      <c r="A191" s="10">
        <v>39965</v>
      </c>
      <c r="B191" s="18">
        <f>IF(VLOOKUP(A191,'DB Country PMI'!$A:$AZ,MATCH($A$1,'DB Country PMI'!$A$1:$AZ$1,),)=0,#N/A,VLOOKUP(A191,'DB Country PMI'!$A:$AZ,MATCH($A$1,'DB Country PMI'!$A$1:$AZ$1,),))</f>
        <v>42</v>
      </c>
      <c r="C191" s="24">
        <f>Table13[[#This Row],[PMI]]-B190</f>
        <v>14.25</v>
      </c>
    </row>
    <row r="192" spans="1:3" x14ac:dyDescent="0.2">
      <c r="A192" s="10">
        <v>39995</v>
      </c>
      <c r="B192" s="18">
        <f>IF(VLOOKUP(A192,'DB Country PMI'!$A:$AZ,MATCH($A$1,'DB Country PMI'!$A$1:$AZ$1,),)=0,#N/A,VLOOKUP(A192,'DB Country PMI'!$A:$AZ,MATCH($A$1,'DB Country PMI'!$A$1:$AZ$1,),))</f>
        <v>47.7</v>
      </c>
      <c r="C192" s="24">
        <f>Table13[[#This Row],[PMI]]-B191</f>
        <v>5.7000000000000028</v>
      </c>
    </row>
    <row r="193" spans="1:3" x14ac:dyDescent="0.2">
      <c r="A193" s="10">
        <v>40026</v>
      </c>
      <c r="B193" s="18">
        <f>IF(VLOOKUP(A193,'DB Country PMI'!$A:$AZ,MATCH($A$1,'DB Country PMI'!$A$1:$AZ$1,),)=0,#N/A,VLOOKUP(A193,'DB Country PMI'!$A:$AZ,MATCH($A$1,'DB Country PMI'!$A$1:$AZ$1,),))</f>
        <v>42.59</v>
      </c>
      <c r="C193" s="24">
        <f>Table13[[#This Row],[PMI]]-B192</f>
        <v>-5.1099999999999994</v>
      </c>
    </row>
    <row r="194" spans="1:3" x14ac:dyDescent="0.2">
      <c r="A194" s="10">
        <v>40057</v>
      </c>
      <c r="B194" s="18">
        <f>IF(VLOOKUP(A194,'DB Country PMI'!$A:$AZ,MATCH($A$1,'DB Country PMI'!$A$1:$AZ$1,),)=0,#N/A,VLOOKUP(A194,'DB Country PMI'!$A:$AZ,MATCH($A$1,'DB Country PMI'!$A$1:$AZ$1,),))</f>
        <v>42.73</v>
      </c>
      <c r="C194" s="24">
        <f>Table13[[#This Row],[PMI]]-B193</f>
        <v>0.13999999999999346</v>
      </c>
    </row>
    <row r="195" spans="1:3" x14ac:dyDescent="0.2">
      <c r="A195" s="10">
        <v>40087</v>
      </c>
      <c r="B195" s="18">
        <f>IF(VLOOKUP(A195,'DB Country PMI'!$A:$AZ,MATCH($A$1,'DB Country PMI'!$A$1:$AZ$1,),)=0,#N/A,VLOOKUP(A195,'DB Country PMI'!$A:$AZ,MATCH($A$1,'DB Country PMI'!$A$1:$AZ$1,),))</f>
        <v>49.89</v>
      </c>
      <c r="C195" s="24">
        <f>Table13[[#This Row],[PMI]]-B194</f>
        <v>7.1600000000000037</v>
      </c>
    </row>
    <row r="196" spans="1:3" x14ac:dyDescent="0.2">
      <c r="A196" s="10">
        <v>40118</v>
      </c>
      <c r="B196" s="18">
        <f>IF(VLOOKUP(A196,'DB Country PMI'!$A:$AZ,MATCH($A$1,'DB Country PMI'!$A$1:$AZ$1,),)=0,#N/A,VLOOKUP(A196,'DB Country PMI'!$A:$AZ,MATCH($A$1,'DB Country PMI'!$A$1:$AZ$1,),))</f>
        <v>50.67</v>
      </c>
      <c r="C196" s="24">
        <f>Table13[[#This Row],[PMI]]-B195</f>
        <v>0.78000000000000114</v>
      </c>
    </row>
    <row r="197" spans="1:3" x14ac:dyDescent="0.2">
      <c r="A197" s="10">
        <v>40148</v>
      </c>
      <c r="B197" s="18">
        <f>IF(VLOOKUP(A197,'DB Country PMI'!$A:$AZ,MATCH($A$1,'DB Country PMI'!$A$1:$AZ$1,),)=0,#N/A,VLOOKUP(A197,'DB Country PMI'!$A:$AZ,MATCH($A$1,'DB Country PMI'!$A$1:$AZ$1,),))</f>
        <v>49.48</v>
      </c>
      <c r="C197" s="24">
        <f>Table13[[#This Row],[PMI]]-B196</f>
        <v>-1.1900000000000048</v>
      </c>
    </row>
    <row r="198" spans="1:3" x14ac:dyDescent="0.2">
      <c r="A198" s="10">
        <v>40179</v>
      </c>
      <c r="B198" s="18">
        <f>IF(VLOOKUP(A198,'DB Country PMI'!$A:$AZ,MATCH($A$1,'DB Country PMI'!$A$1:$AZ$1,),)=0,#N/A,VLOOKUP(A198,'DB Country PMI'!$A:$AZ,MATCH($A$1,'DB Country PMI'!$A$1:$AZ$1,),))</f>
        <v>50.96</v>
      </c>
      <c r="C198" s="24">
        <f>Table13[[#This Row],[PMI]]-B197</f>
        <v>1.480000000000004</v>
      </c>
    </row>
    <row r="199" spans="1:3" x14ac:dyDescent="0.2">
      <c r="A199" s="10">
        <v>40210</v>
      </c>
      <c r="B199" s="18">
        <f>IF(VLOOKUP(A199,'DB Country PMI'!$A:$AZ,MATCH($A$1,'DB Country PMI'!$A$1:$AZ$1,),)=0,#N/A,VLOOKUP(A199,'DB Country PMI'!$A:$AZ,MATCH($A$1,'DB Country PMI'!$A$1:$AZ$1,),))</f>
        <v>48.93</v>
      </c>
      <c r="C199" s="24">
        <f>Table13[[#This Row],[PMI]]-B198</f>
        <v>-2.0300000000000011</v>
      </c>
    </row>
    <row r="200" spans="1:3" x14ac:dyDescent="0.2">
      <c r="A200" s="10">
        <v>40238</v>
      </c>
      <c r="B200" s="18">
        <f>IF(VLOOKUP(A200,'DB Country PMI'!$A:$AZ,MATCH($A$1,'DB Country PMI'!$A$1:$AZ$1,),)=0,#N/A,VLOOKUP(A200,'DB Country PMI'!$A:$AZ,MATCH($A$1,'DB Country PMI'!$A$1:$AZ$1,),))</f>
        <v>51.66</v>
      </c>
      <c r="C200" s="24">
        <f>Table13[[#This Row],[PMI]]-B199</f>
        <v>2.7299999999999969</v>
      </c>
    </row>
    <row r="201" spans="1:3" x14ac:dyDescent="0.2">
      <c r="A201" s="10">
        <v>40269</v>
      </c>
      <c r="B201" s="18">
        <f>IF(VLOOKUP(A201,'DB Country PMI'!$A:$AZ,MATCH($A$1,'DB Country PMI'!$A$1:$AZ$1,),)=0,#N/A,VLOOKUP(A201,'DB Country PMI'!$A:$AZ,MATCH($A$1,'DB Country PMI'!$A$1:$AZ$1,),))</f>
        <v>49.02</v>
      </c>
      <c r="C201" s="24">
        <f>Table13[[#This Row],[PMI]]-B200</f>
        <v>-2.6399999999999935</v>
      </c>
    </row>
    <row r="202" spans="1:3" x14ac:dyDescent="0.2">
      <c r="A202" s="10">
        <v>40299</v>
      </c>
      <c r="B202" s="18">
        <f>IF(VLOOKUP(A202,'DB Country PMI'!$A:$AZ,MATCH($A$1,'DB Country PMI'!$A$1:$AZ$1,),)=0,#N/A,VLOOKUP(A202,'DB Country PMI'!$A:$AZ,MATCH($A$1,'DB Country PMI'!$A$1:$AZ$1,),))</f>
        <v>51.33</v>
      </c>
      <c r="C202" s="24">
        <f>Table13[[#This Row],[PMI]]-B201</f>
        <v>2.3099999999999952</v>
      </c>
    </row>
    <row r="203" spans="1:3" x14ac:dyDescent="0.2">
      <c r="A203" s="10">
        <v>40330</v>
      </c>
      <c r="B203" s="18">
        <f>IF(VLOOKUP(A203,'DB Country PMI'!$A:$AZ,MATCH($A$1,'DB Country PMI'!$A$1:$AZ$1,),)=0,#N/A,VLOOKUP(A203,'DB Country PMI'!$A:$AZ,MATCH($A$1,'DB Country PMI'!$A$1:$AZ$1,),))</f>
        <v>50.2</v>
      </c>
      <c r="C203" s="24">
        <f>Table13[[#This Row],[PMI]]-B202</f>
        <v>-1.1299999999999955</v>
      </c>
    </row>
    <row r="204" spans="1:3" x14ac:dyDescent="0.2">
      <c r="A204" s="10">
        <v>40360</v>
      </c>
      <c r="B204" s="18">
        <f>IF(VLOOKUP(A204,'DB Country PMI'!$A:$AZ,MATCH($A$1,'DB Country PMI'!$A$1:$AZ$1,),)=0,#N/A,VLOOKUP(A204,'DB Country PMI'!$A:$AZ,MATCH($A$1,'DB Country PMI'!$A$1:$AZ$1,),))</f>
        <v>54.3</v>
      </c>
      <c r="C204" s="24">
        <f>Table13[[#This Row],[PMI]]-B203</f>
        <v>4.0999999999999943</v>
      </c>
    </row>
    <row r="205" spans="1:3" x14ac:dyDescent="0.2">
      <c r="A205" s="10">
        <v>40391</v>
      </c>
      <c r="B205" s="18">
        <f>IF(VLOOKUP(A205,'DB Country PMI'!$A:$AZ,MATCH($A$1,'DB Country PMI'!$A$1:$AZ$1,),)=0,#N/A,VLOOKUP(A205,'DB Country PMI'!$A:$AZ,MATCH($A$1,'DB Country PMI'!$A$1:$AZ$1,),))</f>
        <v>54.73</v>
      </c>
      <c r="C205" s="24">
        <f>Table13[[#This Row],[PMI]]-B204</f>
        <v>0.42999999999999972</v>
      </c>
    </row>
    <row r="206" spans="1:3" x14ac:dyDescent="0.2">
      <c r="A206" s="10">
        <v>40422</v>
      </c>
      <c r="B206" s="18">
        <f>IF(VLOOKUP(A206,'DB Country PMI'!$A:$AZ,MATCH($A$1,'DB Country PMI'!$A$1:$AZ$1,),)=0,#N/A,VLOOKUP(A206,'DB Country PMI'!$A:$AZ,MATCH($A$1,'DB Country PMI'!$A$1:$AZ$1,),))</f>
        <v>56.27</v>
      </c>
      <c r="C206" s="24">
        <f>Table13[[#This Row],[PMI]]-B205</f>
        <v>1.5400000000000063</v>
      </c>
    </row>
    <row r="207" spans="1:3" x14ac:dyDescent="0.2">
      <c r="A207" s="10">
        <v>40452</v>
      </c>
      <c r="B207" s="18">
        <f>IF(VLOOKUP(A207,'DB Country PMI'!$A:$AZ,MATCH($A$1,'DB Country PMI'!$A$1:$AZ$1,),)=0,#N/A,VLOOKUP(A207,'DB Country PMI'!$A:$AZ,MATCH($A$1,'DB Country PMI'!$A$1:$AZ$1,),))</f>
        <v>56.89</v>
      </c>
      <c r="C207" s="24">
        <f>Table13[[#This Row],[PMI]]-B206</f>
        <v>0.61999999999999744</v>
      </c>
    </row>
    <row r="208" spans="1:3" x14ac:dyDescent="0.2">
      <c r="A208" s="10">
        <v>40483</v>
      </c>
      <c r="B208" s="18">
        <f>IF(VLOOKUP(A208,'DB Country PMI'!$A:$AZ,MATCH($A$1,'DB Country PMI'!$A$1:$AZ$1,),)=0,#N/A,VLOOKUP(A208,'DB Country PMI'!$A:$AZ,MATCH($A$1,'DB Country PMI'!$A$1:$AZ$1,),))</f>
        <v>55.8</v>
      </c>
      <c r="C208" s="24">
        <f>Table13[[#This Row],[PMI]]-B207</f>
        <v>-1.0900000000000034</v>
      </c>
    </row>
    <row r="209" spans="1:3" x14ac:dyDescent="0.2">
      <c r="A209" s="10">
        <v>40513</v>
      </c>
      <c r="B209" s="18">
        <f>IF(VLOOKUP(A209,'DB Country PMI'!$A:$AZ,MATCH($A$1,'DB Country PMI'!$A$1:$AZ$1,),)=0,#N/A,VLOOKUP(A209,'DB Country PMI'!$A:$AZ,MATCH($A$1,'DB Country PMI'!$A$1:$AZ$1,),))</f>
        <v>62.4</v>
      </c>
      <c r="C209" s="24">
        <f>Table13[[#This Row],[PMI]]-B208</f>
        <v>6.6000000000000014</v>
      </c>
    </row>
    <row r="210" spans="1:3" x14ac:dyDescent="0.2">
      <c r="A210" s="10">
        <v>40544</v>
      </c>
      <c r="B210" s="18">
        <f>IF(VLOOKUP(A210,'DB Country PMI'!$A:$AZ,MATCH($A$1,'DB Country PMI'!$A$1:$AZ$1,),)=0,#N/A,VLOOKUP(A210,'DB Country PMI'!$A:$AZ,MATCH($A$1,'DB Country PMI'!$A$1:$AZ$1,),))</f>
        <v>57.21</v>
      </c>
      <c r="C210" s="24">
        <f>Table13[[#This Row],[PMI]]-B209</f>
        <v>-5.1899999999999977</v>
      </c>
    </row>
    <row r="211" spans="1:3" x14ac:dyDescent="0.2">
      <c r="A211" s="10">
        <v>40575</v>
      </c>
      <c r="B211" s="18">
        <f>IF(VLOOKUP(A211,'DB Country PMI'!$A:$AZ,MATCH($A$1,'DB Country PMI'!$A$1:$AZ$1,),)=0,#N/A,VLOOKUP(A211,'DB Country PMI'!$A:$AZ,MATCH($A$1,'DB Country PMI'!$A$1:$AZ$1,),))</f>
        <v>60.78</v>
      </c>
      <c r="C211" s="24">
        <f>Table13[[#This Row],[PMI]]-B210</f>
        <v>3.5700000000000003</v>
      </c>
    </row>
    <row r="212" spans="1:3" x14ac:dyDescent="0.2">
      <c r="A212" s="10">
        <v>40603</v>
      </c>
      <c r="B212" s="18">
        <f>IF(VLOOKUP(A212,'DB Country PMI'!$A:$AZ,MATCH($A$1,'DB Country PMI'!$A$1:$AZ$1,),)=0,#N/A,VLOOKUP(A212,'DB Country PMI'!$A:$AZ,MATCH($A$1,'DB Country PMI'!$A$1:$AZ$1,),))</f>
        <v>62.07</v>
      </c>
      <c r="C212" s="24">
        <f>Table13[[#This Row],[PMI]]-B211</f>
        <v>1.2899999999999991</v>
      </c>
    </row>
    <row r="213" spans="1:3" x14ac:dyDescent="0.2">
      <c r="A213" s="10">
        <v>40634</v>
      </c>
      <c r="B213" s="18">
        <f>IF(VLOOKUP(A213,'DB Country PMI'!$A:$AZ,MATCH($A$1,'DB Country PMI'!$A$1:$AZ$1,),)=0,#N/A,VLOOKUP(A213,'DB Country PMI'!$A:$AZ,MATCH($A$1,'DB Country PMI'!$A$1:$AZ$1,),))</f>
        <v>63.05</v>
      </c>
      <c r="C213" s="24">
        <f>Table13[[#This Row],[PMI]]-B212</f>
        <v>0.97999999999999687</v>
      </c>
    </row>
    <row r="214" spans="1:3" x14ac:dyDescent="0.2">
      <c r="A214" s="10">
        <v>40664</v>
      </c>
      <c r="B214" s="18">
        <f>IF(VLOOKUP(A214,'DB Country PMI'!$A:$AZ,MATCH($A$1,'DB Country PMI'!$A$1:$AZ$1,),)=0,#N/A,VLOOKUP(A214,'DB Country PMI'!$A:$AZ,MATCH($A$1,'DB Country PMI'!$A$1:$AZ$1,),))</f>
        <v>58.59</v>
      </c>
      <c r="C214" s="24">
        <f>Table13[[#This Row],[PMI]]-B213</f>
        <v>-4.4599999999999937</v>
      </c>
    </row>
    <row r="215" spans="1:3" x14ac:dyDescent="0.2">
      <c r="A215" s="10">
        <v>40695</v>
      </c>
      <c r="B215" s="18">
        <f>IF(VLOOKUP(A215,'DB Country PMI'!$A:$AZ,MATCH($A$1,'DB Country PMI'!$A$1:$AZ$1,),)=0,#N/A,VLOOKUP(A215,'DB Country PMI'!$A:$AZ,MATCH($A$1,'DB Country PMI'!$A$1:$AZ$1,),))</f>
        <v>58.05</v>
      </c>
      <c r="C215" s="24">
        <f>Table13[[#This Row],[PMI]]-B214</f>
        <v>-0.54000000000000625</v>
      </c>
    </row>
    <row r="216" spans="1:3" x14ac:dyDescent="0.2">
      <c r="A216" s="10">
        <v>40725</v>
      </c>
      <c r="B216" s="18">
        <f>IF(VLOOKUP(A216,'DB Country PMI'!$A:$AZ,MATCH($A$1,'DB Country PMI'!$A$1:$AZ$1,),)=0,#N/A,VLOOKUP(A216,'DB Country PMI'!$A:$AZ,MATCH($A$1,'DB Country PMI'!$A$1:$AZ$1,),))</f>
        <v>58.37</v>
      </c>
      <c r="C216" s="24">
        <f>Table13[[#This Row],[PMI]]-B215</f>
        <v>0.32000000000000028</v>
      </c>
    </row>
    <row r="217" spans="1:3" x14ac:dyDescent="0.2">
      <c r="A217" s="10">
        <v>40756</v>
      </c>
      <c r="B217" s="18">
        <f>IF(VLOOKUP(A217,'DB Country PMI'!$A:$AZ,MATCH($A$1,'DB Country PMI'!$A$1:$AZ$1,),)=0,#N/A,VLOOKUP(A217,'DB Country PMI'!$A:$AZ,MATCH($A$1,'DB Country PMI'!$A$1:$AZ$1,),))</f>
        <v>55.07</v>
      </c>
      <c r="C217" s="24">
        <f>Table13[[#This Row],[PMI]]-B216</f>
        <v>-3.2999999999999972</v>
      </c>
    </row>
    <row r="218" spans="1:3" x14ac:dyDescent="0.2">
      <c r="A218" s="10">
        <v>40787</v>
      </c>
      <c r="B218" s="18">
        <f>IF(VLOOKUP(A218,'DB Country PMI'!$A:$AZ,MATCH($A$1,'DB Country PMI'!$A$1:$AZ$1,),)=0,#N/A,VLOOKUP(A218,'DB Country PMI'!$A:$AZ,MATCH($A$1,'DB Country PMI'!$A$1:$AZ$1,),))</f>
        <v>64.400000000000006</v>
      </c>
      <c r="C218" s="24">
        <f>Table13[[#This Row],[PMI]]-B217</f>
        <v>9.3300000000000054</v>
      </c>
    </row>
    <row r="219" spans="1:3" x14ac:dyDescent="0.2">
      <c r="A219" s="10">
        <v>40817</v>
      </c>
      <c r="B219" s="18">
        <f>IF(VLOOKUP(A219,'DB Country PMI'!$A:$AZ,MATCH($A$1,'DB Country PMI'!$A$1:$AZ$1,),)=0,#N/A,VLOOKUP(A219,'DB Country PMI'!$A:$AZ,MATCH($A$1,'DB Country PMI'!$A$1:$AZ$1,),))</f>
        <v>43.91</v>
      </c>
      <c r="C219" s="24">
        <f>Table13[[#This Row],[PMI]]-B218</f>
        <v>-20.490000000000009</v>
      </c>
    </row>
    <row r="220" spans="1:3" x14ac:dyDescent="0.2">
      <c r="A220" s="10">
        <v>40848</v>
      </c>
      <c r="B220" s="18">
        <f>IF(VLOOKUP(A220,'DB Country PMI'!$A:$AZ,MATCH($A$1,'DB Country PMI'!$A$1:$AZ$1,),)=0,#N/A,VLOOKUP(A220,'DB Country PMI'!$A:$AZ,MATCH($A$1,'DB Country PMI'!$A$1:$AZ$1,),))</f>
        <v>47.79</v>
      </c>
      <c r="C220" s="24">
        <f>Table13[[#This Row],[PMI]]-B219</f>
        <v>3.8800000000000026</v>
      </c>
    </row>
    <row r="221" spans="1:3" x14ac:dyDescent="0.2">
      <c r="A221" s="10">
        <v>40878</v>
      </c>
      <c r="B221" s="18">
        <f>IF(VLOOKUP(A221,'DB Country PMI'!$A:$AZ,MATCH($A$1,'DB Country PMI'!$A$1:$AZ$1,),)=0,#N/A,VLOOKUP(A221,'DB Country PMI'!$A:$AZ,MATCH($A$1,'DB Country PMI'!$A$1:$AZ$1,),))</f>
        <v>58.44</v>
      </c>
      <c r="C221" s="24">
        <f>Table13[[#This Row],[PMI]]-B220</f>
        <v>10.649999999999999</v>
      </c>
    </row>
    <row r="222" spans="1:3" x14ac:dyDescent="0.2">
      <c r="A222" s="10">
        <v>40909</v>
      </c>
      <c r="B222" s="18">
        <f>IF(VLOOKUP(A222,'DB Country PMI'!$A:$AZ,MATCH($A$1,'DB Country PMI'!$A$1:$AZ$1,),)=0,#N/A,VLOOKUP(A222,'DB Country PMI'!$A:$AZ,MATCH($A$1,'DB Country PMI'!$A$1:$AZ$1,),))</f>
        <v>52.12</v>
      </c>
      <c r="C222" s="24">
        <f>Table13[[#This Row],[PMI]]-B221</f>
        <v>-6.32</v>
      </c>
    </row>
    <row r="223" spans="1:3" x14ac:dyDescent="0.2">
      <c r="A223" s="10">
        <v>40940</v>
      </c>
      <c r="B223" s="18">
        <f>IF(VLOOKUP(A223,'DB Country PMI'!$A:$AZ,MATCH($A$1,'DB Country PMI'!$A$1:$AZ$1,),)=0,#N/A,VLOOKUP(A223,'DB Country PMI'!$A:$AZ,MATCH($A$1,'DB Country PMI'!$A$1:$AZ$1,),))</f>
        <v>53.88</v>
      </c>
      <c r="C223" s="24">
        <f>Table13[[#This Row],[PMI]]-B222</f>
        <v>1.7600000000000051</v>
      </c>
    </row>
    <row r="224" spans="1:3" x14ac:dyDescent="0.2">
      <c r="A224" s="10">
        <v>40969</v>
      </c>
      <c r="B224" s="18">
        <f>IF(VLOOKUP(A224,'DB Country PMI'!$A:$AZ,MATCH($A$1,'DB Country PMI'!$A$1:$AZ$1,),)=0,#N/A,VLOOKUP(A224,'DB Country PMI'!$A:$AZ,MATCH($A$1,'DB Country PMI'!$A$1:$AZ$1,),))</f>
        <v>50.34</v>
      </c>
      <c r="C224" s="24">
        <f>Table13[[#This Row],[PMI]]-B223</f>
        <v>-3.5399999999999991</v>
      </c>
    </row>
    <row r="225" spans="1:3" x14ac:dyDescent="0.2">
      <c r="A225" s="10">
        <v>41000</v>
      </c>
      <c r="B225" s="18">
        <f>IF(VLOOKUP(A225,'DB Country PMI'!$A:$AZ,MATCH($A$1,'DB Country PMI'!$A$1:$AZ$1,),)=0,#N/A,VLOOKUP(A225,'DB Country PMI'!$A:$AZ,MATCH($A$1,'DB Country PMI'!$A$1:$AZ$1,),))</f>
        <v>63.6</v>
      </c>
      <c r="C225" s="24">
        <f>Table13[[#This Row],[PMI]]-B224</f>
        <v>13.259999999999998</v>
      </c>
    </row>
    <row r="226" spans="1:3" x14ac:dyDescent="0.2">
      <c r="A226" s="10">
        <v>41030</v>
      </c>
      <c r="B226" s="18">
        <f>IF(VLOOKUP(A226,'DB Country PMI'!$A:$AZ,MATCH($A$1,'DB Country PMI'!$A$1:$AZ$1,),)=0,#N/A,VLOOKUP(A226,'DB Country PMI'!$A:$AZ,MATCH($A$1,'DB Country PMI'!$A$1:$AZ$1,),))</f>
        <v>51.42</v>
      </c>
      <c r="C226" s="24">
        <f>Table13[[#This Row],[PMI]]-B225</f>
        <v>-12.18</v>
      </c>
    </row>
    <row r="227" spans="1:3" x14ac:dyDescent="0.2">
      <c r="A227" s="10">
        <v>41061</v>
      </c>
      <c r="B227" s="18">
        <f>IF(VLOOKUP(A227,'DB Country PMI'!$A:$AZ,MATCH($A$1,'DB Country PMI'!$A$1:$AZ$1,),)=0,#N/A,VLOOKUP(A227,'DB Country PMI'!$A:$AZ,MATCH($A$1,'DB Country PMI'!$A$1:$AZ$1,),))</f>
        <v>52.69</v>
      </c>
      <c r="C227" s="24">
        <f>Table13[[#This Row],[PMI]]-B226</f>
        <v>1.269999999999996</v>
      </c>
    </row>
    <row r="228" spans="1:3" x14ac:dyDescent="0.2">
      <c r="A228" s="10">
        <v>41091</v>
      </c>
      <c r="B228" s="18">
        <f>IF(VLOOKUP(A228,'DB Country PMI'!$A:$AZ,MATCH($A$1,'DB Country PMI'!$A$1:$AZ$1,),)=0,#N/A,VLOOKUP(A228,'DB Country PMI'!$A:$AZ,MATCH($A$1,'DB Country PMI'!$A$1:$AZ$1,),))</f>
        <v>47.21</v>
      </c>
      <c r="C228" s="24">
        <f>Table13[[#This Row],[PMI]]-B227</f>
        <v>-5.4799999999999969</v>
      </c>
    </row>
    <row r="229" spans="1:3" x14ac:dyDescent="0.2">
      <c r="A229" s="10">
        <v>41122</v>
      </c>
      <c r="B229" s="18">
        <f>IF(VLOOKUP(A229,'DB Country PMI'!$A:$AZ,MATCH($A$1,'DB Country PMI'!$A$1:$AZ$1,),)=0,#N/A,VLOOKUP(A229,'DB Country PMI'!$A:$AZ,MATCH($A$1,'DB Country PMI'!$A$1:$AZ$1,),))</f>
        <v>51.06</v>
      </c>
      <c r="C229" s="24">
        <f>Table13[[#This Row],[PMI]]-B228</f>
        <v>3.8500000000000014</v>
      </c>
    </row>
    <row r="230" spans="1:3" x14ac:dyDescent="0.2">
      <c r="A230" s="10">
        <v>41153</v>
      </c>
      <c r="B230" s="18">
        <f>IF(VLOOKUP(A230,'DB Country PMI'!$A:$AZ,MATCH($A$1,'DB Country PMI'!$A$1:$AZ$1,),)=0,#N/A,VLOOKUP(A230,'DB Country PMI'!$A:$AZ,MATCH($A$1,'DB Country PMI'!$A$1:$AZ$1,),))</f>
        <v>52.09</v>
      </c>
      <c r="C230" s="24">
        <f>Table13[[#This Row],[PMI]]-B229</f>
        <v>1.0300000000000011</v>
      </c>
    </row>
    <row r="231" spans="1:3" x14ac:dyDescent="0.2">
      <c r="A231" s="10">
        <v>41183</v>
      </c>
      <c r="B231" s="18">
        <f>IF(VLOOKUP(A231,'DB Country PMI'!$A:$AZ,MATCH($A$1,'DB Country PMI'!$A$1:$AZ$1,),)=0,#N/A,VLOOKUP(A231,'DB Country PMI'!$A:$AZ,MATCH($A$1,'DB Country PMI'!$A$1:$AZ$1,),))</f>
        <v>57.41</v>
      </c>
      <c r="C231" s="24">
        <f>Table13[[#This Row],[PMI]]-B230</f>
        <v>5.3199999999999932</v>
      </c>
    </row>
    <row r="232" spans="1:3" x14ac:dyDescent="0.2">
      <c r="A232" s="10">
        <v>41214</v>
      </c>
      <c r="B232" s="18">
        <f>IF(VLOOKUP(A232,'DB Country PMI'!$A:$AZ,MATCH($A$1,'DB Country PMI'!$A$1:$AZ$1,),)=0,#N/A,VLOOKUP(A232,'DB Country PMI'!$A:$AZ,MATCH($A$1,'DB Country PMI'!$A$1:$AZ$1,),))</f>
        <v>56.29</v>
      </c>
      <c r="C232" s="24">
        <f>Table13[[#This Row],[PMI]]-B231</f>
        <v>-1.1199999999999974</v>
      </c>
    </row>
    <row r="233" spans="1:3" x14ac:dyDescent="0.2">
      <c r="A233" s="10">
        <v>41244</v>
      </c>
      <c r="B233" s="18">
        <f>IF(VLOOKUP(A233,'DB Country PMI'!$A:$AZ,MATCH($A$1,'DB Country PMI'!$A$1:$AZ$1,),)=0,#N/A,VLOOKUP(A233,'DB Country PMI'!$A:$AZ,MATCH($A$1,'DB Country PMI'!$A$1:$AZ$1,),))</f>
        <v>57.62</v>
      </c>
      <c r="C233" s="24">
        <f>Table13[[#This Row],[PMI]]-B232</f>
        <v>1.3299999999999983</v>
      </c>
    </row>
    <row r="234" spans="1:3" x14ac:dyDescent="0.2">
      <c r="A234" s="10">
        <v>41275</v>
      </c>
      <c r="B234" s="18">
        <f>IF(VLOOKUP(A234,'DB Country PMI'!$A:$AZ,MATCH($A$1,'DB Country PMI'!$A$1:$AZ$1,),)=0,#N/A,VLOOKUP(A234,'DB Country PMI'!$A:$AZ,MATCH($A$1,'DB Country PMI'!$A$1:$AZ$1,),))</f>
        <v>55.27</v>
      </c>
      <c r="C234" s="24">
        <f>Table13[[#This Row],[PMI]]-B233</f>
        <v>-2.3499999999999943</v>
      </c>
    </row>
    <row r="235" spans="1:3" x14ac:dyDescent="0.2">
      <c r="A235" s="10">
        <v>41306</v>
      </c>
      <c r="B235" s="18">
        <f>IF(VLOOKUP(A235,'DB Country PMI'!$A:$AZ,MATCH($A$1,'DB Country PMI'!$A$1:$AZ$1,),)=0,#N/A,VLOOKUP(A235,'DB Country PMI'!$A:$AZ,MATCH($A$1,'DB Country PMI'!$A$1:$AZ$1,),))</f>
        <v>61.23</v>
      </c>
      <c r="C235" s="24">
        <f>Table13[[#This Row],[PMI]]-B234</f>
        <v>5.9599999999999937</v>
      </c>
    </row>
    <row r="236" spans="1:3" x14ac:dyDescent="0.2">
      <c r="A236" s="10">
        <v>41334</v>
      </c>
      <c r="B236" s="18">
        <f>IF(VLOOKUP(A236,'DB Country PMI'!$A:$AZ,MATCH($A$1,'DB Country PMI'!$A$1:$AZ$1,),)=0,#N/A,VLOOKUP(A236,'DB Country PMI'!$A:$AZ,MATCH($A$1,'DB Country PMI'!$A$1:$AZ$1,),))</f>
        <v>49.81</v>
      </c>
      <c r="C236" s="24">
        <f>Table13[[#This Row],[PMI]]-B235</f>
        <v>-11.419999999999995</v>
      </c>
    </row>
    <row r="237" spans="1:3" x14ac:dyDescent="0.2">
      <c r="A237" s="10">
        <v>41365</v>
      </c>
      <c r="B237" s="18">
        <f>IF(VLOOKUP(A237,'DB Country PMI'!$A:$AZ,MATCH($A$1,'DB Country PMI'!$A$1:$AZ$1,),)=0,#N/A,VLOOKUP(A237,'DB Country PMI'!$A:$AZ,MATCH($A$1,'DB Country PMI'!$A$1:$AZ$1,),))</f>
        <v>49.29</v>
      </c>
      <c r="C237" s="24">
        <f>Table13[[#This Row],[PMI]]-B236</f>
        <v>-0.52000000000000313</v>
      </c>
    </row>
    <row r="238" spans="1:3" x14ac:dyDescent="0.2">
      <c r="A238" s="10">
        <v>41395</v>
      </c>
      <c r="B238" s="18">
        <f>IF(VLOOKUP(A238,'DB Country PMI'!$A:$AZ,MATCH($A$1,'DB Country PMI'!$A$1:$AZ$1,),)=0,#N/A,VLOOKUP(A238,'DB Country PMI'!$A:$AZ,MATCH($A$1,'DB Country PMI'!$A$1:$AZ$1,),))</f>
        <v>54.75</v>
      </c>
      <c r="C238" s="24">
        <f>Table13[[#This Row],[PMI]]-B237</f>
        <v>5.4600000000000009</v>
      </c>
    </row>
    <row r="239" spans="1:3" x14ac:dyDescent="0.2">
      <c r="A239" s="10">
        <v>41426</v>
      </c>
      <c r="B239" s="18">
        <f>IF(VLOOKUP(A239,'DB Country PMI'!$A:$AZ,MATCH($A$1,'DB Country PMI'!$A$1:$AZ$1,),)=0,#N/A,VLOOKUP(A239,'DB Country PMI'!$A:$AZ,MATCH($A$1,'DB Country PMI'!$A$1:$AZ$1,),))</f>
        <v>57.73</v>
      </c>
      <c r="C239" s="24">
        <f>Table13[[#This Row],[PMI]]-B238</f>
        <v>2.9799999999999969</v>
      </c>
    </row>
    <row r="240" spans="1:3" x14ac:dyDescent="0.2">
      <c r="A240" s="10">
        <v>41456</v>
      </c>
      <c r="B240" s="18">
        <f>IF(VLOOKUP(A240,'DB Country PMI'!$A:$AZ,MATCH($A$1,'DB Country PMI'!$A$1:$AZ$1,),)=0,#N/A,VLOOKUP(A240,'DB Country PMI'!$A:$AZ,MATCH($A$1,'DB Country PMI'!$A$1:$AZ$1,),))</f>
        <v>59.18</v>
      </c>
      <c r="C240" s="24">
        <f>Table13[[#This Row],[PMI]]-B239</f>
        <v>1.4500000000000028</v>
      </c>
    </row>
    <row r="241" spans="1:3" x14ac:dyDescent="0.2">
      <c r="A241" s="10">
        <v>41487</v>
      </c>
      <c r="B241" s="18">
        <f>IF(VLOOKUP(A241,'DB Country PMI'!$A:$AZ,MATCH($A$1,'DB Country PMI'!$A$1:$AZ$1,),)=0,#N/A,VLOOKUP(A241,'DB Country PMI'!$A:$AZ,MATCH($A$1,'DB Country PMI'!$A$1:$AZ$1,),))</f>
        <v>60.29</v>
      </c>
      <c r="C241" s="24">
        <f>Table13[[#This Row],[PMI]]-B240</f>
        <v>1.1099999999999994</v>
      </c>
    </row>
    <row r="242" spans="1:3" x14ac:dyDescent="0.2">
      <c r="A242" s="10">
        <v>41518</v>
      </c>
      <c r="B242" s="18">
        <f>IF(VLOOKUP(A242,'DB Country PMI'!$A:$AZ,MATCH($A$1,'DB Country PMI'!$A$1:$AZ$1,),)=0,#N/A,VLOOKUP(A242,'DB Country PMI'!$A:$AZ,MATCH($A$1,'DB Country PMI'!$A$1:$AZ$1,),))</f>
        <v>55.74</v>
      </c>
      <c r="C242" s="24">
        <f>Table13[[#This Row],[PMI]]-B241</f>
        <v>-4.5499999999999972</v>
      </c>
    </row>
    <row r="243" spans="1:3" x14ac:dyDescent="0.2">
      <c r="A243" s="10">
        <v>41548</v>
      </c>
      <c r="B243" s="18">
        <f>IF(VLOOKUP(A243,'DB Country PMI'!$A:$AZ,MATCH($A$1,'DB Country PMI'!$A$1:$AZ$1,),)=0,#N/A,VLOOKUP(A243,'DB Country PMI'!$A:$AZ,MATCH($A$1,'DB Country PMI'!$A$1:$AZ$1,),))</f>
        <v>55.71</v>
      </c>
      <c r="C243" s="24">
        <f>Table13[[#This Row],[PMI]]-B242</f>
        <v>-3.0000000000001137E-2</v>
      </c>
    </row>
    <row r="244" spans="1:3" x14ac:dyDescent="0.2">
      <c r="A244" s="10">
        <v>41579</v>
      </c>
      <c r="B244" s="18">
        <f>IF(VLOOKUP(A244,'DB Country PMI'!$A:$AZ,MATCH($A$1,'DB Country PMI'!$A$1:$AZ$1,),)=0,#N/A,VLOOKUP(A244,'DB Country PMI'!$A:$AZ,MATCH($A$1,'DB Country PMI'!$A$1:$AZ$1,),))</f>
        <v>57.85</v>
      </c>
      <c r="C244" s="24">
        <f>Table13[[#This Row],[PMI]]-B243</f>
        <v>2.1400000000000006</v>
      </c>
    </row>
    <row r="245" spans="1:3" x14ac:dyDescent="0.2">
      <c r="A245" s="10">
        <v>41609</v>
      </c>
      <c r="B245" s="18">
        <f>IF(VLOOKUP(A245,'DB Country PMI'!$A:$AZ,MATCH($A$1,'DB Country PMI'!$A$1:$AZ$1,),)=0,#N/A,VLOOKUP(A245,'DB Country PMI'!$A:$AZ,MATCH($A$1,'DB Country PMI'!$A$1:$AZ$1,),))</f>
        <v>53.45</v>
      </c>
      <c r="C245" s="24">
        <f>Table13[[#This Row],[PMI]]-B244</f>
        <v>-4.3999999999999986</v>
      </c>
    </row>
    <row r="246" spans="1:3" x14ac:dyDescent="0.2">
      <c r="A246" s="10">
        <v>41640</v>
      </c>
      <c r="B246" s="18">
        <f>IF(VLOOKUP(A246,'DB Country PMI'!$A:$AZ,MATCH($A$1,'DB Country PMI'!$A$1:$AZ$1,),)=0,#N/A,VLOOKUP(A246,'DB Country PMI'!$A:$AZ,MATCH($A$1,'DB Country PMI'!$A$1:$AZ$1,),))</f>
        <v>55.6</v>
      </c>
      <c r="C246" s="24">
        <f>Table13[[#This Row],[PMI]]-B245</f>
        <v>2.1499999999999986</v>
      </c>
    </row>
    <row r="247" spans="1:3" x14ac:dyDescent="0.2">
      <c r="A247" s="10">
        <v>41671</v>
      </c>
      <c r="B247" s="18">
        <f>IF(VLOOKUP(A247,'DB Country PMI'!$A:$AZ,MATCH($A$1,'DB Country PMI'!$A$1:$AZ$1,),)=0,#N/A,VLOOKUP(A247,'DB Country PMI'!$A:$AZ,MATCH($A$1,'DB Country PMI'!$A$1:$AZ$1,),))</f>
        <v>56.77</v>
      </c>
      <c r="C247" s="24">
        <f>Table13[[#This Row],[PMI]]-B246</f>
        <v>1.1700000000000017</v>
      </c>
    </row>
    <row r="248" spans="1:3" x14ac:dyDescent="0.2">
      <c r="A248" s="10">
        <v>41699</v>
      </c>
      <c r="B248" s="18">
        <f>IF(VLOOKUP(A248,'DB Country PMI'!$A:$AZ,MATCH($A$1,'DB Country PMI'!$A$1:$AZ$1,),)=0,#N/A,VLOOKUP(A248,'DB Country PMI'!$A:$AZ,MATCH($A$1,'DB Country PMI'!$A$1:$AZ$1,),))</f>
        <v>60.3</v>
      </c>
      <c r="C248" s="24">
        <f>Table13[[#This Row],[PMI]]-B247</f>
        <v>3.529999999999994</v>
      </c>
    </row>
    <row r="249" spans="1:3" x14ac:dyDescent="0.2">
      <c r="A249" s="10">
        <v>41730</v>
      </c>
      <c r="B249" s="18">
        <f>IF(VLOOKUP(A249,'DB Country PMI'!$A:$AZ,MATCH($A$1,'DB Country PMI'!$A$1:$AZ$1,),)=0,#N/A,VLOOKUP(A249,'DB Country PMI'!$A:$AZ,MATCH($A$1,'DB Country PMI'!$A$1:$AZ$1,),))</f>
        <v>60.5</v>
      </c>
      <c r="C249" s="24">
        <f>Table13[[#This Row],[PMI]]-B248</f>
        <v>0.20000000000000284</v>
      </c>
    </row>
    <row r="250" spans="1:3" x14ac:dyDescent="0.2">
      <c r="A250" s="10">
        <v>41760</v>
      </c>
      <c r="B250" s="18">
        <f>IF(VLOOKUP(A250,'DB Country PMI'!$A:$AZ,MATCH($A$1,'DB Country PMI'!$A$1:$AZ$1,),)=0,#N/A,VLOOKUP(A250,'DB Country PMI'!$A:$AZ,MATCH($A$1,'DB Country PMI'!$A$1:$AZ$1,),))</f>
        <v>58.71</v>
      </c>
      <c r="C250" s="24">
        <f>Table13[[#This Row],[PMI]]-B249</f>
        <v>-1.7899999999999991</v>
      </c>
    </row>
    <row r="251" spans="1:3" x14ac:dyDescent="0.2">
      <c r="A251" s="10">
        <v>41791</v>
      </c>
      <c r="B251" s="18">
        <f>IF(VLOOKUP(A251,'DB Country PMI'!$A:$AZ,MATCH($A$1,'DB Country PMI'!$A$1:$AZ$1,),)=0,#N/A,VLOOKUP(A251,'DB Country PMI'!$A:$AZ,MATCH($A$1,'DB Country PMI'!$A$1:$AZ$1,),))</f>
        <v>51.76</v>
      </c>
      <c r="C251" s="24">
        <f>Table13[[#This Row],[PMI]]-B250</f>
        <v>-6.9500000000000028</v>
      </c>
    </row>
    <row r="252" spans="1:3" x14ac:dyDescent="0.2">
      <c r="A252" s="10">
        <v>41821</v>
      </c>
      <c r="B252" s="18">
        <f>IF(VLOOKUP(A252,'DB Country PMI'!$A:$AZ,MATCH($A$1,'DB Country PMI'!$A$1:$AZ$1,),)=0,#N/A,VLOOKUP(A252,'DB Country PMI'!$A:$AZ,MATCH($A$1,'DB Country PMI'!$A$1:$AZ$1,),))</f>
        <v>49.75</v>
      </c>
      <c r="C252" s="24">
        <f>Table13[[#This Row],[PMI]]-B251</f>
        <v>-2.009999999999998</v>
      </c>
    </row>
    <row r="253" spans="1:3" x14ac:dyDescent="0.2">
      <c r="A253" s="10">
        <v>41852</v>
      </c>
      <c r="B253" s="18">
        <f>IF(VLOOKUP(A253,'DB Country PMI'!$A:$AZ,MATCH($A$1,'DB Country PMI'!$A$1:$AZ$1,),)=0,#N/A,VLOOKUP(A253,'DB Country PMI'!$A:$AZ,MATCH($A$1,'DB Country PMI'!$A$1:$AZ$1,),))</f>
        <v>48.13</v>
      </c>
      <c r="C253" s="24">
        <f>Table13[[#This Row],[PMI]]-B252</f>
        <v>-1.6199999999999974</v>
      </c>
    </row>
    <row r="254" spans="1:3" x14ac:dyDescent="0.2">
      <c r="A254" s="10">
        <v>41883</v>
      </c>
      <c r="B254" s="18">
        <f>IF(VLOOKUP(A254,'DB Country PMI'!$A:$AZ,MATCH($A$1,'DB Country PMI'!$A$1:$AZ$1,),)=0,#N/A,VLOOKUP(A254,'DB Country PMI'!$A:$AZ,MATCH($A$1,'DB Country PMI'!$A$1:$AZ$1,),))</f>
        <v>51.33</v>
      </c>
      <c r="C254" s="24">
        <f>Table13[[#This Row],[PMI]]-B253</f>
        <v>3.1999999999999957</v>
      </c>
    </row>
    <row r="255" spans="1:3" x14ac:dyDescent="0.2">
      <c r="A255" s="10">
        <v>41913</v>
      </c>
      <c r="B255" s="18">
        <f>IF(VLOOKUP(A255,'DB Country PMI'!$A:$AZ,MATCH($A$1,'DB Country PMI'!$A$1:$AZ$1,),)=0,#N/A,VLOOKUP(A255,'DB Country PMI'!$A:$AZ,MATCH($A$1,'DB Country PMI'!$A$1:$AZ$1,),))</f>
        <v>54.04</v>
      </c>
      <c r="C255" s="24">
        <f>Table13[[#This Row],[PMI]]-B254</f>
        <v>2.7100000000000009</v>
      </c>
    </row>
    <row r="256" spans="1:3" x14ac:dyDescent="0.2">
      <c r="A256" s="10">
        <v>41944</v>
      </c>
      <c r="B256" s="18">
        <f>IF(VLOOKUP(A256,'DB Country PMI'!$A:$AZ,MATCH($A$1,'DB Country PMI'!$A$1:$AZ$1,),)=0,#N/A,VLOOKUP(A256,'DB Country PMI'!$A:$AZ,MATCH($A$1,'DB Country PMI'!$A$1:$AZ$1,),))</f>
        <v>51.5</v>
      </c>
      <c r="C256" s="24">
        <f>Table13[[#This Row],[PMI]]-B255</f>
        <v>-2.5399999999999991</v>
      </c>
    </row>
    <row r="257" spans="1:3" x14ac:dyDescent="0.2">
      <c r="A257" s="10">
        <v>41974</v>
      </c>
      <c r="B257" s="18">
        <f>IF(VLOOKUP(A257,'DB Country PMI'!$A:$AZ,MATCH($A$1,'DB Country PMI'!$A$1:$AZ$1,),)=0,#N/A,VLOOKUP(A257,'DB Country PMI'!$A:$AZ,MATCH($A$1,'DB Country PMI'!$A$1:$AZ$1,),))</f>
        <v>53.85</v>
      </c>
      <c r="C257" s="24">
        <f>Table13[[#This Row],[PMI]]-B256</f>
        <v>2.3500000000000014</v>
      </c>
    </row>
    <row r="258" spans="1:3" x14ac:dyDescent="0.2">
      <c r="A258" s="10">
        <v>42005</v>
      </c>
      <c r="B258" s="18">
        <f>IF(VLOOKUP(A258,'DB Country PMI'!$A:$AZ,MATCH($A$1,'DB Country PMI'!$A$1:$AZ$1,),)=0,#N/A,VLOOKUP(A258,'DB Country PMI'!$A:$AZ,MATCH($A$1,'DB Country PMI'!$A$1:$AZ$1,),))</f>
        <v>55.25</v>
      </c>
      <c r="C258" s="24">
        <f>Table13[[#This Row],[PMI]]-B257</f>
        <v>1.3999999999999986</v>
      </c>
    </row>
    <row r="259" spans="1:3" x14ac:dyDescent="0.2">
      <c r="A259" s="10">
        <v>42036</v>
      </c>
      <c r="B259" s="18">
        <f>IF(VLOOKUP(A259,'DB Country PMI'!$A:$AZ,MATCH($A$1,'DB Country PMI'!$A$1:$AZ$1,),)=0,#N/A,VLOOKUP(A259,'DB Country PMI'!$A:$AZ,MATCH($A$1,'DB Country PMI'!$A$1:$AZ$1,),))</f>
        <v>57.96</v>
      </c>
      <c r="C259" s="24">
        <f>Table13[[#This Row],[PMI]]-B258</f>
        <v>2.7100000000000009</v>
      </c>
    </row>
    <row r="260" spans="1:3" x14ac:dyDescent="0.2">
      <c r="A260" s="10">
        <v>42064</v>
      </c>
      <c r="B260" s="18">
        <f>IF(VLOOKUP(A260,'DB Country PMI'!$A:$AZ,MATCH($A$1,'DB Country PMI'!$A$1:$AZ$1,),)=0,#N/A,VLOOKUP(A260,'DB Country PMI'!$A:$AZ,MATCH($A$1,'DB Country PMI'!$A$1:$AZ$1,),))</f>
        <v>58.54</v>
      </c>
      <c r="C260" s="24">
        <f>Table13[[#This Row],[PMI]]-B259</f>
        <v>0.57999999999999829</v>
      </c>
    </row>
    <row r="261" spans="1:3" x14ac:dyDescent="0.2">
      <c r="A261" s="10">
        <v>42095</v>
      </c>
      <c r="B261" s="18">
        <f>IF(VLOOKUP(A261,'DB Country PMI'!$A:$AZ,MATCH($A$1,'DB Country PMI'!$A$1:$AZ$1,),)=0,#N/A,VLOOKUP(A261,'DB Country PMI'!$A:$AZ,MATCH($A$1,'DB Country PMI'!$A$1:$AZ$1,),))</f>
        <v>53.3</v>
      </c>
      <c r="C261" s="24">
        <f>Table13[[#This Row],[PMI]]-B260</f>
        <v>-5.240000000000002</v>
      </c>
    </row>
    <row r="262" spans="1:3" x14ac:dyDescent="0.2">
      <c r="A262" s="10">
        <v>42125</v>
      </c>
      <c r="B262" s="18">
        <f>IF(VLOOKUP(A262,'DB Country PMI'!$A:$AZ,MATCH($A$1,'DB Country PMI'!$A$1:$AZ$1,),)=0,#N/A,VLOOKUP(A262,'DB Country PMI'!$A:$AZ,MATCH($A$1,'DB Country PMI'!$A$1:$AZ$1,),))</f>
        <v>52.73</v>
      </c>
      <c r="C262" s="24">
        <f>Table13[[#This Row],[PMI]]-B261</f>
        <v>-0.57000000000000028</v>
      </c>
    </row>
    <row r="263" spans="1:3" x14ac:dyDescent="0.2">
      <c r="A263" s="10">
        <v>42156</v>
      </c>
      <c r="B263" s="18">
        <f>IF(VLOOKUP(A263,'DB Country PMI'!$A:$AZ,MATCH($A$1,'DB Country PMI'!$A$1:$AZ$1,),)=0,#N/A,VLOOKUP(A263,'DB Country PMI'!$A:$AZ,MATCH($A$1,'DB Country PMI'!$A$1:$AZ$1,),))</f>
        <v>54.46</v>
      </c>
      <c r="C263" s="24">
        <f>Table13[[#This Row],[PMI]]-B262</f>
        <v>1.730000000000004</v>
      </c>
    </row>
    <row r="264" spans="1:3" x14ac:dyDescent="0.2">
      <c r="A264" s="10">
        <v>42186</v>
      </c>
      <c r="B264" s="18">
        <f>IF(VLOOKUP(A264,'DB Country PMI'!$A:$AZ,MATCH($A$1,'DB Country PMI'!$A$1:$AZ$1,),)=0,#N/A,VLOOKUP(A264,'DB Country PMI'!$A:$AZ,MATCH($A$1,'DB Country PMI'!$A$1:$AZ$1,),))</f>
        <v>52.31</v>
      </c>
      <c r="C264" s="24">
        <f>Table13[[#This Row],[PMI]]-B263</f>
        <v>-2.1499999999999986</v>
      </c>
    </row>
    <row r="265" spans="1:3" x14ac:dyDescent="0.2">
      <c r="A265" s="10">
        <v>42217</v>
      </c>
      <c r="B265" s="18">
        <f>IF(VLOOKUP(A265,'DB Country PMI'!$A:$AZ,MATCH($A$1,'DB Country PMI'!$A$1:$AZ$1,),)=0,#N/A,VLOOKUP(A265,'DB Country PMI'!$A:$AZ,MATCH($A$1,'DB Country PMI'!$A$1:$AZ$1,),))</f>
        <v>62.51</v>
      </c>
      <c r="C265" s="24">
        <f>Table13[[#This Row],[PMI]]-B264</f>
        <v>10.199999999999996</v>
      </c>
    </row>
    <row r="266" spans="1:3" x14ac:dyDescent="0.2">
      <c r="A266" s="10">
        <v>42248</v>
      </c>
      <c r="B266" s="18">
        <f>IF(VLOOKUP(A266,'DB Country PMI'!$A:$AZ,MATCH($A$1,'DB Country PMI'!$A$1:$AZ$1,),)=0,#N/A,VLOOKUP(A266,'DB Country PMI'!$A:$AZ,MATCH($A$1,'DB Country PMI'!$A$1:$AZ$1,),))</f>
        <v>69.37</v>
      </c>
      <c r="C266" s="24">
        <f>Table13[[#This Row],[PMI]]-B265</f>
        <v>6.8600000000000065</v>
      </c>
    </row>
    <row r="267" spans="1:3" x14ac:dyDescent="0.2">
      <c r="A267" s="10">
        <v>42278</v>
      </c>
      <c r="B267" s="18">
        <f>IF(VLOOKUP(A267,'DB Country PMI'!$A:$AZ,MATCH($A$1,'DB Country PMI'!$A$1:$AZ$1,),)=0,#N/A,VLOOKUP(A267,'DB Country PMI'!$A:$AZ,MATCH($A$1,'DB Country PMI'!$A$1:$AZ$1,),))</f>
        <v>55.62</v>
      </c>
      <c r="C267" s="24">
        <f>Table13[[#This Row],[PMI]]-B266</f>
        <v>-13.750000000000007</v>
      </c>
    </row>
    <row r="268" spans="1:3" x14ac:dyDescent="0.2">
      <c r="A268" s="10">
        <v>42309</v>
      </c>
      <c r="B268" s="18">
        <f>IF(VLOOKUP(A268,'DB Country PMI'!$A:$AZ,MATCH($A$1,'DB Country PMI'!$A$1:$AZ$1,),)=0,#N/A,VLOOKUP(A268,'DB Country PMI'!$A:$AZ,MATCH($A$1,'DB Country PMI'!$A$1:$AZ$1,),))</f>
        <v>61.47</v>
      </c>
      <c r="C268" s="24">
        <f>Table13[[#This Row],[PMI]]-B267</f>
        <v>5.8500000000000014</v>
      </c>
    </row>
    <row r="269" spans="1:3" x14ac:dyDescent="0.2">
      <c r="A269" s="10">
        <v>42339</v>
      </c>
      <c r="B269" s="18">
        <f>IF(VLOOKUP(A269,'DB Country PMI'!$A:$AZ,MATCH($A$1,'DB Country PMI'!$A$1:$AZ$1,),)=0,#N/A,VLOOKUP(A269,'DB Country PMI'!$A:$AZ,MATCH($A$1,'DB Country PMI'!$A$1:$AZ$1,),))</f>
        <v>54.76</v>
      </c>
      <c r="C269" s="24">
        <f>Table13[[#This Row],[PMI]]-B268</f>
        <v>-6.7100000000000009</v>
      </c>
    </row>
    <row r="270" spans="1:3" x14ac:dyDescent="0.2">
      <c r="A270" s="10">
        <v>42370</v>
      </c>
      <c r="B270" s="18">
        <f>IF(VLOOKUP(A270,'DB Country PMI'!$A:$AZ,MATCH($A$1,'DB Country PMI'!$A$1:$AZ$1,),)=0,#N/A,VLOOKUP(A270,'DB Country PMI'!$A:$AZ,MATCH($A$1,'DB Country PMI'!$A$1:$AZ$1,),))</f>
        <v>54.46</v>
      </c>
      <c r="C270" s="24">
        <f>Table13[[#This Row],[PMI]]-B269</f>
        <v>-0.29999999999999716</v>
      </c>
    </row>
    <row r="271" spans="1:3" x14ac:dyDescent="0.2">
      <c r="A271" s="10">
        <v>42401</v>
      </c>
      <c r="B271" s="18">
        <f>IF(VLOOKUP(A271,'DB Country PMI'!$A:$AZ,MATCH($A$1,'DB Country PMI'!$A$1:$AZ$1,),)=0,#N/A,VLOOKUP(A271,'DB Country PMI'!$A:$AZ,MATCH($A$1,'DB Country PMI'!$A$1:$AZ$1,),))</f>
        <v>50.93</v>
      </c>
      <c r="C271" s="24">
        <f>Table13[[#This Row],[PMI]]-B270</f>
        <v>-3.5300000000000011</v>
      </c>
    </row>
    <row r="272" spans="1:3" x14ac:dyDescent="0.2">
      <c r="A272" s="10">
        <v>42430</v>
      </c>
      <c r="B272" s="18">
        <f>IF(VLOOKUP(A272,'DB Country PMI'!$A:$AZ,MATCH($A$1,'DB Country PMI'!$A$1:$AZ$1,),)=0,#N/A,VLOOKUP(A272,'DB Country PMI'!$A:$AZ,MATCH($A$1,'DB Country PMI'!$A$1:$AZ$1,),))</f>
        <v>55.11</v>
      </c>
      <c r="C272" s="24">
        <f>Table13[[#This Row],[PMI]]-B271</f>
        <v>4.18</v>
      </c>
    </row>
    <row r="273" spans="1:3" x14ac:dyDescent="0.2">
      <c r="A273" s="10">
        <v>42461</v>
      </c>
      <c r="B273" s="18">
        <f>IF(VLOOKUP(A273,'DB Country PMI'!$A:$AZ,MATCH($A$1,'DB Country PMI'!$A$1:$AZ$1,),)=0,#N/A,VLOOKUP(A273,'DB Country PMI'!$A:$AZ,MATCH($A$1,'DB Country PMI'!$A$1:$AZ$1,),))</f>
        <v>63.28</v>
      </c>
      <c r="C273" s="24">
        <f>Table13[[#This Row],[PMI]]-B272</f>
        <v>8.1700000000000017</v>
      </c>
    </row>
    <row r="274" spans="1:3" x14ac:dyDescent="0.2">
      <c r="A274" s="10">
        <v>42491</v>
      </c>
      <c r="B274" s="18">
        <f>IF(VLOOKUP(A274,'DB Country PMI'!$A:$AZ,MATCH($A$1,'DB Country PMI'!$A$1:$AZ$1,),)=0,#N/A,VLOOKUP(A274,'DB Country PMI'!$A:$AZ,MATCH($A$1,'DB Country PMI'!$A$1:$AZ$1,),))</f>
        <v>61.65</v>
      </c>
      <c r="C274" s="24">
        <f>Table13[[#This Row],[PMI]]-B273</f>
        <v>-1.6300000000000026</v>
      </c>
    </row>
    <row r="275" spans="1:3" x14ac:dyDescent="0.2">
      <c r="A275" s="10">
        <v>42522</v>
      </c>
      <c r="B275" s="18">
        <f>IF(VLOOKUP(A275,'DB Country PMI'!$A:$AZ,MATCH($A$1,'DB Country PMI'!$A$1:$AZ$1,),)=0,#N/A,VLOOKUP(A275,'DB Country PMI'!$A:$AZ,MATCH($A$1,'DB Country PMI'!$A$1:$AZ$1,),))</f>
        <v>59.75</v>
      </c>
      <c r="C275" s="24">
        <f>Table13[[#This Row],[PMI]]-B274</f>
        <v>-1.8999999999999986</v>
      </c>
    </row>
    <row r="276" spans="1:3" x14ac:dyDescent="0.2">
      <c r="A276" s="10">
        <v>42552</v>
      </c>
      <c r="B276" s="18">
        <f>IF(VLOOKUP(A276,'DB Country PMI'!$A:$AZ,MATCH($A$1,'DB Country PMI'!$A$1:$AZ$1,),)=0,#N/A,VLOOKUP(A276,'DB Country PMI'!$A:$AZ,MATCH($A$1,'DB Country PMI'!$A$1:$AZ$1,),))</f>
        <v>59.53</v>
      </c>
      <c r="C276" s="24">
        <f>Table13[[#This Row],[PMI]]-B275</f>
        <v>-0.21999999999999886</v>
      </c>
    </row>
    <row r="277" spans="1:3" x14ac:dyDescent="0.2">
      <c r="A277" s="10">
        <v>42583</v>
      </c>
      <c r="B277" s="18">
        <f>IF(VLOOKUP(A277,'DB Country PMI'!$A:$AZ,MATCH($A$1,'DB Country PMI'!$A$1:$AZ$1,),)=0,#N/A,VLOOKUP(A277,'DB Country PMI'!$A:$AZ,MATCH($A$1,'DB Country PMI'!$A$1:$AZ$1,),))</f>
        <v>53.62</v>
      </c>
      <c r="C277" s="24">
        <f>Table13[[#This Row],[PMI]]-B276</f>
        <v>-5.9100000000000037</v>
      </c>
    </row>
    <row r="278" spans="1:3" x14ac:dyDescent="0.2">
      <c r="A278" s="10">
        <v>42614</v>
      </c>
      <c r="B278" s="18">
        <f>IF(VLOOKUP(A278,'DB Country PMI'!$A:$AZ,MATCH($A$1,'DB Country PMI'!$A$1:$AZ$1,),)=0,#N/A,VLOOKUP(A278,'DB Country PMI'!$A:$AZ,MATCH($A$1,'DB Country PMI'!$A$1:$AZ$1,),))</f>
        <v>58.98</v>
      </c>
      <c r="C278" s="24">
        <f>Table13[[#This Row],[PMI]]-B277</f>
        <v>5.3599999999999994</v>
      </c>
    </row>
    <row r="279" spans="1:3" x14ac:dyDescent="0.2">
      <c r="A279" s="10">
        <v>42644</v>
      </c>
      <c r="B279" s="18">
        <f>IF(VLOOKUP(A279,'DB Country PMI'!$A:$AZ,MATCH($A$1,'DB Country PMI'!$A$1:$AZ$1,),)=0,#N/A,VLOOKUP(A279,'DB Country PMI'!$A:$AZ,MATCH($A$1,'DB Country PMI'!$A$1:$AZ$1,),))</f>
        <v>57.31</v>
      </c>
      <c r="C279" s="24">
        <f>Table13[[#This Row],[PMI]]-B278</f>
        <v>-1.6699999999999946</v>
      </c>
    </row>
    <row r="280" spans="1:3" x14ac:dyDescent="0.2">
      <c r="A280" s="10">
        <v>42675</v>
      </c>
      <c r="B280" s="18">
        <f>IF(VLOOKUP(A280,'DB Country PMI'!$A:$AZ,MATCH($A$1,'DB Country PMI'!$A$1:$AZ$1,),)=0,#N/A,VLOOKUP(A280,'DB Country PMI'!$A:$AZ,MATCH($A$1,'DB Country PMI'!$A$1:$AZ$1,),))</f>
        <v>57.22</v>
      </c>
      <c r="C280" s="24">
        <f>Table13[[#This Row],[PMI]]-B279</f>
        <v>-9.0000000000003411E-2</v>
      </c>
    </row>
    <row r="281" spans="1:3" x14ac:dyDescent="0.2">
      <c r="A281" s="10">
        <v>42705</v>
      </c>
      <c r="B281" s="18">
        <f>IF(VLOOKUP(A281,'DB Country PMI'!$A:$AZ,MATCH($A$1,'DB Country PMI'!$A$1:$AZ$1,),)=0,#N/A,VLOOKUP(A281,'DB Country PMI'!$A:$AZ,MATCH($A$1,'DB Country PMI'!$A$1:$AZ$1,),))</f>
        <v>62.52</v>
      </c>
      <c r="C281" s="24">
        <f>Table13[[#This Row],[PMI]]-B280</f>
        <v>5.3000000000000043</v>
      </c>
    </row>
    <row r="282" spans="1:3" x14ac:dyDescent="0.2">
      <c r="A282" s="10">
        <v>42736</v>
      </c>
      <c r="B282" s="18">
        <f>IF(VLOOKUP(A282,'DB Country PMI'!$A:$AZ,MATCH($A$1,'DB Country PMI'!$A$1:$AZ$1,),)=0,#N/A,VLOOKUP(A282,'DB Country PMI'!$A:$AZ,MATCH($A$1,'DB Country PMI'!$A$1:$AZ$1,),))</f>
        <v>57.57</v>
      </c>
      <c r="C282" s="24">
        <f>Table13[[#This Row],[PMI]]-B281</f>
        <v>-4.9500000000000028</v>
      </c>
    </row>
    <row r="283" spans="1:3" x14ac:dyDescent="0.2">
      <c r="A283" s="10">
        <v>42767</v>
      </c>
      <c r="B283" s="18">
        <f>IF(VLOOKUP(A283,'DB Country PMI'!$A:$AZ,MATCH($A$1,'DB Country PMI'!$A$1:$AZ$1,),)=0,#N/A,VLOOKUP(A283,'DB Country PMI'!$A:$AZ,MATCH($A$1,'DB Country PMI'!$A$1:$AZ$1,),))</f>
        <v>56.51</v>
      </c>
      <c r="C283" s="24">
        <f>Table13[[#This Row],[PMI]]-B282</f>
        <v>-1.0600000000000023</v>
      </c>
    </row>
    <row r="284" spans="1:3" x14ac:dyDescent="0.2">
      <c r="A284" s="10">
        <v>42795</v>
      </c>
      <c r="B284" s="18">
        <f>IF(VLOOKUP(A284,'DB Country PMI'!$A:$AZ,MATCH($A$1,'DB Country PMI'!$A$1:$AZ$1,),)=0,#N/A,VLOOKUP(A284,'DB Country PMI'!$A:$AZ,MATCH($A$1,'DB Country PMI'!$A$1:$AZ$1,),))</f>
        <v>56.62</v>
      </c>
      <c r="C284" s="24">
        <f>Table13[[#This Row],[PMI]]-B283</f>
        <v>0.10999999999999943</v>
      </c>
    </row>
    <row r="285" spans="1:3" x14ac:dyDescent="0.2">
      <c r="A285" s="10">
        <v>42826</v>
      </c>
      <c r="B285" s="18">
        <f>IF(VLOOKUP(A285,'DB Country PMI'!$A:$AZ,MATCH($A$1,'DB Country PMI'!$A$1:$AZ$1,),)=0,#N/A,VLOOKUP(A285,'DB Country PMI'!$A:$AZ,MATCH($A$1,'DB Country PMI'!$A$1:$AZ$1,),))</f>
        <v>49.11</v>
      </c>
      <c r="C285" s="24">
        <f>Table13[[#This Row],[PMI]]-B284</f>
        <v>-7.509999999999998</v>
      </c>
    </row>
    <row r="286" spans="1:3" x14ac:dyDescent="0.2">
      <c r="A286" s="10">
        <v>42856</v>
      </c>
      <c r="B286" s="18">
        <f>IF(VLOOKUP(A286,'DB Country PMI'!$A:$AZ,MATCH($A$1,'DB Country PMI'!$A$1:$AZ$1,),)=0,#N/A,VLOOKUP(A286,'DB Country PMI'!$A:$AZ,MATCH($A$1,'DB Country PMI'!$A$1:$AZ$1,),))</f>
        <v>57.99</v>
      </c>
      <c r="C286" s="24">
        <f>Table13[[#This Row],[PMI]]-B285</f>
        <v>8.8800000000000026</v>
      </c>
    </row>
    <row r="287" spans="1:3" x14ac:dyDescent="0.2">
      <c r="A287" s="10">
        <v>42887</v>
      </c>
      <c r="B287" s="18">
        <f>IF(VLOOKUP(A287,'DB Country PMI'!$A:$AZ,MATCH($A$1,'DB Country PMI'!$A$1:$AZ$1,),)=0,#N/A,VLOOKUP(A287,'DB Country PMI'!$A:$AZ,MATCH($A$1,'DB Country PMI'!$A$1:$AZ$1,),))</f>
        <v>63.61</v>
      </c>
      <c r="C287" s="24">
        <f>Table13[[#This Row],[PMI]]-B286</f>
        <v>5.6199999999999974</v>
      </c>
    </row>
    <row r="288" spans="1:3" x14ac:dyDescent="0.2">
      <c r="A288" s="10">
        <v>42917</v>
      </c>
      <c r="B288" s="18">
        <f>IF(VLOOKUP(A288,'DB Country PMI'!$A:$AZ,MATCH($A$1,'DB Country PMI'!$A$1:$AZ$1,),)=0,#N/A,VLOOKUP(A288,'DB Country PMI'!$A:$AZ,MATCH($A$1,'DB Country PMI'!$A$1:$AZ$1,),))</f>
        <v>63.72</v>
      </c>
      <c r="C288" s="24">
        <f>Table13[[#This Row],[PMI]]-B287</f>
        <v>0.10999999999999943</v>
      </c>
    </row>
    <row r="289" spans="1:3" x14ac:dyDescent="0.2">
      <c r="A289" s="10">
        <v>42948</v>
      </c>
      <c r="B289" s="18">
        <f>IF(VLOOKUP(A289,'DB Country PMI'!$A:$AZ,MATCH($A$1,'DB Country PMI'!$A$1:$AZ$1,),)=0,#N/A,VLOOKUP(A289,'DB Country PMI'!$A:$AZ,MATCH($A$1,'DB Country PMI'!$A$1:$AZ$1,),))</f>
        <v>60.57</v>
      </c>
      <c r="C289" s="24">
        <f>Table13[[#This Row],[PMI]]-B288</f>
        <v>-3.1499999999999986</v>
      </c>
    </row>
    <row r="290" spans="1:3" x14ac:dyDescent="0.2">
      <c r="A290" s="10">
        <v>42979</v>
      </c>
      <c r="B290" s="18">
        <f>IF(VLOOKUP(A290,'DB Country PMI'!$A:$AZ,MATCH($A$1,'DB Country PMI'!$A$1:$AZ$1,),)=0,#N/A,VLOOKUP(A290,'DB Country PMI'!$A:$AZ,MATCH($A$1,'DB Country PMI'!$A$1:$AZ$1,),))</f>
        <v>61.78</v>
      </c>
      <c r="C290" s="24">
        <f>Table13[[#This Row],[PMI]]-B289</f>
        <v>1.2100000000000009</v>
      </c>
    </row>
    <row r="291" spans="1:3" x14ac:dyDescent="0.2">
      <c r="A291" s="10">
        <v>43009</v>
      </c>
      <c r="B291" s="18">
        <f>IF(VLOOKUP(A291,'DB Country PMI'!$A:$AZ,MATCH($A$1,'DB Country PMI'!$A$1:$AZ$1,),)=0,#N/A,VLOOKUP(A291,'DB Country PMI'!$A:$AZ,MATCH($A$1,'DB Country PMI'!$A$1:$AZ$1,),))</f>
        <v>58.57</v>
      </c>
      <c r="C291" s="24">
        <f>Table13[[#This Row],[PMI]]-B290</f>
        <v>-3.2100000000000009</v>
      </c>
    </row>
    <row r="292" spans="1:3" x14ac:dyDescent="0.2">
      <c r="A292" s="10">
        <v>43040</v>
      </c>
      <c r="B292" s="18">
        <f>IF(VLOOKUP(A292,'DB Country PMI'!$A:$AZ,MATCH($A$1,'DB Country PMI'!$A$1:$AZ$1,),)=0,#N/A,VLOOKUP(A292,'DB Country PMI'!$A:$AZ,MATCH($A$1,'DB Country PMI'!$A$1:$AZ$1,),))</f>
        <v>58.31</v>
      </c>
      <c r="C292" s="24">
        <f>Table13[[#This Row],[PMI]]-B291</f>
        <v>-0.25999999999999801</v>
      </c>
    </row>
    <row r="293" spans="1:3" x14ac:dyDescent="0.2">
      <c r="A293" s="10">
        <v>43070</v>
      </c>
      <c r="B293" s="18">
        <f>IF(VLOOKUP(A293,'DB Country PMI'!$A:$AZ,MATCH($A$1,'DB Country PMI'!$A$1:$AZ$1,),)=0,#N/A,VLOOKUP(A293,'DB Country PMI'!$A:$AZ,MATCH($A$1,'DB Country PMI'!$A$1:$AZ$1,),))</f>
        <v>61.04</v>
      </c>
      <c r="C293" s="24">
        <f>Table13[[#This Row],[PMI]]-B292</f>
        <v>2.7299999999999969</v>
      </c>
    </row>
    <row r="294" spans="1:3" x14ac:dyDescent="0.2">
      <c r="A294" s="10">
        <v>43101</v>
      </c>
      <c r="B294" s="18">
        <f>IF(VLOOKUP(A294,'DB Country PMI'!$A:$AZ,MATCH($A$1,'DB Country PMI'!$A$1:$AZ$1,),)=0,#N/A,VLOOKUP(A294,'DB Country PMI'!$A:$AZ,MATCH($A$1,'DB Country PMI'!$A$1:$AZ$1,),))</f>
        <v>66.650000000000006</v>
      </c>
      <c r="C294" s="24">
        <f>Table13[[#This Row],[PMI]]-B293</f>
        <v>5.6100000000000065</v>
      </c>
    </row>
    <row r="295" spans="1:3" x14ac:dyDescent="0.2">
      <c r="A295" s="10">
        <v>43132</v>
      </c>
      <c r="B295" s="18">
        <f>IF(VLOOKUP(A295,'DB Country PMI'!$A:$AZ,MATCH($A$1,'DB Country PMI'!$A$1:$AZ$1,),)=0,#N/A,VLOOKUP(A295,'DB Country PMI'!$A:$AZ,MATCH($A$1,'DB Country PMI'!$A$1:$AZ$1,),))</f>
        <v>70.75</v>
      </c>
      <c r="C295" s="24">
        <f>Table13[[#This Row],[PMI]]-B294</f>
        <v>4.0999999999999943</v>
      </c>
    </row>
    <row r="296" spans="1:3" x14ac:dyDescent="0.2">
      <c r="A296" s="10">
        <v>43160</v>
      </c>
      <c r="B296" s="18">
        <f>IF(VLOOKUP(A296,'DB Country PMI'!$A:$AZ,MATCH($A$1,'DB Country PMI'!$A$1:$AZ$1,),)=0,#N/A,VLOOKUP(A296,'DB Country PMI'!$A:$AZ,MATCH($A$1,'DB Country PMI'!$A$1:$AZ$1,),))</f>
        <v>61.05</v>
      </c>
      <c r="C296" s="24">
        <f>Table13[[#This Row],[PMI]]-B295</f>
        <v>-9.7000000000000028</v>
      </c>
    </row>
    <row r="297" spans="1:3" x14ac:dyDescent="0.2">
      <c r="A297" s="10">
        <v>43191</v>
      </c>
      <c r="B297" s="18">
        <f>IF(VLOOKUP(A297,'DB Country PMI'!$A:$AZ,MATCH($A$1,'DB Country PMI'!$A$1:$AZ$1,),)=0,#N/A,VLOOKUP(A297,'DB Country PMI'!$A:$AZ,MATCH($A$1,'DB Country PMI'!$A$1:$AZ$1,),))</f>
        <v>54.24</v>
      </c>
      <c r="C297" s="24">
        <f>Table13[[#This Row],[PMI]]-B296</f>
        <v>-6.8099999999999952</v>
      </c>
    </row>
    <row r="298" spans="1:3" x14ac:dyDescent="0.2">
      <c r="A298" s="10">
        <v>43221</v>
      </c>
      <c r="B298" s="18">
        <f>IF(VLOOKUP(A298,'DB Country PMI'!$A:$AZ,MATCH($A$1,'DB Country PMI'!$A$1:$AZ$1,),)=0,#N/A,VLOOKUP(A298,'DB Country PMI'!$A:$AZ,MATCH($A$1,'DB Country PMI'!$A$1:$AZ$1,),))</f>
        <v>47.78</v>
      </c>
      <c r="C298" s="24">
        <f>Table13[[#This Row],[PMI]]-B297</f>
        <v>-6.4600000000000009</v>
      </c>
    </row>
    <row r="299" spans="1:3" x14ac:dyDescent="0.2">
      <c r="A299" s="10">
        <v>43252</v>
      </c>
      <c r="B299" s="18">
        <f>IF(VLOOKUP(A299,'DB Country PMI'!$A:$AZ,MATCH($A$1,'DB Country PMI'!$A$1:$AZ$1,),)=0,#N/A,VLOOKUP(A299,'DB Country PMI'!$A:$AZ,MATCH($A$1,'DB Country PMI'!$A$1:$AZ$1,),))</f>
        <v>49.8</v>
      </c>
      <c r="C299" s="24">
        <f>Table13[[#This Row],[PMI]]-B298</f>
        <v>2.019999999999996</v>
      </c>
    </row>
    <row r="300" spans="1:3" x14ac:dyDescent="0.2">
      <c r="A300" s="10">
        <v>43282</v>
      </c>
      <c r="B300" s="18">
        <f>IF(VLOOKUP(A300,'DB Country PMI'!$A:$AZ,MATCH($A$1,'DB Country PMI'!$A$1:$AZ$1,),)=0,#N/A,VLOOKUP(A300,'DB Country PMI'!$A:$AZ,MATCH($A$1,'DB Country PMI'!$A$1:$AZ$1,),))</f>
        <v>55.7</v>
      </c>
      <c r="C300" s="24">
        <f>Table13[[#This Row],[PMI]]-B299</f>
        <v>5.9000000000000057</v>
      </c>
    </row>
    <row r="301" spans="1:3" x14ac:dyDescent="0.2">
      <c r="A301" s="10">
        <v>43313</v>
      </c>
      <c r="B301" s="18">
        <f>IF(VLOOKUP(A301,'DB Country PMI'!$A:$AZ,MATCH($A$1,'DB Country PMI'!$A$1:$AZ$1,),)=0,#N/A,VLOOKUP(A301,'DB Country PMI'!$A:$AZ,MATCH($A$1,'DB Country PMI'!$A$1:$AZ$1,),))</f>
        <v>59.15</v>
      </c>
      <c r="C301" s="24">
        <f>Table13[[#This Row],[PMI]]-B300</f>
        <v>3.4499999999999957</v>
      </c>
    </row>
    <row r="302" spans="1:3" x14ac:dyDescent="0.2">
      <c r="A302" s="10">
        <v>43344</v>
      </c>
      <c r="B302" s="18">
        <f>IF(VLOOKUP(A302,'DB Country PMI'!$A:$AZ,MATCH($A$1,'DB Country PMI'!$A$1:$AZ$1,),)=0,#N/A,VLOOKUP(A302,'DB Country PMI'!$A:$AZ,MATCH($A$1,'DB Country PMI'!$A$1:$AZ$1,),))</f>
        <v>53.7</v>
      </c>
      <c r="C302" s="24">
        <f>Table13[[#This Row],[PMI]]-B301</f>
        <v>-5.4499999999999957</v>
      </c>
    </row>
    <row r="303" spans="1:3" x14ac:dyDescent="0.2">
      <c r="A303" s="10">
        <v>43374</v>
      </c>
      <c r="B303" s="18">
        <f>IF(VLOOKUP(A303,'DB Country PMI'!$A:$AZ,MATCH($A$1,'DB Country PMI'!$A$1:$AZ$1,),)=0,#N/A,VLOOKUP(A303,'DB Country PMI'!$A:$AZ,MATCH($A$1,'DB Country PMI'!$A$1:$AZ$1,),))</f>
        <v>66.8</v>
      </c>
      <c r="C303" s="24">
        <f>Table13[[#This Row],[PMI]]-B302</f>
        <v>13.099999999999994</v>
      </c>
    </row>
    <row r="304" spans="1:3" x14ac:dyDescent="0.2">
      <c r="A304" s="10">
        <v>43405</v>
      </c>
      <c r="B304" s="18">
        <f>IF(VLOOKUP(A304,'DB Country PMI'!$A:$AZ,MATCH($A$1,'DB Country PMI'!$A$1:$AZ$1,),)=0,#N/A,VLOOKUP(A304,'DB Country PMI'!$A:$AZ,MATCH($A$1,'DB Country PMI'!$A$1:$AZ$1,),))</f>
        <v>58.2</v>
      </c>
      <c r="C304" s="24">
        <f>Table13[[#This Row],[PMI]]-B303</f>
        <v>-8.5999999999999943</v>
      </c>
    </row>
    <row r="305" spans="1:3" x14ac:dyDescent="0.2">
      <c r="A305" s="10">
        <v>43435</v>
      </c>
      <c r="B305" s="18">
        <f>IF(VLOOKUP(A305,'DB Country PMI'!$A:$AZ,MATCH($A$1,'DB Country PMI'!$A$1:$AZ$1,),)=0,#N/A,VLOOKUP(A305,'DB Country PMI'!$A:$AZ,MATCH($A$1,'DB Country PMI'!$A$1:$AZ$1,),))</f>
        <v>57.5</v>
      </c>
      <c r="C305" s="24">
        <f>Table13[[#This Row],[PMI]]-B304</f>
        <v>-0.70000000000000284</v>
      </c>
    </row>
    <row r="306" spans="1:3" x14ac:dyDescent="0.2">
      <c r="A306" s="10">
        <v>43466</v>
      </c>
      <c r="B306" s="18">
        <f>IF(VLOOKUP(A306,'DB Country PMI'!$A:$AZ,MATCH($A$1,'DB Country PMI'!$A$1:$AZ$1,),)=0,#N/A,VLOOKUP(A306,'DB Country PMI'!$A:$AZ,MATCH($A$1,'DB Country PMI'!$A$1:$AZ$1,),))</f>
        <v>51.1</v>
      </c>
      <c r="C306" s="24">
        <f>Table13[[#This Row],[PMI]]-B305</f>
        <v>-6.3999999999999986</v>
      </c>
    </row>
    <row r="307" spans="1:3" x14ac:dyDescent="0.2">
      <c r="A307" s="10">
        <v>43497</v>
      </c>
      <c r="B307" s="18">
        <f>IF(VLOOKUP(A307,'DB Country PMI'!$A:$AZ,MATCH($A$1,'DB Country PMI'!$A$1:$AZ$1,),)=0,#N/A,VLOOKUP(A307,'DB Country PMI'!$A:$AZ,MATCH($A$1,'DB Country PMI'!$A$1:$AZ$1,),))</f>
        <v>61.6</v>
      </c>
      <c r="C307" s="24">
        <f>Table13[[#This Row],[PMI]]-B306</f>
        <v>10.5</v>
      </c>
    </row>
    <row r="308" spans="1:3" x14ac:dyDescent="0.2">
      <c r="A308" s="10">
        <v>43525</v>
      </c>
      <c r="B308" s="18">
        <f>IF(VLOOKUP(A308,'DB Country PMI'!$A:$AZ,MATCH($A$1,'DB Country PMI'!$A$1:$AZ$1,),)=0,#N/A,VLOOKUP(A308,'DB Country PMI'!$A:$AZ,MATCH($A$1,'DB Country PMI'!$A$1:$AZ$1,),))</f>
        <v>56.6</v>
      </c>
      <c r="C308" s="24">
        <f>Table13[[#This Row],[PMI]]-B307</f>
        <v>-5</v>
      </c>
    </row>
    <row r="309" spans="1:3" x14ac:dyDescent="0.2">
      <c r="A309" s="10">
        <v>43556</v>
      </c>
      <c r="B309" s="18">
        <f>IF(VLOOKUP(A309,'DB Country PMI'!$A:$AZ,MATCH($A$1,'DB Country PMI'!$A$1:$AZ$1,),)=0,#N/A,VLOOKUP(A309,'DB Country PMI'!$A:$AZ,MATCH($A$1,'DB Country PMI'!$A$1:$AZ$1,),))</f>
        <v>59.6</v>
      </c>
      <c r="C309" s="24">
        <f>Table13[[#This Row],[PMI]]-B308</f>
        <v>3</v>
      </c>
    </row>
    <row r="310" spans="1:3" x14ac:dyDescent="0.2">
      <c r="A310" s="10">
        <v>43586</v>
      </c>
      <c r="B310" s="18">
        <f>IF(VLOOKUP(A310,'DB Country PMI'!$A:$AZ,MATCH($A$1,'DB Country PMI'!$A$1:$AZ$1,),)=0,#N/A,VLOOKUP(A310,'DB Country PMI'!$A:$AZ,MATCH($A$1,'DB Country PMI'!$A$1:$AZ$1,),))</f>
        <v>47.6</v>
      </c>
      <c r="C310" s="24">
        <f>Table13[[#This Row],[PMI]]-B309</f>
        <v>-12</v>
      </c>
    </row>
    <row r="311" spans="1:3" x14ac:dyDescent="0.2">
      <c r="A311" s="10">
        <v>43617</v>
      </c>
      <c r="B311" s="18">
        <f>IF(VLOOKUP(A311,'DB Country PMI'!$A:$AZ,MATCH($A$1,'DB Country PMI'!$A$1:$AZ$1,),)=0,#N/A,VLOOKUP(A311,'DB Country PMI'!$A:$AZ,MATCH($A$1,'DB Country PMI'!$A$1:$AZ$1,),))</f>
        <v>45</v>
      </c>
      <c r="C311" s="24">
        <f>Table13[[#This Row],[PMI]]-B310</f>
        <v>-2.6000000000000014</v>
      </c>
    </row>
    <row r="312" spans="1:3" x14ac:dyDescent="0.2">
      <c r="A312" s="10">
        <v>43647</v>
      </c>
      <c r="B312" s="18">
        <f>IF(VLOOKUP(A312,'DB Country PMI'!$A:$AZ,MATCH($A$1,'DB Country PMI'!$A$1:$AZ$1,),)=0,#N/A,VLOOKUP(A312,'DB Country PMI'!$A:$AZ,MATCH($A$1,'DB Country PMI'!$A$1:$AZ$1,),))</f>
        <v>49.5</v>
      </c>
      <c r="C312" s="24">
        <f>Table13[[#This Row],[PMI]]-B311</f>
        <v>4.5</v>
      </c>
    </row>
    <row r="313" spans="1:3" x14ac:dyDescent="0.2">
      <c r="A313" s="10">
        <v>43678</v>
      </c>
      <c r="B313" s="18">
        <f>IF(VLOOKUP(A313,'DB Country PMI'!$A:$AZ,MATCH($A$1,'DB Country PMI'!$A$1:$AZ$1,),)=0,#N/A,VLOOKUP(A313,'DB Country PMI'!$A:$AZ,MATCH($A$1,'DB Country PMI'!$A$1:$AZ$1,),))</f>
        <v>48.7</v>
      </c>
      <c r="C313" s="24">
        <f>Table13[[#This Row],[PMI]]-B312</f>
        <v>-0.79999999999999716</v>
      </c>
    </row>
    <row r="314" spans="1:3" x14ac:dyDescent="0.2">
      <c r="A314" s="10">
        <v>43709</v>
      </c>
      <c r="B314" s="18">
        <f>IF(VLOOKUP(A314,'DB Country PMI'!$A:$AZ,MATCH($A$1,'DB Country PMI'!$A$1:$AZ$1,),)=0,#N/A,VLOOKUP(A314,'DB Country PMI'!$A:$AZ,MATCH($A$1,'DB Country PMI'!$A$1:$AZ$1,),))</f>
        <v>50.2</v>
      </c>
      <c r="C314" s="24">
        <f>Table13[[#This Row],[PMI]]-B313</f>
        <v>1.5</v>
      </c>
    </row>
    <row r="315" spans="1:3" x14ac:dyDescent="0.2">
      <c r="A315" s="10">
        <v>43739</v>
      </c>
      <c r="B315" s="18">
        <f>IF(VLOOKUP(A315,'DB Country PMI'!$A:$AZ,MATCH($A$1,'DB Country PMI'!$A$1:$AZ$1,),)=0,#N/A,VLOOKUP(A315,'DB Country PMI'!$A:$AZ,MATCH($A$1,'DB Country PMI'!$A$1:$AZ$1,),))</f>
        <v>49.5</v>
      </c>
      <c r="C315" s="24">
        <f>Table13[[#This Row],[PMI]]-B314</f>
        <v>-0.70000000000000284</v>
      </c>
    </row>
    <row r="316" spans="1:3" x14ac:dyDescent="0.2">
      <c r="A316" s="10">
        <v>43770</v>
      </c>
      <c r="B316" s="18">
        <f>IF(VLOOKUP(A316,'DB Country PMI'!$A:$AZ,MATCH($A$1,'DB Country PMI'!$A$1:$AZ$1,),)=0,#N/A,VLOOKUP(A316,'DB Country PMI'!$A:$AZ,MATCH($A$1,'DB Country PMI'!$A$1:$AZ$1,),))</f>
        <v>53</v>
      </c>
      <c r="C316" s="24">
        <f>Table13[[#This Row],[PMI]]-B315</f>
        <v>3.5</v>
      </c>
    </row>
    <row r="317" spans="1:3" x14ac:dyDescent="0.2">
      <c r="A317" s="10">
        <v>43800</v>
      </c>
      <c r="B317" s="18">
        <f>IF(VLOOKUP(A317,'DB Country PMI'!$A:$AZ,MATCH($A$1,'DB Country PMI'!$A$1:$AZ$1,),)=0,#N/A,VLOOKUP(A317,'DB Country PMI'!$A:$AZ,MATCH($A$1,'DB Country PMI'!$A$1:$AZ$1,),))</f>
        <v>50.7</v>
      </c>
      <c r="C317" s="24">
        <f>Table13[[#This Row],[PMI]]-B316</f>
        <v>-2.2999999999999972</v>
      </c>
    </row>
    <row r="318" spans="1:3" x14ac:dyDescent="0.2">
      <c r="A318" s="10">
        <v>43831</v>
      </c>
      <c r="B318" s="18">
        <f>IF(VLOOKUP(A318,'DB Country PMI'!$A:$AZ,MATCH($A$1,'DB Country PMI'!$A$1:$AZ$1,),)=0,#N/A,VLOOKUP(A318,'DB Country PMI'!$A:$AZ,MATCH($A$1,'DB Country PMI'!$A$1:$AZ$1,),))</f>
        <v>53.2</v>
      </c>
      <c r="C318" s="24">
        <f>Table13[[#This Row],[PMI]]-B317</f>
        <v>2.5</v>
      </c>
    </row>
    <row r="319" spans="1:3" x14ac:dyDescent="0.2">
      <c r="A319" s="10">
        <v>43862</v>
      </c>
      <c r="B319" s="18">
        <f>IF(VLOOKUP(A319,'DB Country PMI'!$A:$AZ,MATCH($A$1,'DB Country PMI'!$A$1:$AZ$1,),)=0,#N/A,VLOOKUP(A319,'DB Country PMI'!$A:$AZ,MATCH($A$1,'DB Country PMI'!$A$1:$AZ$1,),))</f>
        <v>49.2</v>
      </c>
      <c r="C319" s="24">
        <f>Table13[[#This Row],[PMI]]-B318</f>
        <v>-4</v>
      </c>
    </row>
    <row r="320" spans="1:3" x14ac:dyDescent="0.2">
      <c r="A320" s="10">
        <v>43891</v>
      </c>
      <c r="B320" s="18">
        <f>IF(VLOOKUP(A320,'DB Country PMI'!$A:$AZ,MATCH($A$1,'DB Country PMI'!$A$1:$AZ$1,),)=0,#N/A,VLOOKUP(A320,'DB Country PMI'!$A:$AZ,MATCH($A$1,'DB Country PMI'!$A$1:$AZ$1,),))</f>
        <v>46.8</v>
      </c>
      <c r="C320" s="24">
        <f>Table13[[#This Row],[PMI]]-B319</f>
        <v>-2.4000000000000057</v>
      </c>
    </row>
    <row r="321" spans="1:3" x14ac:dyDescent="0.2">
      <c r="A321" s="10">
        <v>43922</v>
      </c>
      <c r="B321" s="18">
        <f>IF(VLOOKUP(A321,'DB Country PMI'!$A:$AZ,MATCH($A$1,'DB Country PMI'!$A$1:$AZ$1,),)=0,#N/A,VLOOKUP(A321,'DB Country PMI'!$A:$AZ,MATCH($A$1,'DB Country PMI'!$A$1:$AZ$1,),))</f>
        <v>38.6</v>
      </c>
      <c r="C321" s="24">
        <f>Table13[[#This Row],[PMI]]-B320</f>
        <v>-8.1999999999999957</v>
      </c>
    </row>
    <row r="322" spans="1:3" x14ac:dyDescent="0.2">
      <c r="A322" s="10">
        <v>43952</v>
      </c>
      <c r="B322" s="18">
        <f>IF(VLOOKUP(A322,'DB Country PMI'!$A:$AZ,MATCH($A$1,'DB Country PMI'!$A$1:$AZ$1,),)=0,#N/A,VLOOKUP(A322,'DB Country PMI'!$A:$AZ,MATCH($A$1,'DB Country PMI'!$A$1:$AZ$1,),))</f>
        <v>54</v>
      </c>
      <c r="C322" s="24">
        <f>Table13[[#This Row],[PMI]]-B321</f>
        <v>15.399999999999999</v>
      </c>
    </row>
    <row r="323" spans="1:3" x14ac:dyDescent="0.2">
      <c r="A323" s="10">
        <v>43983</v>
      </c>
      <c r="B323" s="18">
        <f>IF(VLOOKUP(A323,'DB Country PMI'!$A:$AZ,MATCH($A$1,'DB Country PMI'!$A$1:$AZ$1,),)=0,#N/A,VLOOKUP(A323,'DB Country PMI'!$A:$AZ,MATCH($A$1,'DB Country PMI'!$A$1:$AZ$1,),))</f>
        <v>52.2</v>
      </c>
      <c r="C323" s="24">
        <f>Table13[[#This Row],[PMI]]-B322</f>
        <v>-1.7999999999999972</v>
      </c>
    </row>
    <row r="324" spans="1:3" x14ac:dyDescent="0.2">
      <c r="A324" s="10">
        <v>44013</v>
      </c>
      <c r="B324" s="18">
        <f>IF(VLOOKUP(A324,'DB Country PMI'!$A:$AZ,MATCH($A$1,'DB Country PMI'!$A$1:$AZ$1,),)=0,#N/A,VLOOKUP(A324,'DB Country PMI'!$A:$AZ,MATCH($A$1,'DB Country PMI'!$A$1:$AZ$1,),))</f>
        <v>57.4</v>
      </c>
      <c r="C324" s="24">
        <f>Table13[[#This Row],[PMI]]-B323</f>
        <v>5.1999999999999957</v>
      </c>
    </row>
    <row r="325" spans="1:3" x14ac:dyDescent="0.2">
      <c r="A325" s="10">
        <v>44044</v>
      </c>
      <c r="B325" s="18">
        <f>IF(VLOOKUP(A325,'DB Country PMI'!$A:$AZ,MATCH($A$1,'DB Country PMI'!$A$1:$AZ$1,),)=0,#N/A,VLOOKUP(A325,'DB Country PMI'!$A:$AZ,MATCH($A$1,'DB Country PMI'!$A$1:$AZ$1,),))</f>
        <v>52.3</v>
      </c>
      <c r="C325" s="24">
        <f>Table13[[#This Row],[PMI]]-B324</f>
        <v>-5.1000000000000014</v>
      </c>
    </row>
    <row r="326" spans="1:3" x14ac:dyDescent="0.2">
      <c r="A326" s="10">
        <v>44075</v>
      </c>
      <c r="B326" s="18">
        <f>IF(VLOOKUP(A326,'DB Country PMI'!$A:$AZ,MATCH($A$1,'DB Country PMI'!$A$1:$AZ$1,),)=0,#N/A,VLOOKUP(A326,'DB Country PMI'!$A:$AZ,MATCH($A$1,'DB Country PMI'!$A$1:$AZ$1,),))</f>
        <v>54.4</v>
      </c>
      <c r="C326" s="24">
        <f>Table13[[#This Row],[PMI]]-B325</f>
        <v>2.1000000000000014</v>
      </c>
    </row>
    <row r="327" spans="1:3" x14ac:dyDescent="0.2">
      <c r="A327" s="10">
        <v>44105</v>
      </c>
      <c r="B327" s="18">
        <f>IF(VLOOKUP(A327,'DB Country PMI'!$A:$AZ,MATCH($A$1,'DB Country PMI'!$A$1:$AZ$1,),)=0,#N/A,VLOOKUP(A327,'DB Country PMI'!$A:$AZ,MATCH($A$1,'DB Country PMI'!$A$1:$AZ$1,),))</f>
        <v>61.8</v>
      </c>
      <c r="C327" s="24">
        <f>Table13[[#This Row],[PMI]]-B326</f>
        <v>7.3999999999999986</v>
      </c>
    </row>
    <row r="328" spans="1:3" x14ac:dyDescent="0.2">
      <c r="A328" s="10">
        <v>44136</v>
      </c>
      <c r="B328" s="18">
        <f>IF(VLOOKUP(A328,'DB Country PMI'!$A:$AZ,MATCH($A$1,'DB Country PMI'!$A$1:$AZ$1,),)=0,#N/A,VLOOKUP(A328,'DB Country PMI'!$A:$AZ,MATCH($A$1,'DB Country PMI'!$A$1:$AZ$1,),))</f>
        <v>47.7</v>
      </c>
      <c r="C328" s="24">
        <f>Table13[[#This Row],[PMI]]-B327</f>
        <v>-14.099999999999994</v>
      </c>
    </row>
    <row r="329" spans="1:3" x14ac:dyDescent="0.2">
      <c r="A329" s="10">
        <v>44166</v>
      </c>
      <c r="B329" s="18">
        <f>IF(VLOOKUP(A329,'DB Country PMI'!$A:$AZ,MATCH($A$1,'DB Country PMI'!$A$1:$AZ$1,),)=0,#N/A,VLOOKUP(A329,'DB Country PMI'!$A:$AZ,MATCH($A$1,'DB Country PMI'!$A$1:$AZ$1,),))</f>
        <v>41.9</v>
      </c>
      <c r="C329" s="24">
        <f>Table13[[#This Row],[PMI]]-B328</f>
        <v>-5.8000000000000043</v>
      </c>
    </row>
    <row r="330" spans="1:3" x14ac:dyDescent="0.2">
      <c r="A330" s="10">
        <v>44197</v>
      </c>
      <c r="B330" s="18">
        <f>IF(VLOOKUP(A330,'DB Country PMI'!$A:$AZ,MATCH($A$1,'DB Country PMI'!$A$1:$AZ$1,),)=0,#N/A,VLOOKUP(A330,'DB Country PMI'!$A:$AZ,MATCH($A$1,'DB Country PMI'!$A$1:$AZ$1,),))</f>
        <v>42.1</v>
      </c>
      <c r="C330" s="24">
        <f>Table13[[#This Row],[PMI]]-B329</f>
        <v>0.20000000000000284</v>
      </c>
    </row>
    <row r="331" spans="1:3" x14ac:dyDescent="0.2">
      <c r="A331" s="10">
        <v>44228</v>
      </c>
      <c r="B331" s="18">
        <f>IF(VLOOKUP(A331,'DB Country PMI'!$A:$AZ,MATCH($A$1,'DB Country PMI'!$A$1:$AZ$1,),)=0,#N/A,VLOOKUP(A331,'DB Country PMI'!$A:$AZ,MATCH($A$1,'DB Country PMI'!$A$1:$AZ$1,),))</f>
        <v>40.799999999999997</v>
      </c>
      <c r="C331" s="24">
        <f>Table13[[#This Row],[PMI]]-B330</f>
        <v>-1.3000000000000043</v>
      </c>
    </row>
    <row r="332" spans="1:3" x14ac:dyDescent="0.2">
      <c r="A332" s="10">
        <v>44256</v>
      </c>
      <c r="B332" s="18">
        <f>IF(VLOOKUP(A332,'DB Country PMI'!$A:$AZ,MATCH($A$1,'DB Country PMI'!$A$1:$AZ$1,),)=0,#N/A,VLOOKUP(A332,'DB Country PMI'!$A:$AZ,MATCH($A$1,'DB Country PMI'!$A$1:$AZ$1,),))</f>
        <v>67.599999999999994</v>
      </c>
      <c r="C332" s="24">
        <f>Table13[[#This Row],[PMI]]-B331</f>
        <v>26.799999999999997</v>
      </c>
    </row>
    <row r="333" spans="1:3" x14ac:dyDescent="0.2">
      <c r="A333" s="10">
        <v>44287</v>
      </c>
      <c r="B333" s="18">
        <f>IF(VLOOKUP(A333,'DB Country PMI'!$A:$AZ,MATCH($A$1,'DB Country PMI'!$A$1:$AZ$1,),)=0,#N/A,VLOOKUP(A333,'DB Country PMI'!$A:$AZ,MATCH($A$1,'DB Country PMI'!$A$1:$AZ$1,),))</f>
        <v>72</v>
      </c>
      <c r="C333" s="24">
        <f>Table13[[#This Row],[PMI]]-B332</f>
        <v>4.4000000000000057</v>
      </c>
    </row>
    <row r="334" spans="1:3" x14ac:dyDescent="0.2">
      <c r="A334" s="10">
        <v>44317</v>
      </c>
      <c r="B334" s="18">
        <f>IF(VLOOKUP(A334,'DB Country PMI'!$A:$AZ,MATCH($A$1,'DB Country PMI'!$A$1:$AZ$1,),)=0,#N/A,VLOOKUP(A334,'DB Country PMI'!$A:$AZ,MATCH($A$1,'DB Country PMI'!$A$1:$AZ$1,),))</f>
        <v>67.7</v>
      </c>
      <c r="C334" s="24">
        <f>Table13[[#This Row],[PMI]]-B333</f>
        <v>-4.2999999999999972</v>
      </c>
    </row>
    <row r="335" spans="1:3" x14ac:dyDescent="0.2">
      <c r="A335" s="10">
        <v>44348</v>
      </c>
      <c r="B335" s="18">
        <f>IF(VLOOKUP(A335,'DB Country PMI'!$A:$AZ,MATCH($A$1,'DB Country PMI'!$A$1:$AZ$1,),)=0,#N/A,VLOOKUP(A335,'DB Country PMI'!$A:$AZ,MATCH($A$1,'DB Country PMI'!$A$1:$AZ$1,),))</f>
        <v>62.1</v>
      </c>
      <c r="C335" s="24">
        <f>Table13[[#This Row],[PMI]]-B334</f>
        <v>-5.6000000000000014</v>
      </c>
    </row>
    <row r="336" spans="1:3" x14ac:dyDescent="0.2">
      <c r="A336" s="10">
        <v>44378</v>
      </c>
      <c r="B336" s="18">
        <f>IF(VLOOKUP(A336,'DB Country PMI'!$A:$AZ,MATCH($A$1,'DB Country PMI'!$A$1:$AZ$1,),)=0,#N/A,VLOOKUP(A336,'DB Country PMI'!$A:$AZ,MATCH($A$1,'DB Country PMI'!$A$1:$AZ$1,),))</f>
        <v>69.8</v>
      </c>
      <c r="C336" s="24">
        <f>Table13[[#This Row],[PMI]]-B335</f>
        <v>7.6999999999999957</v>
      </c>
    </row>
    <row r="337" spans="1:3" x14ac:dyDescent="0.2">
      <c r="A337" s="10">
        <v>44409</v>
      </c>
      <c r="B337" s="18">
        <f>IF(VLOOKUP(A337,'DB Country PMI'!$A:$AZ,MATCH($A$1,'DB Country PMI'!$A$1:$AZ$1,),)=0,#N/A,VLOOKUP(A337,'DB Country PMI'!$A:$AZ,MATCH($A$1,'DB Country PMI'!$A$1:$AZ$1,),))</f>
        <v>67.3</v>
      </c>
      <c r="C337" s="24">
        <f>Table13[[#This Row],[PMI]]-B336</f>
        <v>-2.5</v>
      </c>
    </row>
    <row r="338" spans="1:3" x14ac:dyDescent="0.2">
      <c r="A338" s="10">
        <v>44440</v>
      </c>
      <c r="B338" s="18">
        <f>IF(VLOOKUP(A338,'DB Country PMI'!$A:$AZ,MATCH($A$1,'DB Country PMI'!$A$1:$AZ$1,),)=0,#N/A,VLOOKUP(A338,'DB Country PMI'!$A:$AZ,MATCH($A$1,'DB Country PMI'!$A$1:$AZ$1,),))</f>
        <v>65.2</v>
      </c>
      <c r="C338" s="24">
        <f>Table13[[#This Row],[PMI]]-B337</f>
        <v>-2.0999999999999943</v>
      </c>
    </row>
    <row r="339" spans="1:3" x14ac:dyDescent="0.2">
      <c r="A339" s="10">
        <v>44470</v>
      </c>
      <c r="B339" s="18">
        <f>IF(VLOOKUP(A339,'DB Country PMI'!$A:$AZ,MATCH($A$1,'DB Country PMI'!$A$1:$AZ$1,),)=0,#N/A,VLOOKUP(A339,'DB Country PMI'!$A:$AZ,MATCH($A$1,'DB Country PMI'!$A$1:$AZ$1,),))</f>
        <v>71.900000000000006</v>
      </c>
      <c r="C339" s="24">
        <f>Table13[[#This Row],[PMI]]-B338</f>
        <v>6.7000000000000028</v>
      </c>
    </row>
    <row r="340" spans="1:3" x14ac:dyDescent="0.2">
      <c r="A340" s="10">
        <v>44501</v>
      </c>
      <c r="B340" s="18">
        <f>IF(VLOOKUP(A340,'DB Country PMI'!$A:$AZ,MATCH($A$1,'DB Country PMI'!$A$1:$AZ$1,),)=0,#N/A,VLOOKUP(A340,'DB Country PMI'!$A:$AZ,MATCH($A$1,'DB Country PMI'!$A$1:$AZ$1,),))</f>
        <v>68.2</v>
      </c>
      <c r="C340" s="24">
        <f>Table13[[#This Row],[PMI]]-B339</f>
        <v>-3.7000000000000028</v>
      </c>
    </row>
    <row r="341" spans="1:3" x14ac:dyDescent="0.2">
      <c r="A341" s="10">
        <v>44531</v>
      </c>
      <c r="B341" s="18">
        <f>IF(VLOOKUP(A341,'DB Country PMI'!$A:$AZ,MATCH($A$1,'DB Country PMI'!$A$1:$AZ$1,),)=0,#N/A,VLOOKUP(A341,'DB Country PMI'!$A:$AZ,MATCH($A$1,'DB Country PMI'!$A$1:$AZ$1,),))</f>
        <v>64.400000000000006</v>
      </c>
      <c r="C341" s="24">
        <f>Table13[[#This Row],[PMI]]-B340</f>
        <v>-3.7999999999999972</v>
      </c>
    </row>
    <row r="342" spans="1:3" x14ac:dyDescent="0.2">
      <c r="A342" s="10">
        <v>44562</v>
      </c>
      <c r="B342" s="18">
        <f>IF(VLOOKUP(A342,'DB Country PMI'!$A:$AZ,MATCH($A$1,'DB Country PMI'!$A$1:$AZ$1,),)=0,#N/A,VLOOKUP(A342,'DB Country PMI'!$A:$AZ,MATCH($A$1,'DB Country PMI'!$A$1:$AZ$1,),))</f>
        <v>60.9</v>
      </c>
      <c r="C342" s="24">
        <f>Table13[[#This Row],[PMI]]-B341</f>
        <v>-3.5000000000000071</v>
      </c>
    </row>
  </sheetData>
  <conditionalFormatting sqref="C198:C342">
    <cfRule type="colorScale" priority="2">
      <colorScale>
        <cfvo type="min"/>
        <cfvo type="percentile" val="50"/>
        <cfvo type="max"/>
        <color rgb="FFF8696B"/>
        <color rgb="FFFCFCFF"/>
        <color rgb="FF5A8AC6"/>
      </colorScale>
    </cfRule>
  </conditionalFormatting>
  <conditionalFormatting sqref="B198:B34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20"/>
  <sheetViews>
    <sheetView zoomScale="160" zoomScaleNormal="160" workbookViewId="0">
      <pane ySplit="5" topLeftCell="A83" activePane="bottomLeft" state="frozen"/>
      <selection activeCell="P121" sqref="P121"/>
      <selection pane="bottomLeft" activeCell="U95" sqref="U95"/>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79</v>
      </c>
      <c r="K1" s="63" t="s">
        <v>107</v>
      </c>
    </row>
    <row r="2" spans="1:11" x14ac:dyDescent="0.2">
      <c r="K2" s="63" t="str">
        <f>A1&amp;K1</f>
        <v>Vietnam Manufacturing PMI</v>
      </c>
    </row>
    <row r="4" spans="1:11" ht="16" customHeight="1" thickBot="1" x14ac:dyDescent="0.25"/>
    <row r="5" spans="1:11" ht="16" customHeight="1" thickBot="1" x14ac:dyDescent="0.25">
      <c r="A5" s="21" t="s">
        <v>44</v>
      </c>
      <c r="B5" s="22" t="s">
        <v>103</v>
      </c>
      <c r="C5" s="22" t="s">
        <v>104</v>
      </c>
    </row>
    <row r="6" spans="1:11" x14ac:dyDescent="0.2">
      <c r="A6" s="17">
        <v>41091</v>
      </c>
      <c r="B6" s="18">
        <f>IF(VLOOKUP(A6,'DB Country PMI'!$A:$AZ,MATCH($A$1,'DB Country PMI'!$A$1:$AZ$1,),)=0,#N/A,VLOOKUP(A6,'DB Country PMI'!$A:$AZ,MATCH($A$1,'DB Country PMI'!$A$1:$AZ$1,),))</f>
        <v>43.6</v>
      </c>
      <c r="C6" s="18"/>
    </row>
    <row r="7" spans="1:11" x14ac:dyDescent="0.2">
      <c r="A7" s="10">
        <v>41122</v>
      </c>
      <c r="B7" s="18">
        <f>IF(VLOOKUP(A7,'DB Country PMI'!$A:$AZ,MATCH($A$1,'DB Country PMI'!$A$1:$AZ$1,),)=0,#N/A,VLOOKUP(A7,'DB Country PMI'!$A:$AZ,MATCH($A$1,'DB Country PMI'!$A$1:$AZ$1,),))</f>
        <v>47.9</v>
      </c>
      <c r="C7" s="24">
        <f>Table134[[#This Row],[PMI]]-B6</f>
        <v>4.2999999999999972</v>
      </c>
    </row>
    <row r="8" spans="1:11" x14ac:dyDescent="0.2">
      <c r="A8" s="10">
        <v>41153</v>
      </c>
      <c r="B8" s="18">
        <f>IF(VLOOKUP(A8,'DB Country PMI'!$A:$AZ,MATCH($A$1,'DB Country PMI'!$A$1:$AZ$1,),)=0,#N/A,VLOOKUP(A8,'DB Country PMI'!$A:$AZ,MATCH($A$1,'DB Country PMI'!$A$1:$AZ$1,),))</f>
        <v>49.2</v>
      </c>
      <c r="C8" s="24">
        <f>Table134[[#This Row],[PMI]]-B7</f>
        <v>1.3000000000000043</v>
      </c>
    </row>
    <row r="9" spans="1:11" x14ac:dyDescent="0.2">
      <c r="A9" s="10">
        <v>41183</v>
      </c>
      <c r="B9" s="18">
        <f>IF(VLOOKUP(A9,'DB Country PMI'!$A:$AZ,MATCH($A$1,'DB Country PMI'!$A$1:$AZ$1,),)=0,#N/A,VLOOKUP(A9,'DB Country PMI'!$A:$AZ,MATCH($A$1,'DB Country PMI'!$A$1:$AZ$1,),))</f>
        <v>48.7</v>
      </c>
      <c r="C9" s="24">
        <f>Table134[[#This Row],[PMI]]-B8</f>
        <v>-0.5</v>
      </c>
    </row>
    <row r="10" spans="1:11" x14ac:dyDescent="0.2">
      <c r="A10" s="10">
        <v>41214</v>
      </c>
      <c r="B10" s="18">
        <f>IF(VLOOKUP(A10,'DB Country PMI'!$A:$AZ,MATCH($A$1,'DB Country PMI'!$A$1:$AZ$1,),)=0,#N/A,VLOOKUP(A10,'DB Country PMI'!$A:$AZ,MATCH($A$1,'DB Country PMI'!$A$1:$AZ$1,),))</f>
        <v>50.5</v>
      </c>
      <c r="C10" s="24">
        <f>Table134[[#This Row],[PMI]]-B9</f>
        <v>1.7999999999999972</v>
      </c>
    </row>
    <row r="11" spans="1:11" x14ac:dyDescent="0.2">
      <c r="A11" s="10">
        <v>41244</v>
      </c>
      <c r="B11" s="18">
        <f>IF(VLOOKUP(A11,'DB Country PMI'!$A:$AZ,MATCH($A$1,'DB Country PMI'!$A$1:$AZ$1,),)=0,#N/A,VLOOKUP(A11,'DB Country PMI'!$A:$AZ,MATCH($A$1,'DB Country PMI'!$A$1:$AZ$1,),))</f>
        <v>49.3</v>
      </c>
      <c r="C11" s="24">
        <f>Table134[[#This Row],[PMI]]-B10</f>
        <v>-1.2000000000000028</v>
      </c>
    </row>
    <row r="12" spans="1:11" x14ac:dyDescent="0.2">
      <c r="A12" s="10">
        <v>41275</v>
      </c>
      <c r="B12" s="18">
        <f>IF(VLOOKUP(A12,'DB Country PMI'!$A:$AZ,MATCH($A$1,'DB Country PMI'!$A$1:$AZ$1,),)=0,#N/A,VLOOKUP(A12,'DB Country PMI'!$A:$AZ,MATCH($A$1,'DB Country PMI'!$A$1:$AZ$1,),))</f>
        <v>50.1</v>
      </c>
      <c r="C12" s="24">
        <f>Table134[[#This Row],[PMI]]-B11</f>
        <v>0.80000000000000426</v>
      </c>
    </row>
    <row r="13" spans="1:11" x14ac:dyDescent="0.2">
      <c r="A13" s="10">
        <v>41306</v>
      </c>
      <c r="B13" s="18">
        <f>IF(VLOOKUP(A13,'DB Country PMI'!$A:$AZ,MATCH($A$1,'DB Country PMI'!$A$1:$AZ$1,),)=0,#N/A,VLOOKUP(A13,'DB Country PMI'!$A:$AZ,MATCH($A$1,'DB Country PMI'!$A$1:$AZ$1,),))</f>
        <v>48.3</v>
      </c>
      <c r="C13" s="24">
        <f>Table134[[#This Row],[PMI]]-B12</f>
        <v>-1.8000000000000043</v>
      </c>
    </row>
    <row r="14" spans="1:11" x14ac:dyDescent="0.2">
      <c r="A14" s="10">
        <v>41334</v>
      </c>
      <c r="B14" s="18">
        <f>IF(VLOOKUP(A14,'DB Country PMI'!$A:$AZ,MATCH($A$1,'DB Country PMI'!$A$1:$AZ$1,),)=0,#N/A,VLOOKUP(A14,'DB Country PMI'!$A:$AZ,MATCH($A$1,'DB Country PMI'!$A$1:$AZ$1,),))</f>
        <v>48.8</v>
      </c>
      <c r="C14" s="24">
        <f>Table134[[#This Row],[PMI]]-B13</f>
        <v>0.5</v>
      </c>
    </row>
    <row r="15" spans="1:11" x14ac:dyDescent="0.2">
      <c r="A15" s="10">
        <v>41365</v>
      </c>
      <c r="B15" s="18">
        <f>IF(VLOOKUP(A15,'DB Country PMI'!$A:$AZ,MATCH($A$1,'DB Country PMI'!$A$1:$AZ$1,),)=0,#N/A,VLOOKUP(A15,'DB Country PMI'!$A:$AZ,MATCH($A$1,'DB Country PMI'!$A$1:$AZ$1,),))</f>
        <v>51</v>
      </c>
      <c r="C15" s="24">
        <f>Table134[[#This Row],[PMI]]-B14</f>
        <v>2.2000000000000028</v>
      </c>
    </row>
    <row r="16" spans="1:11" x14ac:dyDescent="0.2">
      <c r="A16" s="10">
        <v>41395</v>
      </c>
      <c r="B16" s="18">
        <f>IF(VLOOKUP(A16,'DB Country PMI'!$A:$AZ,MATCH($A$1,'DB Country PMI'!$A$1:$AZ$1,),)=0,#N/A,VLOOKUP(A16,'DB Country PMI'!$A:$AZ,MATCH($A$1,'DB Country PMI'!$A$1:$AZ$1,),))</f>
        <v>48.8</v>
      </c>
      <c r="C16" s="24">
        <f>Table134[[#This Row],[PMI]]-B15</f>
        <v>-2.2000000000000028</v>
      </c>
    </row>
    <row r="17" spans="1:3" x14ac:dyDescent="0.2">
      <c r="A17" s="10">
        <v>41426</v>
      </c>
      <c r="B17" s="18">
        <f>IF(VLOOKUP(A17,'DB Country PMI'!$A:$AZ,MATCH($A$1,'DB Country PMI'!$A$1:$AZ$1,),)=0,#N/A,VLOOKUP(A17,'DB Country PMI'!$A:$AZ,MATCH($A$1,'DB Country PMI'!$A$1:$AZ$1,),))</f>
        <v>51</v>
      </c>
      <c r="C17" s="24">
        <f>Table134[[#This Row],[PMI]]-B16</f>
        <v>2.2000000000000028</v>
      </c>
    </row>
    <row r="18" spans="1:3" x14ac:dyDescent="0.2">
      <c r="A18" s="10">
        <v>41456</v>
      </c>
      <c r="B18" s="18">
        <f>IF(VLOOKUP(A18,'DB Country PMI'!$A:$AZ,MATCH($A$1,'DB Country PMI'!$A$1:$AZ$1,),)=0,#N/A,VLOOKUP(A18,'DB Country PMI'!$A:$AZ,MATCH($A$1,'DB Country PMI'!$A$1:$AZ$1,),))</f>
        <v>46.4</v>
      </c>
      <c r="C18" s="24">
        <f>Table134[[#This Row],[PMI]]-B17</f>
        <v>-4.6000000000000014</v>
      </c>
    </row>
    <row r="19" spans="1:3" x14ac:dyDescent="0.2">
      <c r="A19" s="10">
        <v>41487</v>
      </c>
      <c r="B19" s="18">
        <f>IF(VLOOKUP(A19,'DB Country PMI'!$A:$AZ,MATCH($A$1,'DB Country PMI'!$A$1:$AZ$1,),)=0,#N/A,VLOOKUP(A19,'DB Country PMI'!$A:$AZ,MATCH($A$1,'DB Country PMI'!$A$1:$AZ$1,),))</f>
        <v>48.5</v>
      </c>
      <c r="C19" s="24">
        <f>Table134[[#This Row],[PMI]]-B18</f>
        <v>2.1000000000000014</v>
      </c>
    </row>
    <row r="20" spans="1:3" x14ac:dyDescent="0.2">
      <c r="A20" s="10">
        <v>41518</v>
      </c>
      <c r="B20" s="18">
        <f>IF(VLOOKUP(A20,'DB Country PMI'!$A:$AZ,MATCH($A$1,'DB Country PMI'!$A$1:$AZ$1,),)=0,#N/A,VLOOKUP(A20,'DB Country PMI'!$A:$AZ,MATCH($A$1,'DB Country PMI'!$A$1:$AZ$1,),))</f>
        <v>51.5</v>
      </c>
      <c r="C20" s="24">
        <f>Table134[[#This Row],[PMI]]-B19</f>
        <v>3</v>
      </c>
    </row>
    <row r="21" spans="1:3" x14ac:dyDescent="0.2">
      <c r="A21" s="10">
        <v>41548</v>
      </c>
      <c r="B21" s="18">
        <f>IF(VLOOKUP(A21,'DB Country PMI'!$A:$AZ,MATCH($A$1,'DB Country PMI'!$A$1:$AZ$1,),)=0,#N/A,VLOOKUP(A21,'DB Country PMI'!$A:$AZ,MATCH($A$1,'DB Country PMI'!$A$1:$AZ$1,),))</f>
        <v>51.5</v>
      </c>
      <c r="C21" s="24">
        <f>Table134[[#This Row],[PMI]]-B20</f>
        <v>0</v>
      </c>
    </row>
    <row r="22" spans="1:3" x14ac:dyDescent="0.2">
      <c r="A22" s="10">
        <v>41579</v>
      </c>
      <c r="B22" s="18">
        <f>IF(VLOOKUP(A22,'DB Country PMI'!$A:$AZ,MATCH($A$1,'DB Country PMI'!$A$1:$AZ$1,),)=0,#N/A,VLOOKUP(A22,'DB Country PMI'!$A:$AZ,MATCH($A$1,'DB Country PMI'!$A$1:$AZ$1,),))</f>
        <v>50.3</v>
      </c>
      <c r="C22" s="24">
        <f>Table134[[#This Row],[PMI]]-B21</f>
        <v>-1.2000000000000028</v>
      </c>
    </row>
    <row r="23" spans="1:3" x14ac:dyDescent="0.2">
      <c r="A23" s="10">
        <v>41609</v>
      </c>
      <c r="B23" s="18">
        <f>IF(VLOOKUP(A23,'DB Country PMI'!$A:$AZ,MATCH($A$1,'DB Country PMI'!$A$1:$AZ$1,),)=0,#N/A,VLOOKUP(A23,'DB Country PMI'!$A:$AZ,MATCH($A$1,'DB Country PMI'!$A$1:$AZ$1,),))</f>
        <v>51.8</v>
      </c>
      <c r="C23" s="24">
        <f>Table134[[#This Row],[PMI]]-B22</f>
        <v>1.5</v>
      </c>
    </row>
    <row r="24" spans="1:3" x14ac:dyDescent="0.2">
      <c r="A24" s="10">
        <v>41640</v>
      </c>
      <c r="B24" s="18">
        <f>IF(VLOOKUP(A24,'DB Country PMI'!$A:$AZ,MATCH($A$1,'DB Country PMI'!$A$1:$AZ$1,),)=0,#N/A,VLOOKUP(A24,'DB Country PMI'!$A:$AZ,MATCH($A$1,'DB Country PMI'!$A$1:$AZ$1,),))</f>
        <v>52.1</v>
      </c>
      <c r="C24" s="24">
        <f>Table134[[#This Row],[PMI]]-B23</f>
        <v>0.30000000000000426</v>
      </c>
    </row>
    <row r="25" spans="1:3" x14ac:dyDescent="0.2">
      <c r="A25" s="10">
        <v>41671</v>
      </c>
      <c r="B25" s="18">
        <f>IF(VLOOKUP(A25,'DB Country PMI'!$A:$AZ,MATCH($A$1,'DB Country PMI'!$A$1:$AZ$1,),)=0,#N/A,VLOOKUP(A25,'DB Country PMI'!$A:$AZ,MATCH($A$1,'DB Country PMI'!$A$1:$AZ$1,),))</f>
        <v>51</v>
      </c>
      <c r="C25" s="24">
        <f>Table134[[#This Row],[PMI]]-B24</f>
        <v>-1.1000000000000014</v>
      </c>
    </row>
    <row r="26" spans="1:3" x14ac:dyDescent="0.2">
      <c r="A26" s="10">
        <v>41699</v>
      </c>
      <c r="B26" s="18">
        <f>IF(VLOOKUP(A26,'DB Country PMI'!$A:$AZ,MATCH($A$1,'DB Country PMI'!$A$1:$AZ$1,),)=0,#N/A,VLOOKUP(A26,'DB Country PMI'!$A:$AZ,MATCH($A$1,'DB Country PMI'!$A$1:$AZ$1,),))</f>
        <v>51.3</v>
      </c>
      <c r="C26" s="24">
        <f>Table134[[#This Row],[PMI]]-B25</f>
        <v>0.29999999999999716</v>
      </c>
    </row>
    <row r="27" spans="1:3" x14ac:dyDescent="0.2">
      <c r="A27" s="10">
        <v>41730</v>
      </c>
      <c r="B27" s="18">
        <f>IF(VLOOKUP(A27,'DB Country PMI'!$A:$AZ,MATCH($A$1,'DB Country PMI'!$A$1:$AZ$1,),)=0,#N/A,VLOOKUP(A27,'DB Country PMI'!$A:$AZ,MATCH($A$1,'DB Country PMI'!$A$1:$AZ$1,),))</f>
        <v>53.1</v>
      </c>
      <c r="C27" s="24">
        <f>Table134[[#This Row],[PMI]]-B26</f>
        <v>1.8000000000000043</v>
      </c>
    </row>
    <row r="28" spans="1:3" x14ac:dyDescent="0.2">
      <c r="A28" s="10">
        <v>41760</v>
      </c>
      <c r="B28" s="18">
        <f>IF(VLOOKUP(A28,'DB Country PMI'!$A:$AZ,MATCH($A$1,'DB Country PMI'!$A$1:$AZ$1,),)=0,#N/A,VLOOKUP(A28,'DB Country PMI'!$A:$AZ,MATCH($A$1,'DB Country PMI'!$A$1:$AZ$1,),))</f>
        <v>52.5</v>
      </c>
      <c r="C28" s="24">
        <f>Table134[[#This Row],[PMI]]-B27</f>
        <v>-0.60000000000000142</v>
      </c>
    </row>
    <row r="29" spans="1:3" x14ac:dyDescent="0.2">
      <c r="A29" s="10">
        <v>41791</v>
      </c>
      <c r="B29" s="18">
        <f>IF(VLOOKUP(A29,'DB Country PMI'!$A:$AZ,MATCH($A$1,'DB Country PMI'!$A$1:$AZ$1,),)=0,#N/A,VLOOKUP(A29,'DB Country PMI'!$A:$AZ,MATCH($A$1,'DB Country PMI'!$A$1:$AZ$1,),))</f>
        <v>52.3</v>
      </c>
      <c r="C29" s="24">
        <f>Table134[[#This Row],[PMI]]-B28</f>
        <v>-0.20000000000000284</v>
      </c>
    </row>
    <row r="30" spans="1:3" x14ac:dyDescent="0.2">
      <c r="A30" s="10">
        <v>41821</v>
      </c>
      <c r="B30" s="18">
        <f>IF(VLOOKUP(A30,'DB Country PMI'!$A:$AZ,MATCH($A$1,'DB Country PMI'!$A$1:$AZ$1,),)=0,#N/A,VLOOKUP(A30,'DB Country PMI'!$A:$AZ,MATCH($A$1,'DB Country PMI'!$A$1:$AZ$1,),))</f>
        <v>51.7</v>
      </c>
      <c r="C30" s="24">
        <f>Table134[[#This Row],[PMI]]-B29</f>
        <v>-0.59999999999999432</v>
      </c>
    </row>
    <row r="31" spans="1:3" x14ac:dyDescent="0.2">
      <c r="A31" s="10">
        <v>41852</v>
      </c>
      <c r="B31" s="18">
        <f>IF(VLOOKUP(A31,'DB Country PMI'!$A:$AZ,MATCH($A$1,'DB Country PMI'!$A$1:$AZ$1,),)=0,#N/A,VLOOKUP(A31,'DB Country PMI'!$A:$AZ,MATCH($A$1,'DB Country PMI'!$A$1:$AZ$1,),))</f>
        <v>50.3</v>
      </c>
      <c r="C31" s="24">
        <f>Table134[[#This Row],[PMI]]-B30</f>
        <v>-1.4000000000000057</v>
      </c>
    </row>
    <row r="32" spans="1:3" x14ac:dyDescent="0.2">
      <c r="A32" s="10">
        <v>41883</v>
      </c>
      <c r="B32" s="18">
        <f>IF(VLOOKUP(A32,'DB Country PMI'!$A:$AZ,MATCH($A$1,'DB Country PMI'!$A$1:$AZ$1,),)=0,#N/A,VLOOKUP(A32,'DB Country PMI'!$A:$AZ,MATCH($A$1,'DB Country PMI'!$A$1:$AZ$1,),))</f>
        <v>51.7</v>
      </c>
      <c r="C32" s="24">
        <f>Table134[[#This Row],[PMI]]-B31</f>
        <v>1.4000000000000057</v>
      </c>
    </row>
    <row r="33" spans="1:3" x14ac:dyDescent="0.2">
      <c r="A33" s="10">
        <v>41913</v>
      </c>
      <c r="B33" s="18">
        <f>IF(VLOOKUP(A33,'DB Country PMI'!$A:$AZ,MATCH($A$1,'DB Country PMI'!$A$1:$AZ$1,),)=0,#N/A,VLOOKUP(A33,'DB Country PMI'!$A:$AZ,MATCH($A$1,'DB Country PMI'!$A$1:$AZ$1,),))</f>
        <v>51</v>
      </c>
      <c r="C33" s="24">
        <f>Table134[[#This Row],[PMI]]-B32</f>
        <v>-0.70000000000000284</v>
      </c>
    </row>
    <row r="34" spans="1:3" x14ac:dyDescent="0.2">
      <c r="A34" s="10">
        <v>41944</v>
      </c>
      <c r="B34" s="18">
        <f>IF(VLOOKUP(A34,'DB Country PMI'!$A:$AZ,MATCH($A$1,'DB Country PMI'!$A$1:$AZ$1,),)=0,#N/A,VLOOKUP(A34,'DB Country PMI'!$A:$AZ,MATCH($A$1,'DB Country PMI'!$A$1:$AZ$1,),))</f>
        <v>52.7</v>
      </c>
      <c r="C34" s="24">
        <f>Table134[[#This Row],[PMI]]-B33</f>
        <v>1.7000000000000028</v>
      </c>
    </row>
    <row r="35" spans="1:3" x14ac:dyDescent="0.2">
      <c r="A35" s="10">
        <v>41974</v>
      </c>
      <c r="B35" s="18">
        <f>IF(VLOOKUP(A35,'DB Country PMI'!$A:$AZ,MATCH($A$1,'DB Country PMI'!$A$1:$AZ$1,),)=0,#N/A,VLOOKUP(A35,'DB Country PMI'!$A:$AZ,MATCH($A$1,'DB Country PMI'!$A$1:$AZ$1,),))</f>
        <v>51.5</v>
      </c>
      <c r="C35" s="24">
        <f>Table134[[#This Row],[PMI]]-B34</f>
        <v>-1.2000000000000028</v>
      </c>
    </row>
    <row r="36" spans="1:3" x14ac:dyDescent="0.2">
      <c r="A36" s="10">
        <v>42005</v>
      </c>
      <c r="B36" s="18">
        <f>IF(VLOOKUP(A36,'DB Country PMI'!$A:$AZ,MATCH($A$1,'DB Country PMI'!$A$1:$AZ$1,),)=0,#N/A,VLOOKUP(A36,'DB Country PMI'!$A:$AZ,MATCH($A$1,'DB Country PMI'!$A$1:$AZ$1,),))</f>
        <v>51.5</v>
      </c>
      <c r="C36" s="24">
        <f>Table134[[#This Row],[PMI]]-B35</f>
        <v>0</v>
      </c>
    </row>
    <row r="37" spans="1:3" x14ac:dyDescent="0.2">
      <c r="A37" s="10">
        <v>42036</v>
      </c>
      <c r="B37" s="18">
        <f>IF(VLOOKUP(A37,'DB Country PMI'!$A:$AZ,MATCH($A$1,'DB Country PMI'!$A$1:$AZ$1,),)=0,#N/A,VLOOKUP(A37,'DB Country PMI'!$A:$AZ,MATCH($A$1,'DB Country PMI'!$A$1:$AZ$1,),))</f>
        <v>51.7</v>
      </c>
      <c r="C37" s="24">
        <f>Table134[[#This Row],[PMI]]-B36</f>
        <v>0.20000000000000284</v>
      </c>
    </row>
    <row r="38" spans="1:3" x14ac:dyDescent="0.2">
      <c r="A38" s="10">
        <v>42064</v>
      </c>
      <c r="B38" s="18">
        <f>IF(VLOOKUP(A38,'DB Country PMI'!$A:$AZ,MATCH($A$1,'DB Country PMI'!$A$1:$AZ$1,),)=0,#N/A,VLOOKUP(A38,'DB Country PMI'!$A:$AZ,MATCH($A$1,'DB Country PMI'!$A$1:$AZ$1,),))</f>
        <v>50.7</v>
      </c>
      <c r="C38" s="24">
        <f>Table134[[#This Row],[PMI]]-B37</f>
        <v>-1</v>
      </c>
    </row>
    <row r="39" spans="1:3" x14ac:dyDescent="0.2">
      <c r="A39" s="10">
        <v>42095</v>
      </c>
      <c r="B39" s="18">
        <f>IF(VLOOKUP(A39,'DB Country PMI'!$A:$AZ,MATCH($A$1,'DB Country PMI'!$A$1:$AZ$1,),)=0,#N/A,VLOOKUP(A39,'DB Country PMI'!$A:$AZ,MATCH($A$1,'DB Country PMI'!$A$1:$AZ$1,),))</f>
        <v>53.5</v>
      </c>
      <c r="C39" s="24">
        <f>Table134[[#This Row],[PMI]]-B38</f>
        <v>2.7999999999999972</v>
      </c>
    </row>
    <row r="40" spans="1:3" x14ac:dyDescent="0.2">
      <c r="A40" s="10">
        <v>42125</v>
      </c>
      <c r="B40" s="18">
        <f>IF(VLOOKUP(A40,'DB Country PMI'!$A:$AZ,MATCH($A$1,'DB Country PMI'!$A$1:$AZ$1,),)=0,#N/A,VLOOKUP(A40,'DB Country PMI'!$A:$AZ,MATCH($A$1,'DB Country PMI'!$A$1:$AZ$1,),))</f>
        <v>54.8</v>
      </c>
      <c r="C40" s="24">
        <f>Table134[[#This Row],[PMI]]-B39</f>
        <v>1.2999999999999972</v>
      </c>
    </row>
    <row r="41" spans="1:3" x14ac:dyDescent="0.2">
      <c r="A41" s="10">
        <v>42156</v>
      </c>
      <c r="B41" s="18">
        <f>IF(VLOOKUP(A41,'DB Country PMI'!$A:$AZ,MATCH($A$1,'DB Country PMI'!$A$1:$AZ$1,),)=0,#N/A,VLOOKUP(A41,'DB Country PMI'!$A:$AZ,MATCH($A$1,'DB Country PMI'!$A$1:$AZ$1,),))</f>
        <v>52.2</v>
      </c>
      <c r="C41" s="24">
        <f>Table134[[#This Row],[PMI]]-B40</f>
        <v>-2.5999999999999943</v>
      </c>
    </row>
    <row r="42" spans="1:3" x14ac:dyDescent="0.2">
      <c r="A42" s="10">
        <v>42186</v>
      </c>
      <c r="B42" s="18">
        <f>IF(VLOOKUP(A42,'DB Country PMI'!$A:$AZ,MATCH($A$1,'DB Country PMI'!$A$1:$AZ$1,),)=0,#N/A,VLOOKUP(A42,'DB Country PMI'!$A:$AZ,MATCH($A$1,'DB Country PMI'!$A$1:$AZ$1,),))</f>
        <v>52.6</v>
      </c>
      <c r="C42" s="24">
        <f>Table134[[#This Row],[PMI]]-B41</f>
        <v>0.39999999999999858</v>
      </c>
    </row>
    <row r="43" spans="1:3" x14ac:dyDescent="0.2">
      <c r="A43" s="10">
        <v>42217</v>
      </c>
      <c r="B43" s="18">
        <f>IF(VLOOKUP(A43,'DB Country PMI'!$A:$AZ,MATCH($A$1,'DB Country PMI'!$A$1:$AZ$1,),)=0,#N/A,VLOOKUP(A43,'DB Country PMI'!$A:$AZ,MATCH($A$1,'DB Country PMI'!$A$1:$AZ$1,),))</f>
        <v>51.3</v>
      </c>
      <c r="C43" s="24">
        <f>Table134[[#This Row],[PMI]]-B42</f>
        <v>-1.3000000000000043</v>
      </c>
    </row>
    <row r="44" spans="1:3" x14ac:dyDescent="0.2">
      <c r="A44" s="10">
        <v>42248</v>
      </c>
      <c r="B44" s="18">
        <f>IF(VLOOKUP(A44,'DB Country PMI'!$A:$AZ,MATCH($A$1,'DB Country PMI'!$A$1:$AZ$1,),)=0,#N/A,VLOOKUP(A44,'DB Country PMI'!$A:$AZ,MATCH($A$1,'DB Country PMI'!$A$1:$AZ$1,),))</f>
        <v>49.5</v>
      </c>
      <c r="C44" s="24">
        <f>Table134[[#This Row],[PMI]]-B43</f>
        <v>-1.7999999999999972</v>
      </c>
    </row>
    <row r="45" spans="1:3" x14ac:dyDescent="0.2">
      <c r="A45" s="10">
        <v>42278</v>
      </c>
      <c r="B45" s="18">
        <f>IF(VLOOKUP(A45,'DB Country PMI'!$A:$AZ,MATCH($A$1,'DB Country PMI'!$A$1:$AZ$1,),)=0,#N/A,VLOOKUP(A45,'DB Country PMI'!$A:$AZ,MATCH($A$1,'DB Country PMI'!$A$1:$AZ$1,),))</f>
        <v>50.1</v>
      </c>
      <c r="C45" s="24">
        <f>Table134[[#This Row],[PMI]]-B44</f>
        <v>0.60000000000000142</v>
      </c>
    </row>
    <row r="46" spans="1:3" x14ac:dyDescent="0.2">
      <c r="A46" s="10">
        <v>42309</v>
      </c>
      <c r="B46" s="18">
        <f>IF(VLOOKUP(A46,'DB Country PMI'!$A:$AZ,MATCH($A$1,'DB Country PMI'!$A$1:$AZ$1,),)=0,#N/A,VLOOKUP(A46,'DB Country PMI'!$A:$AZ,MATCH($A$1,'DB Country PMI'!$A$1:$AZ$1,),))</f>
        <v>49.4</v>
      </c>
      <c r="C46" s="24">
        <f>Table134[[#This Row],[PMI]]-B45</f>
        <v>-0.70000000000000284</v>
      </c>
    </row>
    <row r="47" spans="1:3" x14ac:dyDescent="0.2">
      <c r="A47" s="10">
        <v>42339</v>
      </c>
      <c r="B47" s="18">
        <f>IF(VLOOKUP(A47,'DB Country PMI'!$A:$AZ,MATCH($A$1,'DB Country PMI'!$A$1:$AZ$1,),)=0,#N/A,VLOOKUP(A47,'DB Country PMI'!$A:$AZ,MATCH($A$1,'DB Country PMI'!$A$1:$AZ$1,),))</f>
        <v>51.3</v>
      </c>
      <c r="C47" s="24">
        <f>Table134[[#This Row],[PMI]]-B46</f>
        <v>1.8999999999999986</v>
      </c>
    </row>
    <row r="48" spans="1:3" x14ac:dyDescent="0.2">
      <c r="A48" s="10">
        <v>42370</v>
      </c>
      <c r="B48" s="18">
        <f>IF(VLOOKUP(A48,'DB Country PMI'!$A:$AZ,MATCH($A$1,'DB Country PMI'!$A$1:$AZ$1,),)=0,#N/A,VLOOKUP(A48,'DB Country PMI'!$A:$AZ,MATCH($A$1,'DB Country PMI'!$A$1:$AZ$1,),))</f>
        <v>51.5</v>
      </c>
      <c r="C48" s="24">
        <f>Table134[[#This Row],[PMI]]-B47</f>
        <v>0.20000000000000284</v>
      </c>
    </row>
    <row r="49" spans="1:3" x14ac:dyDescent="0.2">
      <c r="A49" s="10">
        <v>42401</v>
      </c>
      <c r="B49" s="18">
        <f>IF(VLOOKUP(A49,'DB Country PMI'!$A:$AZ,MATCH($A$1,'DB Country PMI'!$A$1:$AZ$1,),)=0,#N/A,VLOOKUP(A49,'DB Country PMI'!$A:$AZ,MATCH($A$1,'DB Country PMI'!$A$1:$AZ$1,),))</f>
        <v>50.3</v>
      </c>
      <c r="C49" s="24">
        <f>Table134[[#This Row],[PMI]]-B48</f>
        <v>-1.2000000000000028</v>
      </c>
    </row>
    <row r="50" spans="1:3" x14ac:dyDescent="0.2">
      <c r="A50" s="10">
        <v>42430</v>
      </c>
      <c r="B50" s="18">
        <f>IF(VLOOKUP(A50,'DB Country PMI'!$A:$AZ,MATCH($A$1,'DB Country PMI'!$A$1:$AZ$1,),)=0,#N/A,VLOOKUP(A50,'DB Country PMI'!$A:$AZ,MATCH($A$1,'DB Country PMI'!$A$1:$AZ$1,),))</f>
        <v>50.7</v>
      </c>
      <c r="C50" s="24">
        <f>Table134[[#This Row],[PMI]]-B49</f>
        <v>0.40000000000000568</v>
      </c>
    </row>
    <row r="51" spans="1:3" x14ac:dyDescent="0.2">
      <c r="A51" s="10">
        <v>42461</v>
      </c>
      <c r="B51" s="18">
        <f>IF(VLOOKUP(A51,'DB Country PMI'!$A:$AZ,MATCH($A$1,'DB Country PMI'!$A$1:$AZ$1,),)=0,#N/A,VLOOKUP(A51,'DB Country PMI'!$A:$AZ,MATCH($A$1,'DB Country PMI'!$A$1:$AZ$1,),))</f>
        <v>52.3</v>
      </c>
      <c r="C51" s="24">
        <f>Table134[[#This Row],[PMI]]-B50</f>
        <v>1.5999999999999943</v>
      </c>
    </row>
    <row r="52" spans="1:3" x14ac:dyDescent="0.2">
      <c r="A52" s="10">
        <v>42491</v>
      </c>
      <c r="B52" s="18">
        <f>IF(VLOOKUP(A52,'DB Country PMI'!$A:$AZ,MATCH($A$1,'DB Country PMI'!$A$1:$AZ$1,),)=0,#N/A,VLOOKUP(A52,'DB Country PMI'!$A:$AZ,MATCH($A$1,'DB Country PMI'!$A$1:$AZ$1,),))</f>
        <v>52.7</v>
      </c>
      <c r="C52" s="24">
        <f>Table134[[#This Row],[PMI]]-B51</f>
        <v>0.40000000000000568</v>
      </c>
    </row>
    <row r="53" spans="1:3" x14ac:dyDescent="0.2">
      <c r="A53" s="10">
        <v>42522</v>
      </c>
      <c r="B53" s="18">
        <f>IF(VLOOKUP(A53,'DB Country PMI'!$A:$AZ,MATCH($A$1,'DB Country PMI'!$A$1:$AZ$1,),)=0,#N/A,VLOOKUP(A53,'DB Country PMI'!$A:$AZ,MATCH($A$1,'DB Country PMI'!$A$1:$AZ$1,),))</f>
        <v>52.6</v>
      </c>
      <c r="C53" s="24">
        <f>Table134[[#This Row],[PMI]]-B52</f>
        <v>-0.10000000000000142</v>
      </c>
    </row>
    <row r="54" spans="1:3" x14ac:dyDescent="0.2">
      <c r="A54" s="10">
        <v>42552</v>
      </c>
      <c r="B54" s="18">
        <f>IF(VLOOKUP(A54,'DB Country PMI'!$A:$AZ,MATCH($A$1,'DB Country PMI'!$A$1:$AZ$1,),)=0,#N/A,VLOOKUP(A54,'DB Country PMI'!$A:$AZ,MATCH($A$1,'DB Country PMI'!$A$1:$AZ$1,),))</f>
        <v>51.9</v>
      </c>
      <c r="C54" s="24">
        <f>Table134[[#This Row],[PMI]]-B53</f>
        <v>-0.70000000000000284</v>
      </c>
    </row>
    <row r="55" spans="1:3" x14ac:dyDescent="0.2">
      <c r="A55" s="10">
        <v>42583</v>
      </c>
      <c r="B55" s="18">
        <f>IF(VLOOKUP(A55,'DB Country PMI'!$A:$AZ,MATCH($A$1,'DB Country PMI'!$A$1:$AZ$1,),)=0,#N/A,VLOOKUP(A55,'DB Country PMI'!$A:$AZ,MATCH($A$1,'DB Country PMI'!$A$1:$AZ$1,),))</f>
        <v>52.2</v>
      </c>
      <c r="C55" s="24">
        <f>Table134[[#This Row],[PMI]]-B54</f>
        <v>0.30000000000000426</v>
      </c>
    </row>
    <row r="56" spans="1:3" x14ac:dyDescent="0.2">
      <c r="A56" s="10">
        <v>42614</v>
      </c>
      <c r="B56" s="18">
        <f>IF(VLOOKUP(A56,'DB Country PMI'!$A:$AZ,MATCH($A$1,'DB Country PMI'!$A$1:$AZ$1,),)=0,#N/A,VLOOKUP(A56,'DB Country PMI'!$A:$AZ,MATCH($A$1,'DB Country PMI'!$A$1:$AZ$1,),))</f>
        <v>52.9</v>
      </c>
      <c r="C56" s="24">
        <f>Table134[[#This Row],[PMI]]-B55</f>
        <v>0.69999999999999574</v>
      </c>
    </row>
    <row r="57" spans="1:3" x14ac:dyDescent="0.2">
      <c r="A57" s="10">
        <v>42644</v>
      </c>
      <c r="B57" s="18">
        <f>IF(VLOOKUP(A57,'DB Country PMI'!$A:$AZ,MATCH($A$1,'DB Country PMI'!$A$1:$AZ$1,),)=0,#N/A,VLOOKUP(A57,'DB Country PMI'!$A:$AZ,MATCH($A$1,'DB Country PMI'!$A$1:$AZ$1,),))</f>
        <v>51.7</v>
      </c>
      <c r="C57" s="24">
        <f>Table134[[#This Row],[PMI]]-B56</f>
        <v>-1.1999999999999957</v>
      </c>
    </row>
    <row r="58" spans="1:3" x14ac:dyDescent="0.2">
      <c r="A58" s="10">
        <v>42675</v>
      </c>
      <c r="B58" s="18">
        <f>IF(VLOOKUP(A58,'DB Country PMI'!$A:$AZ,MATCH($A$1,'DB Country PMI'!$A$1:$AZ$1,),)=0,#N/A,VLOOKUP(A58,'DB Country PMI'!$A:$AZ,MATCH($A$1,'DB Country PMI'!$A$1:$AZ$1,),))</f>
        <v>54</v>
      </c>
      <c r="C58" s="24">
        <f>Table134[[#This Row],[PMI]]-B57</f>
        <v>2.2999999999999972</v>
      </c>
    </row>
    <row r="59" spans="1:3" x14ac:dyDescent="0.2">
      <c r="A59" s="10">
        <v>42705</v>
      </c>
      <c r="B59" s="18">
        <f>IF(VLOOKUP(A59,'DB Country PMI'!$A:$AZ,MATCH($A$1,'DB Country PMI'!$A$1:$AZ$1,),)=0,#N/A,VLOOKUP(A59,'DB Country PMI'!$A:$AZ,MATCH($A$1,'DB Country PMI'!$A$1:$AZ$1,),))</f>
        <v>52.4</v>
      </c>
      <c r="C59" s="24">
        <f>Table134[[#This Row],[PMI]]-B58</f>
        <v>-1.6000000000000014</v>
      </c>
    </row>
    <row r="60" spans="1:3" x14ac:dyDescent="0.2">
      <c r="A60" s="10">
        <v>42736</v>
      </c>
      <c r="B60" s="18">
        <f>IF(VLOOKUP(A60,'DB Country PMI'!$A:$AZ,MATCH($A$1,'DB Country PMI'!$A$1:$AZ$1,),)=0,#N/A,VLOOKUP(A60,'DB Country PMI'!$A:$AZ,MATCH($A$1,'DB Country PMI'!$A$1:$AZ$1,),))</f>
        <v>51.9</v>
      </c>
      <c r="C60" s="24">
        <f>Table134[[#This Row],[PMI]]-B59</f>
        <v>-0.5</v>
      </c>
    </row>
    <row r="61" spans="1:3" x14ac:dyDescent="0.2">
      <c r="A61" s="10">
        <v>42767</v>
      </c>
      <c r="B61" s="18">
        <f>IF(VLOOKUP(A61,'DB Country PMI'!$A:$AZ,MATCH($A$1,'DB Country PMI'!$A$1:$AZ$1,),)=0,#N/A,VLOOKUP(A61,'DB Country PMI'!$A:$AZ,MATCH($A$1,'DB Country PMI'!$A$1:$AZ$1,),))</f>
        <v>54.2</v>
      </c>
      <c r="C61" s="24">
        <f>Table134[[#This Row],[PMI]]-B60</f>
        <v>2.3000000000000043</v>
      </c>
    </row>
    <row r="62" spans="1:3" x14ac:dyDescent="0.2">
      <c r="A62" s="10">
        <v>42795</v>
      </c>
      <c r="B62" s="18">
        <f>IF(VLOOKUP(A62,'DB Country PMI'!$A:$AZ,MATCH($A$1,'DB Country PMI'!$A$1:$AZ$1,),)=0,#N/A,VLOOKUP(A62,'DB Country PMI'!$A:$AZ,MATCH($A$1,'DB Country PMI'!$A$1:$AZ$1,),))</f>
        <v>54.6</v>
      </c>
      <c r="C62" s="24">
        <f>Table134[[#This Row],[PMI]]-B61</f>
        <v>0.39999999999999858</v>
      </c>
    </row>
    <row r="63" spans="1:3" x14ac:dyDescent="0.2">
      <c r="A63" s="10">
        <v>42826</v>
      </c>
      <c r="B63" s="18">
        <f>IF(VLOOKUP(A63,'DB Country PMI'!$A:$AZ,MATCH($A$1,'DB Country PMI'!$A$1:$AZ$1,),)=0,#N/A,VLOOKUP(A63,'DB Country PMI'!$A:$AZ,MATCH($A$1,'DB Country PMI'!$A$1:$AZ$1,),))</f>
        <v>54.1</v>
      </c>
      <c r="C63" s="24">
        <f>Table134[[#This Row],[PMI]]-B62</f>
        <v>-0.5</v>
      </c>
    </row>
    <row r="64" spans="1:3" x14ac:dyDescent="0.2">
      <c r="A64" s="10">
        <v>42856</v>
      </c>
      <c r="B64" s="18">
        <f>IF(VLOOKUP(A64,'DB Country PMI'!$A:$AZ,MATCH($A$1,'DB Country PMI'!$A$1:$AZ$1,),)=0,#N/A,VLOOKUP(A64,'DB Country PMI'!$A:$AZ,MATCH($A$1,'DB Country PMI'!$A$1:$AZ$1,),))</f>
        <v>51.6</v>
      </c>
      <c r="C64" s="24">
        <f>Table134[[#This Row],[PMI]]-B63</f>
        <v>-2.5</v>
      </c>
    </row>
    <row r="65" spans="1:3" x14ac:dyDescent="0.2">
      <c r="A65" s="10">
        <v>42887</v>
      </c>
      <c r="B65" s="18">
        <f>IF(VLOOKUP(A65,'DB Country PMI'!$A:$AZ,MATCH($A$1,'DB Country PMI'!$A$1:$AZ$1,),)=0,#N/A,VLOOKUP(A65,'DB Country PMI'!$A:$AZ,MATCH($A$1,'DB Country PMI'!$A$1:$AZ$1,),))</f>
        <v>52.5</v>
      </c>
      <c r="C65" s="24">
        <f>Table134[[#This Row],[PMI]]-B64</f>
        <v>0.89999999999999858</v>
      </c>
    </row>
    <row r="66" spans="1:3" x14ac:dyDescent="0.2">
      <c r="A66" s="10">
        <v>42917</v>
      </c>
      <c r="B66" s="18">
        <f>IF(VLOOKUP(A66,'DB Country PMI'!$A:$AZ,MATCH($A$1,'DB Country PMI'!$A$1:$AZ$1,),)=0,#N/A,VLOOKUP(A66,'DB Country PMI'!$A:$AZ,MATCH($A$1,'DB Country PMI'!$A$1:$AZ$1,),))</f>
        <v>51.7</v>
      </c>
      <c r="C66" s="24">
        <f>Table134[[#This Row],[PMI]]-B65</f>
        <v>-0.79999999999999716</v>
      </c>
    </row>
    <row r="67" spans="1:3" x14ac:dyDescent="0.2">
      <c r="A67" s="10">
        <v>42948</v>
      </c>
      <c r="B67" s="18">
        <f>IF(VLOOKUP(A67,'DB Country PMI'!$A:$AZ,MATCH($A$1,'DB Country PMI'!$A$1:$AZ$1,),)=0,#N/A,VLOOKUP(A67,'DB Country PMI'!$A:$AZ,MATCH($A$1,'DB Country PMI'!$A$1:$AZ$1,),))</f>
        <v>51.8</v>
      </c>
      <c r="C67" s="24">
        <f>Table134[[#This Row],[PMI]]-B66</f>
        <v>9.9999999999994316E-2</v>
      </c>
    </row>
    <row r="68" spans="1:3" x14ac:dyDescent="0.2">
      <c r="A68" s="10">
        <v>42979</v>
      </c>
      <c r="B68" s="18">
        <f>IF(VLOOKUP(A68,'DB Country PMI'!$A:$AZ,MATCH($A$1,'DB Country PMI'!$A$1:$AZ$1,),)=0,#N/A,VLOOKUP(A68,'DB Country PMI'!$A:$AZ,MATCH($A$1,'DB Country PMI'!$A$1:$AZ$1,),))</f>
        <v>53.3</v>
      </c>
      <c r="C68" s="24">
        <f>Table134[[#This Row],[PMI]]-B67</f>
        <v>1.5</v>
      </c>
    </row>
    <row r="69" spans="1:3" x14ac:dyDescent="0.2">
      <c r="A69" s="10">
        <v>43009</v>
      </c>
      <c r="B69" s="18">
        <f>IF(VLOOKUP(A69,'DB Country PMI'!$A:$AZ,MATCH($A$1,'DB Country PMI'!$A$1:$AZ$1,),)=0,#N/A,VLOOKUP(A69,'DB Country PMI'!$A:$AZ,MATCH($A$1,'DB Country PMI'!$A$1:$AZ$1,),))</f>
        <v>51.6</v>
      </c>
      <c r="C69" s="24">
        <f>Table134[[#This Row],[PMI]]-B68</f>
        <v>-1.6999999999999957</v>
      </c>
    </row>
    <row r="70" spans="1:3" x14ac:dyDescent="0.2">
      <c r="A70" s="10">
        <v>43040</v>
      </c>
      <c r="B70" s="18">
        <f>IF(VLOOKUP(A70,'DB Country PMI'!$A:$AZ,MATCH($A$1,'DB Country PMI'!$A$1:$AZ$1,),)=0,#N/A,VLOOKUP(A70,'DB Country PMI'!$A:$AZ,MATCH($A$1,'DB Country PMI'!$A$1:$AZ$1,),))</f>
        <v>51.4</v>
      </c>
      <c r="C70" s="24">
        <f>Table134[[#This Row],[PMI]]-B69</f>
        <v>-0.20000000000000284</v>
      </c>
    </row>
    <row r="71" spans="1:3" x14ac:dyDescent="0.2">
      <c r="A71" s="10">
        <v>43070</v>
      </c>
      <c r="B71" s="18">
        <f>IF(VLOOKUP(A71,'DB Country PMI'!$A:$AZ,MATCH($A$1,'DB Country PMI'!$A$1:$AZ$1,),)=0,#N/A,VLOOKUP(A71,'DB Country PMI'!$A:$AZ,MATCH($A$1,'DB Country PMI'!$A$1:$AZ$1,),))</f>
        <v>52.5</v>
      </c>
      <c r="C71" s="24">
        <f>Table134[[#This Row],[PMI]]-B70</f>
        <v>1.1000000000000014</v>
      </c>
    </row>
    <row r="72" spans="1:3" x14ac:dyDescent="0.2">
      <c r="A72" s="10">
        <v>43101</v>
      </c>
      <c r="B72" s="18">
        <f>IF(VLOOKUP(A72,'DB Country PMI'!$A:$AZ,MATCH($A$1,'DB Country PMI'!$A$1:$AZ$1,),)=0,#N/A,VLOOKUP(A72,'DB Country PMI'!$A:$AZ,MATCH($A$1,'DB Country PMI'!$A$1:$AZ$1,),))</f>
        <v>53.4</v>
      </c>
      <c r="C72" s="24">
        <f>Table134[[#This Row],[PMI]]-B71</f>
        <v>0.89999999999999858</v>
      </c>
    </row>
    <row r="73" spans="1:3" x14ac:dyDescent="0.2">
      <c r="A73" s="10">
        <v>43132</v>
      </c>
      <c r="B73" s="18">
        <f>IF(VLOOKUP(A73,'DB Country PMI'!$A:$AZ,MATCH($A$1,'DB Country PMI'!$A$1:$AZ$1,),)=0,#N/A,VLOOKUP(A73,'DB Country PMI'!$A:$AZ,MATCH($A$1,'DB Country PMI'!$A$1:$AZ$1,),))</f>
        <v>53.5</v>
      </c>
      <c r="C73" s="24">
        <f>Table134[[#This Row],[PMI]]-B72</f>
        <v>0.10000000000000142</v>
      </c>
    </row>
    <row r="74" spans="1:3" x14ac:dyDescent="0.2">
      <c r="A74" s="10">
        <v>43160</v>
      </c>
      <c r="B74" s="18">
        <f>IF(VLOOKUP(A74,'DB Country PMI'!$A:$AZ,MATCH($A$1,'DB Country PMI'!$A$1:$AZ$1,),)=0,#N/A,VLOOKUP(A74,'DB Country PMI'!$A:$AZ,MATCH($A$1,'DB Country PMI'!$A$1:$AZ$1,),))</f>
        <v>51.6</v>
      </c>
      <c r="C74" s="24">
        <f>Table134[[#This Row],[PMI]]-B73</f>
        <v>-1.8999999999999986</v>
      </c>
    </row>
    <row r="75" spans="1:3" x14ac:dyDescent="0.2">
      <c r="A75" s="10">
        <v>43191</v>
      </c>
      <c r="B75" s="18">
        <f>IF(VLOOKUP(A75,'DB Country PMI'!$A:$AZ,MATCH($A$1,'DB Country PMI'!$A$1:$AZ$1,),)=0,#N/A,VLOOKUP(A75,'DB Country PMI'!$A:$AZ,MATCH($A$1,'DB Country PMI'!$A$1:$AZ$1,),))</f>
        <v>52.9</v>
      </c>
      <c r="C75" s="24">
        <f>Table134[[#This Row],[PMI]]-B74</f>
        <v>1.2999999999999972</v>
      </c>
    </row>
    <row r="76" spans="1:3" x14ac:dyDescent="0.2">
      <c r="A76" s="10">
        <v>43221</v>
      </c>
      <c r="B76" s="18">
        <f>IF(VLOOKUP(A76,'DB Country PMI'!$A:$AZ,MATCH($A$1,'DB Country PMI'!$A$1:$AZ$1,),)=0,#N/A,VLOOKUP(A76,'DB Country PMI'!$A:$AZ,MATCH($A$1,'DB Country PMI'!$A$1:$AZ$1,),))</f>
        <v>53.9</v>
      </c>
      <c r="C76" s="24">
        <f>Table134[[#This Row],[PMI]]-B75</f>
        <v>1</v>
      </c>
    </row>
    <row r="77" spans="1:3" x14ac:dyDescent="0.2">
      <c r="A77" s="10">
        <v>43252</v>
      </c>
      <c r="B77" s="18">
        <f>IF(VLOOKUP(A77,'DB Country PMI'!$A:$AZ,MATCH($A$1,'DB Country PMI'!$A$1:$AZ$1,),)=0,#N/A,VLOOKUP(A77,'DB Country PMI'!$A:$AZ,MATCH($A$1,'DB Country PMI'!$A$1:$AZ$1,),))</f>
        <v>55.7</v>
      </c>
      <c r="C77" s="24">
        <f>Table134[[#This Row],[PMI]]-B76</f>
        <v>1.8000000000000043</v>
      </c>
    </row>
    <row r="78" spans="1:3" x14ac:dyDescent="0.2">
      <c r="A78" s="10">
        <v>43282</v>
      </c>
      <c r="B78" s="18">
        <f>IF(VLOOKUP(A78,'DB Country PMI'!$A:$AZ,MATCH($A$1,'DB Country PMI'!$A$1:$AZ$1,),)=0,#N/A,VLOOKUP(A78,'DB Country PMI'!$A:$AZ,MATCH($A$1,'DB Country PMI'!$A$1:$AZ$1,),))</f>
        <v>54.9</v>
      </c>
      <c r="C78" s="24">
        <f>Table134[[#This Row],[PMI]]-B77</f>
        <v>-0.80000000000000426</v>
      </c>
    </row>
    <row r="79" spans="1:3" x14ac:dyDescent="0.2">
      <c r="A79" s="10">
        <v>43313</v>
      </c>
      <c r="B79" s="18">
        <f>IF(VLOOKUP(A79,'DB Country PMI'!$A:$AZ,MATCH($A$1,'DB Country PMI'!$A$1:$AZ$1,),)=0,#N/A,VLOOKUP(A79,'DB Country PMI'!$A:$AZ,MATCH($A$1,'DB Country PMI'!$A$1:$AZ$1,),))</f>
        <v>53.7</v>
      </c>
      <c r="C79" s="24">
        <f>Table134[[#This Row],[PMI]]-B78</f>
        <v>-1.1999999999999957</v>
      </c>
    </row>
    <row r="80" spans="1:3" x14ac:dyDescent="0.2">
      <c r="A80" s="10">
        <v>43344</v>
      </c>
      <c r="B80" s="18">
        <f>IF(VLOOKUP(A80,'DB Country PMI'!$A:$AZ,MATCH($A$1,'DB Country PMI'!$A$1:$AZ$1,),)=0,#N/A,VLOOKUP(A80,'DB Country PMI'!$A:$AZ,MATCH($A$1,'DB Country PMI'!$A$1:$AZ$1,),))</f>
        <v>51.5</v>
      </c>
      <c r="C80" s="24">
        <f>Table134[[#This Row],[PMI]]-B79</f>
        <v>-2.2000000000000028</v>
      </c>
    </row>
    <row r="81" spans="1:3" x14ac:dyDescent="0.2">
      <c r="A81" s="10">
        <v>43374</v>
      </c>
      <c r="B81" s="18">
        <f>IF(VLOOKUP(A81,'DB Country PMI'!$A:$AZ,MATCH($A$1,'DB Country PMI'!$A$1:$AZ$1,),)=0,#N/A,VLOOKUP(A81,'DB Country PMI'!$A:$AZ,MATCH($A$1,'DB Country PMI'!$A$1:$AZ$1,),))</f>
        <v>53.9</v>
      </c>
      <c r="C81" s="24">
        <f>Table134[[#This Row],[PMI]]-B80</f>
        <v>2.3999999999999986</v>
      </c>
    </row>
    <row r="82" spans="1:3" x14ac:dyDescent="0.2">
      <c r="A82" s="10">
        <v>43405</v>
      </c>
      <c r="B82" s="18">
        <f>IF(VLOOKUP(A82,'DB Country PMI'!$A:$AZ,MATCH($A$1,'DB Country PMI'!$A$1:$AZ$1,),)=0,#N/A,VLOOKUP(A82,'DB Country PMI'!$A:$AZ,MATCH($A$1,'DB Country PMI'!$A$1:$AZ$1,),))</f>
        <v>56.5</v>
      </c>
      <c r="C82" s="24">
        <f>Table134[[#This Row],[PMI]]-B81</f>
        <v>2.6000000000000014</v>
      </c>
    </row>
    <row r="83" spans="1:3" x14ac:dyDescent="0.2">
      <c r="A83" s="10">
        <v>43435</v>
      </c>
      <c r="B83" s="18">
        <f>IF(VLOOKUP(A83,'DB Country PMI'!$A:$AZ,MATCH($A$1,'DB Country PMI'!$A$1:$AZ$1,),)=0,#N/A,VLOOKUP(A83,'DB Country PMI'!$A:$AZ,MATCH($A$1,'DB Country PMI'!$A$1:$AZ$1,),))</f>
        <v>53.8</v>
      </c>
      <c r="C83" s="24">
        <f>Table134[[#This Row],[PMI]]-B82</f>
        <v>-2.7000000000000028</v>
      </c>
    </row>
    <row r="84" spans="1:3" x14ac:dyDescent="0.2">
      <c r="A84" s="10">
        <v>43466</v>
      </c>
      <c r="B84" s="18">
        <f>IF(VLOOKUP(A84,'DB Country PMI'!$A:$AZ,MATCH($A$1,'DB Country PMI'!$A$1:$AZ$1,),)=0,#N/A,VLOOKUP(A84,'DB Country PMI'!$A:$AZ,MATCH($A$1,'DB Country PMI'!$A$1:$AZ$1,),))</f>
        <v>51.9</v>
      </c>
      <c r="C84" s="24">
        <f>Table134[[#This Row],[PMI]]-B83</f>
        <v>-1.8999999999999986</v>
      </c>
    </row>
    <row r="85" spans="1:3" x14ac:dyDescent="0.2">
      <c r="A85" s="10">
        <v>43497</v>
      </c>
      <c r="B85" s="18">
        <f>IF(VLOOKUP(A85,'DB Country PMI'!$A:$AZ,MATCH($A$1,'DB Country PMI'!$A$1:$AZ$1,),)=0,#N/A,VLOOKUP(A85,'DB Country PMI'!$A:$AZ,MATCH($A$1,'DB Country PMI'!$A$1:$AZ$1,),))</f>
        <v>51.2</v>
      </c>
      <c r="C85" s="24">
        <f>Table134[[#This Row],[PMI]]-B84</f>
        <v>-0.69999999999999574</v>
      </c>
    </row>
    <row r="86" spans="1:3" x14ac:dyDescent="0.2">
      <c r="A86" s="10">
        <v>43525</v>
      </c>
      <c r="B86" s="18">
        <f>IF(VLOOKUP(A86,'DB Country PMI'!$A:$AZ,MATCH($A$1,'DB Country PMI'!$A$1:$AZ$1,),)=0,#N/A,VLOOKUP(A86,'DB Country PMI'!$A:$AZ,MATCH($A$1,'DB Country PMI'!$A$1:$AZ$1,),))</f>
        <v>51.9</v>
      </c>
      <c r="C86" s="24">
        <f>Table134[[#This Row],[PMI]]-B85</f>
        <v>0.69999999999999574</v>
      </c>
    </row>
    <row r="87" spans="1:3" x14ac:dyDescent="0.2">
      <c r="A87" s="10">
        <v>43556</v>
      </c>
      <c r="B87" s="18">
        <f>IF(VLOOKUP(A87,'DB Country PMI'!$A:$AZ,MATCH($A$1,'DB Country PMI'!$A$1:$AZ$1,),)=0,#N/A,VLOOKUP(A87,'DB Country PMI'!$A:$AZ,MATCH($A$1,'DB Country PMI'!$A$1:$AZ$1,),))</f>
        <v>52.5</v>
      </c>
      <c r="C87" s="24">
        <f>Table134[[#This Row],[PMI]]-B86</f>
        <v>0.60000000000000142</v>
      </c>
    </row>
    <row r="88" spans="1:3" x14ac:dyDescent="0.2">
      <c r="A88" s="10">
        <v>43586</v>
      </c>
      <c r="B88" s="18">
        <f>IF(VLOOKUP(A88,'DB Country PMI'!$A:$AZ,MATCH($A$1,'DB Country PMI'!$A$1:$AZ$1,),)=0,#N/A,VLOOKUP(A88,'DB Country PMI'!$A:$AZ,MATCH($A$1,'DB Country PMI'!$A$1:$AZ$1,),))</f>
        <v>52</v>
      </c>
      <c r="C88" s="24">
        <f>Table134[[#This Row],[PMI]]-B87</f>
        <v>-0.5</v>
      </c>
    </row>
    <row r="89" spans="1:3" x14ac:dyDescent="0.2">
      <c r="A89" s="10">
        <v>43617</v>
      </c>
      <c r="B89" s="18">
        <f>IF(VLOOKUP(A89,'DB Country PMI'!$A:$AZ,MATCH($A$1,'DB Country PMI'!$A$1:$AZ$1,),)=0,#N/A,VLOOKUP(A89,'DB Country PMI'!$A:$AZ,MATCH($A$1,'DB Country PMI'!$A$1:$AZ$1,),))</f>
        <v>52.5</v>
      </c>
      <c r="C89" s="24">
        <f>Table134[[#This Row],[PMI]]-B88</f>
        <v>0.5</v>
      </c>
    </row>
    <row r="90" spans="1:3" x14ac:dyDescent="0.2">
      <c r="A90" s="10">
        <v>43647</v>
      </c>
      <c r="B90" s="18">
        <f>IF(VLOOKUP(A90,'DB Country PMI'!$A:$AZ,MATCH($A$1,'DB Country PMI'!$A$1:$AZ$1,),)=0,#N/A,VLOOKUP(A90,'DB Country PMI'!$A:$AZ,MATCH($A$1,'DB Country PMI'!$A$1:$AZ$1,),))</f>
        <v>52.6</v>
      </c>
      <c r="C90" s="24">
        <f>Table134[[#This Row],[PMI]]-B89</f>
        <v>0.10000000000000142</v>
      </c>
    </row>
    <row r="91" spans="1:3" x14ac:dyDescent="0.2">
      <c r="A91" s="10">
        <v>43678</v>
      </c>
      <c r="B91" s="18">
        <f>IF(VLOOKUP(A91,'DB Country PMI'!$A:$AZ,MATCH($A$1,'DB Country PMI'!$A$1:$AZ$1,),)=0,#N/A,VLOOKUP(A91,'DB Country PMI'!$A:$AZ,MATCH($A$1,'DB Country PMI'!$A$1:$AZ$1,),))</f>
        <v>51.4</v>
      </c>
      <c r="C91" s="24">
        <f>Table134[[#This Row],[PMI]]-B90</f>
        <v>-1.2000000000000028</v>
      </c>
    </row>
    <row r="92" spans="1:3" x14ac:dyDescent="0.2">
      <c r="A92" s="10">
        <v>43709</v>
      </c>
      <c r="B92" s="18">
        <f>IF(VLOOKUP(A92,'DB Country PMI'!$A:$AZ,MATCH($A$1,'DB Country PMI'!$A$1:$AZ$1,),)=0,#N/A,VLOOKUP(A92,'DB Country PMI'!$A:$AZ,MATCH($A$1,'DB Country PMI'!$A$1:$AZ$1,),))</f>
        <v>50.5</v>
      </c>
      <c r="C92" s="24">
        <f>Table134[[#This Row],[PMI]]-B91</f>
        <v>-0.89999999999999858</v>
      </c>
    </row>
    <row r="93" spans="1:3" x14ac:dyDescent="0.2">
      <c r="A93" s="10">
        <v>43739</v>
      </c>
      <c r="B93" s="18">
        <f>IF(VLOOKUP(A93,'DB Country PMI'!$A:$AZ,MATCH($A$1,'DB Country PMI'!$A$1:$AZ$1,),)=0,#N/A,VLOOKUP(A93,'DB Country PMI'!$A:$AZ,MATCH($A$1,'DB Country PMI'!$A$1:$AZ$1,),))</f>
        <v>50</v>
      </c>
      <c r="C93" s="24">
        <f>Table134[[#This Row],[PMI]]-B92</f>
        <v>-0.5</v>
      </c>
    </row>
    <row r="94" spans="1:3" x14ac:dyDescent="0.2">
      <c r="A94" s="10">
        <v>43770</v>
      </c>
      <c r="B94" s="18">
        <f>IF(VLOOKUP(A94,'DB Country PMI'!$A:$AZ,MATCH($A$1,'DB Country PMI'!$A$1:$AZ$1,),)=0,#N/A,VLOOKUP(A94,'DB Country PMI'!$A:$AZ,MATCH($A$1,'DB Country PMI'!$A$1:$AZ$1,),))</f>
        <v>51</v>
      </c>
      <c r="C94" s="24">
        <f>Table134[[#This Row],[PMI]]-B93</f>
        <v>1</v>
      </c>
    </row>
    <row r="95" spans="1:3" x14ac:dyDescent="0.2">
      <c r="A95" s="10">
        <v>43800</v>
      </c>
      <c r="B95" s="18">
        <f>IF(VLOOKUP(A95,'DB Country PMI'!$A:$AZ,MATCH($A$1,'DB Country PMI'!$A$1:$AZ$1,),)=0,#N/A,VLOOKUP(A95,'DB Country PMI'!$A:$AZ,MATCH($A$1,'DB Country PMI'!$A$1:$AZ$1,),))</f>
        <v>50.8</v>
      </c>
      <c r="C95" s="24">
        <f>Table134[[#This Row],[PMI]]-B94</f>
        <v>-0.20000000000000284</v>
      </c>
    </row>
    <row r="96" spans="1:3" x14ac:dyDescent="0.2">
      <c r="A96" s="10">
        <v>43831</v>
      </c>
      <c r="B96" s="18">
        <f>IF(VLOOKUP(A96,'DB Country PMI'!$A:$AZ,MATCH($A$1,'DB Country PMI'!$A$1:$AZ$1,),)=0,#N/A,VLOOKUP(A96,'DB Country PMI'!$A:$AZ,MATCH($A$1,'DB Country PMI'!$A$1:$AZ$1,),))</f>
        <v>50.6</v>
      </c>
      <c r="C96" s="24">
        <f>Table134[[#This Row],[PMI]]-B95</f>
        <v>-0.19999999999999574</v>
      </c>
    </row>
    <row r="97" spans="1:3" x14ac:dyDescent="0.2">
      <c r="A97" s="10">
        <v>43862</v>
      </c>
      <c r="B97" s="18">
        <f>IF(VLOOKUP(A97,'DB Country PMI'!$A:$AZ,MATCH($A$1,'DB Country PMI'!$A$1:$AZ$1,),)=0,#N/A,VLOOKUP(A97,'DB Country PMI'!$A:$AZ,MATCH($A$1,'DB Country PMI'!$A$1:$AZ$1,),))</f>
        <v>49</v>
      </c>
      <c r="C97" s="24">
        <f>Table134[[#This Row],[PMI]]-B96</f>
        <v>-1.6000000000000014</v>
      </c>
    </row>
    <row r="98" spans="1:3" x14ac:dyDescent="0.2">
      <c r="A98" s="10">
        <v>43891</v>
      </c>
      <c r="B98" s="18">
        <f>IF(VLOOKUP(A98,'DB Country PMI'!$A:$AZ,MATCH($A$1,'DB Country PMI'!$A$1:$AZ$1,),)=0,#N/A,VLOOKUP(A98,'DB Country PMI'!$A:$AZ,MATCH($A$1,'DB Country PMI'!$A$1:$AZ$1,),))</f>
        <v>41.9</v>
      </c>
      <c r="C98" s="24">
        <f>Table134[[#This Row],[PMI]]-B97</f>
        <v>-7.1000000000000014</v>
      </c>
    </row>
    <row r="99" spans="1:3" x14ac:dyDescent="0.2">
      <c r="A99" s="10">
        <v>43922</v>
      </c>
      <c r="B99" s="18">
        <f>IF(VLOOKUP(A99,'DB Country PMI'!$A:$AZ,MATCH($A$1,'DB Country PMI'!$A$1:$AZ$1,),)=0,#N/A,VLOOKUP(A99,'DB Country PMI'!$A:$AZ,MATCH($A$1,'DB Country PMI'!$A$1:$AZ$1,),))</f>
        <v>32.700000000000003</v>
      </c>
      <c r="C99" s="24">
        <f>Table134[[#This Row],[PMI]]-B98</f>
        <v>-9.1999999999999957</v>
      </c>
    </row>
    <row r="100" spans="1:3" x14ac:dyDescent="0.2">
      <c r="A100" s="10">
        <v>43952</v>
      </c>
      <c r="B100" s="18">
        <f>IF(VLOOKUP(A100,'DB Country PMI'!$A:$AZ,MATCH($A$1,'DB Country PMI'!$A$1:$AZ$1,),)=0,#N/A,VLOOKUP(A100,'DB Country PMI'!$A:$AZ,MATCH($A$1,'DB Country PMI'!$A$1:$AZ$1,),))</f>
        <v>42.7</v>
      </c>
      <c r="C100" s="24">
        <f>Table134[[#This Row],[PMI]]-B99</f>
        <v>10</v>
      </c>
    </row>
    <row r="101" spans="1:3" x14ac:dyDescent="0.2">
      <c r="A101" s="10">
        <v>43983</v>
      </c>
      <c r="B101" s="18">
        <f>IF(VLOOKUP(A101,'DB Country PMI'!$A:$AZ,MATCH($A$1,'DB Country PMI'!$A$1:$AZ$1,),)=0,#N/A,VLOOKUP(A101,'DB Country PMI'!$A:$AZ,MATCH($A$1,'DB Country PMI'!$A$1:$AZ$1,),))</f>
        <v>51.1</v>
      </c>
      <c r="C101" s="24">
        <f>Table134[[#This Row],[PMI]]-B100</f>
        <v>8.3999999999999986</v>
      </c>
    </row>
    <row r="102" spans="1:3" x14ac:dyDescent="0.2">
      <c r="A102" s="10">
        <v>44013</v>
      </c>
      <c r="B102" s="18">
        <f>IF(VLOOKUP(A102,'DB Country PMI'!$A:$AZ,MATCH($A$1,'DB Country PMI'!$A$1:$AZ$1,),)=0,#N/A,VLOOKUP(A102,'DB Country PMI'!$A:$AZ,MATCH($A$1,'DB Country PMI'!$A$1:$AZ$1,),))</f>
        <v>47.6</v>
      </c>
      <c r="C102" s="24">
        <f>Table134[[#This Row],[PMI]]-B101</f>
        <v>-3.5</v>
      </c>
    </row>
    <row r="103" spans="1:3" x14ac:dyDescent="0.2">
      <c r="A103" s="10">
        <v>44044</v>
      </c>
      <c r="B103" s="18">
        <f>IF(VLOOKUP(A103,'DB Country PMI'!$A:$AZ,MATCH($A$1,'DB Country PMI'!$A$1:$AZ$1,),)=0,#N/A,VLOOKUP(A103,'DB Country PMI'!$A:$AZ,MATCH($A$1,'DB Country PMI'!$A$1:$AZ$1,),))</f>
        <v>45.7</v>
      </c>
      <c r="C103" s="24">
        <f>Table134[[#This Row],[PMI]]-B102</f>
        <v>-1.8999999999999986</v>
      </c>
    </row>
    <row r="104" spans="1:3" x14ac:dyDescent="0.2">
      <c r="A104" s="10">
        <v>44075</v>
      </c>
      <c r="B104" s="18">
        <f>IF(VLOOKUP(A104,'DB Country PMI'!$A:$AZ,MATCH($A$1,'DB Country PMI'!$A$1:$AZ$1,),)=0,#N/A,VLOOKUP(A104,'DB Country PMI'!$A:$AZ,MATCH($A$1,'DB Country PMI'!$A$1:$AZ$1,),))</f>
        <v>52.2</v>
      </c>
      <c r="C104" s="24">
        <f>Table134[[#This Row],[PMI]]-B103</f>
        <v>6.5</v>
      </c>
    </row>
    <row r="105" spans="1:3" x14ac:dyDescent="0.2">
      <c r="A105" s="10">
        <v>44105</v>
      </c>
      <c r="B105" s="18">
        <f>IF(VLOOKUP(A105,'DB Country PMI'!$A:$AZ,MATCH($A$1,'DB Country PMI'!$A$1:$AZ$1,),)=0,#N/A,VLOOKUP(A105,'DB Country PMI'!$A:$AZ,MATCH($A$1,'DB Country PMI'!$A$1:$AZ$1,),))</f>
        <v>51.8</v>
      </c>
      <c r="C105" s="24">
        <f>Table134[[#This Row],[PMI]]-B104</f>
        <v>-0.40000000000000568</v>
      </c>
    </row>
    <row r="106" spans="1:3" x14ac:dyDescent="0.2">
      <c r="A106" s="10">
        <v>44136</v>
      </c>
      <c r="B106" s="18">
        <f>IF(VLOOKUP(A106,'DB Country PMI'!$A:$AZ,MATCH($A$1,'DB Country PMI'!$A$1:$AZ$1,),)=0,#N/A,VLOOKUP(A106,'DB Country PMI'!$A:$AZ,MATCH($A$1,'DB Country PMI'!$A$1:$AZ$1,),))</f>
        <v>49.9</v>
      </c>
      <c r="C106" s="24">
        <f>Table134[[#This Row],[PMI]]-B105</f>
        <v>-1.8999999999999986</v>
      </c>
    </row>
    <row r="107" spans="1:3" x14ac:dyDescent="0.2">
      <c r="A107" s="10">
        <v>44166</v>
      </c>
      <c r="B107" s="18">
        <f>IF(VLOOKUP(A107,'DB Country PMI'!$A:$AZ,MATCH($A$1,'DB Country PMI'!$A$1:$AZ$1,),)=0,#N/A,VLOOKUP(A107,'DB Country PMI'!$A:$AZ,MATCH($A$1,'DB Country PMI'!$A$1:$AZ$1,),))</f>
        <v>51.7</v>
      </c>
      <c r="C107" s="24">
        <f>Table134[[#This Row],[PMI]]-B106</f>
        <v>1.8000000000000043</v>
      </c>
    </row>
    <row r="108" spans="1:3" x14ac:dyDescent="0.2">
      <c r="A108" s="10">
        <v>44197</v>
      </c>
      <c r="B108" s="18">
        <f>IF(VLOOKUP(A108,'DB Country PMI'!$A:$AZ,MATCH($A$1,'DB Country PMI'!$A$1:$AZ$1,),)=0,#N/A,VLOOKUP(A108,'DB Country PMI'!$A:$AZ,MATCH($A$1,'DB Country PMI'!$A$1:$AZ$1,),))</f>
        <v>51.3</v>
      </c>
      <c r="C108" s="24">
        <f>Table134[[#This Row],[PMI]]-B107</f>
        <v>-0.40000000000000568</v>
      </c>
    </row>
    <row r="109" spans="1:3" x14ac:dyDescent="0.2">
      <c r="A109" s="10">
        <v>44228</v>
      </c>
      <c r="B109" s="18">
        <f>IF(VLOOKUP(A109,'DB Country PMI'!$A:$AZ,MATCH($A$1,'DB Country PMI'!$A$1:$AZ$1,),)=0,#N/A,VLOOKUP(A109,'DB Country PMI'!$A:$AZ,MATCH($A$1,'DB Country PMI'!$A$1:$AZ$1,),))</f>
        <v>51.6</v>
      </c>
      <c r="C109" s="24">
        <f>Table134[[#This Row],[PMI]]-B108</f>
        <v>0.30000000000000426</v>
      </c>
    </row>
    <row r="110" spans="1:3" x14ac:dyDescent="0.2">
      <c r="A110" s="10">
        <v>44256</v>
      </c>
      <c r="B110" s="18">
        <f>IF(VLOOKUP(A110,'DB Country PMI'!$A:$AZ,MATCH($A$1,'DB Country PMI'!$A$1:$AZ$1,),)=0,#N/A,VLOOKUP(A110,'DB Country PMI'!$A:$AZ,MATCH($A$1,'DB Country PMI'!$A$1:$AZ$1,),))</f>
        <v>53.6</v>
      </c>
      <c r="C110" s="24">
        <f>Table134[[#This Row],[PMI]]-B109</f>
        <v>2</v>
      </c>
    </row>
    <row r="111" spans="1:3" x14ac:dyDescent="0.2">
      <c r="A111" s="10">
        <v>44287</v>
      </c>
      <c r="B111" s="18">
        <f>IF(VLOOKUP(A111,'DB Country PMI'!$A:$AZ,MATCH($A$1,'DB Country PMI'!$A$1:$AZ$1,),)=0,#N/A,VLOOKUP(A111,'DB Country PMI'!$A:$AZ,MATCH($A$1,'DB Country PMI'!$A$1:$AZ$1,),))</f>
        <v>54.7</v>
      </c>
      <c r="C111" s="24">
        <f>Table134[[#This Row],[PMI]]-B110</f>
        <v>1.1000000000000014</v>
      </c>
    </row>
    <row r="112" spans="1:3" x14ac:dyDescent="0.2">
      <c r="A112" s="10">
        <v>44317</v>
      </c>
      <c r="B112" s="18">
        <f>IF(VLOOKUP(A112,'DB Country PMI'!$A:$AZ,MATCH($A$1,'DB Country PMI'!$A$1:$AZ$1,),)=0,#N/A,VLOOKUP(A112,'DB Country PMI'!$A:$AZ,MATCH($A$1,'DB Country PMI'!$A$1:$AZ$1,),))</f>
        <v>53.1</v>
      </c>
      <c r="C112" s="24">
        <f>Table134[[#This Row],[PMI]]-B111</f>
        <v>-1.6000000000000014</v>
      </c>
    </row>
    <row r="113" spans="1:3" x14ac:dyDescent="0.2">
      <c r="A113" s="10">
        <v>44348</v>
      </c>
      <c r="B113" s="18">
        <f>IF(VLOOKUP(A113,'DB Country PMI'!$A:$AZ,MATCH($A$1,'DB Country PMI'!$A$1:$AZ$1,),)=0,#N/A,VLOOKUP(A113,'DB Country PMI'!$A:$AZ,MATCH($A$1,'DB Country PMI'!$A$1:$AZ$1,),))</f>
        <v>44.1</v>
      </c>
      <c r="C113" s="24">
        <f>Table134[[#This Row],[PMI]]-B112</f>
        <v>-9</v>
      </c>
    </row>
    <row r="114" spans="1:3" x14ac:dyDescent="0.2">
      <c r="A114" s="10">
        <v>44378</v>
      </c>
      <c r="B114" s="18">
        <f>IF(VLOOKUP(A114,'DB Country PMI'!$A:$AZ,MATCH($A$1,'DB Country PMI'!$A$1:$AZ$1,),)=0,#N/A,VLOOKUP(A114,'DB Country PMI'!$A:$AZ,MATCH($A$1,'DB Country PMI'!$A$1:$AZ$1,),))</f>
        <v>45.1</v>
      </c>
      <c r="C114" s="24">
        <f>Table134[[#This Row],[PMI]]-B113</f>
        <v>1</v>
      </c>
    </row>
    <row r="115" spans="1:3" x14ac:dyDescent="0.2">
      <c r="A115" s="10">
        <v>44409</v>
      </c>
      <c r="B115" s="18">
        <f>IF(VLOOKUP(A115,'DB Country PMI'!$A:$AZ,MATCH($A$1,'DB Country PMI'!$A$1:$AZ$1,),)=0,#N/A,VLOOKUP(A115,'DB Country PMI'!$A:$AZ,MATCH($A$1,'DB Country PMI'!$A$1:$AZ$1,),))</f>
        <v>40.200000000000003</v>
      </c>
      <c r="C115" s="24">
        <f>Table134[[#This Row],[PMI]]-B114</f>
        <v>-4.8999999999999986</v>
      </c>
    </row>
    <row r="116" spans="1:3" x14ac:dyDescent="0.2">
      <c r="A116" s="10">
        <v>44440</v>
      </c>
      <c r="B116" s="18">
        <f>IF(VLOOKUP(A116,'DB Country PMI'!$A:$AZ,MATCH($A$1,'DB Country PMI'!$A$1:$AZ$1,),)=0,#N/A,VLOOKUP(A116,'DB Country PMI'!$A:$AZ,MATCH($A$1,'DB Country PMI'!$A$1:$AZ$1,),))</f>
        <v>40.200000000000003</v>
      </c>
      <c r="C116" s="24">
        <f>Table134[[#This Row],[PMI]]-B115</f>
        <v>0</v>
      </c>
    </row>
    <row r="117" spans="1:3" x14ac:dyDescent="0.2">
      <c r="A117" s="10">
        <v>44470</v>
      </c>
      <c r="B117" s="18">
        <f>IF(VLOOKUP(A117,'DB Country PMI'!$A:$AZ,MATCH($A$1,'DB Country PMI'!$A$1:$AZ$1,),)=0,#N/A,VLOOKUP(A117,'DB Country PMI'!$A:$AZ,MATCH($A$1,'DB Country PMI'!$A$1:$AZ$1,),))</f>
        <v>52.1</v>
      </c>
      <c r="C117" s="24">
        <f>Table134[[#This Row],[PMI]]-B116</f>
        <v>11.899999999999999</v>
      </c>
    </row>
    <row r="118" spans="1:3" x14ac:dyDescent="0.2">
      <c r="A118" s="10">
        <v>44501</v>
      </c>
      <c r="B118" s="18">
        <f>IF(VLOOKUP(A118,'DB Country PMI'!$A:$AZ,MATCH($A$1,'DB Country PMI'!$A$1:$AZ$1,),)=0,#N/A,VLOOKUP(A118,'DB Country PMI'!$A:$AZ,MATCH($A$1,'DB Country PMI'!$A$1:$AZ$1,),))</f>
        <v>52.2</v>
      </c>
      <c r="C118" s="24">
        <f>Table134[[#This Row],[PMI]]-B117</f>
        <v>0.10000000000000142</v>
      </c>
    </row>
    <row r="119" spans="1:3" x14ac:dyDescent="0.2">
      <c r="A119" s="10">
        <v>44531</v>
      </c>
      <c r="B119" s="18">
        <f>IF(VLOOKUP(A119,'DB Country PMI'!$A:$AZ,MATCH($A$1,'DB Country PMI'!$A$1:$AZ$1,),)=0,#N/A,VLOOKUP(A119,'DB Country PMI'!$A:$AZ,MATCH($A$1,'DB Country PMI'!$A$1:$AZ$1,),))</f>
        <v>52.5</v>
      </c>
      <c r="C119" s="24">
        <f>Table134[[#This Row],[PMI]]-B118</f>
        <v>0.29999999999999716</v>
      </c>
    </row>
    <row r="120" spans="1:3" x14ac:dyDescent="0.2">
      <c r="A120" s="10">
        <v>44562</v>
      </c>
      <c r="B120" s="18">
        <f>IF(VLOOKUP(A120,'DB Country PMI'!$A:$AZ,MATCH($A$1,'DB Country PMI'!$A$1:$AZ$1,),)=0,#N/A,VLOOKUP(A120,'DB Country PMI'!$A:$AZ,MATCH($A$1,'DB Country PMI'!$A$1:$AZ$1,),))</f>
        <v>53.7</v>
      </c>
      <c r="C120" s="24">
        <f>Table134[[#This Row],[PMI]]-B119</f>
        <v>1.2000000000000028</v>
      </c>
    </row>
  </sheetData>
  <conditionalFormatting sqref="B6:B120">
    <cfRule type="colorScale" priority="2">
      <colorScale>
        <cfvo type="min"/>
        <cfvo type="percentile" val="50"/>
        <cfvo type="max"/>
        <color rgb="FFF8696B"/>
        <color rgb="FFFFEB84"/>
        <color rgb="FF63BE7B"/>
      </colorScale>
    </cfRule>
  </conditionalFormatting>
  <conditionalFormatting sqref="C7:C12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72"/>
  <sheetViews>
    <sheetView zoomScale="170" zoomScaleNormal="170" workbookViewId="0">
      <pane ySplit="5" topLeftCell="A39" activePane="bottomLeft" state="frozen"/>
      <selection pane="bottomLeft" activeCell="R68" sqref="R68"/>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75</v>
      </c>
      <c r="K1" s="63" t="s">
        <v>107</v>
      </c>
    </row>
    <row r="2" spans="1:11" x14ac:dyDescent="0.2">
      <c r="K2" s="63" t="str">
        <f>A1&amp;K1</f>
        <v>Thailand Manufacturing PMI</v>
      </c>
    </row>
    <row r="4" spans="1:11" ht="16" customHeight="1" thickBot="1" x14ac:dyDescent="0.25"/>
    <row r="5" spans="1:11" ht="16" customHeight="1" thickBot="1" x14ac:dyDescent="0.25">
      <c r="A5" s="21" t="s">
        <v>44</v>
      </c>
      <c r="B5" s="22" t="s">
        <v>103</v>
      </c>
      <c r="C5" s="22" t="s">
        <v>104</v>
      </c>
    </row>
    <row r="6" spans="1:11" x14ac:dyDescent="0.2">
      <c r="A6" s="17">
        <v>42552</v>
      </c>
      <c r="B6" s="18">
        <f>IF(VLOOKUP(A6,'DB Country PMI'!$A:$AZ,MATCH($A$1,'DB Country PMI'!$A$1:$AZ$1,),)=0,#N/A,VLOOKUP(A6,'DB Country PMI'!$A:$AZ,MATCH($A$1,'DB Country PMI'!$A$1:$AZ$1,),))</f>
        <v>49.3</v>
      </c>
      <c r="C6" s="18"/>
    </row>
    <row r="7" spans="1:11" x14ac:dyDescent="0.2">
      <c r="A7" s="10">
        <v>42583</v>
      </c>
      <c r="B7" s="18">
        <f>IF(VLOOKUP(A7,'DB Country PMI'!$A:$AZ,MATCH($A$1,'DB Country PMI'!$A$1:$AZ$1,),)=0,#N/A,VLOOKUP(A7,'DB Country PMI'!$A:$AZ,MATCH($A$1,'DB Country PMI'!$A$1:$AZ$1,),))</f>
        <v>49.8</v>
      </c>
      <c r="C7" s="24">
        <f>Table1345[[#This Row],[PMI]]-B6</f>
        <v>0.5</v>
      </c>
    </row>
    <row r="8" spans="1:11" x14ac:dyDescent="0.2">
      <c r="A8" s="10">
        <v>42614</v>
      </c>
      <c r="B8" s="18">
        <f>IF(VLOOKUP(A8,'DB Country PMI'!$A:$AZ,MATCH($A$1,'DB Country PMI'!$A$1:$AZ$1,),)=0,#N/A,VLOOKUP(A8,'DB Country PMI'!$A:$AZ,MATCH($A$1,'DB Country PMI'!$A$1:$AZ$1,),))</f>
        <v>48.8</v>
      </c>
      <c r="C8" s="24">
        <f>Table1345[[#This Row],[PMI]]-B7</f>
        <v>-1</v>
      </c>
    </row>
    <row r="9" spans="1:11" x14ac:dyDescent="0.2">
      <c r="A9" s="10">
        <v>42644</v>
      </c>
      <c r="B9" s="18">
        <f>IF(VLOOKUP(A9,'DB Country PMI'!$A:$AZ,MATCH($A$1,'DB Country PMI'!$A$1:$AZ$1,),)=0,#N/A,VLOOKUP(A9,'DB Country PMI'!$A:$AZ,MATCH($A$1,'DB Country PMI'!$A$1:$AZ$1,),))</f>
        <v>48.8</v>
      </c>
      <c r="C9" s="24">
        <f>Table1345[[#This Row],[PMI]]-B8</f>
        <v>0</v>
      </c>
    </row>
    <row r="10" spans="1:11" x14ac:dyDescent="0.2">
      <c r="A10" s="10">
        <v>42675</v>
      </c>
      <c r="B10" s="18">
        <f>IF(VLOOKUP(A10,'DB Country PMI'!$A:$AZ,MATCH($A$1,'DB Country PMI'!$A$1:$AZ$1,),)=0,#N/A,VLOOKUP(A10,'DB Country PMI'!$A:$AZ,MATCH($A$1,'DB Country PMI'!$A$1:$AZ$1,),))</f>
        <v>48.2</v>
      </c>
      <c r="C10" s="24">
        <f>Table1345[[#This Row],[PMI]]-B9</f>
        <v>-0.59999999999999432</v>
      </c>
    </row>
    <row r="11" spans="1:11" x14ac:dyDescent="0.2">
      <c r="A11" s="10">
        <v>42705</v>
      </c>
      <c r="B11" s="18">
        <f>IF(VLOOKUP(A11,'DB Country PMI'!$A:$AZ,MATCH($A$1,'DB Country PMI'!$A$1:$AZ$1,),)=0,#N/A,VLOOKUP(A11,'DB Country PMI'!$A:$AZ,MATCH($A$1,'DB Country PMI'!$A$1:$AZ$1,),))</f>
        <v>50.6</v>
      </c>
      <c r="C11" s="24">
        <f>Table1345[[#This Row],[PMI]]-B10</f>
        <v>2.3999999999999986</v>
      </c>
    </row>
    <row r="12" spans="1:11" x14ac:dyDescent="0.2">
      <c r="A12" s="10">
        <v>42736</v>
      </c>
      <c r="B12" s="18">
        <f>IF(VLOOKUP(A12,'DB Country PMI'!$A:$AZ,MATCH($A$1,'DB Country PMI'!$A$1:$AZ$1,),)=0,#N/A,VLOOKUP(A12,'DB Country PMI'!$A:$AZ,MATCH($A$1,'DB Country PMI'!$A$1:$AZ$1,),))</f>
        <v>50.6</v>
      </c>
      <c r="C12" s="24">
        <f>Table1345[[#This Row],[PMI]]-B11</f>
        <v>0</v>
      </c>
    </row>
    <row r="13" spans="1:11" x14ac:dyDescent="0.2">
      <c r="A13" s="10">
        <v>42767</v>
      </c>
      <c r="B13" s="18">
        <f>IF(VLOOKUP(A13,'DB Country PMI'!$A:$AZ,MATCH($A$1,'DB Country PMI'!$A$1:$AZ$1,),)=0,#N/A,VLOOKUP(A13,'DB Country PMI'!$A:$AZ,MATCH($A$1,'DB Country PMI'!$A$1:$AZ$1,),))</f>
        <v>50.6</v>
      </c>
      <c r="C13" s="24">
        <f>Table1345[[#This Row],[PMI]]-B12</f>
        <v>0</v>
      </c>
    </row>
    <row r="14" spans="1:11" x14ac:dyDescent="0.2">
      <c r="A14" s="10">
        <v>42795</v>
      </c>
      <c r="B14" s="18">
        <f>IF(VLOOKUP(A14,'DB Country PMI'!$A:$AZ,MATCH($A$1,'DB Country PMI'!$A$1:$AZ$1,),)=0,#N/A,VLOOKUP(A14,'DB Country PMI'!$A:$AZ,MATCH($A$1,'DB Country PMI'!$A$1:$AZ$1,),))</f>
        <v>50.2</v>
      </c>
      <c r="C14" s="24">
        <f>Table1345[[#This Row],[PMI]]-B13</f>
        <v>-0.39999999999999858</v>
      </c>
    </row>
    <row r="15" spans="1:11" x14ac:dyDescent="0.2">
      <c r="A15" s="10">
        <v>42826</v>
      </c>
      <c r="B15" s="18">
        <f>IF(VLOOKUP(A15,'DB Country PMI'!$A:$AZ,MATCH($A$1,'DB Country PMI'!$A$1:$AZ$1,),)=0,#N/A,VLOOKUP(A15,'DB Country PMI'!$A:$AZ,MATCH($A$1,'DB Country PMI'!$A$1:$AZ$1,),))</f>
        <v>49.8</v>
      </c>
      <c r="C15" s="24">
        <f>Table1345[[#This Row],[PMI]]-B14</f>
        <v>-0.40000000000000568</v>
      </c>
    </row>
    <row r="16" spans="1:11" x14ac:dyDescent="0.2">
      <c r="A16" s="10">
        <v>42856</v>
      </c>
      <c r="B16" s="18">
        <f>IF(VLOOKUP(A16,'DB Country PMI'!$A:$AZ,MATCH($A$1,'DB Country PMI'!$A$1:$AZ$1,),)=0,#N/A,VLOOKUP(A16,'DB Country PMI'!$A:$AZ,MATCH($A$1,'DB Country PMI'!$A$1:$AZ$1,),))</f>
        <v>49.7</v>
      </c>
      <c r="C16" s="24">
        <f>Table1345[[#This Row],[PMI]]-B15</f>
        <v>-9.9999999999994316E-2</v>
      </c>
    </row>
    <row r="17" spans="1:3" x14ac:dyDescent="0.2">
      <c r="A17" s="10">
        <v>42887</v>
      </c>
      <c r="B17" s="18">
        <f>IF(VLOOKUP(A17,'DB Country PMI'!$A:$AZ,MATCH($A$1,'DB Country PMI'!$A$1:$AZ$1,),)=0,#N/A,VLOOKUP(A17,'DB Country PMI'!$A:$AZ,MATCH($A$1,'DB Country PMI'!$A$1:$AZ$1,),))</f>
        <v>50.4</v>
      </c>
      <c r="C17" s="24">
        <f>Table1345[[#This Row],[PMI]]-B16</f>
        <v>0.69999999999999574</v>
      </c>
    </row>
    <row r="18" spans="1:3" x14ac:dyDescent="0.2">
      <c r="A18" s="10">
        <v>42917</v>
      </c>
      <c r="B18" s="18">
        <f>IF(VLOOKUP(A18,'DB Country PMI'!$A:$AZ,MATCH($A$1,'DB Country PMI'!$A$1:$AZ$1,),)=0,#N/A,VLOOKUP(A18,'DB Country PMI'!$A:$AZ,MATCH($A$1,'DB Country PMI'!$A$1:$AZ$1,),))</f>
        <v>49.6</v>
      </c>
      <c r="C18" s="24">
        <f>Table1345[[#This Row],[PMI]]-B17</f>
        <v>-0.79999999999999716</v>
      </c>
    </row>
    <row r="19" spans="1:3" x14ac:dyDescent="0.2">
      <c r="A19" s="10">
        <v>42948</v>
      </c>
      <c r="B19" s="18">
        <f>IF(VLOOKUP(A19,'DB Country PMI'!$A:$AZ,MATCH($A$1,'DB Country PMI'!$A$1:$AZ$1,),)=0,#N/A,VLOOKUP(A19,'DB Country PMI'!$A:$AZ,MATCH($A$1,'DB Country PMI'!$A$1:$AZ$1,),))</f>
        <v>49.5</v>
      </c>
      <c r="C19" s="24">
        <f>Table1345[[#This Row],[PMI]]-B18</f>
        <v>-0.10000000000000142</v>
      </c>
    </row>
    <row r="20" spans="1:3" x14ac:dyDescent="0.2">
      <c r="A20" s="10">
        <v>42979</v>
      </c>
      <c r="B20" s="18">
        <f>IF(VLOOKUP(A20,'DB Country PMI'!$A:$AZ,MATCH($A$1,'DB Country PMI'!$A$1:$AZ$1,),)=0,#N/A,VLOOKUP(A20,'DB Country PMI'!$A:$AZ,MATCH($A$1,'DB Country PMI'!$A$1:$AZ$1,),))</f>
        <v>50.3</v>
      </c>
      <c r="C20" s="24">
        <f>Table1345[[#This Row],[PMI]]-B19</f>
        <v>0.79999999999999716</v>
      </c>
    </row>
    <row r="21" spans="1:3" x14ac:dyDescent="0.2">
      <c r="A21" s="10">
        <v>43009</v>
      </c>
      <c r="B21" s="18">
        <f>IF(VLOOKUP(A21,'DB Country PMI'!$A:$AZ,MATCH($A$1,'DB Country PMI'!$A$1:$AZ$1,),)=0,#N/A,VLOOKUP(A21,'DB Country PMI'!$A:$AZ,MATCH($A$1,'DB Country PMI'!$A$1:$AZ$1,),))</f>
        <v>49.8</v>
      </c>
      <c r="C21" s="24">
        <f>Table1345[[#This Row],[PMI]]-B20</f>
        <v>-0.5</v>
      </c>
    </row>
    <row r="22" spans="1:3" x14ac:dyDescent="0.2">
      <c r="A22" s="10">
        <v>43040</v>
      </c>
      <c r="B22" s="18">
        <f>IF(VLOOKUP(A22,'DB Country PMI'!$A:$AZ,MATCH($A$1,'DB Country PMI'!$A$1:$AZ$1,),)=0,#N/A,VLOOKUP(A22,'DB Country PMI'!$A:$AZ,MATCH($A$1,'DB Country PMI'!$A$1:$AZ$1,),))</f>
        <v>50</v>
      </c>
      <c r="C22" s="24">
        <f>Table1345[[#This Row],[PMI]]-B21</f>
        <v>0.20000000000000284</v>
      </c>
    </row>
    <row r="23" spans="1:3" x14ac:dyDescent="0.2">
      <c r="A23" s="10">
        <v>43070</v>
      </c>
      <c r="B23" s="18">
        <f>IF(VLOOKUP(A23,'DB Country PMI'!$A:$AZ,MATCH($A$1,'DB Country PMI'!$A$1:$AZ$1,),)=0,#N/A,VLOOKUP(A23,'DB Country PMI'!$A:$AZ,MATCH($A$1,'DB Country PMI'!$A$1:$AZ$1,),))</f>
        <v>50.4</v>
      </c>
      <c r="C23" s="24">
        <f>Table1345[[#This Row],[PMI]]-B22</f>
        <v>0.39999999999999858</v>
      </c>
    </row>
    <row r="24" spans="1:3" x14ac:dyDescent="0.2">
      <c r="A24" s="10">
        <v>43101</v>
      </c>
      <c r="B24" s="18">
        <f>IF(VLOOKUP(A24,'DB Country PMI'!$A:$AZ,MATCH($A$1,'DB Country PMI'!$A$1:$AZ$1,),)=0,#N/A,VLOOKUP(A24,'DB Country PMI'!$A:$AZ,MATCH($A$1,'DB Country PMI'!$A$1:$AZ$1,),))</f>
        <v>50.6</v>
      </c>
      <c r="C24" s="24">
        <f>Table1345[[#This Row],[PMI]]-B23</f>
        <v>0.20000000000000284</v>
      </c>
    </row>
    <row r="25" spans="1:3" x14ac:dyDescent="0.2">
      <c r="A25" s="10">
        <v>43132</v>
      </c>
      <c r="B25" s="18">
        <f>IF(VLOOKUP(A25,'DB Country PMI'!$A:$AZ,MATCH($A$1,'DB Country PMI'!$A$1:$AZ$1,),)=0,#N/A,VLOOKUP(A25,'DB Country PMI'!$A:$AZ,MATCH($A$1,'DB Country PMI'!$A$1:$AZ$1,),))</f>
        <v>50.9</v>
      </c>
      <c r="C25" s="24">
        <f>Table1345[[#This Row],[PMI]]-B24</f>
        <v>0.29999999999999716</v>
      </c>
    </row>
    <row r="26" spans="1:3" x14ac:dyDescent="0.2">
      <c r="A26" s="10">
        <v>43160</v>
      </c>
      <c r="B26" s="18">
        <f>IF(VLOOKUP(A26,'DB Country PMI'!$A:$AZ,MATCH($A$1,'DB Country PMI'!$A$1:$AZ$1,),)=0,#N/A,VLOOKUP(A26,'DB Country PMI'!$A:$AZ,MATCH($A$1,'DB Country PMI'!$A$1:$AZ$1,),))</f>
        <v>49.1</v>
      </c>
      <c r="C26" s="24">
        <f>Table1345[[#This Row],[PMI]]-B25</f>
        <v>-1.7999999999999972</v>
      </c>
    </row>
    <row r="27" spans="1:3" x14ac:dyDescent="0.2">
      <c r="A27" s="10">
        <v>43191</v>
      </c>
      <c r="B27" s="18">
        <f>IF(VLOOKUP(A27,'DB Country PMI'!$A:$AZ,MATCH($A$1,'DB Country PMI'!$A$1:$AZ$1,),)=0,#N/A,VLOOKUP(A27,'DB Country PMI'!$A:$AZ,MATCH($A$1,'DB Country PMI'!$A$1:$AZ$1,),))</f>
        <v>49.5</v>
      </c>
      <c r="C27" s="24">
        <f>Table1345[[#This Row],[PMI]]-B26</f>
        <v>0.39999999999999858</v>
      </c>
    </row>
    <row r="28" spans="1:3" x14ac:dyDescent="0.2">
      <c r="A28" s="10">
        <v>43221</v>
      </c>
      <c r="B28" s="18">
        <f>IF(VLOOKUP(A28,'DB Country PMI'!$A:$AZ,MATCH($A$1,'DB Country PMI'!$A$1:$AZ$1,),)=0,#N/A,VLOOKUP(A28,'DB Country PMI'!$A:$AZ,MATCH($A$1,'DB Country PMI'!$A$1:$AZ$1,),))</f>
        <v>51.1</v>
      </c>
      <c r="C28" s="24">
        <f>Table1345[[#This Row],[PMI]]-B27</f>
        <v>1.6000000000000014</v>
      </c>
    </row>
    <row r="29" spans="1:3" x14ac:dyDescent="0.2">
      <c r="A29" s="10">
        <v>43252</v>
      </c>
      <c r="B29" s="18">
        <f>IF(VLOOKUP(A29,'DB Country PMI'!$A:$AZ,MATCH($A$1,'DB Country PMI'!$A$1:$AZ$1,),)=0,#N/A,VLOOKUP(A29,'DB Country PMI'!$A:$AZ,MATCH($A$1,'DB Country PMI'!$A$1:$AZ$1,),))</f>
        <v>50.2</v>
      </c>
      <c r="C29" s="24">
        <f>Table1345[[#This Row],[PMI]]-B28</f>
        <v>-0.89999999999999858</v>
      </c>
    </row>
    <row r="30" spans="1:3" x14ac:dyDescent="0.2">
      <c r="A30" s="10">
        <v>43282</v>
      </c>
      <c r="B30" s="18">
        <f>IF(VLOOKUP(A30,'DB Country PMI'!$A:$AZ,MATCH($A$1,'DB Country PMI'!$A$1:$AZ$1,),)=0,#N/A,VLOOKUP(A30,'DB Country PMI'!$A:$AZ,MATCH($A$1,'DB Country PMI'!$A$1:$AZ$1,),))</f>
        <v>50.1</v>
      </c>
      <c r="C30" s="24">
        <f>Table1345[[#This Row],[PMI]]-B29</f>
        <v>-0.10000000000000142</v>
      </c>
    </row>
    <row r="31" spans="1:3" x14ac:dyDescent="0.2">
      <c r="A31" s="10">
        <v>43313</v>
      </c>
      <c r="B31" s="18">
        <f>IF(VLOOKUP(A31,'DB Country PMI'!$A:$AZ,MATCH($A$1,'DB Country PMI'!$A$1:$AZ$1,),)=0,#N/A,VLOOKUP(A31,'DB Country PMI'!$A:$AZ,MATCH($A$1,'DB Country PMI'!$A$1:$AZ$1,),))</f>
        <v>49.9</v>
      </c>
      <c r="C31" s="24">
        <f>Table1345[[#This Row],[PMI]]-B30</f>
        <v>-0.20000000000000284</v>
      </c>
    </row>
    <row r="32" spans="1:3" x14ac:dyDescent="0.2">
      <c r="A32" s="10">
        <v>43344</v>
      </c>
      <c r="B32" s="18">
        <f>IF(VLOOKUP(A32,'DB Country PMI'!$A:$AZ,MATCH($A$1,'DB Country PMI'!$A$1:$AZ$1,),)=0,#N/A,VLOOKUP(A32,'DB Country PMI'!$A:$AZ,MATCH($A$1,'DB Country PMI'!$A$1:$AZ$1,),))</f>
        <v>50</v>
      </c>
      <c r="C32" s="24">
        <f>Table1345[[#This Row],[PMI]]-B31</f>
        <v>0.10000000000000142</v>
      </c>
    </row>
    <row r="33" spans="1:3" x14ac:dyDescent="0.2">
      <c r="A33" s="10">
        <v>43374</v>
      </c>
      <c r="B33" s="18">
        <f>IF(VLOOKUP(A33,'DB Country PMI'!$A:$AZ,MATCH($A$1,'DB Country PMI'!$A$1:$AZ$1,),)=0,#N/A,VLOOKUP(A33,'DB Country PMI'!$A:$AZ,MATCH($A$1,'DB Country PMI'!$A$1:$AZ$1,),))</f>
        <v>48.9</v>
      </c>
      <c r="C33" s="24">
        <f>Table1345[[#This Row],[PMI]]-B32</f>
        <v>-1.1000000000000014</v>
      </c>
    </row>
    <row r="34" spans="1:3" x14ac:dyDescent="0.2">
      <c r="A34" s="10">
        <v>43405</v>
      </c>
      <c r="B34" s="18">
        <f>IF(VLOOKUP(A34,'DB Country PMI'!$A:$AZ,MATCH($A$1,'DB Country PMI'!$A$1:$AZ$1,),)=0,#N/A,VLOOKUP(A34,'DB Country PMI'!$A:$AZ,MATCH($A$1,'DB Country PMI'!$A$1:$AZ$1,),))</f>
        <v>49.8</v>
      </c>
      <c r="C34" s="24">
        <f>Table1345[[#This Row],[PMI]]-B33</f>
        <v>0.89999999999999858</v>
      </c>
    </row>
    <row r="35" spans="1:3" x14ac:dyDescent="0.2">
      <c r="A35" s="10">
        <v>43435</v>
      </c>
      <c r="B35" s="18">
        <f>IF(VLOOKUP(A35,'DB Country PMI'!$A:$AZ,MATCH($A$1,'DB Country PMI'!$A$1:$AZ$1,),)=0,#N/A,VLOOKUP(A35,'DB Country PMI'!$A:$AZ,MATCH($A$1,'DB Country PMI'!$A$1:$AZ$1,),))</f>
        <v>50.3</v>
      </c>
      <c r="C35" s="24">
        <f>Table1345[[#This Row],[PMI]]-B34</f>
        <v>0.5</v>
      </c>
    </row>
    <row r="36" spans="1:3" x14ac:dyDescent="0.2">
      <c r="A36" s="10">
        <v>43466</v>
      </c>
      <c r="B36" s="18">
        <f>IF(VLOOKUP(A36,'DB Country PMI'!$A:$AZ,MATCH($A$1,'DB Country PMI'!$A$1:$AZ$1,),)=0,#N/A,VLOOKUP(A36,'DB Country PMI'!$A:$AZ,MATCH($A$1,'DB Country PMI'!$A$1:$AZ$1,),))</f>
        <v>50.2</v>
      </c>
      <c r="C36" s="24">
        <f>Table1345[[#This Row],[PMI]]-B35</f>
        <v>-9.9999999999994316E-2</v>
      </c>
    </row>
    <row r="37" spans="1:3" x14ac:dyDescent="0.2">
      <c r="A37" s="10">
        <v>43497</v>
      </c>
      <c r="B37" s="18">
        <f>IF(VLOOKUP(A37,'DB Country PMI'!$A:$AZ,MATCH($A$1,'DB Country PMI'!$A$1:$AZ$1,),)=0,#N/A,VLOOKUP(A37,'DB Country PMI'!$A:$AZ,MATCH($A$1,'DB Country PMI'!$A$1:$AZ$1,),))</f>
        <v>49.9</v>
      </c>
      <c r="C37" s="24">
        <f>Table1345[[#This Row],[PMI]]-B36</f>
        <v>-0.30000000000000426</v>
      </c>
    </row>
    <row r="38" spans="1:3" x14ac:dyDescent="0.2">
      <c r="A38" s="10">
        <v>43525</v>
      </c>
      <c r="B38" s="18">
        <f>IF(VLOOKUP(A38,'DB Country PMI'!$A:$AZ,MATCH($A$1,'DB Country PMI'!$A$1:$AZ$1,),)=0,#N/A,VLOOKUP(A38,'DB Country PMI'!$A:$AZ,MATCH($A$1,'DB Country PMI'!$A$1:$AZ$1,),))</f>
        <v>50.3</v>
      </c>
      <c r="C38" s="24">
        <f>Table1345[[#This Row],[PMI]]-B37</f>
        <v>0.39999999999999858</v>
      </c>
    </row>
    <row r="39" spans="1:3" x14ac:dyDescent="0.2">
      <c r="A39" s="10">
        <v>43556</v>
      </c>
      <c r="B39" s="18">
        <f>IF(VLOOKUP(A39,'DB Country PMI'!$A:$AZ,MATCH($A$1,'DB Country PMI'!$A$1:$AZ$1,),)=0,#N/A,VLOOKUP(A39,'DB Country PMI'!$A:$AZ,MATCH($A$1,'DB Country PMI'!$A$1:$AZ$1,),))</f>
        <v>51</v>
      </c>
      <c r="C39" s="24">
        <f>Table1345[[#This Row],[PMI]]-B38</f>
        <v>0.70000000000000284</v>
      </c>
    </row>
    <row r="40" spans="1:3" x14ac:dyDescent="0.2">
      <c r="A40" s="10">
        <v>43586</v>
      </c>
      <c r="B40" s="18">
        <f>IF(VLOOKUP(A40,'DB Country PMI'!$A:$AZ,MATCH($A$1,'DB Country PMI'!$A$1:$AZ$1,),)=0,#N/A,VLOOKUP(A40,'DB Country PMI'!$A:$AZ,MATCH($A$1,'DB Country PMI'!$A$1:$AZ$1,),))</f>
        <v>50.7</v>
      </c>
      <c r="C40" s="24">
        <f>Table1345[[#This Row],[PMI]]-B39</f>
        <v>-0.29999999999999716</v>
      </c>
    </row>
    <row r="41" spans="1:3" x14ac:dyDescent="0.2">
      <c r="A41" s="10">
        <v>43617</v>
      </c>
      <c r="B41" s="18">
        <f>IF(VLOOKUP(A41,'DB Country PMI'!$A:$AZ,MATCH($A$1,'DB Country PMI'!$A$1:$AZ$1,),)=0,#N/A,VLOOKUP(A41,'DB Country PMI'!$A:$AZ,MATCH($A$1,'DB Country PMI'!$A$1:$AZ$1,),))</f>
        <v>50.6</v>
      </c>
      <c r="C41" s="24">
        <f>Table1345[[#This Row],[PMI]]-B40</f>
        <v>-0.10000000000000142</v>
      </c>
    </row>
    <row r="42" spans="1:3" x14ac:dyDescent="0.2">
      <c r="A42" s="10">
        <v>43647</v>
      </c>
      <c r="B42" s="18">
        <f>IF(VLOOKUP(A42,'DB Country PMI'!$A:$AZ,MATCH($A$1,'DB Country PMI'!$A$1:$AZ$1,),)=0,#N/A,VLOOKUP(A42,'DB Country PMI'!$A:$AZ,MATCH($A$1,'DB Country PMI'!$A$1:$AZ$1,),))</f>
        <v>50.3</v>
      </c>
      <c r="C42" s="24">
        <f>Table1345[[#This Row],[PMI]]-B41</f>
        <v>-0.30000000000000426</v>
      </c>
    </row>
    <row r="43" spans="1:3" x14ac:dyDescent="0.2">
      <c r="A43" s="10">
        <v>43678</v>
      </c>
      <c r="B43" s="18">
        <f>IF(VLOOKUP(A43,'DB Country PMI'!$A:$AZ,MATCH($A$1,'DB Country PMI'!$A$1:$AZ$1,),)=0,#N/A,VLOOKUP(A43,'DB Country PMI'!$A:$AZ,MATCH($A$1,'DB Country PMI'!$A$1:$AZ$1,),))</f>
        <v>50</v>
      </c>
      <c r="C43" s="24">
        <f>Table1345[[#This Row],[PMI]]-B42</f>
        <v>-0.29999999999999716</v>
      </c>
    </row>
    <row r="44" spans="1:3" x14ac:dyDescent="0.2">
      <c r="A44" s="10">
        <v>43709</v>
      </c>
      <c r="B44" s="18">
        <f>IF(VLOOKUP(A44,'DB Country PMI'!$A:$AZ,MATCH($A$1,'DB Country PMI'!$A$1:$AZ$1,),)=0,#N/A,VLOOKUP(A44,'DB Country PMI'!$A:$AZ,MATCH($A$1,'DB Country PMI'!$A$1:$AZ$1,),))</f>
        <v>50.6</v>
      </c>
      <c r="C44" s="24">
        <f>Table1345[[#This Row],[PMI]]-B43</f>
        <v>0.60000000000000142</v>
      </c>
    </row>
    <row r="45" spans="1:3" x14ac:dyDescent="0.2">
      <c r="A45" s="10">
        <v>43739</v>
      </c>
      <c r="B45" s="18">
        <f>IF(VLOOKUP(A45,'DB Country PMI'!$A:$AZ,MATCH($A$1,'DB Country PMI'!$A$1:$AZ$1,),)=0,#N/A,VLOOKUP(A45,'DB Country PMI'!$A:$AZ,MATCH($A$1,'DB Country PMI'!$A$1:$AZ$1,),))</f>
        <v>50</v>
      </c>
      <c r="C45" s="24">
        <f>Table1345[[#This Row],[PMI]]-B44</f>
        <v>-0.60000000000000142</v>
      </c>
    </row>
    <row r="46" spans="1:3" x14ac:dyDescent="0.2">
      <c r="A46" s="10">
        <v>43770</v>
      </c>
      <c r="B46" s="18">
        <f>IF(VLOOKUP(A46,'DB Country PMI'!$A:$AZ,MATCH($A$1,'DB Country PMI'!$A$1:$AZ$1,),)=0,#N/A,VLOOKUP(A46,'DB Country PMI'!$A:$AZ,MATCH($A$1,'DB Country PMI'!$A$1:$AZ$1,),))</f>
        <v>49.3</v>
      </c>
      <c r="C46" s="24">
        <f>Table1345[[#This Row],[PMI]]-B45</f>
        <v>-0.70000000000000284</v>
      </c>
    </row>
    <row r="47" spans="1:3" x14ac:dyDescent="0.2">
      <c r="A47" s="10">
        <v>43800</v>
      </c>
      <c r="B47" s="18">
        <f>IF(VLOOKUP(A47,'DB Country PMI'!$A:$AZ,MATCH($A$1,'DB Country PMI'!$A$1:$AZ$1,),)=0,#N/A,VLOOKUP(A47,'DB Country PMI'!$A:$AZ,MATCH($A$1,'DB Country PMI'!$A$1:$AZ$1,),))</f>
        <v>50.1</v>
      </c>
      <c r="C47" s="24">
        <f>Table1345[[#This Row],[PMI]]-B46</f>
        <v>0.80000000000000426</v>
      </c>
    </row>
    <row r="48" spans="1:3" x14ac:dyDescent="0.2">
      <c r="A48" s="10">
        <v>43831</v>
      </c>
      <c r="B48" s="18">
        <f>IF(VLOOKUP(A48,'DB Country PMI'!$A:$AZ,MATCH($A$1,'DB Country PMI'!$A$1:$AZ$1,),)=0,#N/A,VLOOKUP(A48,'DB Country PMI'!$A:$AZ,MATCH($A$1,'DB Country PMI'!$A$1:$AZ$1,),))</f>
        <v>49.9</v>
      </c>
      <c r="C48" s="24">
        <f>Table1345[[#This Row],[PMI]]-B47</f>
        <v>-0.20000000000000284</v>
      </c>
    </row>
    <row r="49" spans="1:3" x14ac:dyDescent="0.2">
      <c r="A49" s="10">
        <v>43862</v>
      </c>
      <c r="B49" s="18">
        <f>IF(VLOOKUP(A49,'DB Country PMI'!$A:$AZ,MATCH($A$1,'DB Country PMI'!$A$1:$AZ$1,),)=0,#N/A,VLOOKUP(A49,'DB Country PMI'!$A:$AZ,MATCH($A$1,'DB Country PMI'!$A$1:$AZ$1,),))</f>
        <v>49.5</v>
      </c>
      <c r="C49" s="24">
        <f>Table1345[[#This Row],[PMI]]-B48</f>
        <v>-0.39999999999999858</v>
      </c>
    </row>
    <row r="50" spans="1:3" x14ac:dyDescent="0.2">
      <c r="A50" s="10">
        <v>43891</v>
      </c>
      <c r="B50" s="18">
        <f>IF(VLOOKUP(A50,'DB Country PMI'!$A:$AZ,MATCH($A$1,'DB Country PMI'!$A$1:$AZ$1,),)=0,#N/A,VLOOKUP(A50,'DB Country PMI'!$A:$AZ,MATCH($A$1,'DB Country PMI'!$A$1:$AZ$1,),))</f>
        <v>46.7</v>
      </c>
      <c r="C50" s="24">
        <f>Table1345[[#This Row],[PMI]]-B49</f>
        <v>-2.7999999999999972</v>
      </c>
    </row>
    <row r="51" spans="1:3" x14ac:dyDescent="0.2">
      <c r="A51" s="10">
        <v>43922</v>
      </c>
      <c r="B51" s="18">
        <f>IF(VLOOKUP(A51,'DB Country PMI'!$A:$AZ,MATCH($A$1,'DB Country PMI'!$A$1:$AZ$1,),)=0,#N/A,VLOOKUP(A51,'DB Country PMI'!$A:$AZ,MATCH($A$1,'DB Country PMI'!$A$1:$AZ$1,),))</f>
        <v>36.799999999999997</v>
      </c>
      <c r="C51" s="24">
        <f>Table1345[[#This Row],[PMI]]-B50</f>
        <v>-9.9000000000000057</v>
      </c>
    </row>
    <row r="52" spans="1:3" x14ac:dyDescent="0.2">
      <c r="A52" s="10">
        <v>43952</v>
      </c>
      <c r="B52" s="18">
        <f>IF(VLOOKUP(A52,'DB Country PMI'!$A:$AZ,MATCH($A$1,'DB Country PMI'!$A$1:$AZ$1,),)=0,#N/A,VLOOKUP(A52,'DB Country PMI'!$A:$AZ,MATCH($A$1,'DB Country PMI'!$A$1:$AZ$1,),))</f>
        <v>41.6</v>
      </c>
      <c r="C52" s="24">
        <f>Table1345[[#This Row],[PMI]]-B51</f>
        <v>4.8000000000000043</v>
      </c>
    </row>
    <row r="53" spans="1:3" x14ac:dyDescent="0.2">
      <c r="A53" s="10">
        <v>43983</v>
      </c>
      <c r="B53" s="18">
        <f>IF(VLOOKUP(A53,'DB Country PMI'!$A:$AZ,MATCH($A$1,'DB Country PMI'!$A$1:$AZ$1,),)=0,#N/A,VLOOKUP(A53,'DB Country PMI'!$A:$AZ,MATCH($A$1,'DB Country PMI'!$A$1:$AZ$1,),))</f>
        <v>43.5</v>
      </c>
      <c r="C53" s="24">
        <f>Table1345[[#This Row],[PMI]]-B52</f>
        <v>1.8999999999999986</v>
      </c>
    </row>
    <row r="54" spans="1:3" x14ac:dyDescent="0.2">
      <c r="A54" s="10">
        <v>44013</v>
      </c>
      <c r="B54" s="18">
        <f>IF(VLOOKUP(A54,'DB Country PMI'!$A:$AZ,MATCH($A$1,'DB Country PMI'!$A$1:$AZ$1,),)=0,#N/A,VLOOKUP(A54,'DB Country PMI'!$A:$AZ,MATCH($A$1,'DB Country PMI'!$A$1:$AZ$1,),))</f>
        <v>45.9</v>
      </c>
      <c r="C54" s="24">
        <f>Table1345[[#This Row],[PMI]]-B53</f>
        <v>2.3999999999999986</v>
      </c>
    </row>
    <row r="55" spans="1:3" x14ac:dyDescent="0.2">
      <c r="A55" s="10">
        <v>44044</v>
      </c>
      <c r="B55" s="18">
        <f>IF(VLOOKUP(A55,'DB Country PMI'!$A:$AZ,MATCH($A$1,'DB Country PMI'!$A$1:$AZ$1,),)=0,#N/A,VLOOKUP(A55,'DB Country PMI'!$A:$AZ,MATCH($A$1,'DB Country PMI'!$A$1:$AZ$1,),))</f>
        <v>49.7</v>
      </c>
      <c r="C55" s="24">
        <f>Table1345[[#This Row],[PMI]]-B54</f>
        <v>3.8000000000000043</v>
      </c>
    </row>
    <row r="56" spans="1:3" x14ac:dyDescent="0.2">
      <c r="A56" s="10">
        <v>44075</v>
      </c>
      <c r="B56" s="18">
        <f>IF(VLOOKUP(A56,'DB Country PMI'!$A:$AZ,MATCH($A$1,'DB Country PMI'!$A$1:$AZ$1,),)=0,#N/A,VLOOKUP(A56,'DB Country PMI'!$A:$AZ,MATCH($A$1,'DB Country PMI'!$A$1:$AZ$1,),))</f>
        <v>49.9</v>
      </c>
      <c r="C56" s="24">
        <f>Table1345[[#This Row],[PMI]]-B55</f>
        <v>0.19999999999999574</v>
      </c>
    </row>
    <row r="57" spans="1:3" x14ac:dyDescent="0.2">
      <c r="A57" s="10">
        <v>44105</v>
      </c>
      <c r="B57" s="18">
        <f>IF(VLOOKUP(A57,'DB Country PMI'!$A:$AZ,MATCH($A$1,'DB Country PMI'!$A$1:$AZ$1,),)=0,#N/A,VLOOKUP(A57,'DB Country PMI'!$A:$AZ,MATCH($A$1,'DB Country PMI'!$A$1:$AZ$1,),))</f>
        <v>50.8</v>
      </c>
      <c r="C57" s="24">
        <f>Table1345[[#This Row],[PMI]]-B56</f>
        <v>0.89999999999999858</v>
      </c>
    </row>
    <row r="58" spans="1:3" x14ac:dyDescent="0.2">
      <c r="A58" s="10">
        <v>44136</v>
      </c>
      <c r="B58" s="18">
        <f>IF(VLOOKUP(A58,'DB Country PMI'!$A:$AZ,MATCH($A$1,'DB Country PMI'!$A$1:$AZ$1,),)=0,#N/A,VLOOKUP(A58,'DB Country PMI'!$A:$AZ,MATCH($A$1,'DB Country PMI'!$A$1:$AZ$1,),))</f>
        <v>50.4</v>
      </c>
      <c r="C58" s="24">
        <f>Table1345[[#This Row],[PMI]]-B57</f>
        <v>-0.39999999999999858</v>
      </c>
    </row>
    <row r="59" spans="1:3" x14ac:dyDescent="0.2">
      <c r="A59" s="10">
        <v>44166</v>
      </c>
      <c r="B59" s="18">
        <f>IF(VLOOKUP(A59,'DB Country PMI'!$A:$AZ,MATCH($A$1,'DB Country PMI'!$A$1:$AZ$1,),)=0,#N/A,VLOOKUP(A59,'DB Country PMI'!$A:$AZ,MATCH($A$1,'DB Country PMI'!$A$1:$AZ$1,),))</f>
        <v>50.8</v>
      </c>
      <c r="C59" s="24">
        <f>Table1345[[#This Row],[PMI]]-B58</f>
        <v>0.39999999999999858</v>
      </c>
    </row>
    <row r="60" spans="1:3" x14ac:dyDescent="0.2">
      <c r="A60" s="10">
        <v>44197</v>
      </c>
      <c r="B60" s="18">
        <f>IF(VLOOKUP(A60,'DB Country PMI'!$A:$AZ,MATCH($A$1,'DB Country PMI'!$A$1:$AZ$1,),)=0,#N/A,VLOOKUP(A60,'DB Country PMI'!$A:$AZ,MATCH($A$1,'DB Country PMI'!$A$1:$AZ$1,),))</f>
        <v>49</v>
      </c>
      <c r="C60" s="24">
        <f>Table1345[[#This Row],[PMI]]-B59</f>
        <v>-1.7999999999999972</v>
      </c>
    </row>
    <row r="61" spans="1:3" x14ac:dyDescent="0.2">
      <c r="A61" s="10">
        <v>44228</v>
      </c>
      <c r="B61" s="18">
        <f>IF(VLOOKUP(A61,'DB Country PMI'!$A:$AZ,MATCH($A$1,'DB Country PMI'!$A$1:$AZ$1,),)=0,#N/A,VLOOKUP(A61,'DB Country PMI'!$A:$AZ,MATCH($A$1,'DB Country PMI'!$A$1:$AZ$1,),))</f>
        <v>47.2</v>
      </c>
      <c r="C61" s="24">
        <f>Table1345[[#This Row],[PMI]]-B60</f>
        <v>-1.7999999999999972</v>
      </c>
    </row>
    <row r="62" spans="1:3" x14ac:dyDescent="0.2">
      <c r="A62" s="10">
        <v>44256</v>
      </c>
      <c r="B62" s="18">
        <f>IF(VLOOKUP(A62,'DB Country PMI'!$A:$AZ,MATCH($A$1,'DB Country PMI'!$A$1:$AZ$1,),)=0,#N/A,VLOOKUP(A62,'DB Country PMI'!$A:$AZ,MATCH($A$1,'DB Country PMI'!$A$1:$AZ$1,),))</f>
        <v>48.8</v>
      </c>
      <c r="C62" s="24">
        <f>Table1345[[#This Row],[PMI]]-B61</f>
        <v>1.5999999999999943</v>
      </c>
    </row>
    <row r="63" spans="1:3" x14ac:dyDescent="0.2">
      <c r="A63" s="10">
        <v>44287</v>
      </c>
      <c r="B63" s="18">
        <f>IF(VLOOKUP(A63,'DB Country PMI'!$A:$AZ,MATCH($A$1,'DB Country PMI'!$A$1:$AZ$1,),)=0,#N/A,VLOOKUP(A63,'DB Country PMI'!$A:$AZ,MATCH($A$1,'DB Country PMI'!$A$1:$AZ$1,),))</f>
        <v>50.7</v>
      </c>
      <c r="C63" s="24">
        <f>Table1345[[#This Row],[PMI]]-B62</f>
        <v>1.9000000000000057</v>
      </c>
    </row>
    <row r="64" spans="1:3" x14ac:dyDescent="0.2">
      <c r="A64" s="10">
        <v>44317</v>
      </c>
      <c r="B64" s="18">
        <f>IF(VLOOKUP(A64,'DB Country PMI'!$A:$AZ,MATCH($A$1,'DB Country PMI'!$A$1:$AZ$1,),)=0,#N/A,VLOOKUP(A64,'DB Country PMI'!$A:$AZ,MATCH($A$1,'DB Country PMI'!$A$1:$AZ$1,),))</f>
        <v>47.8</v>
      </c>
      <c r="C64" s="24">
        <f>Table1345[[#This Row],[PMI]]-B63</f>
        <v>-2.9000000000000057</v>
      </c>
    </row>
    <row r="65" spans="1:3" x14ac:dyDescent="0.2">
      <c r="A65" s="10">
        <v>44348</v>
      </c>
      <c r="B65" s="18">
        <f>IF(VLOOKUP(A65,'DB Country PMI'!$A:$AZ,MATCH($A$1,'DB Country PMI'!$A$1:$AZ$1,),)=0,#N/A,VLOOKUP(A65,'DB Country PMI'!$A:$AZ,MATCH($A$1,'DB Country PMI'!$A$1:$AZ$1,),))</f>
        <v>49.5</v>
      </c>
      <c r="C65" s="24">
        <f>Table1345[[#This Row],[PMI]]-B64</f>
        <v>1.7000000000000028</v>
      </c>
    </row>
    <row r="66" spans="1:3" x14ac:dyDescent="0.2">
      <c r="A66" s="10">
        <v>44378</v>
      </c>
      <c r="B66" s="18">
        <f>IF(VLOOKUP(A66,'DB Country PMI'!$A:$AZ,MATCH($A$1,'DB Country PMI'!$A$1:$AZ$1,),)=0,#N/A,VLOOKUP(A66,'DB Country PMI'!$A:$AZ,MATCH($A$1,'DB Country PMI'!$A$1:$AZ$1,),))</f>
        <v>48.7</v>
      </c>
      <c r="C66" s="24">
        <f>Table1345[[#This Row],[PMI]]-B65</f>
        <v>-0.79999999999999716</v>
      </c>
    </row>
    <row r="67" spans="1:3" x14ac:dyDescent="0.2">
      <c r="A67" s="10">
        <v>44409</v>
      </c>
      <c r="B67" s="18">
        <f>IF(VLOOKUP(A67,'DB Country PMI'!$A:$AZ,MATCH($A$1,'DB Country PMI'!$A$1:$AZ$1,),)=0,#N/A,VLOOKUP(A67,'DB Country PMI'!$A:$AZ,MATCH($A$1,'DB Country PMI'!$A$1:$AZ$1,),))</f>
        <v>48.3</v>
      </c>
      <c r="C67" s="24">
        <f>Table1345[[#This Row],[PMI]]-B66</f>
        <v>-0.40000000000000568</v>
      </c>
    </row>
    <row r="68" spans="1:3" x14ac:dyDescent="0.2">
      <c r="A68" s="10">
        <v>44440</v>
      </c>
      <c r="B68" s="18">
        <f>IF(VLOOKUP(A68,'DB Country PMI'!$A:$AZ,MATCH($A$1,'DB Country PMI'!$A$1:$AZ$1,),)=0,#N/A,VLOOKUP(A68,'DB Country PMI'!$A:$AZ,MATCH($A$1,'DB Country PMI'!$A$1:$AZ$1,),))</f>
        <v>48.9</v>
      </c>
      <c r="C68" s="24">
        <f>Table1345[[#This Row],[PMI]]-B67</f>
        <v>0.60000000000000142</v>
      </c>
    </row>
    <row r="69" spans="1:3" x14ac:dyDescent="0.2">
      <c r="A69" s="10">
        <v>44470</v>
      </c>
      <c r="B69" s="18">
        <f>IF(VLOOKUP(A69,'DB Country PMI'!$A:$AZ,MATCH($A$1,'DB Country PMI'!$A$1:$AZ$1,),)=0,#N/A,VLOOKUP(A69,'DB Country PMI'!$A:$AZ,MATCH($A$1,'DB Country PMI'!$A$1:$AZ$1,),))</f>
        <v>50.9</v>
      </c>
      <c r="C69" s="24">
        <f>Table1345[[#This Row],[PMI]]-B68</f>
        <v>2</v>
      </c>
    </row>
    <row r="70" spans="1:3" x14ac:dyDescent="0.2">
      <c r="A70" s="10">
        <v>44501</v>
      </c>
      <c r="B70" s="18">
        <f>IF(VLOOKUP(A70,'DB Country PMI'!$A:$AZ,MATCH($A$1,'DB Country PMI'!$A$1:$AZ$1,),)=0,#N/A,VLOOKUP(A70,'DB Country PMI'!$A:$AZ,MATCH($A$1,'DB Country PMI'!$A$1:$AZ$1,),))</f>
        <v>50.6</v>
      </c>
      <c r="C70" s="24">
        <f>Table1345[[#This Row],[PMI]]-B69</f>
        <v>-0.29999999999999716</v>
      </c>
    </row>
    <row r="71" spans="1:3" x14ac:dyDescent="0.2">
      <c r="A71" s="10">
        <v>44531</v>
      </c>
      <c r="B71" s="18">
        <f>IF(VLOOKUP(A71,'DB Country PMI'!$A:$AZ,MATCH($A$1,'DB Country PMI'!$A$1:$AZ$1,),)=0,#N/A,VLOOKUP(A71,'DB Country PMI'!$A:$AZ,MATCH($A$1,'DB Country PMI'!$A$1:$AZ$1,),))</f>
        <v>49.5</v>
      </c>
      <c r="C71" s="24">
        <f>Table1345[[#This Row],[PMI]]-B70</f>
        <v>-1.1000000000000014</v>
      </c>
    </row>
    <row r="72" spans="1:3" x14ac:dyDescent="0.2">
      <c r="A72" s="10">
        <v>44562</v>
      </c>
      <c r="B72" s="18">
        <f>IF(VLOOKUP(A72,'DB Country PMI'!$A:$AZ,MATCH($A$1,'DB Country PMI'!$A$1:$AZ$1,),)=0,#N/A,VLOOKUP(A72,'DB Country PMI'!$A:$AZ,MATCH($A$1,'DB Country PMI'!$A$1:$AZ$1,),))</f>
        <v>51.7</v>
      </c>
      <c r="C72" s="24">
        <f>Table1345[[#This Row],[PMI]]-B71</f>
        <v>2.2000000000000028</v>
      </c>
    </row>
  </sheetData>
  <conditionalFormatting sqref="B6:B72">
    <cfRule type="colorScale" priority="51">
      <colorScale>
        <cfvo type="min"/>
        <cfvo type="percentile" val="50"/>
        <cfvo type="max"/>
        <color rgb="FFF8696B"/>
        <color rgb="FFFFEB84"/>
        <color rgb="FF63BE7B"/>
      </colorScale>
    </cfRule>
  </conditionalFormatting>
  <conditionalFormatting sqref="C7:C72">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68"/>
  <sheetViews>
    <sheetView zoomScale="160" zoomScaleNormal="160" workbookViewId="0">
      <pane ySplit="5" topLeftCell="A231" activePane="bottomLeft" state="frozen"/>
      <selection pane="bottomLeft" activeCell="T246" sqref="T246"/>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70</v>
      </c>
      <c r="K1" s="63" t="s">
        <v>107</v>
      </c>
    </row>
    <row r="2" spans="1:11" x14ac:dyDescent="0.2">
      <c r="K2" s="63" t="str">
        <f>A1&amp;K1</f>
        <v>South Africa Manufacturing PMI</v>
      </c>
    </row>
    <row r="4" spans="1:11" ht="16" customHeight="1" thickBot="1" x14ac:dyDescent="0.25"/>
    <row r="5" spans="1:11" ht="16" customHeight="1" thickBot="1" x14ac:dyDescent="0.25">
      <c r="A5" s="21" t="s">
        <v>44</v>
      </c>
      <c r="B5" s="22" t="s">
        <v>103</v>
      </c>
      <c r="C5" s="22" t="s">
        <v>104</v>
      </c>
    </row>
    <row r="6" spans="1:11" x14ac:dyDescent="0.2">
      <c r="A6" s="17">
        <v>36526</v>
      </c>
      <c r="B6" s="18">
        <f>IF(VLOOKUP(A6,'DB Country PMI'!$A:$AZ,MATCH($A$1,'DB Country PMI'!$A$1:$AZ$1,),)=0,#N/A,VLOOKUP(A6,'DB Country PMI'!$A:$AZ,MATCH($A$1,'DB Country PMI'!$A$1:$AZ$1,),))</f>
        <v>56.66</v>
      </c>
      <c r="C6" s="18"/>
    </row>
    <row r="7" spans="1:11" x14ac:dyDescent="0.2">
      <c r="A7" s="10">
        <v>36557</v>
      </c>
      <c r="B7" s="18">
        <f>IF(VLOOKUP(A7,'DB Country PMI'!$A:$AZ,MATCH($A$1,'DB Country PMI'!$A$1:$AZ$1,),)=0,#N/A,VLOOKUP(A7,'DB Country PMI'!$A:$AZ,MATCH($A$1,'DB Country PMI'!$A$1:$AZ$1,),))</f>
        <v>57.26</v>
      </c>
      <c r="C7" s="24">
        <f>Table1346[[#This Row],[PMI]]-B6</f>
        <v>0.60000000000000142</v>
      </c>
    </row>
    <row r="8" spans="1:11" x14ac:dyDescent="0.2">
      <c r="A8" s="10">
        <v>36586</v>
      </c>
      <c r="B8" s="18">
        <f>IF(VLOOKUP(A8,'DB Country PMI'!$A:$AZ,MATCH($A$1,'DB Country PMI'!$A$1:$AZ$1,),)=0,#N/A,VLOOKUP(A8,'DB Country PMI'!$A:$AZ,MATCH($A$1,'DB Country PMI'!$A$1:$AZ$1,),))</f>
        <v>49.83</v>
      </c>
      <c r="C8" s="24">
        <f>Table1346[[#This Row],[PMI]]-B7</f>
        <v>-7.43</v>
      </c>
    </row>
    <row r="9" spans="1:11" x14ac:dyDescent="0.2">
      <c r="A9" s="10">
        <v>36617</v>
      </c>
      <c r="B9" s="18">
        <f>IF(VLOOKUP(A9,'DB Country PMI'!$A:$AZ,MATCH($A$1,'DB Country PMI'!$A$1:$AZ$1,),)=0,#N/A,VLOOKUP(A9,'DB Country PMI'!$A:$AZ,MATCH($A$1,'DB Country PMI'!$A$1:$AZ$1,),))</f>
        <v>52.72</v>
      </c>
      <c r="C9" s="24">
        <f>Table1346[[#This Row],[PMI]]-B8</f>
        <v>2.8900000000000006</v>
      </c>
    </row>
    <row r="10" spans="1:11" x14ac:dyDescent="0.2">
      <c r="A10" s="10">
        <v>36647</v>
      </c>
      <c r="B10" s="18">
        <f>IF(VLOOKUP(A10,'DB Country PMI'!$A:$AZ,MATCH($A$1,'DB Country PMI'!$A$1:$AZ$1,),)=0,#N/A,VLOOKUP(A10,'DB Country PMI'!$A:$AZ,MATCH($A$1,'DB Country PMI'!$A$1:$AZ$1,),))</f>
        <v>50.05</v>
      </c>
      <c r="C10" s="24">
        <f>Table1346[[#This Row],[PMI]]-B9</f>
        <v>-2.6700000000000017</v>
      </c>
    </row>
    <row r="11" spans="1:11" x14ac:dyDescent="0.2">
      <c r="A11" s="10">
        <v>36678</v>
      </c>
      <c r="B11" s="18">
        <f>IF(VLOOKUP(A11,'DB Country PMI'!$A:$AZ,MATCH($A$1,'DB Country PMI'!$A$1:$AZ$1,),)=0,#N/A,VLOOKUP(A11,'DB Country PMI'!$A:$AZ,MATCH($A$1,'DB Country PMI'!$A$1:$AZ$1,),))</f>
        <v>49.65</v>
      </c>
      <c r="C11" s="24">
        <f>Table1346[[#This Row],[PMI]]-B10</f>
        <v>-0.39999999999999858</v>
      </c>
    </row>
    <row r="12" spans="1:11" x14ac:dyDescent="0.2">
      <c r="A12" s="10">
        <v>36708</v>
      </c>
      <c r="B12" s="18">
        <f>IF(VLOOKUP(A12,'DB Country PMI'!$A:$AZ,MATCH($A$1,'DB Country PMI'!$A$1:$AZ$1,),)=0,#N/A,VLOOKUP(A12,'DB Country PMI'!$A:$AZ,MATCH($A$1,'DB Country PMI'!$A$1:$AZ$1,),))</f>
        <v>49.18</v>
      </c>
      <c r="C12" s="24">
        <f>Table1346[[#This Row],[PMI]]-B11</f>
        <v>-0.46999999999999886</v>
      </c>
    </row>
    <row r="13" spans="1:11" x14ac:dyDescent="0.2">
      <c r="A13" s="10">
        <v>36739</v>
      </c>
      <c r="B13" s="18">
        <f>IF(VLOOKUP(A13,'DB Country PMI'!$A:$AZ,MATCH($A$1,'DB Country PMI'!$A$1:$AZ$1,),)=0,#N/A,VLOOKUP(A13,'DB Country PMI'!$A:$AZ,MATCH($A$1,'DB Country PMI'!$A$1:$AZ$1,),))</f>
        <v>51.48</v>
      </c>
      <c r="C13" s="24">
        <f>Table1346[[#This Row],[PMI]]-B12</f>
        <v>2.2999999999999972</v>
      </c>
    </row>
    <row r="14" spans="1:11" x14ac:dyDescent="0.2">
      <c r="A14" s="10">
        <v>36770</v>
      </c>
      <c r="B14" s="18">
        <f>IF(VLOOKUP(A14,'DB Country PMI'!$A:$AZ,MATCH($A$1,'DB Country PMI'!$A$1:$AZ$1,),)=0,#N/A,VLOOKUP(A14,'DB Country PMI'!$A:$AZ,MATCH($A$1,'DB Country PMI'!$A$1:$AZ$1,),))</f>
        <v>53.75</v>
      </c>
      <c r="C14" s="24">
        <f>Table1346[[#This Row],[PMI]]-B13</f>
        <v>2.2700000000000031</v>
      </c>
    </row>
    <row r="15" spans="1:11" x14ac:dyDescent="0.2">
      <c r="A15" s="10">
        <v>36800</v>
      </c>
      <c r="B15" s="18">
        <f>IF(VLOOKUP(A15,'DB Country PMI'!$A:$AZ,MATCH($A$1,'DB Country PMI'!$A$1:$AZ$1,),)=0,#N/A,VLOOKUP(A15,'DB Country PMI'!$A:$AZ,MATCH($A$1,'DB Country PMI'!$A$1:$AZ$1,),))</f>
        <v>56.34</v>
      </c>
      <c r="C15" s="24">
        <f>Table1346[[#This Row],[PMI]]-B14</f>
        <v>2.5900000000000034</v>
      </c>
    </row>
    <row r="16" spans="1:11" x14ac:dyDescent="0.2">
      <c r="A16" s="10">
        <v>36831</v>
      </c>
      <c r="B16" s="18">
        <f>IF(VLOOKUP(A16,'DB Country PMI'!$A:$AZ,MATCH($A$1,'DB Country PMI'!$A$1:$AZ$1,),)=0,#N/A,VLOOKUP(A16,'DB Country PMI'!$A:$AZ,MATCH($A$1,'DB Country PMI'!$A$1:$AZ$1,),))</f>
        <v>51.73</v>
      </c>
      <c r="C16" s="24">
        <f>Table1346[[#This Row],[PMI]]-B15</f>
        <v>-4.6100000000000065</v>
      </c>
    </row>
    <row r="17" spans="1:3" x14ac:dyDescent="0.2">
      <c r="A17" s="10">
        <v>36861</v>
      </c>
      <c r="B17" s="18">
        <f>IF(VLOOKUP(A17,'DB Country PMI'!$A:$AZ,MATCH($A$1,'DB Country PMI'!$A$1:$AZ$1,),)=0,#N/A,VLOOKUP(A17,'DB Country PMI'!$A:$AZ,MATCH($A$1,'DB Country PMI'!$A$1:$AZ$1,),))</f>
        <v>50.48</v>
      </c>
      <c r="C17" s="24">
        <f>Table1346[[#This Row],[PMI]]-B16</f>
        <v>-1.25</v>
      </c>
    </row>
    <row r="18" spans="1:3" x14ac:dyDescent="0.2">
      <c r="A18" s="10">
        <v>36892</v>
      </c>
      <c r="B18" s="18">
        <f>IF(VLOOKUP(A18,'DB Country PMI'!$A:$AZ,MATCH($A$1,'DB Country PMI'!$A$1:$AZ$1,),)=0,#N/A,VLOOKUP(A18,'DB Country PMI'!$A:$AZ,MATCH($A$1,'DB Country PMI'!$A$1:$AZ$1,),))</f>
        <v>49.29</v>
      </c>
      <c r="C18" s="24">
        <f>Table1346[[#This Row],[PMI]]-B17</f>
        <v>-1.1899999999999977</v>
      </c>
    </row>
    <row r="19" spans="1:3" x14ac:dyDescent="0.2">
      <c r="A19" s="10">
        <v>36923</v>
      </c>
      <c r="B19" s="18">
        <f>IF(VLOOKUP(A19,'DB Country PMI'!$A:$AZ,MATCH($A$1,'DB Country PMI'!$A$1:$AZ$1,),)=0,#N/A,VLOOKUP(A19,'DB Country PMI'!$A:$AZ,MATCH($A$1,'DB Country PMI'!$A$1:$AZ$1,),))</f>
        <v>53.48</v>
      </c>
      <c r="C19" s="24">
        <f>Table1346[[#This Row],[PMI]]-B18</f>
        <v>4.1899999999999977</v>
      </c>
    </row>
    <row r="20" spans="1:3" x14ac:dyDescent="0.2">
      <c r="A20" s="10">
        <v>36951</v>
      </c>
      <c r="B20" s="18">
        <f>IF(VLOOKUP(A20,'DB Country PMI'!$A:$AZ,MATCH($A$1,'DB Country PMI'!$A$1:$AZ$1,),)=0,#N/A,VLOOKUP(A20,'DB Country PMI'!$A:$AZ,MATCH($A$1,'DB Country PMI'!$A$1:$AZ$1,),))</f>
        <v>53.61</v>
      </c>
      <c r="C20" s="24">
        <f>Table1346[[#This Row],[PMI]]-B19</f>
        <v>0.13000000000000256</v>
      </c>
    </row>
    <row r="21" spans="1:3" x14ac:dyDescent="0.2">
      <c r="A21" s="10">
        <v>36982</v>
      </c>
      <c r="B21" s="18">
        <f>IF(VLOOKUP(A21,'DB Country PMI'!$A:$AZ,MATCH($A$1,'DB Country PMI'!$A$1:$AZ$1,),)=0,#N/A,VLOOKUP(A21,'DB Country PMI'!$A:$AZ,MATCH($A$1,'DB Country PMI'!$A$1:$AZ$1,),))</f>
        <v>52.38</v>
      </c>
      <c r="C21" s="24">
        <f>Table1346[[#This Row],[PMI]]-B20</f>
        <v>-1.2299999999999969</v>
      </c>
    </row>
    <row r="22" spans="1:3" x14ac:dyDescent="0.2">
      <c r="A22" s="10">
        <v>37012</v>
      </c>
      <c r="B22" s="18">
        <f>IF(VLOOKUP(A22,'DB Country PMI'!$A:$AZ,MATCH($A$1,'DB Country PMI'!$A$1:$AZ$1,),)=0,#N/A,VLOOKUP(A22,'DB Country PMI'!$A:$AZ,MATCH($A$1,'DB Country PMI'!$A$1:$AZ$1,),))</f>
        <v>55.01</v>
      </c>
      <c r="C22" s="24">
        <f>Table1346[[#This Row],[PMI]]-B21</f>
        <v>2.6299999999999955</v>
      </c>
    </row>
    <row r="23" spans="1:3" x14ac:dyDescent="0.2">
      <c r="A23" s="10">
        <v>37043</v>
      </c>
      <c r="B23" s="18">
        <f>IF(VLOOKUP(A23,'DB Country PMI'!$A:$AZ,MATCH($A$1,'DB Country PMI'!$A$1:$AZ$1,),)=0,#N/A,VLOOKUP(A23,'DB Country PMI'!$A:$AZ,MATCH($A$1,'DB Country PMI'!$A$1:$AZ$1,),))</f>
        <v>56.17</v>
      </c>
      <c r="C23" s="24">
        <f>Table1346[[#This Row],[PMI]]-B22</f>
        <v>1.1600000000000037</v>
      </c>
    </row>
    <row r="24" spans="1:3" x14ac:dyDescent="0.2">
      <c r="A24" s="10">
        <v>37073</v>
      </c>
      <c r="B24" s="18">
        <f>IF(VLOOKUP(A24,'DB Country PMI'!$A:$AZ,MATCH($A$1,'DB Country PMI'!$A$1:$AZ$1,),)=0,#N/A,VLOOKUP(A24,'DB Country PMI'!$A:$AZ,MATCH($A$1,'DB Country PMI'!$A$1:$AZ$1,),))</f>
        <v>51.34</v>
      </c>
      <c r="C24" s="24">
        <f>Table1346[[#This Row],[PMI]]-B23</f>
        <v>-4.8299999999999983</v>
      </c>
    </row>
    <row r="25" spans="1:3" x14ac:dyDescent="0.2">
      <c r="A25" s="10">
        <v>37104</v>
      </c>
      <c r="B25" s="18">
        <f>IF(VLOOKUP(A25,'DB Country PMI'!$A:$AZ,MATCH($A$1,'DB Country PMI'!$A$1:$AZ$1,),)=0,#N/A,VLOOKUP(A25,'DB Country PMI'!$A:$AZ,MATCH($A$1,'DB Country PMI'!$A$1:$AZ$1,),))</f>
        <v>51.22</v>
      </c>
      <c r="C25" s="24">
        <f>Table1346[[#This Row],[PMI]]-B24</f>
        <v>-0.12000000000000455</v>
      </c>
    </row>
    <row r="26" spans="1:3" x14ac:dyDescent="0.2">
      <c r="A26" s="10">
        <v>37135</v>
      </c>
      <c r="B26" s="18">
        <f>IF(VLOOKUP(A26,'DB Country PMI'!$A:$AZ,MATCH($A$1,'DB Country PMI'!$A$1:$AZ$1,),)=0,#N/A,VLOOKUP(A26,'DB Country PMI'!$A:$AZ,MATCH($A$1,'DB Country PMI'!$A$1:$AZ$1,),))</f>
        <v>48.76</v>
      </c>
      <c r="C26" s="24">
        <f>Table1346[[#This Row],[PMI]]-B25</f>
        <v>-2.4600000000000009</v>
      </c>
    </row>
    <row r="27" spans="1:3" x14ac:dyDescent="0.2">
      <c r="A27" s="10">
        <v>37165</v>
      </c>
      <c r="B27" s="18">
        <f>IF(VLOOKUP(A27,'DB Country PMI'!$A:$AZ,MATCH($A$1,'DB Country PMI'!$A$1:$AZ$1,),)=0,#N/A,VLOOKUP(A27,'DB Country PMI'!$A:$AZ,MATCH($A$1,'DB Country PMI'!$A$1:$AZ$1,),))</f>
        <v>50.25</v>
      </c>
      <c r="C27" s="24">
        <f>Table1346[[#This Row],[PMI]]-B26</f>
        <v>1.490000000000002</v>
      </c>
    </row>
    <row r="28" spans="1:3" x14ac:dyDescent="0.2">
      <c r="A28" s="10">
        <v>37196</v>
      </c>
      <c r="B28" s="18">
        <f>IF(VLOOKUP(A28,'DB Country PMI'!$A:$AZ,MATCH($A$1,'DB Country PMI'!$A$1:$AZ$1,),)=0,#N/A,VLOOKUP(A28,'DB Country PMI'!$A:$AZ,MATCH($A$1,'DB Country PMI'!$A$1:$AZ$1,),))</f>
        <v>54.35</v>
      </c>
      <c r="C28" s="24">
        <f>Table1346[[#This Row],[PMI]]-B27</f>
        <v>4.1000000000000014</v>
      </c>
    </row>
    <row r="29" spans="1:3" x14ac:dyDescent="0.2">
      <c r="A29" s="10">
        <v>37226</v>
      </c>
      <c r="B29" s="18">
        <f>IF(VLOOKUP(A29,'DB Country PMI'!$A:$AZ,MATCH($A$1,'DB Country PMI'!$A$1:$AZ$1,),)=0,#N/A,VLOOKUP(A29,'DB Country PMI'!$A:$AZ,MATCH($A$1,'DB Country PMI'!$A$1:$AZ$1,),))</f>
        <v>55.35</v>
      </c>
      <c r="C29" s="24">
        <f>Table1346[[#This Row],[PMI]]-B28</f>
        <v>1</v>
      </c>
    </row>
    <row r="30" spans="1:3" x14ac:dyDescent="0.2">
      <c r="A30" s="10">
        <v>37257</v>
      </c>
      <c r="B30" s="18">
        <f>IF(VLOOKUP(A30,'DB Country PMI'!$A:$AZ,MATCH($A$1,'DB Country PMI'!$A$1:$AZ$1,),)=0,#N/A,VLOOKUP(A30,'DB Country PMI'!$A:$AZ,MATCH($A$1,'DB Country PMI'!$A$1:$AZ$1,),))</f>
        <v>55.53</v>
      </c>
      <c r="C30" s="24">
        <f>Table1346[[#This Row],[PMI]]-B29</f>
        <v>0.17999999999999972</v>
      </c>
    </row>
    <row r="31" spans="1:3" x14ac:dyDescent="0.2">
      <c r="A31" s="10">
        <v>37288</v>
      </c>
      <c r="B31" s="18">
        <f>IF(VLOOKUP(A31,'DB Country PMI'!$A:$AZ,MATCH($A$1,'DB Country PMI'!$A$1:$AZ$1,),)=0,#N/A,VLOOKUP(A31,'DB Country PMI'!$A:$AZ,MATCH($A$1,'DB Country PMI'!$A$1:$AZ$1,),))</f>
        <v>53.87</v>
      </c>
      <c r="C31" s="24">
        <f>Table1346[[#This Row],[PMI]]-B30</f>
        <v>-1.6600000000000037</v>
      </c>
    </row>
    <row r="32" spans="1:3" x14ac:dyDescent="0.2">
      <c r="A32" s="10">
        <v>37316</v>
      </c>
      <c r="B32" s="18">
        <f>IF(VLOOKUP(A32,'DB Country PMI'!$A:$AZ,MATCH($A$1,'DB Country PMI'!$A$1:$AZ$1,),)=0,#N/A,VLOOKUP(A32,'DB Country PMI'!$A:$AZ,MATCH($A$1,'DB Country PMI'!$A$1:$AZ$1,),))</f>
        <v>53.63</v>
      </c>
      <c r="C32" s="24">
        <f>Table1346[[#This Row],[PMI]]-B31</f>
        <v>-0.23999999999999488</v>
      </c>
    </row>
    <row r="33" spans="1:3" x14ac:dyDescent="0.2">
      <c r="A33" s="10">
        <v>37347</v>
      </c>
      <c r="B33" s="18">
        <f>IF(VLOOKUP(A33,'DB Country PMI'!$A:$AZ,MATCH($A$1,'DB Country PMI'!$A$1:$AZ$1,),)=0,#N/A,VLOOKUP(A33,'DB Country PMI'!$A:$AZ,MATCH($A$1,'DB Country PMI'!$A$1:$AZ$1,),))</f>
        <v>60.87</v>
      </c>
      <c r="C33" s="24">
        <f>Table1346[[#This Row],[PMI]]-B32</f>
        <v>7.2399999999999949</v>
      </c>
    </row>
    <row r="34" spans="1:3" x14ac:dyDescent="0.2">
      <c r="A34" s="10">
        <v>37377</v>
      </c>
      <c r="B34" s="18">
        <f>IF(VLOOKUP(A34,'DB Country PMI'!$A:$AZ,MATCH($A$1,'DB Country PMI'!$A$1:$AZ$1,),)=0,#N/A,VLOOKUP(A34,'DB Country PMI'!$A:$AZ,MATCH($A$1,'DB Country PMI'!$A$1:$AZ$1,),))</f>
        <v>58.74</v>
      </c>
      <c r="C34" s="24">
        <f>Table1346[[#This Row],[PMI]]-B33</f>
        <v>-2.1299999999999955</v>
      </c>
    </row>
    <row r="35" spans="1:3" x14ac:dyDescent="0.2">
      <c r="A35" s="10">
        <v>37408</v>
      </c>
      <c r="B35" s="18">
        <f>IF(VLOOKUP(A35,'DB Country PMI'!$A:$AZ,MATCH($A$1,'DB Country PMI'!$A$1:$AZ$1,),)=0,#N/A,VLOOKUP(A35,'DB Country PMI'!$A:$AZ,MATCH($A$1,'DB Country PMI'!$A$1:$AZ$1,),))</f>
        <v>56.43</v>
      </c>
      <c r="C35" s="24">
        <f>Table1346[[#This Row],[PMI]]-B34</f>
        <v>-2.3100000000000023</v>
      </c>
    </row>
    <row r="36" spans="1:3" x14ac:dyDescent="0.2">
      <c r="A36" s="10">
        <v>37438</v>
      </c>
      <c r="B36" s="18">
        <f>IF(VLOOKUP(A36,'DB Country PMI'!$A:$AZ,MATCH($A$1,'DB Country PMI'!$A$1:$AZ$1,),)=0,#N/A,VLOOKUP(A36,'DB Country PMI'!$A:$AZ,MATCH($A$1,'DB Country PMI'!$A$1:$AZ$1,),))</f>
        <v>54.63</v>
      </c>
      <c r="C36" s="24">
        <f>Table1346[[#This Row],[PMI]]-B35</f>
        <v>-1.7999999999999972</v>
      </c>
    </row>
    <row r="37" spans="1:3" x14ac:dyDescent="0.2">
      <c r="A37" s="10">
        <v>37469</v>
      </c>
      <c r="B37" s="18">
        <f>IF(VLOOKUP(A37,'DB Country PMI'!$A:$AZ,MATCH($A$1,'DB Country PMI'!$A$1:$AZ$1,),)=0,#N/A,VLOOKUP(A37,'DB Country PMI'!$A:$AZ,MATCH($A$1,'DB Country PMI'!$A$1:$AZ$1,),))</f>
        <v>55.58</v>
      </c>
      <c r="C37" s="24">
        <f>Table1346[[#This Row],[PMI]]-B36</f>
        <v>0.94999999999999574</v>
      </c>
    </row>
    <row r="38" spans="1:3" x14ac:dyDescent="0.2">
      <c r="A38" s="10">
        <v>37500</v>
      </c>
      <c r="B38" s="18">
        <f>IF(VLOOKUP(A38,'DB Country PMI'!$A:$AZ,MATCH($A$1,'DB Country PMI'!$A$1:$AZ$1,),)=0,#N/A,VLOOKUP(A38,'DB Country PMI'!$A:$AZ,MATCH($A$1,'DB Country PMI'!$A$1:$AZ$1,),))</f>
        <v>57.74</v>
      </c>
      <c r="C38" s="24">
        <f>Table1346[[#This Row],[PMI]]-B37</f>
        <v>2.1600000000000037</v>
      </c>
    </row>
    <row r="39" spans="1:3" x14ac:dyDescent="0.2">
      <c r="A39" s="10">
        <v>37530</v>
      </c>
      <c r="B39" s="18">
        <f>IF(VLOOKUP(A39,'DB Country PMI'!$A:$AZ,MATCH($A$1,'DB Country PMI'!$A$1:$AZ$1,),)=0,#N/A,VLOOKUP(A39,'DB Country PMI'!$A:$AZ,MATCH($A$1,'DB Country PMI'!$A$1:$AZ$1,),))</f>
        <v>56.38</v>
      </c>
      <c r="C39" s="24">
        <f>Table1346[[#This Row],[PMI]]-B38</f>
        <v>-1.3599999999999994</v>
      </c>
    </row>
    <row r="40" spans="1:3" x14ac:dyDescent="0.2">
      <c r="A40" s="10">
        <v>37561</v>
      </c>
      <c r="B40" s="18">
        <f>IF(VLOOKUP(A40,'DB Country PMI'!$A:$AZ,MATCH($A$1,'DB Country PMI'!$A$1:$AZ$1,),)=0,#N/A,VLOOKUP(A40,'DB Country PMI'!$A:$AZ,MATCH($A$1,'DB Country PMI'!$A$1:$AZ$1,),))</f>
        <v>54.54</v>
      </c>
      <c r="C40" s="24">
        <f>Table1346[[#This Row],[PMI]]-B39</f>
        <v>-1.8400000000000034</v>
      </c>
    </row>
    <row r="41" spans="1:3" x14ac:dyDescent="0.2">
      <c r="A41" s="10">
        <v>37591</v>
      </c>
      <c r="B41" s="18">
        <f>IF(VLOOKUP(A41,'DB Country PMI'!$A:$AZ,MATCH($A$1,'DB Country PMI'!$A$1:$AZ$1,),)=0,#N/A,VLOOKUP(A41,'DB Country PMI'!$A:$AZ,MATCH($A$1,'DB Country PMI'!$A$1:$AZ$1,),))</f>
        <v>55.28</v>
      </c>
      <c r="C41" s="24">
        <f>Table1346[[#This Row],[PMI]]-B40</f>
        <v>0.74000000000000199</v>
      </c>
    </row>
    <row r="42" spans="1:3" x14ac:dyDescent="0.2">
      <c r="A42" s="10">
        <v>37622</v>
      </c>
      <c r="B42" s="18">
        <f>IF(VLOOKUP(A42,'DB Country PMI'!$A:$AZ,MATCH($A$1,'DB Country PMI'!$A$1:$AZ$1,),)=0,#N/A,VLOOKUP(A42,'DB Country PMI'!$A:$AZ,MATCH($A$1,'DB Country PMI'!$A$1:$AZ$1,),))</f>
        <v>56.84</v>
      </c>
      <c r="C42" s="24">
        <f>Table1346[[#This Row],[PMI]]-B41</f>
        <v>1.5600000000000023</v>
      </c>
    </row>
    <row r="43" spans="1:3" x14ac:dyDescent="0.2">
      <c r="A43" s="10">
        <v>37653</v>
      </c>
      <c r="B43" s="18">
        <f>IF(VLOOKUP(A43,'DB Country PMI'!$A:$AZ,MATCH($A$1,'DB Country PMI'!$A$1:$AZ$1,),)=0,#N/A,VLOOKUP(A43,'DB Country PMI'!$A:$AZ,MATCH($A$1,'DB Country PMI'!$A$1:$AZ$1,),))</f>
        <v>52.39</v>
      </c>
      <c r="C43" s="24">
        <f>Table1346[[#This Row],[PMI]]-B42</f>
        <v>-4.4500000000000028</v>
      </c>
    </row>
    <row r="44" spans="1:3" x14ac:dyDescent="0.2">
      <c r="A44" s="10">
        <v>37681</v>
      </c>
      <c r="B44" s="18">
        <f>IF(VLOOKUP(A44,'DB Country PMI'!$A:$AZ,MATCH($A$1,'DB Country PMI'!$A$1:$AZ$1,),)=0,#N/A,VLOOKUP(A44,'DB Country PMI'!$A:$AZ,MATCH($A$1,'DB Country PMI'!$A$1:$AZ$1,),))</f>
        <v>49.15</v>
      </c>
      <c r="C44" s="24">
        <f>Table1346[[#This Row],[PMI]]-B43</f>
        <v>-3.240000000000002</v>
      </c>
    </row>
    <row r="45" spans="1:3" x14ac:dyDescent="0.2">
      <c r="A45" s="10">
        <v>37712</v>
      </c>
      <c r="B45" s="18">
        <f>IF(VLOOKUP(A45,'DB Country PMI'!$A:$AZ,MATCH($A$1,'DB Country PMI'!$A$1:$AZ$1,),)=0,#N/A,VLOOKUP(A45,'DB Country PMI'!$A:$AZ,MATCH($A$1,'DB Country PMI'!$A$1:$AZ$1,),))</f>
        <v>48.99</v>
      </c>
      <c r="C45" s="24">
        <f>Table1346[[#This Row],[PMI]]-B44</f>
        <v>-0.15999999999999659</v>
      </c>
    </row>
    <row r="46" spans="1:3" x14ac:dyDescent="0.2">
      <c r="A46" s="10">
        <v>37742</v>
      </c>
      <c r="B46" s="18">
        <f>IF(VLOOKUP(A46,'DB Country PMI'!$A:$AZ,MATCH($A$1,'DB Country PMI'!$A$1:$AZ$1,),)=0,#N/A,VLOOKUP(A46,'DB Country PMI'!$A:$AZ,MATCH($A$1,'DB Country PMI'!$A$1:$AZ$1,),))</f>
        <v>46.13</v>
      </c>
      <c r="C46" s="24">
        <f>Table1346[[#This Row],[PMI]]-B45</f>
        <v>-2.8599999999999994</v>
      </c>
    </row>
    <row r="47" spans="1:3" x14ac:dyDescent="0.2">
      <c r="A47" s="10">
        <v>37773</v>
      </c>
      <c r="B47" s="18">
        <f>IF(VLOOKUP(A47,'DB Country PMI'!$A:$AZ,MATCH($A$1,'DB Country PMI'!$A$1:$AZ$1,),)=0,#N/A,VLOOKUP(A47,'DB Country PMI'!$A:$AZ,MATCH($A$1,'DB Country PMI'!$A$1:$AZ$1,),))</f>
        <v>45.22</v>
      </c>
      <c r="C47" s="24">
        <f>Table1346[[#This Row],[PMI]]-B46</f>
        <v>-0.91000000000000369</v>
      </c>
    </row>
    <row r="48" spans="1:3" x14ac:dyDescent="0.2">
      <c r="A48" s="10">
        <v>37803</v>
      </c>
      <c r="B48" s="18">
        <f>IF(VLOOKUP(A48,'DB Country PMI'!$A:$AZ,MATCH($A$1,'DB Country PMI'!$A$1:$AZ$1,),)=0,#N/A,VLOOKUP(A48,'DB Country PMI'!$A:$AZ,MATCH($A$1,'DB Country PMI'!$A$1:$AZ$1,),))</f>
        <v>47.89</v>
      </c>
      <c r="C48" s="24">
        <f>Table1346[[#This Row],[PMI]]-B47</f>
        <v>2.6700000000000017</v>
      </c>
    </row>
    <row r="49" spans="1:3" x14ac:dyDescent="0.2">
      <c r="A49" s="10">
        <v>37834</v>
      </c>
      <c r="B49" s="18">
        <f>IF(VLOOKUP(A49,'DB Country PMI'!$A:$AZ,MATCH($A$1,'DB Country PMI'!$A$1:$AZ$1,),)=0,#N/A,VLOOKUP(A49,'DB Country PMI'!$A:$AZ,MATCH($A$1,'DB Country PMI'!$A$1:$AZ$1,),))</f>
        <v>48.44</v>
      </c>
      <c r="C49" s="24">
        <f>Table1346[[#This Row],[PMI]]-B48</f>
        <v>0.54999999999999716</v>
      </c>
    </row>
    <row r="50" spans="1:3" x14ac:dyDescent="0.2">
      <c r="A50" s="10">
        <v>37865</v>
      </c>
      <c r="B50" s="18">
        <f>IF(VLOOKUP(A50,'DB Country PMI'!$A:$AZ,MATCH($A$1,'DB Country PMI'!$A$1:$AZ$1,),)=0,#N/A,VLOOKUP(A50,'DB Country PMI'!$A:$AZ,MATCH($A$1,'DB Country PMI'!$A$1:$AZ$1,),))</f>
        <v>45.46</v>
      </c>
      <c r="C50" s="24">
        <f>Table1346[[#This Row],[PMI]]-B49</f>
        <v>-2.9799999999999969</v>
      </c>
    </row>
    <row r="51" spans="1:3" x14ac:dyDescent="0.2">
      <c r="A51" s="10">
        <v>37895</v>
      </c>
      <c r="B51" s="18">
        <f>IF(VLOOKUP(A51,'DB Country PMI'!$A:$AZ,MATCH($A$1,'DB Country PMI'!$A$1:$AZ$1,),)=0,#N/A,VLOOKUP(A51,'DB Country PMI'!$A:$AZ,MATCH($A$1,'DB Country PMI'!$A$1:$AZ$1,),))</f>
        <v>47.73</v>
      </c>
      <c r="C51" s="24">
        <f>Table1346[[#This Row],[PMI]]-B50</f>
        <v>2.269999999999996</v>
      </c>
    </row>
    <row r="52" spans="1:3" x14ac:dyDescent="0.2">
      <c r="A52" s="10">
        <v>37926</v>
      </c>
      <c r="B52" s="18">
        <f>IF(VLOOKUP(A52,'DB Country PMI'!$A:$AZ,MATCH($A$1,'DB Country PMI'!$A$1:$AZ$1,),)=0,#N/A,VLOOKUP(A52,'DB Country PMI'!$A:$AZ,MATCH($A$1,'DB Country PMI'!$A$1:$AZ$1,),))</f>
        <v>53.1</v>
      </c>
      <c r="C52" s="24">
        <f>Table1346[[#This Row],[PMI]]-B51</f>
        <v>5.3700000000000045</v>
      </c>
    </row>
    <row r="53" spans="1:3" x14ac:dyDescent="0.2">
      <c r="A53" s="10">
        <v>37956</v>
      </c>
      <c r="B53" s="18">
        <f>IF(VLOOKUP(A53,'DB Country PMI'!$A:$AZ,MATCH($A$1,'DB Country PMI'!$A$1:$AZ$1,),)=0,#N/A,VLOOKUP(A53,'DB Country PMI'!$A:$AZ,MATCH($A$1,'DB Country PMI'!$A$1:$AZ$1,),))</f>
        <v>51.55</v>
      </c>
      <c r="C53" s="24">
        <f>Table1346[[#This Row],[PMI]]-B52</f>
        <v>-1.5500000000000043</v>
      </c>
    </row>
    <row r="54" spans="1:3" x14ac:dyDescent="0.2">
      <c r="A54" s="10">
        <v>37987</v>
      </c>
      <c r="B54" s="18">
        <f>IF(VLOOKUP(A54,'DB Country PMI'!$A:$AZ,MATCH($A$1,'DB Country PMI'!$A$1:$AZ$1,),)=0,#N/A,VLOOKUP(A54,'DB Country PMI'!$A:$AZ,MATCH($A$1,'DB Country PMI'!$A$1:$AZ$1,),))</f>
        <v>54.61</v>
      </c>
      <c r="C54" s="24">
        <f>Table1346[[#This Row],[PMI]]-B53</f>
        <v>3.0600000000000023</v>
      </c>
    </row>
    <row r="55" spans="1:3" x14ac:dyDescent="0.2">
      <c r="A55" s="10">
        <v>38018</v>
      </c>
      <c r="B55" s="18">
        <f>IF(VLOOKUP(A55,'DB Country PMI'!$A:$AZ,MATCH($A$1,'DB Country PMI'!$A$1:$AZ$1,),)=0,#N/A,VLOOKUP(A55,'DB Country PMI'!$A:$AZ,MATCH($A$1,'DB Country PMI'!$A$1:$AZ$1,),))</f>
        <v>54.29</v>
      </c>
      <c r="C55" s="24">
        <f>Table1346[[#This Row],[PMI]]-B54</f>
        <v>-0.32000000000000028</v>
      </c>
    </row>
    <row r="56" spans="1:3" x14ac:dyDescent="0.2">
      <c r="A56" s="10">
        <v>38047</v>
      </c>
      <c r="B56" s="18">
        <f>IF(VLOOKUP(A56,'DB Country PMI'!$A:$AZ,MATCH($A$1,'DB Country PMI'!$A$1:$AZ$1,),)=0,#N/A,VLOOKUP(A56,'DB Country PMI'!$A:$AZ,MATCH($A$1,'DB Country PMI'!$A$1:$AZ$1,),))</f>
        <v>55.84</v>
      </c>
      <c r="C56" s="24">
        <f>Table1346[[#This Row],[PMI]]-B55</f>
        <v>1.5500000000000043</v>
      </c>
    </row>
    <row r="57" spans="1:3" x14ac:dyDescent="0.2">
      <c r="A57" s="10">
        <v>38078</v>
      </c>
      <c r="B57" s="18">
        <f>IF(VLOOKUP(A57,'DB Country PMI'!$A:$AZ,MATCH($A$1,'DB Country PMI'!$A$1:$AZ$1,),)=0,#N/A,VLOOKUP(A57,'DB Country PMI'!$A:$AZ,MATCH($A$1,'DB Country PMI'!$A$1:$AZ$1,),))</f>
        <v>56.95</v>
      </c>
      <c r="C57" s="24">
        <f>Table1346[[#This Row],[PMI]]-B56</f>
        <v>1.1099999999999994</v>
      </c>
    </row>
    <row r="58" spans="1:3" x14ac:dyDescent="0.2">
      <c r="A58" s="10">
        <v>38108</v>
      </c>
      <c r="B58" s="18">
        <f>IF(VLOOKUP(A58,'DB Country PMI'!$A:$AZ,MATCH($A$1,'DB Country PMI'!$A$1:$AZ$1,),)=0,#N/A,VLOOKUP(A58,'DB Country PMI'!$A:$AZ,MATCH($A$1,'DB Country PMI'!$A$1:$AZ$1,),))</f>
        <v>56.6</v>
      </c>
      <c r="C58" s="24">
        <f>Table1346[[#This Row],[PMI]]-B57</f>
        <v>-0.35000000000000142</v>
      </c>
    </row>
    <row r="59" spans="1:3" x14ac:dyDescent="0.2">
      <c r="A59" s="10">
        <v>38139</v>
      </c>
      <c r="B59" s="18">
        <f>IF(VLOOKUP(A59,'DB Country PMI'!$A:$AZ,MATCH($A$1,'DB Country PMI'!$A$1:$AZ$1,),)=0,#N/A,VLOOKUP(A59,'DB Country PMI'!$A:$AZ,MATCH($A$1,'DB Country PMI'!$A$1:$AZ$1,),))</f>
        <v>56.83</v>
      </c>
      <c r="C59" s="24">
        <f>Table1346[[#This Row],[PMI]]-B58</f>
        <v>0.22999999999999687</v>
      </c>
    </row>
    <row r="60" spans="1:3" x14ac:dyDescent="0.2">
      <c r="A60" s="10">
        <v>38169</v>
      </c>
      <c r="B60" s="18">
        <f>IF(VLOOKUP(A60,'DB Country PMI'!$A:$AZ,MATCH($A$1,'DB Country PMI'!$A$1:$AZ$1,),)=0,#N/A,VLOOKUP(A60,'DB Country PMI'!$A:$AZ,MATCH($A$1,'DB Country PMI'!$A$1:$AZ$1,),))</f>
        <v>55.54</v>
      </c>
      <c r="C60" s="24">
        <f>Table1346[[#This Row],[PMI]]-B59</f>
        <v>-1.2899999999999991</v>
      </c>
    </row>
    <row r="61" spans="1:3" x14ac:dyDescent="0.2">
      <c r="A61" s="10">
        <v>38200</v>
      </c>
      <c r="B61" s="18">
        <f>IF(VLOOKUP(A61,'DB Country PMI'!$A:$AZ,MATCH($A$1,'DB Country PMI'!$A$1:$AZ$1,),)=0,#N/A,VLOOKUP(A61,'DB Country PMI'!$A:$AZ,MATCH($A$1,'DB Country PMI'!$A$1:$AZ$1,),))</f>
        <v>57.5</v>
      </c>
      <c r="C61" s="24">
        <f>Table1346[[#This Row],[PMI]]-B60</f>
        <v>1.9600000000000009</v>
      </c>
    </row>
    <row r="62" spans="1:3" x14ac:dyDescent="0.2">
      <c r="A62" s="10">
        <v>38231</v>
      </c>
      <c r="B62" s="18">
        <f>IF(VLOOKUP(A62,'DB Country PMI'!$A:$AZ,MATCH($A$1,'DB Country PMI'!$A$1:$AZ$1,),)=0,#N/A,VLOOKUP(A62,'DB Country PMI'!$A:$AZ,MATCH($A$1,'DB Country PMI'!$A$1:$AZ$1,),))</f>
        <v>57.5</v>
      </c>
      <c r="C62" s="24">
        <f>Table1346[[#This Row],[PMI]]-B61</f>
        <v>0</v>
      </c>
    </row>
    <row r="63" spans="1:3" x14ac:dyDescent="0.2">
      <c r="A63" s="10">
        <v>38261</v>
      </c>
      <c r="B63" s="18">
        <f>IF(VLOOKUP(A63,'DB Country PMI'!$A:$AZ,MATCH($A$1,'DB Country PMI'!$A$1:$AZ$1,),)=0,#N/A,VLOOKUP(A63,'DB Country PMI'!$A:$AZ,MATCH($A$1,'DB Country PMI'!$A$1:$AZ$1,),))</f>
        <v>55.37</v>
      </c>
      <c r="C63" s="24">
        <f>Table1346[[#This Row],[PMI]]-B62</f>
        <v>-2.1300000000000026</v>
      </c>
    </row>
    <row r="64" spans="1:3" x14ac:dyDescent="0.2">
      <c r="A64" s="10">
        <v>38292</v>
      </c>
      <c r="B64" s="18">
        <f>IF(VLOOKUP(A64,'DB Country PMI'!$A:$AZ,MATCH($A$1,'DB Country PMI'!$A$1:$AZ$1,),)=0,#N/A,VLOOKUP(A64,'DB Country PMI'!$A:$AZ,MATCH($A$1,'DB Country PMI'!$A$1:$AZ$1,),))</f>
        <v>54.08</v>
      </c>
      <c r="C64" s="24">
        <f>Table1346[[#This Row],[PMI]]-B63</f>
        <v>-1.2899999999999991</v>
      </c>
    </row>
    <row r="65" spans="1:3" x14ac:dyDescent="0.2">
      <c r="A65" s="10">
        <v>38322</v>
      </c>
      <c r="B65" s="18">
        <f>IF(VLOOKUP(A65,'DB Country PMI'!$A:$AZ,MATCH($A$1,'DB Country PMI'!$A$1:$AZ$1,),)=0,#N/A,VLOOKUP(A65,'DB Country PMI'!$A:$AZ,MATCH($A$1,'DB Country PMI'!$A$1:$AZ$1,),))</f>
        <v>54.34</v>
      </c>
      <c r="C65" s="24">
        <f>Table1346[[#This Row],[PMI]]-B64</f>
        <v>0.26000000000000512</v>
      </c>
    </row>
    <row r="66" spans="1:3" x14ac:dyDescent="0.2">
      <c r="A66" s="10">
        <v>38353</v>
      </c>
      <c r="B66" s="18">
        <f>IF(VLOOKUP(A66,'DB Country PMI'!$A:$AZ,MATCH($A$1,'DB Country PMI'!$A$1:$AZ$1,),)=0,#N/A,VLOOKUP(A66,'DB Country PMI'!$A:$AZ,MATCH($A$1,'DB Country PMI'!$A$1:$AZ$1,),))</f>
        <v>51.54</v>
      </c>
      <c r="C66" s="24">
        <f>Table1346[[#This Row],[PMI]]-B65</f>
        <v>-2.8000000000000043</v>
      </c>
    </row>
    <row r="67" spans="1:3" x14ac:dyDescent="0.2">
      <c r="A67" s="10">
        <v>38384</v>
      </c>
      <c r="B67" s="18">
        <f>IF(VLOOKUP(A67,'DB Country PMI'!$A:$AZ,MATCH($A$1,'DB Country PMI'!$A$1:$AZ$1,),)=0,#N/A,VLOOKUP(A67,'DB Country PMI'!$A:$AZ,MATCH($A$1,'DB Country PMI'!$A$1:$AZ$1,),))</f>
        <v>55.55</v>
      </c>
      <c r="C67" s="24">
        <f>Table1346[[#This Row],[PMI]]-B66</f>
        <v>4.009999999999998</v>
      </c>
    </row>
    <row r="68" spans="1:3" x14ac:dyDescent="0.2">
      <c r="A68" s="10">
        <v>38412</v>
      </c>
      <c r="B68" s="18">
        <f>IF(VLOOKUP(A68,'DB Country PMI'!$A:$AZ,MATCH($A$1,'DB Country PMI'!$A$1:$AZ$1,),)=0,#N/A,VLOOKUP(A68,'DB Country PMI'!$A:$AZ,MATCH($A$1,'DB Country PMI'!$A$1:$AZ$1,),))</f>
        <v>57.65</v>
      </c>
      <c r="C68" s="24">
        <f>Table1346[[#This Row],[PMI]]-B67</f>
        <v>2.1000000000000014</v>
      </c>
    </row>
    <row r="69" spans="1:3" x14ac:dyDescent="0.2">
      <c r="A69" s="10">
        <v>38443</v>
      </c>
      <c r="B69" s="18">
        <f>IF(VLOOKUP(A69,'DB Country PMI'!$A:$AZ,MATCH($A$1,'DB Country PMI'!$A$1:$AZ$1,),)=0,#N/A,VLOOKUP(A69,'DB Country PMI'!$A:$AZ,MATCH($A$1,'DB Country PMI'!$A$1:$AZ$1,),))</f>
        <v>54.64</v>
      </c>
      <c r="C69" s="24">
        <f>Table1346[[#This Row],[PMI]]-B68</f>
        <v>-3.009999999999998</v>
      </c>
    </row>
    <row r="70" spans="1:3" x14ac:dyDescent="0.2">
      <c r="A70" s="10">
        <v>38473</v>
      </c>
      <c r="B70" s="18">
        <f>IF(VLOOKUP(A70,'DB Country PMI'!$A:$AZ,MATCH($A$1,'DB Country PMI'!$A$1:$AZ$1,),)=0,#N/A,VLOOKUP(A70,'DB Country PMI'!$A:$AZ,MATCH($A$1,'DB Country PMI'!$A$1:$AZ$1,),))</f>
        <v>53.75</v>
      </c>
      <c r="C70" s="24">
        <f>Table1346[[#This Row],[PMI]]-B69</f>
        <v>-0.89000000000000057</v>
      </c>
    </row>
    <row r="71" spans="1:3" x14ac:dyDescent="0.2">
      <c r="A71" s="10">
        <v>38504</v>
      </c>
      <c r="B71" s="18">
        <f>IF(VLOOKUP(A71,'DB Country PMI'!$A:$AZ,MATCH($A$1,'DB Country PMI'!$A$1:$AZ$1,),)=0,#N/A,VLOOKUP(A71,'DB Country PMI'!$A:$AZ,MATCH($A$1,'DB Country PMI'!$A$1:$AZ$1,),))</f>
        <v>57.12</v>
      </c>
      <c r="C71" s="24">
        <f>Table1346[[#This Row],[PMI]]-B70</f>
        <v>3.3699999999999974</v>
      </c>
    </row>
    <row r="72" spans="1:3" x14ac:dyDescent="0.2">
      <c r="A72" s="10">
        <v>38534</v>
      </c>
      <c r="B72" s="18">
        <f>IF(VLOOKUP(A72,'DB Country PMI'!$A:$AZ,MATCH($A$1,'DB Country PMI'!$A$1:$AZ$1,),)=0,#N/A,VLOOKUP(A72,'DB Country PMI'!$A:$AZ,MATCH($A$1,'DB Country PMI'!$A$1:$AZ$1,),))</f>
        <v>57.43</v>
      </c>
      <c r="C72" s="24">
        <f>Table1346[[#This Row],[PMI]]-B71</f>
        <v>0.31000000000000227</v>
      </c>
    </row>
    <row r="73" spans="1:3" x14ac:dyDescent="0.2">
      <c r="A73" s="10">
        <v>38565</v>
      </c>
      <c r="B73" s="18">
        <f>IF(VLOOKUP(A73,'DB Country PMI'!$A:$AZ,MATCH($A$1,'DB Country PMI'!$A$1:$AZ$1,),)=0,#N/A,VLOOKUP(A73,'DB Country PMI'!$A:$AZ,MATCH($A$1,'DB Country PMI'!$A$1:$AZ$1,),))</f>
        <v>55.2</v>
      </c>
      <c r="C73" s="24">
        <f>Table1346[[#This Row],[PMI]]-B72</f>
        <v>-2.2299999999999969</v>
      </c>
    </row>
    <row r="74" spans="1:3" x14ac:dyDescent="0.2">
      <c r="A74" s="10">
        <v>38596</v>
      </c>
      <c r="B74" s="18">
        <f>IF(VLOOKUP(A74,'DB Country PMI'!$A:$AZ,MATCH($A$1,'DB Country PMI'!$A$1:$AZ$1,),)=0,#N/A,VLOOKUP(A74,'DB Country PMI'!$A:$AZ,MATCH($A$1,'DB Country PMI'!$A$1:$AZ$1,),))</f>
        <v>54.96</v>
      </c>
      <c r="C74" s="24">
        <f>Table1346[[#This Row],[PMI]]-B73</f>
        <v>-0.24000000000000199</v>
      </c>
    </row>
    <row r="75" spans="1:3" x14ac:dyDescent="0.2">
      <c r="A75" s="10">
        <v>38626</v>
      </c>
      <c r="B75" s="18">
        <f>IF(VLOOKUP(A75,'DB Country PMI'!$A:$AZ,MATCH($A$1,'DB Country PMI'!$A$1:$AZ$1,),)=0,#N/A,VLOOKUP(A75,'DB Country PMI'!$A:$AZ,MATCH($A$1,'DB Country PMI'!$A$1:$AZ$1,),))</f>
        <v>52.77</v>
      </c>
      <c r="C75" s="24">
        <f>Table1346[[#This Row],[PMI]]-B74</f>
        <v>-2.1899999999999977</v>
      </c>
    </row>
    <row r="76" spans="1:3" x14ac:dyDescent="0.2">
      <c r="A76" s="10">
        <v>38657</v>
      </c>
      <c r="B76" s="18">
        <f>IF(VLOOKUP(A76,'DB Country PMI'!$A:$AZ,MATCH($A$1,'DB Country PMI'!$A$1:$AZ$1,),)=0,#N/A,VLOOKUP(A76,'DB Country PMI'!$A:$AZ,MATCH($A$1,'DB Country PMI'!$A$1:$AZ$1,),))</f>
        <v>52.02</v>
      </c>
      <c r="C76" s="24">
        <f>Table1346[[#This Row],[PMI]]-B75</f>
        <v>-0.75</v>
      </c>
    </row>
    <row r="77" spans="1:3" x14ac:dyDescent="0.2">
      <c r="A77" s="10">
        <v>38687</v>
      </c>
      <c r="B77" s="18">
        <f>IF(VLOOKUP(A77,'DB Country PMI'!$A:$AZ,MATCH($A$1,'DB Country PMI'!$A$1:$AZ$1,),)=0,#N/A,VLOOKUP(A77,'DB Country PMI'!$A:$AZ,MATCH($A$1,'DB Country PMI'!$A$1:$AZ$1,),))</f>
        <v>53.31</v>
      </c>
      <c r="C77" s="24">
        <f>Table1346[[#This Row],[PMI]]-B76</f>
        <v>1.2899999999999991</v>
      </c>
    </row>
    <row r="78" spans="1:3" x14ac:dyDescent="0.2">
      <c r="A78" s="10">
        <v>38718</v>
      </c>
      <c r="B78" s="18">
        <f>IF(VLOOKUP(A78,'DB Country PMI'!$A:$AZ,MATCH($A$1,'DB Country PMI'!$A$1:$AZ$1,),)=0,#N/A,VLOOKUP(A78,'DB Country PMI'!$A:$AZ,MATCH($A$1,'DB Country PMI'!$A$1:$AZ$1,),))</f>
        <v>49.78</v>
      </c>
      <c r="C78" s="24">
        <f>Table1346[[#This Row],[PMI]]-B77</f>
        <v>-3.5300000000000011</v>
      </c>
    </row>
    <row r="79" spans="1:3" x14ac:dyDescent="0.2">
      <c r="A79" s="10">
        <v>38749</v>
      </c>
      <c r="B79" s="18">
        <f>IF(VLOOKUP(A79,'DB Country PMI'!$A:$AZ,MATCH($A$1,'DB Country PMI'!$A$1:$AZ$1,),)=0,#N/A,VLOOKUP(A79,'DB Country PMI'!$A:$AZ,MATCH($A$1,'DB Country PMI'!$A$1:$AZ$1,),))</f>
        <v>50.11</v>
      </c>
      <c r="C79" s="24">
        <f>Table1346[[#This Row],[PMI]]-B78</f>
        <v>0.32999999999999829</v>
      </c>
    </row>
    <row r="80" spans="1:3" x14ac:dyDescent="0.2">
      <c r="A80" s="10">
        <v>38777</v>
      </c>
      <c r="B80" s="18">
        <f>IF(VLOOKUP(A80,'DB Country PMI'!$A:$AZ,MATCH($A$1,'DB Country PMI'!$A$1:$AZ$1,),)=0,#N/A,VLOOKUP(A80,'DB Country PMI'!$A:$AZ,MATCH($A$1,'DB Country PMI'!$A$1:$AZ$1,),))</f>
        <v>52.17</v>
      </c>
      <c r="C80" s="24">
        <f>Table1346[[#This Row],[PMI]]-B79</f>
        <v>2.0600000000000023</v>
      </c>
    </row>
    <row r="81" spans="1:3" x14ac:dyDescent="0.2">
      <c r="A81" s="10">
        <v>38808</v>
      </c>
      <c r="B81" s="18">
        <f>IF(VLOOKUP(A81,'DB Country PMI'!$A:$AZ,MATCH($A$1,'DB Country PMI'!$A$1:$AZ$1,),)=0,#N/A,VLOOKUP(A81,'DB Country PMI'!$A:$AZ,MATCH($A$1,'DB Country PMI'!$A$1:$AZ$1,),))</f>
        <v>54.63</v>
      </c>
      <c r="C81" s="24">
        <f>Table1346[[#This Row],[PMI]]-B80</f>
        <v>2.4600000000000009</v>
      </c>
    </row>
    <row r="82" spans="1:3" x14ac:dyDescent="0.2">
      <c r="A82" s="10">
        <v>38838</v>
      </c>
      <c r="B82" s="18">
        <f>IF(VLOOKUP(A82,'DB Country PMI'!$A:$AZ,MATCH($A$1,'DB Country PMI'!$A$1:$AZ$1,),)=0,#N/A,VLOOKUP(A82,'DB Country PMI'!$A:$AZ,MATCH($A$1,'DB Country PMI'!$A$1:$AZ$1,),))</f>
        <v>57</v>
      </c>
      <c r="C82" s="24">
        <f>Table1346[[#This Row],[PMI]]-B81</f>
        <v>2.3699999999999974</v>
      </c>
    </row>
    <row r="83" spans="1:3" x14ac:dyDescent="0.2">
      <c r="A83" s="10">
        <v>38869</v>
      </c>
      <c r="B83" s="18">
        <f>IF(VLOOKUP(A83,'DB Country PMI'!$A:$AZ,MATCH($A$1,'DB Country PMI'!$A$1:$AZ$1,),)=0,#N/A,VLOOKUP(A83,'DB Country PMI'!$A:$AZ,MATCH($A$1,'DB Country PMI'!$A$1:$AZ$1,),))</f>
        <v>58.8</v>
      </c>
      <c r="C83" s="24">
        <f>Table1346[[#This Row],[PMI]]-B82</f>
        <v>1.7999999999999972</v>
      </c>
    </row>
    <row r="84" spans="1:3" x14ac:dyDescent="0.2">
      <c r="A84" s="10">
        <v>38899</v>
      </c>
      <c r="B84" s="18">
        <f>IF(VLOOKUP(A84,'DB Country PMI'!$A:$AZ,MATCH($A$1,'DB Country PMI'!$A$1:$AZ$1,),)=0,#N/A,VLOOKUP(A84,'DB Country PMI'!$A:$AZ,MATCH($A$1,'DB Country PMI'!$A$1:$AZ$1,),))</f>
        <v>60.27</v>
      </c>
      <c r="C84" s="24">
        <f>Table1346[[#This Row],[PMI]]-B83</f>
        <v>1.470000000000006</v>
      </c>
    </row>
    <row r="85" spans="1:3" x14ac:dyDescent="0.2">
      <c r="A85" s="10">
        <v>38930</v>
      </c>
      <c r="B85" s="18">
        <f>IF(VLOOKUP(A85,'DB Country PMI'!$A:$AZ,MATCH($A$1,'DB Country PMI'!$A$1:$AZ$1,),)=0,#N/A,VLOOKUP(A85,'DB Country PMI'!$A:$AZ,MATCH($A$1,'DB Country PMI'!$A$1:$AZ$1,),))</f>
        <v>58.68</v>
      </c>
      <c r="C85" s="24">
        <f>Table1346[[#This Row],[PMI]]-B84</f>
        <v>-1.5900000000000034</v>
      </c>
    </row>
    <row r="86" spans="1:3" x14ac:dyDescent="0.2">
      <c r="A86" s="10">
        <v>38961</v>
      </c>
      <c r="B86" s="18">
        <f>IF(VLOOKUP(A86,'DB Country PMI'!$A:$AZ,MATCH($A$1,'DB Country PMI'!$A$1:$AZ$1,),)=0,#N/A,VLOOKUP(A86,'DB Country PMI'!$A:$AZ,MATCH($A$1,'DB Country PMI'!$A$1:$AZ$1,),))</f>
        <v>56.6</v>
      </c>
      <c r="C86" s="24">
        <f>Table1346[[#This Row],[PMI]]-B85</f>
        <v>-2.0799999999999983</v>
      </c>
    </row>
    <row r="87" spans="1:3" x14ac:dyDescent="0.2">
      <c r="A87" s="10">
        <v>38991</v>
      </c>
      <c r="B87" s="18">
        <f>IF(VLOOKUP(A87,'DB Country PMI'!$A:$AZ,MATCH($A$1,'DB Country PMI'!$A$1:$AZ$1,),)=0,#N/A,VLOOKUP(A87,'DB Country PMI'!$A:$AZ,MATCH($A$1,'DB Country PMI'!$A$1:$AZ$1,),))</f>
        <v>56.73</v>
      </c>
      <c r="C87" s="24">
        <f>Table1346[[#This Row],[PMI]]-B86</f>
        <v>0.12999999999999545</v>
      </c>
    </row>
    <row r="88" spans="1:3" x14ac:dyDescent="0.2">
      <c r="A88" s="10">
        <v>39022</v>
      </c>
      <c r="B88" s="18">
        <f>IF(VLOOKUP(A88,'DB Country PMI'!$A:$AZ,MATCH($A$1,'DB Country PMI'!$A$1:$AZ$1,),)=0,#N/A,VLOOKUP(A88,'DB Country PMI'!$A:$AZ,MATCH($A$1,'DB Country PMI'!$A$1:$AZ$1,),))</f>
        <v>56.34</v>
      </c>
      <c r="C88" s="24">
        <f>Table1346[[#This Row],[PMI]]-B87</f>
        <v>-0.38999999999999346</v>
      </c>
    </row>
    <row r="89" spans="1:3" x14ac:dyDescent="0.2">
      <c r="A89" s="10">
        <v>39052</v>
      </c>
      <c r="B89" s="18">
        <f>IF(VLOOKUP(A89,'DB Country PMI'!$A:$AZ,MATCH($A$1,'DB Country PMI'!$A$1:$AZ$1,),)=0,#N/A,VLOOKUP(A89,'DB Country PMI'!$A:$AZ,MATCH($A$1,'DB Country PMI'!$A$1:$AZ$1,),))</f>
        <v>55.49</v>
      </c>
      <c r="C89" s="24">
        <f>Table1346[[#This Row],[PMI]]-B88</f>
        <v>-0.85000000000000142</v>
      </c>
    </row>
    <row r="90" spans="1:3" x14ac:dyDescent="0.2">
      <c r="A90" s="10">
        <v>39083</v>
      </c>
      <c r="B90" s="18">
        <f>IF(VLOOKUP(A90,'DB Country PMI'!$A:$AZ,MATCH($A$1,'DB Country PMI'!$A$1:$AZ$1,),)=0,#N/A,VLOOKUP(A90,'DB Country PMI'!$A:$AZ,MATCH($A$1,'DB Country PMI'!$A$1:$AZ$1,),))</f>
        <v>57.79</v>
      </c>
      <c r="C90" s="24">
        <f>Table1346[[#This Row],[PMI]]-B89</f>
        <v>2.2999999999999972</v>
      </c>
    </row>
    <row r="91" spans="1:3" x14ac:dyDescent="0.2">
      <c r="A91" s="10">
        <v>39114</v>
      </c>
      <c r="B91" s="18">
        <f>IF(VLOOKUP(A91,'DB Country PMI'!$A:$AZ,MATCH($A$1,'DB Country PMI'!$A$1:$AZ$1,),)=0,#N/A,VLOOKUP(A91,'DB Country PMI'!$A:$AZ,MATCH($A$1,'DB Country PMI'!$A$1:$AZ$1,),))</f>
        <v>60.18</v>
      </c>
      <c r="C91" s="24">
        <f>Table1346[[#This Row],[PMI]]-B90</f>
        <v>2.3900000000000006</v>
      </c>
    </row>
    <row r="92" spans="1:3" x14ac:dyDescent="0.2">
      <c r="A92" s="10">
        <v>39142</v>
      </c>
      <c r="B92" s="18">
        <f>IF(VLOOKUP(A92,'DB Country PMI'!$A:$AZ,MATCH($A$1,'DB Country PMI'!$A$1:$AZ$1,),)=0,#N/A,VLOOKUP(A92,'DB Country PMI'!$A:$AZ,MATCH($A$1,'DB Country PMI'!$A$1:$AZ$1,),))</f>
        <v>60.35</v>
      </c>
      <c r="C92" s="24">
        <f>Table1346[[#This Row],[PMI]]-B91</f>
        <v>0.17000000000000171</v>
      </c>
    </row>
    <row r="93" spans="1:3" x14ac:dyDescent="0.2">
      <c r="A93" s="10">
        <v>39173</v>
      </c>
      <c r="B93" s="18">
        <f>IF(VLOOKUP(A93,'DB Country PMI'!$A:$AZ,MATCH($A$1,'DB Country PMI'!$A$1:$AZ$1,),)=0,#N/A,VLOOKUP(A93,'DB Country PMI'!$A:$AZ,MATCH($A$1,'DB Country PMI'!$A$1:$AZ$1,),))</f>
        <v>57.89</v>
      </c>
      <c r="C93" s="24">
        <f>Table1346[[#This Row],[PMI]]-B92</f>
        <v>-2.4600000000000009</v>
      </c>
    </row>
    <row r="94" spans="1:3" x14ac:dyDescent="0.2">
      <c r="A94" s="10">
        <v>39203</v>
      </c>
      <c r="B94" s="18">
        <f>IF(VLOOKUP(A94,'DB Country PMI'!$A:$AZ,MATCH($A$1,'DB Country PMI'!$A$1:$AZ$1,),)=0,#N/A,VLOOKUP(A94,'DB Country PMI'!$A:$AZ,MATCH($A$1,'DB Country PMI'!$A$1:$AZ$1,),))</f>
        <v>56.91</v>
      </c>
      <c r="C94" s="24">
        <f>Table1346[[#This Row],[PMI]]-B93</f>
        <v>-0.98000000000000398</v>
      </c>
    </row>
    <row r="95" spans="1:3" x14ac:dyDescent="0.2">
      <c r="A95" s="10">
        <v>39234</v>
      </c>
      <c r="B95" s="18">
        <f>IF(VLOOKUP(A95,'DB Country PMI'!$A:$AZ,MATCH($A$1,'DB Country PMI'!$A$1:$AZ$1,),)=0,#N/A,VLOOKUP(A95,'DB Country PMI'!$A:$AZ,MATCH($A$1,'DB Country PMI'!$A$1:$AZ$1,),))</f>
        <v>56.33</v>
      </c>
      <c r="C95" s="24">
        <f>Table1346[[#This Row],[PMI]]-B94</f>
        <v>-0.57999999999999829</v>
      </c>
    </row>
    <row r="96" spans="1:3" x14ac:dyDescent="0.2">
      <c r="A96" s="10">
        <v>39264</v>
      </c>
      <c r="B96" s="18">
        <f>IF(VLOOKUP(A96,'DB Country PMI'!$A:$AZ,MATCH($A$1,'DB Country PMI'!$A$1:$AZ$1,),)=0,#N/A,VLOOKUP(A96,'DB Country PMI'!$A:$AZ,MATCH($A$1,'DB Country PMI'!$A$1:$AZ$1,),))</f>
        <v>57.52</v>
      </c>
      <c r="C96" s="24">
        <f>Table1346[[#This Row],[PMI]]-B95</f>
        <v>1.1900000000000048</v>
      </c>
    </row>
    <row r="97" spans="1:3" x14ac:dyDescent="0.2">
      <c r="A97" s="10">
        <v>39295</v>
      </c>
      <c r="B97" s="18">
        <f>IF(VLOOKUP(A97,'DB Country PMI'!$A:$AZ,MATCH($A$1,'DB Country PMI'!$A$1:$AZ$1,),)=0,#N/A,VLOOKUP(A97,'DB Country PMI'!$A:$AZ,MATCH($A$1,'DB Country PMI'!$A$1:$AZ$1,),))</f>
        <v>54.42</v>
      </c>
      <c r="C97" s="24">
        <f>Table1346[[#This Row],[PMI]]-B96</f>
        <v>-3.1000000000000014</v>
      </c>
    </row>
    <row r="98" spans="1:3" x14ac:dyDescent="0.2">
      <c r="A98" s="10">
        <v>39326</v>
      </c>
      <c r="B98" s="18">
        <f>IF(VLOOKUP(A98,'DB Country PMI'!$A:$AZ,MATCH($A$1,'DB Country PMI'!$A$1:$AZ$1,),)=0,#N/A,VLOOKUP(A98,'DB Country PMI'!$A:$AZ,MATCH($A$1,'DB Country PMI'!$A$1:$AZ$1,),))</f>
        <v>51.63</v>
      </c>
      <c r="C98" s="24">
        <f>Table1346[[#This Row],[PMI]]-B97</f>
        <v>-2.7899999999999991</v>
      </c>
    </row>
    <row r="99" spans="1:3" x14ac:dyDescent="0.2">
      <c r="A99" s="10">
        <v>39356</v>
      </c>
      <c r="B99" s="18">
        <f>IF(VLOOKUP(A99,'DB Country PMI'!$A:$AZ,MATCH($A$1,'DB Country PMI'!$A$1:$AZ$1,),)=0,#N/A,VLOOKUP(A99,'DB Country PMI'!$A:$AZ,MATCH($A$1,'DB Country PMI'!$A$1:$AZ$1,),))</f>
        <v>54.4</v>
      </c>
      <c r="C99" s="24">
        <f>Table1346[[#This Row],[PMI]]-B98</f>
        <v>2.769999999999996</v>
      </c>
    </row>
    <row r="100" spans="1:3" x14ac:dyDescent="0.2">
      <c r="A100" s="10">
        <v>39387</v>
      </c>
      <c r="B100" s="18">
        <f>IF(VLOOKUP(A100,'DB Country PMI'!$A:$AZ,MATCH($A$1,'DB Country PMI'!$A$1:$AZ$1,),)=0,#N/A,VLOOKUP(A100,'DB Country PMI'!$A:$AZ,MATCH($A$1,'DB Country PMI'!$A$1:$AZ$1,),))</f>
        <v>53.96</v>
      </c>
      <c r="C100" s="24">
        <f>Table1346[[#This Row],[PMI]]-B99</f>
        <v>-0.43999999999999773</v>
      </c>
    </row>
    <row r="101" spans="1:3" x14ac:dyDescent="0.2">
      <c r="A101" s="10">
        <v>39417</v>
      </c>
      <c r="B101" s="18">
        <f>IF(VLOOKUP(A101,'DB Country PMI'!$A:$AZ,MATCH($A$1,'DB Country PMI'!$A$1:$AZ$1,),)=0,#N/A,VLOOKUP(A101,'DB Country PMI'!$A:$AZ,MATCH($A$1,'DB Country PMI'!$A$1:$AZ$1,),))</f>
        <v>53.23</v>
      </c>
      <c r="C101" s="24">
        <f>Table1346[[#This Row],[PMI]]-B100</f>
        <v>-0.73000000000000398</v>
      </c>
    </row>
    <row r="102" spans="1:3" x14ac:dyDescent="0.2">
      <c r="A102" s="10">
        <v>39448</v>
      </c>
      <c r="B102" s="18">
        <f>IF(VLOOKUP(A102,'DB Country PMI'!$A:$AZ,MATCH($A$1,'DB Country PMI'!$A$1:$AZ$1,),)=0,#N/A,VLOOKUP(A102,'DB Country PMI'!$A:$AZ,MATCH($A$1,'DB Country PMI'!$A$1:$AZ$1,),))</f>
        <v>51.3</v>
      </c>
      <c r="C102" s="24">
        <f>Table1346[[#This Row],[PMI]]-B101</f>
        <v>-1.9299999999999997</v>
      </c>
    </row>
    <row r="103" spans="1:3" x14ac:dyDescent="0.2">
      <c r="A103" s="10">
        <v>39479</v>
      </c>
      <c r="B103" s="18">
        <f>IF(VLOOKUP(A103,'DB Country PMI'!$A:$AZ,MATCH($A$1,'DB Country PMI'!$A$1:$AZ$1,),)=0,#N/A,VLOOKUP(A103,'DB Country PMI'!$A:$AZ,MATCH($A$1,'DB Country PMI'!$A$1:$AZ$1,),))</f>
        <v>45.75</v>
      </c>
      <c r="C103" s="24">
        <f>Table1346[[#This Row],[PMI]]-B102</f>
        <v>-5.5499999999999972</v>
      </c>
    </row>
    <row r="104" spans="1:3" x14ac:dyDescent="0.2">
      <c r="A104" s="10">
        <v>39508</v>
      </c>
      <c r="B104" s="18">
        <f>IF(VLOOKUP(A104,'DB Country PMI'!$A:$AZ,MATCH($A$1,'DB Country PMI'!$A$1:$AZ$1,),)=0,#N/A,VLOOKUP(A104,'DB Country PMI'!$A:$AZ,MATCH($A$1,'DB Country PMI'!$A$1:$AZ$1,),))</f>
        <v>44.21</v>
      </c>
      <c r="C104" s="24">
        <f>Table1346[[#This Row],[PMI]]-B103</f>
        <v>-1.5399999999999991</v>
      </c>
    </row>
    <row r="105" spans="1:3" x14ac:dyDescent="0.2">
      <c r="A105" s="10">
        <v>39539</v>
      </c>
      <c r="B105" s="18">
        <f>IF(VLOOKUP(A105,'DB Country PMI'!$A:$AZ,MATCH($A$1,'DB Country PMI'!$A$1:$AZ$1,),)=0,#N/A,VLOOKUP(A105,'DB Country PMI'!$A:$AZ,MATCH($A$1,'DB Country PMI'!$A$1:$AZ$1,),))</f>
        <v>53.72</v>
      </c>
      <c r="C105" s="24">
        <f>Table1346[[#This Row],[PMI]]-B104</f>
        <v>9.509999999999998</v>
      </c>
    </row>
    <row r="106" spans="1:3" x14ac:dyDescent="0.2">
      <c r="A106" s="10">
        <v>39569</v>
      </c>
      <c r="B106" s="18">
        <f>IF(VLOOKUP(A106,'DB Country PMI'!$A:$AZ,MATCH($A$1,'DB Country PMI'!$A$1:$AZ$1,),)=0,#N/A,VLOOKUP(A106,'DB Country PMI'!$A:$AZ,MATCH($A$1,'DB Country PMI'!$A$1:$AZ$1,),))</f>
        <v>48.8</v>
      </c>
      <c r="C106" s="24">
        <f>Table1346[[#This Row],[PMI]]-B105</f>
        <v>-4.9200000000000017</v>
      </c>
    </row>
    <row r="107" spans="1:3" x14ac:dyDescent="0.2">
      <c r="A107" s="10">
        <v>39600</v>
      </c>
      <c r="B107" s="18">
        <f>IF(VLOOKUP(A107,'DB Country PMI'!$A:$AZ,MATCH($A$1,'DB Country PMI'!$A$1:$AZ$1,),)=0,#N/A,VLOOKUP(A107,'DB Country PMI'!$A:$AZ,MATCH($A$1,'DB Country PMI'!$A$1:$AZ$1,),))</f>
        <v>45.37</v>
      </c>
      <c r="C107" s="24">
        <f>Table1346[[#This Row],[PMI]]-B106</f>
        <v>-3.4299999999999997</v>
      </c>
    </row>
    <row r="108" spans="1:3" x14ac:dyDescent="0.2">
      <c r="A108" s="10">
        <v>39630</v>
      </c>
      <c r="B108" s="18">
        <f>IF(VLOOKUP(A108,'DB Country PMI'!$A:$AZ,MATCH($A$1,'DB Country PMI'!$A$1:$AZ$1,),)=0,#N/A,VLOOKUP(A108,'DB Country PMI'!$A:$AZ,MATCH($A$1,'DB Country PMI'!$A$1:$AZ$1,),))</f>
        <v>44.8</v>
      </c>
      <c r="C108" s="24">
        <f>Table1346[[#This Row],[PMI]]-B107</f>
        <v>-0.57000000000000028</v>
      </c>
    </row>
    <row r="109" spans="1:3" x14ac:dyDescent="0.2">
      <c r="A109" s="10">
        <v>39661</v>
      </c>
      <c r="B109" s="18">
        <f>IF(VLOOKUP(A109,'DB Country PMI'!$A:$AZ,MATCH($A$1,'DB Country PMI'!$A$1:$AZ$1,),)=0,#N/A,VLOOKUP(A109,'DB Country PMI'!$A:$AZ,MATCH($A$1,'DB Country PMI'!$A$1:$AZ$1,),))</f>
        <v>48.3</v>
      </c>
      <c r="C109" s="24">
        <f>Table1346[[#This Row],[PMI]]-B108</f>
        <v>3.5</v>
      </c>
    </row>
    <row r="110" spans="1:3" x14ac:dyDescent="0.2">
      <c r="A110" s="10">
        <v>39692</v>
      </c>
      <c r="B110" s="18">
        <f>IF(VLOOKUP(A110,'DB Country PMI'!$A:$AZ,MATCH($A$1,'DB Country PMI'!$A$1:$AZ$1,),)=0,#N/A,VLOOKUP(A110,'DB Country PMI'!$A:$AZ,MATCH($A$1,'DB Country PMI'!$A$1:$AZ$1,),))</f>
        <v>47.07</v>
      </c>
      <c r="C110" s="24">
        <f>Table1346[[#This Row],[PMI]]-B109</f>
        <v>-1.2299999999999969</v>
      </c>
    </row>
    <row r="111" spans="1:3" x14ac:dyDescent="0.2">
      <c r="A111" s="10">
        <v>39722</v>
      </c>
      <c r="B111" s="18">
        <f>IF(VLOOKUP(A111,'DB Country PMI'!$A:$AZ,MATCH($A$1,'DB Country PMI'!$A$1:$AZ$1,),)=0,#N/A,VLOOKUP(A111,'DB Country PMI'!$A:$AZ,MATCH($A$1,'DB Country PMI'!$A$1:$AZ$1,),))</f>
        <v>45.16</v>
      </c>
      <c r="C111" s="24">
        <f>Table1346[[#This Row],[PMI]]-B110</f>
        <v>-1.9100000000000037</v>
      </c>
    </row>
    <row r="112" spans="1:3" x14ac:dyDescent="0.2">
      <c r="A112" s="10">
        <v>39753</v>
      </c>
      <c r="B112" s="18">
        <f>IF(VLOOKUP(A112,'DB Country PMI'!$A:$AZ,MATCH($A$1,'DB Country PMI'!$A$1:$AZ$1,),)=0,#N/A,VLOOKUP(A112,'DB Country PMI'!$A:$AZ,MATCH($A$1,'DB Country PMI'!$A$1:$AZ$1,),))</f>
        <v>38.97</v>
      </c>
      <c r="C112" s="24">
        <f>Table1346[[#This Row],[PMI]]-B111</f>
        <v>-6.1899999999999977</v>
      </c>
    </row>
    <row r="113" spans="1:3" x14ac:dyDescent="0.2">
      <c r="A113" s="10">
        <v>39783</v>
      </c>
      <c r="B113" s="18">
        <f>IF(VLOOKUP(A113,'DB Country PMI'!$A:$AZ,MATCH($A$1,'DB Country PMI'!$A$1:$AZ$1,),)=0,#N/A,VLOOKUP(A113,'DB Country PMI'!$A:$AZ,MATCH($A$1,'DB Country PMI'!$A$1:$AZ$1,),))</f>
        <v>40.24</v>
      </c>
      <c r="C113" s="24">
        <f>Table1346[[#This Row],[PMI]]-B112</f>
        <v>1.2700000000000031</v>
      </c>
    </row>
    <row r="114" spans="1:3" x14ac:dyDescent="0.2">
      <c r="A114" s="10">
        <v>39814</v>
      </c>
      <c r="B114" s="18">
        <f>IF(VLOOKUP(A114,'DB Country PMI'!$A:$AZ,MATCH($A$1,'DB Country PMI'!$A$1:$AZ$1,),)=0,#N/A,VLOOKUP(A114,'DB Country PMI'!$A:$AZ,MATCH($A$1,'DB Country PMI'!$A$1:$AZ$1,),))</f>
        <v>39.9</v>
      </c>
      <c r="C114" s="24">
        <f>Table1346[[#This Row],[PMI]]-B113</f>
        <v>-0.34000000000000341</v>
      </c>
    </row>
    <row r="115" spans="1:3" x14ac:dyDescent="0.2">
      <c r="A115" s="10">
        <v>39845</v>
      </c>
      <c r="B115" s="18">
        <f>IF(VLOOKUP(A115,'DB Country PMI'!$A:$AZ,MATCH($A$1,'DB Country PMI'!$A$1:$AZ$1,),)=0,#N/A,VLOOKUP(A115,'DB Country PMI'!$A:$AZ,MATCH($A$1,'DB Country PMI'!$A$1:$AZ$1,),))</f>
        <v>37.590000000000003</v>
      </c>
      <c r="C115" s="24">
        <f>Table1346[[#This Row],[PMI]]-B114</f>
        <v>-2.3099999999999952</v>
      </c>
    </row>
    <row r="116" spans="1:3" x14ac:dyDescent="0.2">
      <c r="A116" s="10">
        <v>39873</v>
      </c>
      <c r="B116" s="18">
        <f>IF(VLOOKUP(A116,'DB Country PMI'!$A:$AZ,MATCH($A$1,'DB Country PMI'!$A$1:$AZ$1,),)=0,#N/A,VLOOKUP(A116,'DB Country PMI'!$A:$AZ,MATCH($A$1,'DB Country PMI'!$A$1:$AZ$1,),))</f>
        <v>35.76</v>
      </c>
      <c r="C116" s="24">
        <f>Table1346[[#This Row],[PMI]]-B115</f>
        <v>-1.8300000000000054</v>
      </c>
    </row>
    <row r="117" spans="1:3" x14ac:dyDescent="0.2">
      <c r="A117" s="10">
        <v>39904</v>
      </c>
      <c r="B117" s="18">
        <f>IF(VLOOKUP(A117,'DB Country PMI'!$A:$AZ,MATCH($A$1,'DB Country PMI'!$A$1:$AZ$1,),)=0,#N/A,VLOOKUP(A117,'DB Country PMI'!$A:$AZ,MATCH($A$1,'DB Country PMI'!$A$1:$AZ$1,),))</f>
        <v>35.090000000000003</v>
      </c>
      <c r="C117" s="24">
        <f>Table1346[[#This Row],[PMI]]-B116</f>
        <v>-0.6699999999999946</v>
      </c>
    </row>
    <row r="118" spans="1:3" x14ac:dyDescent="0.2">
      <c r="A118" s="10">
        <v>39934</v>
      </c>
      <c r="B118" s="18">
        <f>IF(VLOOKUP(A118,'DB Country PMI'!$A:$AZ,MATCH($A$1,'DB Country PMI'!$A$1:$AZ$1,),)=0,#N/A,VLOOKUP(A118,'DB Country PMI'!$A:$AZ,MATCH($A$1,'DB Country PMI'!$A$1:$AZ$1,),))</f>
        <v>37.520000000000003</v>
      </c>
      <c r="C118" s="24">
        <f>Table1346[[#This Row],[PMI]]-B117</f>
        <v>2.4299999999999997</v>
      </c>
    </row>
    <row r="119" spans="1:3" x14ac:dyDescent="0.2">
      <c r="A119" s="10">
        <v>39965</v>
      </c>
      <c r="B119" s="18">
        <f>IF(VLOOKUP(A119,'DB Country PMI'!$A:$AZ,MATCH($A$1,'DB Country PMI'!$A$1:$AZ$1,),)=0,#N/A,VLOOKUP(A119,'DB Country PMI'!$A:$AZ,MATCH($A$1,'DB Country PMI'!$A$1:$AZ$1,),))</f>
        <v>39.700000000000003</v>
      </c>
      <c r="C119" s="24">
        <f>Table1346[[#This Row],[PMI]]-B118</f>
        <v>2.1799999999999997</v>
      </c>
    </row>
    <row r="120" spans="1:3" x14ac:dyDescent="0.2">
      <c r="A120" s="10">
        <v>39995</v>
      </c>
      <c r="B120" s="18">
        <f>IF(VLOOKUP(A120,'DB Country PMI'!$A:$AZ,MATCH($A$1,'DB Country PMI'!$A$1:$AZ$1,),)=0,#N/A,VLOOKUP(A120,'DB Country PMI'!$A:$AZ,MATCH($A$1,'DB Country PMI'!$A$1:$AZ$1,),))</f>
        <v>39.43</v>
      </c>
      <c r="C120" s="24">
        <f>Table1346[[#This Row],[PMI]]-B119</f>
        <v>-0.27000000000000313</v>
      </c>
    </row>
    <row r="121" spans="1:3" x14ac:dyDescent="0.2">
      <c r="A121" s="10">
        <v>40026</v>
      </c>
      <c r="B121" s="18">
        <f>IF(VLOOKUP(A121,'DB Country PMI'!$A:$AZ,MATCH($A$1,'DB Country PMI'!$A$1:$AZ$1,),)=0,#N/A,VLOOKUP(A121,'DB Country PMI'!$A:$AZ,MATCH($A$1,'DB Country PMI'!$A$1:$AZ$1,),))</f>
        <v>40.659999999999997</v>
      </c>
      <c r="C121" s="24">
        <f>Table1346[[#This Row],[PMI]]-B120</f>
        <v>1.2299999999999969</v>
      </c>
    </row>
    <row r="122" spans="1:3" x14ac:dyDescent="0.2">
      <c r="A122" s="10">
        <v>40057</v>
      </c>
      <c r="B122" s="18">
        <f>IF(VLOOKUP(A122,'DB Country PMI'!$A:$AZ,MATCH($A$1,'DB Country PMI'!$A$1:$AZ$1,),)=0,#N/A,VLOOKUP(A122,'DB Country PMI'!$A:$AZ,MATCH($A$1,'DB Country PMI'!$A$1:$AZ$1,),))</f>
        <v>47.46</v>
      </c>
      <c r="C122" s="24">
        <f>Table1346[[#This Row],[PMI]]-B121</f>
        <v>6.8000000000000043</v>
      </c>
    </row>
    <row r="123" spans="1:3" x14ac:dyDescent="0.2">
      <c r="A123" s="10">
        <v>40087</v>
      </c>
      <c r="B123" s="18">
        <f>IF(VLOOKUP(A123,'DB Country PMI'!$A:$AZ,MATCH($A$1,'DB Country PMI'!$A$1:$AZ$1,),)=0,#N/A,VLOOKUP(A123,'DB Country PMI'!$A:$AZ,MATCH($A$1,'DB Country PMI'!$A$1:$AZ$1,),))</f>
        <v>47.74</v>
      </c>
      <c r="C123" s="24">
        <f>Table1346[[#This Row],[PMI]]-B122</f>
        <v>0.28000000000000114</v>
      </c>
    </row>
    <row r="124" spans="1:3" x14ac:dyDescent="0.2">
      <c r="A124" s="10">
        <v>40118</v>
      </c>
      <c r="B124" s="18">
        <f>IF(VLOOKUP(A124,'DB Country PMI'!$A:$AZ,MATCH($A$1,'DB Country PMI'!$A$1:$AZ$1,),)=0,#N/A,VLOOKUP(A124,'DB Country PMI'!$A:$AZ,MATCH($A$1,'DB Country PMI'!$A$1:$AZ$1,),))</f>
        <v>49.48</v>
      </c>
      <c r="C124" s="24">
        <f>Table1346[[#This Row],[PMI]]-B123</f>
        <v>1.7399999999999949</v>
      </c>
    </row>
    <row r="125" spans="1:3" x14ac:dyDescent="0.2">
      <c r="A125" s="10">
        <v>40148</v>
      </c>
      <c r="B125" s="18">
        <f>IF(VLOOKUP(A125,'DB Country PMI'!$A:$AZ,MATCH($A$1,'DB Country PMI'!$A$1:$AZ$1,),)=0,#N/A,VLOOKUP(A125,'DB Country PMI'!$A:$AZ,MATCH($A$1,'DB Country PMI'!$A$1:$AZ$1,),))</f>
        <v>52.58</v>
      </c>
      <c r="C125" s="24">
        <f>Table1346[[#This Row],[PMI]]-B124</f>
        <v>3.1000000000000014</v>
      </c>
    </row>
    <row r="126" spans="1:3" x14ac:dyDescent="0.2">
      <c r="A126" s="10">
        <v>40179</v>
      </c>
      <c r="B126" s="18">
        <f>IF(VLOOKUP(A126,'DB Country PMI'!$A:$AZ,MATCH($A$1,'DB Country PMI'!$A$1:$AZ$1,),)=0,#N/A,VLOOKUP(A126,'DB Country PMI'!$A:$AZ,MATCH($A$1,'DB Country PMI'!$A$1:$AZ$1,),))</f>
        <v>52.14</v>
      </c>
      <c r="C126" s="24">
        <f>Table1346[[#This Row],[PMI]]-B125</f>
        <v>-0.43999999999999773</v>
      </c>
    </row>
    <row r="127" spans="1:3" x14ac:dyDescent="0.2">
      <c r="A127" s="10">
        <v>40210</v>
      </c>
      <c r="B127" s="18">
        <f>IF(VLOOKUP(A127,'DB Country PMI'!$A:$AZ,MATCH($A$1,'DB Country PMI'!$A$1:$AZ$1,),)=0,#N/A,VLOOKUP(A127,'DB Country PMI'!$A:$AZ,MATCH($A$1,'DB Country PMI'!$A$1:$AZ$1,),))</f>
        <v>55.72</v>
      </c>
      <c r="C127" s="24">
        <f>Table1346[[#This Row],[PMI]]-B126</f>
        <v>3.5799999999999983</v>
      </c>
    </row>
    <row r="128" spans="1:3" x14ac:dyDescent="0.2">
      <c r="A128" s="10">
        <v>40238</v>
      </c>
      <c r="B128" s="18">
        <f>IF(VLOOKUP(A128,'DB Country PMI'!$A:$AZ,MATCH($A$1,'DB Country PMI'!$A$1:$AZ$1,),)=0,#N/A,VLOOKUP(A128,'DB Country PMI'!$A:$AZ,MATCH($A$1,'DB Country PMI'!$A$1:$AZ$1,),))</f>
        <v>53.65</v>
      </c>
      <c r="C128" s="24">
        <f>Table1346[[#This Row],[PMI]]-B127</f>
        <v>-2.0700000000000003</v>
      </c>
    </row>
    <row r="129" spans="1:3" x14ac:dyDescent="0.2">
      <c r="A129" s="10">
        <v>40269</v>
      </c>
      <c r="B129" s="18">
        <f>IF(VLOOKUP(A129,'DB Country PMI'!$A:$AZ,MATCH($A$1,'DB Country PMI'!$A$1:$AZ$1,),)=0,#N/A,VLOOKUP(A129,'DB Country PMI'!$A:$AZ,MATCH($A$1,'DB Country PMI'!$A$1:$AZ$1,),))</f>
        <v>53.24</v>
      </c>
      <c r="C129" s="24">
        <f>Table1346[[#This Row],[PMI]]-B128</f>
        <v>-0.40999999999999659</v>
      </c>
    </row>
    <row r="130" spans="1:3" x14ac:dyDescent="0.2">
      <c r="A130" s="10">
        <v>40299</v>
      </c>
      <c r="B130" s="18">
        <f>IF(VLOOKUP(A130,'DB Country PMI'!$A:$AZ,MATCH($A$1,'DB Country PMI'!$A$1:$AZ$1,),)=0,#N/A,VLOOKUP(A130,'DB Country PMI'!$A:$AZ,MATCH($A$1,'DB Country PMI'!$A$1:$AZ$1,),))</f>
        <v>51.19</v>
      </c>
      <c r="C130" s="24">
        <f>Table1346[[#This Row],[PMI]]-B129</f>
        <v>-2.0500000000000043</v>
      </c>
    </row>
    <row r="131" spans="1:3" x14ac:dyDescent="0.2">
      <c r="A131" s="10">
        <v>40330</v>
      </c>
      <c r="B131" s="18">
        <f>IF(VLOOKUP(A131,'DB Country PMI'!$A:$AZ,MATCH($A$1,'DB Country PMI'!$A$1:$AZ$1,),)=0,#N/A,VLOOKUP(A131,'DB Country PMI'!$A:$AZ,MATCH($A$1,'DB Country PMI'!$A$1:$AZ$1,),))</f>
        <v>50.84</v>
      </c>
      <c r="C131" s="24">
        <f>Table1346[[#This Row],[PMI]]-B130</f>
        <v>-0.34999999999999432</v>
      </c>
    </row>
    <row r="132" spans="1:3" x14ac:dyDescent="0.2">
      <c r="A132" s="10">
        <v>40360</v>
      </c>
      <c r="B132" s="18">
        <f>IF(VLOOKUP(A132,'DB Country PMI'!$A:$AZ,MATCH($A$1,'DB Country PMI'!$A$1:$AZ$1,),)=0,#N/A,VLOOKUP(A132,'DB Country PMI'!$A:$AZ,MATCH($A$1,'DB Country PMI'!$A$1:$AZ$1,),))</f>
        <v>52.65</v>
      </c>
      <c r="C132" s="24">
        <f>Table1346[[#This Row],[PMI]]-B131</f>
        <v>1.8099999999999952</v>
      </c>
    </row>
    <row r="133" spans="1:3" x14ac:dyDescent="0.2">
      <c r="A133" s="10">
        <v>40391</v>
      </c>
      <c r="B133" s="18">
        <f>IF(VLOOKUP(A133,'DB Country PMI'!$A:$AZ,MATCH($A$1,'DB Country PMI'!$A$1:$AZ$1,),)=0,#N/A,VLOOKUP(A133,'DB Country PMI'!$A:$AZ,MATCH($A$1,'DB Country PMI'!$A$1:$AZ$1,),))</f>
        <v>51.95</v>
      </c>
      <c r="C133" s="24">
        <f>Table1346[[#This Row],[PMI]]-B132</f>
        <v>-0.69999999999999574</v>
      </c>
    </row>
    <row r="134" spans="1:3" x14ac:dyDescent="0.2">
      <c r="A134" s="10">
        <v>40422</v>
      </c>
      <c r="B134" s="18">
        <f>IF(VLOOKUP(A134,'DB Country PMI'!$A:$AZ,MATCH($A$1,'DB Country PMI'!$A$1:$AZ$1,),)=0,#N/A,VLOOKUP(A134,'DB Country PMI'!$A:$AZ,MATCH($A$1,'DB Country PMI'!$A$1:$AZ$1,),))</f>
        <v>50.14</v>
      </c>
      <c r="C134" s="24">
        <f>Table1346[[#This Row],[PMI]]-B133</f>
        <v>-1.8100000000000023</v>
      </c>
    </row>
    <row r="135" spans="1:3" x14ac:dyDescent="0.2">
      <c r="A135" s="10">
        <v>40452</v>
      </c>
      <c r="B135" s="18">
        <f>IF(VLOOKUP(A135,'DB Country PMI'!$A:$AZ,MATCH($A$1,'DB Country PMI'!$A$1:$AZ$1,),)=0,#N/A,VLOOKUP(A135,'DB Country PMI'!$A:$AZ,MATCH($A$1,'DB Country PMI'!$A$1:$AZ$1,),))</f>
        <v>51.35</v>
      </c>
      <c r="C135" s="24">
        <f>Table1346[[#This Row],[PMI]]-B134</f>
        <v>1.2100000000000009</v>
      </c>
    </row>
    <row r="136" spans="1:3" x14ac:dyDescent="0.2">
      <c r="A136" s="10">
        <v>40483</v>
      </c>
      <c r="B136" s="18">
        <f>IF(VLOOKUP(A136,'DB Country PMI'!$A:$AZ,MATCH($A$1,'DB Country PMI'!$A$1:$AZ$1,),)=0,#N/A,VLOOKUP(A136,'DB Country PMI'!$A:$AZ,MATCH($A$1,'DB Country PMI'!$A$1:$AZ$1,),))</f>
        <v>52.54</v>
      </c>
      <c r="C136" s="24">
        <f>Table1346[[#This Row],[PMI]]-B135</f>
        <v>1.1899999999999977</v>
      </c>
    </row>
    <row r="137" spans="1:3" x14ac:dyDescent="0.2">
      <c r="A137" s="10">
        <v>40513</v>
      </c>
      <c r="B137" s="18">
        <f>IF(VLOOKUP(A137,'DB Country PMI'!$A:$AZ,MATCH($A$1,'DB Country PMI'!$A$1:$AZ$1,),)=0,#N/A,VLOOKUP(A137,'DB Country PMI'!$A:$AZ,MATCH($A$1,'DB Country PMI'!$A$1:$AZ$1,),))</f>
        <v>52.81</v>
      </c>
      <c r="C137" s="24">
        <f>Table1346[[#This Row],[PMI]]-B136</f>
        <v>0.27000000000000313</v>
      </c>
    </row>
    <row r="138" spans="1:3" x14ac:dyDescent="0.2">
      <c r="A138" s="10">
        <v>40544</v>
      </c>
      <c r="B138" s="18">
        <f>IF(VLOOKUP(A138,'DB Country PMI'!$A:$AZ,MATCH($A$1,'DB Country PMI'!$A$1:$AZ$1,),)=0,#N/A,VLOOKUP(A138,'DB Country PMI'!$A:$AZ,MATCH($A$1,'DB Country PMI'!$A$1:$AZ$1,),))</f>
        <v>53.56</v>
      </c>
      <c r="C138" s="24">
        <f>Table1346[[#This Row],[PMI]]-B137</f>
        <v>0.75</v>
      </c>
    </row>
    <row r="139" spans="1:3" x14ac:dyDescent="0.2">
      <c r="A139" s="10">
        <v>40575</v>
      </c>
      <c r="B139" s="18">
        <f>IF(VLOOKUP(A139,'DB Country PMI'!$A:$AZ,MATCH($A$1,'DB Country PMI'!$A$1:$AZ$1,),)=0,#N/A,VLOOKUP(A139,'DB Country PMI'!$A:$AZ,MATCH($A$1,'DB Country PMI'!$A$1:$AZ$1,),))</f>
        <v>51.49</v>
      </c>
      <c r="C139" s="24">
        <f>Table1346[[#This Row],[PMI]]-B138</f>
        <v>-2.0700000000000003</v>
      </c>
    </row>
    <row r="140" spans="1:3" x14ac:dyDescent="0.2">
      <c r="A140" s="10">
        <v>40603</v>
      </c>
      <c r="B140" s="18">
        <f>IF(VLOOKUP(A140,'DB Country PMI'!$A:$AZ,MATCH($A$1,'DB Country PMI'!$A$1:$AZ$1,),)=0,#N/A,VLOOKUP(A140,'DB Country PMI'!$A:$AZ,MATCH($A$1,'DB Country PMI'!$A$1:$AZ$1,),))</f>
        <v>54.71</v>
      </c>
      <c r="C140" s="24">
        <f>Table1346[[#This Row],[PMI]]-B139</f>
        <v>3.2199999999999989</v>
      </c>
    </row>
    <row r="141" spans="1:3" x14ac:dyDescent="0.2">
      <c r="A141" s="10">
        <v>40634</v>
      </c>
      <c r="B141" s="18">
        <f>IF(VLOOKUP(A141,'DB Country PMI'!$A:$AZ,MATCH($A$1,'DB Country PMI'!$A$1:$AZ$1,),)=0,#N/A,VLOOKUP(A141,'DB Country PMI'!$A:$AZ,MATCH($A$1,'DB Country PMI'!$A$1:$AZ$1,),))</f>
        <v>54.16</v>
      </c>
      <c r="C141" s="24">
        <f>Table1346[[#This Row],[PMI]]-B140</f>
        <v>-0.55000000000000426</v>
      </c>
    </row>
    <row r="142" spans="1:3" x14ac:dyDescent="0.2">
      <c r="A142" s="10">
        <v>40664</v>
      </c>
      <c r="B142" s="18">
        <f>IF(VLOOKUP(A142,'DB Country PMI'!$A:$AZ,MATCH($A$1,'DB Country PMI'!$A$1:$AZ$1,),)=0,#N/A,VLOOKUP(A142,'DB Country PMI'!$A:$AZ,MATCH($A$1,'DB Country PMI'!$A$1:$AZ$1,),))</f>
        <v>54.1</v>
      </c>
      <c r="C142" s="24">
        <f>Table1346[[#This Row],[PMI]]-B141</f>
        <v>-5.9999999999995168E-2</v>
      </c>
    </row>
    <row r="143" spans="1:3" x14ac:dyDescent="0.2">
      <c r="A143" s="10">
        <v>40695</v>
      </c>
      <c r="B143" s="18">
        <f>IF(VLOOKUP(A143,'DB Country PMI'!$A:$AZ,MATCH($A$1,'DB Country PMI'!$A$1:$AZ$1,),)=0,#N/A,VLOOKUP(A143,'DB Country PMI'!$A:$AZ,MATCH($A$1,'DB Country PMI'!$A$1:$AZ$1,),))</f>
        <v>55.16</v>
      </c>
      <c r="C143" s="24">
        <f>Table1346[[#This Row],[PMI]]-B142</f>
        <v>1.0599999999999952</v>
      </c>
    </row>
    <row r="144" spans="1:3" x14ac:dyDescent="0.2">
      <c r="A144" s="10">
        <v>40725</v>
      </c>
      <c r="B144" s="18">
        <f>IF(VLOOKUP(A144,'DB Country PMI'!$A:$AZ,MATCH($A$1,'DB Country PMI'!$A$1:$AZ$1,),)=0,#N/A,VLOOKUP(A144,'DB Country PMI'!$A:$AZ,MATCH($A$1,'DB Country PMI'!$A$1:$AZ$1,),))</f>
        <v>46.16</v>
      </c>
      <c r="C144" s="24">
        <f>Table1346[[#This Row],[PMI]]-B143</f>
        <v>-9</v>
      </c>
    </row>
    <row r="145" spans="1:3" x14ac:dyDescent="0.2">
      <c r="A145" s="10">
        <v>40756</v>
      </c>
      <c r="B145" s="18">
        <f>IF(VLOOKUP(A145,'DB Country PMI'!$A:$AZ,MATCH($A$1,'DB Country PMI'!$A$1:$AZ$1,),)=0,#N/A,VLOOKUP(A145,'DB Country PMI'!$A:$AZ,MATCH($A$1,'DB Country PMI'!$A$1:$AZ$1,),))</f>
        <v>47.73</v>
      </c>
      <c r="C145" s="24">
        <f>Table1346[[#This Row],[PMI]]-B144</f>
        <v>1.5700000000000003</v>
      </c>
    </row>
    <row r="146" spans="1:3" x14ac:dyDescent="0.2">
      <c r="A146" s="10">
        <v>40787</v>
      </c>
      <c r="B146" s="18">
        <f>IF(VLOOKUP(A146,'DB Country PMI'!$A:$AZ,MATCH($A$1,'DB Country PMI'!$A$1:$AZ$1,),)=0,#N/A,VLOOKUP(A146,'DB Country PMI'!$A:$AZ,MATCH($A$1,'DB Country PMI'!$A$1:$AZ$1,),))</f>
        <v>52.45</v>
      </c>
      <c r="C146" s="24">
        <f>Table1346[[#This Row],[PMI]]-B145</f>
        <v>4.720000000000006</v>
      </c>
    </row>
    <row r="147" spans="1:3" x14ac:dyDescent="0.2">
      <c r="A147" s="10">
        <v>40817</v>
      </c>
      <c r="B147" s="18">
        <f>IF(VLOOKUP(A147,'DB Country PMI'!$A:$AZ,MATCH($A$1,'DB Country PMI'!$A$1:$AZ$1,),)=0,#N/A,VLOOKUP(A147,'DB Country PMI'!$A:$AZ,MATCH($A$1,'DB Country PMI'!$A$1:$AZ$1,),))</f>
        <v>52.18</v>
      </c>
      <c r="C147" s="24">
        <f>Table1346[[#This Row],[PMI]]-B146</f>
        <v>-0.27000000000000313</v>
      </c>
    </row>
    <row r="148" spans="1:3" x14ac:dyDescent="0.2">
      <c r="A148" s="10">
        <v>40848</v>
      </c>
      <c r="B148" s="18">
        <f>IF(VLOOKUP(A148,'DB Country PMI'!$A:$AZ,MATCH($A$1,'DB Country PMI'!$A$1:$AZ$1,),)=0,#N/A,VLOOKUP(A148,'DB Country PMI'!$A:$AZ,MATCH($A$1,'DB Country PMI'!$A$1:$AZ$1,),))</f>
        <v>51.66</v>
      </c>
      <c r="C148" s="24">
        <f>Table1346[[#This Row],[PMI]]-B147</f>
        <v>-0.52000000000000313</v>
      </c>
    </row>
    <row r="149" spans="1:3" x14ac:dyDescent="0.2">
      <c r="A149" s="10">
        <v>40878</v>
      </c>
      <c r="B149" s="18">
        <f>IF(VLOOKUP(A149,'DB Country PMI'!$A:$AZ,MATCH($A$1,'DB Country PMI'!$A$1:$AZ$1,),)=0,#N/A,VLOOKUP(A149,'DB Country PMI'!$A:$AZ,MATCH($A$1,'DB Country PMI'!$A$1:$AZ$1,),))</f>
        <v>51.4</v>
      </c>
      <c r="C149" s="24">
        <f>Table1346[[#This Row],[PMI]]-B148</f>
        <v>-0.25999999999999801</v>
      </c>
    </row>
    <row r="150" spans="1:3" x14ac:dyDescent="0.2">
      <c r="A150" s="10">
        <v>40909</v>
      </c>
      <c r="B150" s="18">
        <f>IF(VLOOKUP(A150,'DB Country PMI'!$A:$AZ,MATCH($A$1,'DB Country PMI'!$A$1:$AZ$1,),)=0,#N/A,VLOOKUP(A150,'DB Country PMI'!$A:$AZ,MATCH($A$1,'DB Country PMI'!$A$1:$AZ$1,),))</f>
        <v>52.94</v>
      </c>
      <c r="C150" s="24">
        <f>Table1346[[#This Row],[PMI]]-B149</f>
        <v>1.5399999999999991</v>
      </c>
    </row>
    <row r="151" spans="1:3" x14ac:dyDescent="0.2">
      <c r="A151" s="10">
        <v>40940</v>
      </c>
      <c r="B151" s="18">
        <f>IF(VLOOKUP(A151,'DB Country PMI'!$A:$AZ,MATCH($A$1,'DB Country PMI'!$A$1:$AZ$1,),)=0,#N/A,VLOOKUP(A151,'DB Country PMI'!$A:$AZ,MATCH($A$1,'DB Country PMI'!$A$1:$AZ$1,),))</f>
        <v>53.51</v>
      </c>
      <c r="C151" s="24">
        <f>Table1346[[#This Row],[PMI]]-B150</f>
        <v>0.57000000000000028</v>
      </c>
    </row>
    <row r="152" spans="1:3" x14ac:dyDescent="0.2">
      <c r="A152" s="10">
        <v>40969</v>
      </c>
      <c r="B152" s="18">
        <f>IF(VLOOKUP(A152,'DB Country PMI'!$A:$AZ,MATCH($A$1,'DB Country PMI'!$A$1:$AZ$1,),)=0,#N/A,VLOOKUP(A152,'DB Country PMI'!$A:$AZ,MATCH($A$1,'DB Country PMI'!$A$1:$AZ$1,),))</f>
        <v>53.51</v>
      </c>
      <c r="C152" s="24">
        <f>Table1346[[#This Row],[PMI]]-B151</f>
        <v>0</v>
      </c>
    </row>
    <row r="153" spans="1:3" x14ac:dyDescent="0.2">
      <c r="A153" s="10">
        <v>41000</v>
      </c>
      <c r="B153" s="18">
        <f>IF(VLOOKUP(A153,'DB Country PMI'!$A:$AZ,MATCH($A$1,'DB Country PMI'!$A$1:$AZ$1,),)=0,#N/A,VLOOKUP(A153,'DB Country PMI'!$A:$AZ,MATCH($A$1,'DB Country PMI'!$A$1:$AZ$1,),))</f>
        <v>52.19</v>
      </c>
      <c r="C153" s="24">
        <f>Table1346[[#This Row],[PMI]]-B152</f>
        <v>-1.3200000000000003</v>
      </c>
    </row>
    <row r="154" spans="1:3" x14ac:dyDescent="0.2">
      <c r="A154" s="10">
        <v>41030</v>
      </c>
      <c r="B154" s="18">
        <f>IF(VLOOKUP(A154,'DB Country PMI'!$A:$AZ,MATCH($A$1,'DB Country PMI'!$A$1:$AZ$1,),)=0,#N/A,VLOOKUP(A154,'DB Country PMI'!$A:$AZ,MATCH($A$1,'DB Country PMI'!$A$1:$AZ$1,),))</f>
        <v>52.57</v>
      </c>
      <c r="C154" s="24">
        <f>Table1346[[#This Row],[PMI]]-B153</f>
        <v>0.38000000000000256</v>
      </c>
    </row>
    <row r="155" spans="1:3" x14ac:dyDescent="0.2">
      <c r="A155" s="10">
        <v>41061</v>
      </c>
      <c r="B155" s="18">
        <f>IF(VLOOKUP(A155,'DB Country PMI'!$A:$AZ,MATCH($A$1,'DB Country PMI'!$A$1:$AZ$1,),)=0,#N/A,VLOOKUP(A155,'DB Country PMI'!$A:$AZ,MATCH($A$1,'DB Country PMI'!$A$1:$AZ$1,),))</f>
        <v>49.09</v>
      </c>
      <c r="C155" s="24">
        <f>Table1346[[#This Row],[PMI]]-B154</f>
        <v>-3.4799999999999969</v>
      </c>
    </row>
    <row r="156" spans="1:3" x14ac:dyDescent="0.2">
      <c r="A156" s="10">
        <v>41091</v>
      </c>
      <c r="B156" s="18">
        <f>IF(VLOOKUP(A156,'DB Country PMI'!$A:$AZ,MATCH($A$1,'DB Country PMI'!$A$1:$AZ$1,),)=0,#N/A,VLOOKUP(A156,'DB Country PMI'!$A:$AZ,MATCH($A$1,'DB Country PMI'!$A$1:$AZ$1,),))</f>
        <v>51.13</v>
      </c>
      <c r="C156" s="24">
        <f>Table1346[[#This Row],[PMI]]-B155</f>
        <v>2.0399999999999991</v>
      </c>
    </row>
    <row r="157" spans="1:3" x14ac:dyDescent="0.2">
      <c r="A157" s="10">
        <v>41122</v>
      </c>
      <c r="B157" s="18">
        <f>IF(VLOOKUP(A157,'DB Country PMI'!$A:$AZ,MATCH($A$1,'DB Country PMI'!$A$1:$AZ$1,),)=0,#N/A,VLOOKUP(A157,'DB Country PMI'!$A:$AZ,MATCH($A$1,'DB Country PMI'!$A$1:$AZ$1,),))</f>
        <v>49.56</v>
      </c>
      <c r="C157" s="24">
        <f>Table1346[[#This Row],[PMI]]-B156</f>
        <v>-1.5700000000000003</v>
      </c>
    </row>
    <row r="158" spans="1:3" x14ac:dyDescent="0.2">
      <c r="A158" s="10">
        <v>41153</v>
      </c>
      <c r="B158" s="18">
        <f>IF(VLOOKUP(A158,'DB Country PMI'!$A:$AZ,MATCH($A$1,'DB Country PMI'!$A$1:$AZ$1,),)=0,#N/A,VLOOKUP(A158,'DB Country PMI'!$A:$AZ,MATCH($A$1,'DB Country PMI'!$A$1:$AZ$1,),))</f>
        <v>48.42</v>
      </c>
      <c r="C158" s="24">
        <f>Table1346[[#This Row],[PMI]]-B157</f>
        <v>-1.1400000000000006</v>
      </c>
    </row>
    <row r="159" spans="1:3" x14ac:dyDescent="0.2">
      <c r="A159" s="10">
        <v>41183</v>
      </c>
      <c r="B159" s="18">
        <f>IF(VLOOKUP(A159,'DB Country PMI'!$A:$AZ,MATCH($A$1,'DB Country PMI'!$A$1:$AZ$1,),)=0,#N/A,VLOOKUP(A159,'DB Country PMI'!$A:$AZ,MATCH($A$1,'DB Country PMI'!$A$1:$AZ$1,),))</f>
        <v>48.23</v>
      </c>
      <c r="C159" s="24">
        <f>Table1346[[#This Row],[PMI]]-B158</f>
        <v>-0.19000000000000483</v>
      </c>
    </row>
    <row r="160" spans="1:3" x14ac:dyDescent="0.2">
      <c r="A160" s="10">
        <v>41214</v>
      </c>
      <c r="B160" s="18">
        <f>IF(VLOOKUP(A160,'DB Country PMI'!$A:$AZ,MATCH($A$1,'DB Country PMI'!$A$1:$AZ$1,),)=0,#N/A,VLOOKUP(A160,'DB Country PMI'!$A:$AZ,MATCH($A$1,'DB Country PMI'!$A$1:$AZ$1,),))</f>
        <v>49.15</v>
      </c>
      <c r="C160" s="24">
        <f>Table1346[[#This Row],[PMI]]-B159</f>
        <v>0.92000000000000171</v>
      </c>
    </row>
    <row r="161" spans="1:3" x14ac:dyDescent="0.2">
      <c r="A161" s="10">
        <v>41244</v>
      </c>
      <c r="B161" s="18">
        <f>IF(VLOOKUP(A161,'DB Country PMI'!$A:$AZ,MATCH($A$1,'DB Country PMI'!$A$1:$AZ$1,),)=0,#N/A,VLOOKUP(A161,'DB Country PMI'!$A:$AZ,MATCH($A$1,'DB Country PMI'!$A$1:$AZ$1,),))</f>
        <v>48.92</v>
      </c>
      <c r="C161" s="24">
        <f>Table1346[[#This Row],[PMI]]-B160</f>
        <v>-0.22999999999999687</v>
      </c>
    </row>
    <row r="162" spans="1:3" x14ac:dyDescent="0.2">
      <c r="A162" s="10">
        <v>41275</v>
      </c>
      <c r="B162" s="18">
        <f>IF(VLOOKUP(A162,'DB Country PMI'!$A:$AZ,MATCH($A$1,'DB Country PMI'!$A$1:$AZ$1,),)=0,#N/A,VLOOKUP(A162,'DB Country PMI'!$A:$AZ,MATCH($A$1,'DB Country PMI'!$A$1:$AZ$1,),))</f>
        <v>49.08</v>
      </c>
      <c r="C162" s="24">
        <f>Table1346[[#This Row],[PMI]]-B161</f>
        <v>0.15999999999999659</v>
      </c>
    </row>
    <row r="163" spans="1:3" x14ac:dyDescent="0.2">
      <c r="A163" s="10">
        <v>41306</v>
      </c>
      <c r="B163" s="18">
        <f>IF(VLOOKUP(A163,'DB Country PMI'!$A:$AZ,MATCH($A$1,'DB Country PMI'!$A$1:$AZ$1,),)=0,#N/A,VLOOKUP(A163,'DB Country PMI'!$A:$AZ,MATCH($A$1,'DB Country PMI'!$A$1:$AZ$1,),))</f>
        <v>51.42</v>
      </c>
      <c r="C163" s="24">
        <f>Table1346[[#This Row],[PMI]]-B162</f>
        <v>2.3400000000000034</v>
      </c>
    </row>
    <row r="164" spans="1:3" x14ac:dyDescent="0.2">
      <c r="A164" s="10">
        <v>41334</v>
      </c>
      <c r="B164" s="18">
        <f>IF(VLOOKUP(A164,'DB Country PMI'!$A:$AZ,MATCH($A$1,'DB Country PMI'!$A$1:$AZ$1,),)=0,#N/A,VLOOKUP(A164,'DB Country PMI'!$A:$AZ,MATCH($A$1,'DB Country PMI'!$A$1:$AZ$1,),))</f>
        <v>49.04</v>
      </c>
      <c r="C164" s="24">
        <f>Table1346[[#This Row],[PMI]]-B163</f>
        <v>-2.3800000000000026</v>
      </c>
    </row>
    <row r="165" spans="1:3" x14ac:dyDescent="0.2">
      <c r="A165" s="10">
        <v>41365</v>
      </c>
      <c r="B165" s="18">
        <f>IF(VLOOKUP(A165,'DB Country PMI'!$A:$AZ,MATCH($A$1,'DB Country PMI'!$A$1:$AZ$1,),)=0,#N/A,VLOOKUP(A165,'DB Country PMI'!$A:$AZ,MATCH($A$1,'DB Country PMI'!$A$1:$AZ$1,),))</f>
        <v>49.8</v>
      </c>
      <c r="C165" s="24">
        <f>Table1346[[#This Row],[PMI]]-B164</f>
        <v>0.75999999999999801</v>
      </c>
    </row>
    <row r="166" spans="1:3" x14ac:dyDescent="0.2">
      <c r="A166" s="10">
        <v>41395</v>
      </c>
      <c r="B166" s="18">
        <f>IF(VLOOKUP(A166,'DB Country PMI'!$A:$AZ,MATCH($A$1,'DB Country PMI'!$A$1:$AZ$1,),)=0,#N/A,VLOOKUP(A166,'DB Country PMI'!$A:$AZ,MATCH($A$1,'DB Country PMI'!$A$1:$AZ$1,),))</f>
        <v>50.21</v>
      </c>
      <c r="C166" s="24">
        <f>Table1346[[#This Row],[PMI]]-B165</f>
        <v>0.41000000000000369</v>
      </c>
    </row>
    <row r="167" spans="1:3" x14ac:dyDescent="0.2">
      <c r="A167" s="10">
        <v>41426</v>
      </c>
      <c r="B167" s="18">
        <f>IF(VLOOKUP(A167,'DB Country PMI'!$A:$AZ,MATCH($A$1,'DB Country PMI'!$A$1:$AZ$1,),)=0,#N/A,VLOOKUP(A167,'DB Country PMI'!$A:$AZ,MATCH($A$1,'DB Country PMI'!$A$1:$AZ$1,),))</f>
        <v>51.96</v>
      </c>
      <c r="C167" s="24">
        <f>Table1346[[#This Row],[PMI]]-B166</f>
        <v>1.75</v>
      </c>
    </row>
    <row r="168" spans="1:3" x14ac:dyDescent="0.2">
      <c r="A168" s="10">
        <v>41456</v>
      </c>
      <c r="B168" s="18">
        <f>IF(VLOOKUP(A168,'DB Country PMI'!$A:$AZ,MATCH($A$1,'DB Country PMI'!$A$1:$AZ$1,),)=0,#N/A,VLOOKUP(A168,'DB Country PMI'!$A:$AZ,MATCH($A$1,'DB Country PMI'!$A$1:$AZ$1,),))</f>
        <v>52.15</v>
      </c>
      <c r="C168" s="24">
        <f>Table1346[[#This Row],[PMI]]-B167</f>
        <v>0.18999999999999773</v>
      </c>
    </row>
    <row r="169" spans="1:3" x14ac:dyDescent="0.2">
      <c r="A169" s="10">
        <v>41487</v>
      </c>
      <c r="B169" s="18">
        <f>IF(VLOOKUP(A169,'DB Country PMI'!$A:$AZ,MATCH($A$1,'DB Country PMI'!$A$1:$AZ$1,),)=0,#N/A,VLOOKUP(A169,'DB Country PMI'!$A:$AZ,MATCH($A$1,'DB Country PMI'!$A$1:$AZ$1,),))</f>
        <v>55.26</v>
      </c>
      <c r="C169" s="24">
        <f>Table1346[[#This Row],[PMI]]-B168</f>
        <v>3.1099999999999994</v>
      </c>
    </row>
    <row r="170" spans="1:3" x14ac:dyDescent="0.2">
      <c r="A170" s="10">
        <v>41518</v>
      </c>
      <c r="B170" s="18">
        <f>IF(VLOOKUP(A170,'DB Country PMI'!$A:$AZ,MATCH($A$1,'DB Country PMI'!$A$1:$AZ$1,),)=0,#N/A,VLOOKUP(A170,'DB Country PMI'!$A:$AZ,MATCH($A$1,'DB Country PMI'!$A$1:$AZ$1,),))</f>
        <v>49.43</v>
      </c>
      <c r="C170" s="24">
        <f>Table1346[[#This Row],[PMI]]-B169</f>
        <v>-5.8299999999999983</v>
      </c>
    </row>
    <row r="171" spans="1:3" x14ac:dyDescent="0.2">
      <c r="A171" s="10">
        <v>41548</v>
      </c>
      <c r="B171" s="18">
        <f>IF(VLOOKUP(A171,'DB Country PMI'!$A:$AZ,MATCH($A$1,'DB Country PMI'!$A$1:$AZ$1,),)=0,#N/A,VLOOKUP(A171,'DB Country PMI'!$A:$AZ,MATCH($A$1,'DB Country PMI'!$A$1:$AZ$1,),))</f>
        <v>51.43</v>
      </c>
      <c r="C171" s="24">
        <f>Table1346[[#This Row],[PMI]]-B170</f>
        <v>2</v>
      </c>
    </row>
    <row r="172" spans="1:3" x14ac:dyDescent="0.2">
      <c r="A172" s="10">
        <v>41579</v>
      </c>
      <c r="B172" s="18">
        <f>IF(VLOOKUP(A172,'DB Country PMI'!$A:$AZ,MATCH($A$1,'DB Country PMI'!$A$1:$AZ$1,),)=0,#N/A,VLOOKUP(A172,'DB Country PMI'!$A:$AZ,MATCH($A$1,'DB Country PMI'!$A$1:$AZ$1,),))</f>
        <v>52</v>
      </c>
      <c r="C172" s="24">
        <f>Table1346[[#This Row],[PMI]]-B171</f>
        <v>0.57000000000000028</v>
      </c>
    </row>
    <row r="173" spans="1:3" x14ac:dyDescent="0.2">
      <c r="A173" s="10">
        <v>41609</v>
      </c>
      <c r="B173" s="18">
        <f>IF(VLOOKUP(A173,'DB Country PMI'!$A:$AZ,MATCH($A$1,'DB Country PMI'!$A$1:$AZ$1,),)=0,#N/A,VLOOKUP(A173,'DB Country PMI'!$A:$AZ,MATCH($A$1,'DB Country PMI'!$A$1:$AZ$1,),))</f>
        <v>51</v>
      </c>
      <c r="C173" s="24">
        <f>Table1346[[#This Row],[PMI]]-B172</f>
        <v>-1</v>
      </c>
    </row>
    <row r="174" spans="1:3" x14ac:dyDescent="0.2">
      <c r="A174" s="10">
        <v>41640</v>
      </c>
      <c r="B174" s="18">
        <f>IF(VLOOKUP(A174,'DB Country PMI'!$A:$AZ,MATCH($A$1,'DB Country PMI'!$A$1:$AZ$1,),)=0,#N/A,VLOOKUP(A174,'DB Country PMI'!$A:$AZ,MATCH($A$1,'DB Country PMI'!$A$1:$AZ$1,),))</f>
        <v>49.96</v>
      </c>
      <c r="C174" s="24">
        <f>Table1346[[#This Row],[PMI]]-B173</f>
        <v>-1.0399999999999991</v>
      </c>
    </row>
    <row r="175" spans="1:3" x14ac:dyDescent="0.2">
      <c r="A175" s="10">
        <v>41671</v>
      </c>
      <c r="B175" s="18">
        <f>IF(VLOOKUP(A175,'DB Country PMI'!$A:$AZ,MATCH($A$1,'DB Country PMI'!$A$1:$AZ$1,),)=0,#N/A,VLOOKUP(A175,'DB Country PMI'!$A:$AZ,MATCH($A$1,'DB Country PMI'!$A$1:$AZ$1,),))</f>
        <v>50.69</v>
      </c>
      <c r="C175" s="24">
        <f>Table1346[[#This Row],[PMI]]-B174</f>
        <v>0.72999999999999687</v>
      </c>
    </row>
    <row r="176" spans="1:3" x14ac:dyDescent="0.2">
      <c r="A176" s="10">
        <v>41699</v>
      </c>
      <c r="B176" s="18">
        <f>IF(VLOOKUP(A176,'DB Country PMI'!$A:$AZ,MATCH($A$1,'DB Country PMI'!$A$1:$AZ$1,),)=0,#N/A,VLOOKUP(A176,'DB Country PMI'!$A:$AZ,MATCH($A$1,'DB Country PMI'!$A$1:$AZ$1,),))</f>
        <v>50.29</v>
      </c>
      <c r="C176" s="24">
        <f>Table1346[[#This Row],[PMI]]-B175</f>
        <v>-0.39999999999999858</v>
      </c>
    </row>
    <row r="177" spans="1:3" x14ac:dyDescent="0.2">
      <c r="A177" s="10">
        <v>41730</v>
      </c>
      <c r="B177" s="18">
        <f>IF(VLOOKUP(A177,'DB Country PMI'!$A:$AZ,MATCH($A$1,'DB Country PMI'!$A$1:$AZ$1,),)=0,#N/A,VLOOKUP(A177,'DB Country PMI'!$A:$AZ,MATCH($A$1,'DB Country PMI'!$A$1:$AZ$1,),))</f>
        <v>47.3</v>
      </c>
      <c r="C177" s="24">
        <f>Table1346[[#This Row],[PMI]]-B176</f>
        <v>-2.990000000000002</v>
      </c>
    </row>
    <row r="178" spans="1:3" x14ac:dyDescent="0.2">
      <c r="A178" s="10">
        <v>41760</v>
      </c>
      <c r="B178" s="18">
        <f>IF(VLOOKUP(A178,'DB Country PMI'!$A:$AZ,MATCH($A$1,'DB Country PMI'!$A$1:$AZ$1,),)=0,#N/A,VLOOKUP(A178,'DB Country PMI'!$A:$AZ,MATCH($A$1,'DB Country PMI'!$A$1:$AZ$1,),))</f>
        <v>44.41</v>
      </c>
      <c r="C178" s="24">
        <f>Table1346[[#This Row],[PMI]]-B177</f>
        <v>-2.8900000000000006</v>
      </c>
    </row>
    <row r="179" spans="1:3" x14ac:dyDescent="0.2">
      <c r="A179" s="10">
        <v>41791</v>
      </c>
      <c r="B179" s="18">
        <f>IF(VLOOKUP(A179,'DB Country PMI'!$A:$AZ,MATCH($A$1,'DB Country PMI'!$A$1:$AZ$1,),)=0,#N/A,VLOOKUP(A179,'DB Country PMI'!$A:$AZ,MATCH($A$1,'DB Country PMI'!$A$1:$AZ$1,),))</f>
        <v>46.59</v>
      </c>
      <c r="C179" s="24">
        <f>Table1346[[#This Row],[PMI]]-B178</f>
        <v>2.1800000000000068</v>
      </c>
    </row>
    <row r="180" spans="1:3" x14ac:dyDescent="0.2">
      <c r="A180" s="10">
        <v>41821</v>
      </c>
      <c r="B180" s="18">
        <f>IF(VLOOKUP(A180,'DB Country PMI'!$A:$AZ,MATCH($A$1,'DB Country PMI'!$A$1:$AZ$1,),)=0,#N/A,VLOOKUP(A180,'DB Country PMI'!$A:$AZ,MATCH($A$1,'DB Country PMI'!$A$1:$AZ$1,),))</f>
        <v>45.45</v>
      </c>
      <c r="C180" s="24">
        <f>Table1346[[#This Row],[PMI]]-B179</f>
        <v>-1.1400000000000006</v>
      </c>
    </row>
    <row r="181" spans="1:3" x14ac:dyDescent="0.2">
      <c r="A181" s="10">
        <v>41852</v>
      </c>
      <c r="B181" s="18">
        <f>IF(VLOOKUP(A181,'DB Country PMI'!$A:$AZ,MATCH($A$1,'DB Country PMI'!$A$1:$AZ$1,),)=0,#N/A,VLOOKUP(A181,'DB Country PMI'!$A:$AZ,MATCH($A$1,'DB Country PMI'!$A$1:$AZ$1,),))</f>
        <v>49</v>
      </c>
      <c r="C181" s="24">
        <f>Table1346[[#This Row],[PMI]]-B180</f>
        <v>3.5499999999999972</v>
      </c>
    </row>
    <row r="182" spans="1:3" x14ac:dyDescent="0.2">
      <c r="A182" s="10">
        <v>41883</v>
      </c>
      <c r="B182" s="18">
        <f>IF(VLOOKUP(A182,'DB Country PMI'!$A:$AZ,MATCH($A$1,'DB Country PMI'!$A$1:$AZ$1,),)=0,#N/A,VLOOKUP(A182,'DB Country PMI'!$A:$AZ,MATCH($A$1,'DB Country PMI'!$A$1:$AZ$1,),))</f>
        <v>50.35</v>
      </c>
      <c r="C182" s="24">
        <f>Table1346[[#This Row],[PMI]]-B181</f>
        <v>1.3500000000000014</v>
      </c>
    </row>
    <row r="183" spans="1:3" x14ac:dyDescent="0.2">
      <c r="A183" s="10">
        <v>41913</v>
      </c>
      <c r="B183" s="18">
        <f>IF(VLOOKUP(A183,'DB Country PMI'!$A:$AZ,MATCH($A$1,'DB Country PMI'!$A$1:$AZ$1,),)=0,#N/A,VLOOKUP(A183,'DB Country PMI'!$A:$AZ,MATCH($A$1,'DB Country PMI'!$A$1:$AZ$1,),))</f>
        <v>50.13</v>
      </c>
      <c r="C183" s="24">
        <f>Table1346[[#This Row],[PMI]]-B182</f>
        <v>-0.21999999999999886</v>
      </c>
    </row>
    <row r="184" spans="1:3" x14ac:dyDescent="0.2">
      <c r="A184" s="10">
        <v>41944</v>
      </c>
      <c r="B184" s="18">
        <f>IF(VLOOKUP(A184,'DB Country PMI'!$A:$AZ,MATCH($A$1,'DB Country PMI'!$A$1:$AZ$1,),)=0,#N/A,VLOOKUP(A184,'DB Country PMI'!$A:$AZ,MATCH($A$1,'DB Country PMI'!$A$1:$AZ$1,),))</f>
        <v>53.12</v>
      </c>
      <c r="C184" s="24">
        <f>Table1346[[#This Row],[PMI]]-B183</f>
        <v>2.9899999999999949</v>
      </c>
    </row>
    <row r="185" spans="1:3" x14ac:dyDescent="0.2">
      <c r="A185" s="10">
        <v>41974</v>
      </c>
      <c r="B185" s="18">
        <f>IF(VLOOKUP(A185,'DB Country PMI'!$A:$AZ,MATCH($A$1,'DB Country PMI'!$A$1:$AZ$1,),)=0,#N/A,VLOOKUP(A185,'DB Country PMI'!$A:$AZ,MATCH($A$1,'DB Country PMI'!$A$1:$AZ$1,),))</f>
        <v>51.1</v>
      </c>
      <c r="C185" s="24">
        <f>Table1346[[#This Row],[PMI]]-B184</f>
        <v>-2.019999999999996</v>
      </c>
    </row>
    <row r="186" spans="1:3" x14ac:dyDescent="0.2">
      <c r="A186" s="10">
        <v>42005</v>
      </c>
      <c r="B186" s="18">
        <f>IF(VLOOKUP(A186,'DB Country PMI'!$A:$AZ,MATCH($A$1,'DB Country PMI'!$A$1:$AZ$1,),)=0,#N/A,VLOOKUP(A186,'DB Country PMI'!$A:$AZ,MATCH($A$1,'DB Country PMI'!$A$1:$AZ$1,),))</f>
        <v>53.24</v>
      </c>
      <c r="C186" s="24">
        <f>Table1346[[#This Row],[PMI]]-B185</f>
        <v>2.1400000000000006</v>
      </c>
    </row>
    <row r="187" spans="1:3" x14ac:dyDescent="0.2">
      <c r="A187" s="10">
        <v>42036</v>
      </c>
      <c r="B187" s="18">
        <f>IF(VLOOKUP(A187,'DB Country PMI'!$A:$AZ,MATCH($A$1,'DB Country PMI'!$A$1:$AZ$1,),)=0,#N/A,VLOOKUP(A187,'DB Country PMI'!$A:$AZ,MATCH($A$1,'DB Country PMI'!$A$1:$AZ$1,),))</f>
        <v>47.66</v>
      </c>
      <c r="C187" s="24">
        <f>Table1346[[#This Row],[PMI]]-B186</f>
        <v>-5.5800000000000054</v>
      </c>
    </row>
    <row r="188" spans="1:3" x14ac:dyDescent="0.2">
      <c r="A188" s="10">
        <v>42064</v>
      </c>
      <c r="B188" s="18">
        <f>IF(VLOOKUP(A188,'DB Country PMI'!$A:$AZ,MATCH($A$1,'DB Country PMI'!$A$1:$AZ$1,),)=0,#N/A,VLOOKUP(A188,'DB Country PMI'!$A:$AZ,MATCH($A$1,'DB Country PMI'!$A$1:$AZ$1,),))</f>
        <v>47.88</v>
      </c>
      <c r="C188" s="24">
        <f>Table1346[[#This Row],[PMI]]-B187</f>
        <v>0.22000000000000597</v>
      </c>
    </row>
    <row r="189" spans="1:3" x14ac:dyDescent="0.2">
      <c r="A189" s="10">
        <v>42095</v>
      </c>
      <c r="B189" s="18">
        <f>IF(VLOOKUP(A189,'DB Country PMI'!$A:$AZ,MATCH($A$1,'DB Country PMI'!$A$1:$AZ$1,),)=0,#N/A,VLOOKUP(A189,'DB Country PMI'!$A:$AZ,MATCH($A$1,'DB Country PMI'!$A$1:$AZ$1,),))</f>
        <v>44.92</v>
      </c>
      <c r="C189" s="24">
        <f>Table1346[[#This Row],[PMI]]-B188</f>
        <v>-2.9600000000000009</v>
      </c>
    </row>
    <row r="190" spans="1:3" x14ac:dyDescent="0.2">
      <c r="A190" s="10">
        <v>42125</v>
      </c>
      <c r="B190" s="18">
        <f>IF(VLOOKUP(A190,'DB Country PMI'!$A:$AZ,MATCH($A$1,'DB Country PMI'!$A$1:$AZ$1,),)=0,#N/A,VLOOKUP(A190,'DB Country PMI'!$A:$AZ,MATCH($A$1,'DB Country PMI'!$A$1:$AZ$1,),))</f>
        <v>50.52</v>
      </c>
      <c r="C190" s="24">
        <f>Table1346[[#This Row],[PMI]]-B189</f>
        <v>5.6000000000000014</v>
      </c>
    </row>
    <row r="191" spans="1:3" x14ac:dyDescent="0.2">
      <c r="A191" s="10">
        <v>42156</v>
      </c>
      <c r="B191" s="18">
        <f>IF(VLOOKUP(A191,'DB Country PMI'!$A:$AZ,MATCH($A$1,'DB Country PMI'!$A$1:$AZ$1,),)=0,#N/A,VLOOKUP(A191,'DB Country PMI'!$A:$AZ,MATCH($A$1,'DB Country PMI'!$A$1:$AZ$1,),))</f>
        <v>50.31</v>
      </c>
      <c r="C191" s="24">
        <f>Table1346[[#This Row],[PMI]]-B190</f>
        <v>-0.21000000000000085</v>
      </c>
    </row>
    <row r="192" spans="1:3" x14ac:dyDescent="0.2">
      <c r="A192" s="10">
        <v>42186</v>
      </c>
      <c r="B192" s="18">
        <f>IF(VLOOKUP(A192,'DB Country PMI'!$A:$AZ,MATCH($A$1,'DB Country PMI'!$A$1:$AZ$1,),)=0,#N/A,VLOOKUP(A192,'DB Country PMI'!$A:$AZ,MATCH($A$1,'DB Country PMI'!$A$1:$AZ$1,),))</f>
        <v>50.25</v>
      </c>
      <c r="C192" s="24">
        <f>Table1346[[#This Row],[PMI]]-B191</f>
        <v>-6.0000000000002274E-2</v>
      </c>
    </row>
    <row r="193" spans="1:3" x14ac:dyDescent="0.2">
      <c r="A193" s="10">
        <v>42217</v>
      </c>
      <c r="B193" s="18">
        <f>IF(VLOOKUP(A193,'DB Country PMI'!$A:$AZ,MATCH($A$1,'DB Country PMI'!$A$1:$AZ$1,),)=0,#N/A,VLOOKUP(A193,'DB Country PMI'!$A:$AZ,MATCH($A$1,'DB Country PMI'!$A$1:$AZ$1,),))</f>
        <v>50.52</v>
      </c>
      <c r="C193" s="24">
        <f>Table1346[[#This Row],[PMI]]-B192</f>
        <v>0.27000000000000313</v>
      </c>
    </row>
    <row r="194" spans="1:3" x14ac:dyDescent="0.2">
      <c r="A194" s="10">
        <v>42248</v>
      </c>
      <c r="B194" s="18">
        <f>IF(VLOOKUP(A194,'DB Country PMI'!$A:$AZ,MATCH($A$1,'DB Country PMI'!$A$1:$AZ$1,),)=0,#N/A,VLOOKUP(A194,'DB Country PMI'!$A:$AZ,MATCH($A$1,'DB Country PMI'!$A$1:$AZ$1,),))</f>
        <v>50.14</v>
      </c>
      <c r="C194" s="24">
        <f>Table1346[[#This Row],[PMI]]-B193</f>
        <v>-0.38000000000000256</v>
      </c>
    </row>
    <row r="195" spans="1:3" x14ac:dyDescent="0.2">
      <c r="A195" s="10">
        <v>42278</v>
      </c>
      <c r="B195" s="18">
        <f>IF(VLOOKUP(A195,'DB Country PMI'!$A:$AZ,MATCH($A$1,'DB Country PMI'!$A$1:$AZ$1,),)=0,#N/A,VLOOKUP(A195,'DB Country PMI'!$A:$AZ,MATCH($A$1,'DB Country PMI'!$A$1:$AZ$1,),))</f>
        <v>48.74</v>
      </c>
      <c r="C195" s="24">
        <f>Table1346[[#This Row],[PMI]]-B194</f>
        <v>-1.3999999999999986</v>
      </c>
    </row>
    <row r="196" spans="1:3" x14ac:dyDescent="0.2">
      <c r="A196" s="10">
        <v>42309</v>
      </c>
      <c r="B196" s="18">
        <f>IF(VLOOKUP(A196,'DB Country PMI'!$A:$AZ,MATCH($A$1,'DB Country PMI'!$A$1:$AZ$1,),)=0,#N/A,VLOOKUP(A196,'DB Country PMI'!$A:$AZ,MATCH($A$1,'DB Country PMI'!$A$1:$AZ$1,),))</f>
        <v>44.73</v>
      </c>
      <c r="C196" s="24">
        <f>Table1346[[#This Row],[PMI]]-B195</f>
        <v>-4.0100000000000051</v>
      </c>
    </row>
    <row r="197" spans="1:3" x14ac:dyDescent="0.2">
      <c r="A197" s="10">
        <v>42339</v>
      </c>
      <c r="B197" s="18">
        <f>IF(VLOOKUP(A197,'DB Country PMI'!$A:$AZ,MATCH($A$1,'DB Country PMI'!$A$1:$AZ$1,),)=0,#N/A,VLOOKUP(A197,'DB Country PMI'!$A:$AZ,MATCH($A$1,'DB Country PMI'!$A$1:$AZ$1,),))</f>
        <v>47.2</v>
      </c>
      <c r="C197" s="24">
        <f>Table1346[[#This Row],[PMI]]-B196</f>
        <v>2.470000000000006</v>
      </c>
    </row>
    <row r="198" spans="1:3" x14ac:dyDescent="0.2">
      <c r="A198" s="10">
        <v>42370</v>
      </c>
      <c r="B198" s="18">
        <f>IF(VLOOKUP(A198,'DB Country PMI'!$A:$AZ,MATCH($A$1,'DB Country PMI'!$A$1:$AZ$1,),)=0,#N/A,VLOOKUP(A198,'DB Country PMI'!$A:$AZ,MATCH($A$1,'DB Country PMI'!$A$1:$AZ$1,),))</f>
        <v>43.27</v>
      </c>
      <c r="C198" s="24">
        <f>Table1346[[#This Row],[PMI]]-B197</f>
        <v>-3.9299999999999997</v>
      </c>
    </row>
    <row r="199" spans="1:3" x14ac:dyDescent="0.2">
      <c r="A199" s="10">
        <v>42401</v>
      </c>
      <c r="B199" s="18">
        <f>IF(VLOOKUP(A199,'DB Country PMI'!$A:$AZ,MATCH($A$1,'DB Country PMI'!$A$1:$AZ$1,),)=0,#N/A,VLOOKUP(A199,'DB Country PMI'!$A:$AZ,MATCH($A$1,'DB Country PMI'!$A$1:$AZ$1,),))</f>
        <v>46.84</v>
      </c>
      <c r="C199" s="24">
        <f>Table1346[[#This Row],[PMI]]-B198</f>
        <v>3.5700000000000003</v>
      </c>
    </row>
    <row r="200" spans="1:3" x14ac:dyDescent="0.2">
      <c r="A200" s="10">
        <v>42430</v>
      </c>
      <c r="B200" s="18">
        <f>IF(VLOOKUP(A200,'DB Country PMI'!$A:$AZ,MATCH($A$1,'DB Country PMI'!$A$1:$AZ$1,),)=0,#N/A,VLOOKUP(A200,'DB Country PMI'!$A:$AZ,MATCH($A$1,'DB Country PMI'!$A$1:$AZ$1,),))</f>
        <v>49.54</v>
      </c>
      <c r="C200" s="24">
        <f>Table1346[[#This Row],[PMI]]-B199</f>
        <v>2.6999999999999957</v>
      </c>
    </row>
    <row r="201" spans="1:3" x14ac:dyDescent="0.2">
      <c r="A201" s="10">
        <v>42461</v>
      </c>
      <c r="B201" s="18">
        <f>IF(VLOOKUP(A201,'DB Country PMI'!$A:$AZ,MATCH($A$1,'DB Country PMI'!$A$1:$AZ$1,),)=0,#N/A,VLOOKUP(A201,'DB Country PMI'!$A:$AZ,MATCH($A$1,'DB Country PMI'!$A$1:$AZ$1,),))</f>
        <v>53.33</v>
      </c>
      <c r="C201" s="24">
        <f>Table1346[[#This Row],[PMI]]-B200</f>
        <v>3.7899999999999991</v>
      </c>
    </row>
    <row r="202" spans="1:3" x14ac:dyDescent="0.2">
      <c r="A202" s="10">
        <v>42491</v>
      </c>
      <c r="B202" s="18">
        <f>IF(VLOOKUP(A202,'DB Country PMI'!$A:$AZ,MATCH($A$1,'DB Country PMI'!$A$1:$AZ$1,),)=0,#N/A,VLOOKUP(A202,'DB Country PMI'!$A:$AZ,MATCH($A$1,'DB Country PMI'!$A$1:$AZ$1,),))</f>
        <v>50.72</v>
      </c>
      <c r="C202" s="24">
        <f>Table1346[[#This Row],[PMI]]-B201</f>
        <v>-2.6099999999999994</v>
      </c>
    </row>
    <row r="203" spans="1:3" x14ac:dyDescent="0.2">
      <c r="A203" s="10">
        <v>42522</v>
      </c>
      <c r="B203" s="18">
        <f>IF(VLOOKUP(A203,'DB Country PMI'!$A:$AZ,MATCH($A$1,'DB Country PMI'!$A$1:$AZ$1,),)=0,#N/A,VLOOKUP(A203,'DB Country PMI'!$A:$AZ,MATCH($A$1,'DB Country PMI'!$A$1:$AZ$1,),))</f>
        <v>52.14</v>
      </c>
      <c r="C203" s="24">
        <f>Table1346[[#This Row],[PMI]]-B202</f>
        <v>1.4200000000000017</v>
      </c>
    </row>
    <row r="204" spans="1:3" x14ac:dyDescent="0.2">
      <c r="A204" s="10">
        <v>42552</v>
      </c>
      <c r="B204" s="18">
        <f>IF(VLOOKUP(A204,'DB Country PMI'!$A:$AZ,MATCH($A$1,'DB Country PMI'!$A$1:$AZ$1,),)=0,#N/A,VLOOKUP(A204,'DB Country PMI'!$A:$AZ,MATCH($A$1,'DB Country PMI'!$A$1:$AZ$1,),))</f>
        <v>51.25</v>
      </c>
      <c r="C204" s="24">
        <f>Table1346[[#This Row],[PMI]]-B203</f>
        <v>-0.89000000000000057</v>
      </c>
    </row>
    <row r="205" spans="1:3" x14ac:dyDescent="0.2">
      <c r="A205" s="10">
        <v>42583</v>
      </c>
      <c r="B205" s="18">
        <f>IF(VLOOKUP(A205,'DB Country PMI'!$A:$AZ,MATCH($A$1,'DB Country PMI'!$A$1:$AZ$1,),)=0,#N/A,VLOOKUP(A205,'DB Country PMI'!$A:$AZ,MATCH($A$1,'DB Country PMI'!$A$1:$AZ$1,),))</f>
        <v>47.94</v>
      </c>
      <c r="C205" s="24">
        <f>Table1346[[#This Row],[PMI]]-B204</f>
        <v>-3.3100000000000023</v>
      </c>
    </row>
    <row r="206" spans="1:3" x14ac:dyDescent="0.2">
      <c r="A206" s="10">
        <v>42614</v>
      </c>
      <c r="B206" s="18">
        <f>IF(VLOOKUP(A206,'DB Country PMI'!$A:$AZ,MATCH($A$1,'DB Country PMI'!$A$1:$AZ$1,),)=0,#N/A,VLOOKUP(A206,'DB Country PMI'!$A:$AZ,MATCH($A$1,'DB Country PMI'!$A$1:$AZ$1,),))</f>
        <v>49.85</v>
      </c>
      <c r="C206" s="24">
        <f>Table1346[[#This Row],[PMI]]-B205</f>
        <v>1.9100000000000037</v>
      </c>
    </row>
    <row r="207" spans="1:3" x14ac:dyDescent="0.2">
      <c r="A207" s="10">
        <v>42644</v>
      </c>
      <c r="B207" s="18">
        <f>IF(VLOOKUP(A207,'DB Country PMI'!$A:$AZ,MATCH($A$1,'DB Country PMI'!$A$1:$AZ$1,),)=0,#N/A,VLOOKUP(A207,'DB Country PMI'!$A:$AZ,MATCH($A$1,'DB Country PMI'!$A$1:$AZ$1,),))</f>
        <v>46.47</v>
      </c>
      <c r="C207" s="24">
        <f>Table1346[[#This Row],[PMI]]-B206</f>
        <v>-3.3800000000000026</v>
      </c>
    </row>
    <row r="208" spans="1:3" x14ac:dyDescent="0.2">
      <c r="A208" s="10">
        <v>42675</v>
      </c>
      <c r="B208" s="18">
        <f>IF(VLOOKUP(A208,'DB Country PMI'!$A:$AZ,MATCH($A$1,'DB Country PMI'!$A$1:$AZ$1,),)=0,#N/A,VLOOKUP(A208,'DB Country PMI'!$A:$AZ,MATCH($A$1,'DB Country PMI'!$A$1:$AZ$1,),))</f>
        <v>49.22</v>
      </c>
      <c r="C208" s="24">
        <f>Table1346[[#This Row],[PMI]]-B207</f>
        <v>2.75</v>
      </c>
    </row>
    <row r="209" spans="1:3" x14ac:dyDescent="0.2">
      <c r="A209" s="10">
        <v>42705</v>
      </c>
      <c r="B209" s="18">
        <f>IF(VLOOKUP(A209,'DB Country PMI'!$A:$AZ,MATCH($A$1,'DB Country PMI'!$A$1:$AZ$1,),)=0,#N/A,VLOOKUP(A209,'DB Country PMI'!$A:$AZ,MATCH($A$1,'DB Country PMI'!$A$1:$AZ$1,),))</f>
        <v>48.56</v>
      </c>
      <c r="C209" s="24">
        <f>Table1346[[#This Row],[PMI]]-B208</f>
        <v>-0.65999999999999659</v>
      </c>
    </row>
    <row r="210" spans="1:3" x14ac:dyDescent="0.2">
      <c r="A210" s="10">
        <v>42736</v>
      </c>
      <c r="B210" s="18">
        <f>IF(VLOOKUP(A210,'DB Country PMI'!$A:$AZ,MATCH($A$1,'DB Country PMI'!$A$1:$AZ$1,),)=0,#N/A,VLOOKUP(A210,'DB Country PMI'!$A:$AZ,MATCH($A$1,'DB Country PMI'!$A$1:$AZ$1,),))</f>
        <v>50.08</v>
      </c>
      <c r="C210" s="24">
        <f>Table1346[[#This Row],[PMI]]-B209</f>
        <v>1.519999999999996</v>
      </c>
    </row>
    <row r="211" spans="1:3" x14ac:dyDescent="0.2">
      <c r="A211" s="10">
        <v>42767</v>
      </c>
      <c r="B211" s="18">
        <f>IF(VLOOKUP(A211,'DB Country PMI'!$A:$AZ,MATCH($A$1,'DB Country PMI'!$A$1:$AZ$1,),)=0,#N/A,VLOOKUP(A211,'DB Country PMI'!$A:$AZ,MATCH($A$1,'DB Country PMI'!$A$1:$AZ$1,),))</f>
        <v>51.22</v>
      </c>
      <c r="C211" s="24">
        <f>Table1346[[#This Row],[PMI]]-B210</f>
        <v>1.1400000000000006</v>
      </c>
    </row>
    <row r="212" spans="1:3" x14ac:dyDescent="0.2">
      <c r="A212" s="10">
        <v>42795</v>
      </c>
      <c r="B212" s="18">
        <f>IF(VLOOKUP(A212,'DB Country PMI'!$A:$AZ,MATCH($A$1,'DB Country PMI'!$A$1:$AZ$1,),)=0,#N/A,VLOOKUP(A212,'DB Country PMI'!$A:$AZ,MATCH($A$1,'DB Country PMI'!$A$1:$AZ$1,),))</f>
        <v>50.81</v>
      </c>
      <c r="C212" s="24">
        <f>Table1346[[#This Row],[PMI]]-B211</f>
        <v>-0.40999999999999659</v>
      </c>
    </row>
    <row r="213" spans="1:3" x14ac:dyDescent="0.2">
      <c r="A213" s="10">
        <v>42826</v>
      </c>
      <c r="B213" s="18">
        <f>IF(VLOOKUP(A213,'DB Country PMI'!$A:$AZ,MATCH($A$1,'DB Country PMI'!$A$1:$AZ$1,),)=0,#N/A,VLOOKUP(A213,'DB Country PMI'!$A:$AZ,MATCH($A$1,'DB Country PMI'!$A$1:$AZ$1,),))</f>
        <v>43.53</v>
      </c>
      <c r="C213" s="24">
        <f>Table1346[[#This Row],[PMI]]-B212</f>
        <v>-7.2800000000000011</v>
      </c>
    </row>
    <row r="214" spans="1:3" x14ac:dyDescent="0.2">
      <c r="A214" s="10">
        <v>42856</v>
      </c>
      <c r="B214" s="18">
        <f>IF(VLOOKUP(A214,'DB Country PMI'!$A:$AZ,MATCH($A$1,'DB Country PMI'!$A$1:$AZ$1,),)=0,#N/A,VLOOKUP(A214,'DB Country PMI'!$A:$AZ,MATCH($A$1,'DB Country PMI'!$A$1:$AZ$1,),))</f>
        <v>50.11</v>
      </c>
      <c r="C214" s="24">
        <f>Table1346[[#This Row],[PMI]]-B213</f>
        <v>6.5799999999999983</v>
      </c>
    </row>
    <row r="215" spans="1:3" x14ac:dyDescent="0.2">
      <c r="A215" s="10">
        <v>42887</v>
      </c>
      <c r="B215" s="18">
        <f>IF(VLOOKUP(A215,'DB Country PMI'!$A:$AZ,MATCH($A$1,'DB Country PMI'!$A$1:$AZ$1,),)=0,#N/A,VLOOKUP(A215,'DB Country PMI'!$A:$AZ,MATCH($A$1,'DB Country PMI'!$A$1:$AZ$1,),))</f>
        <v>45.98</v>
      </c>
      <c r="C215" s="24">
        <f>Table1346[[#This Row],[PMI]]-B214</f>
        <v>-4.1300000000000026</v>
      </c>
    </row>
    <row r="216" spans="1:3" x14ac:dyDescent="0.2">
      <c r="A216" s="10">
        <v>42917</v>
      </c>
      <c r="B216" s="18">
        <f>IF(VLOOKUP(A216,'DB Country PMI'!$A:$AZ,MATCH($A$1,'DB Country PMI'!$A$1:$AZ$1,),)=0,#N/A,VLOOKUP(A216,'DB Country PMI'!$A:$AZ,MATCH($A$1,'DB Country PMI'!$A$1:$AZ$1,),))</f>
        <v>42.1</v>
      </c>
      <c r="C216" s="24">
        <f>Table1346[[#This Row],[PMI]]-B215</f>
        <v>-3.8799999999999955</v>
      </c>
    </row>
    <row r="217" spans="1:3" x14ac:dyDescent="0.2">
      <c r="A217" s="10">
        <v>42948</v>
      </c>
      <c r="B217" s="18">
        <f>IF(VLOOKUP(A217,'DB Country PMI'!$A:$AZ,MATCH($A$1,'DB Country PMI'!$A$1:$AZ$1,),)=0,#N/A,VLOOKUP(A217,'DB Country PMI'!$A:$AZ,MATCH($A$1,'DB Country PMI'!$A$1:$AZ$1,),))</f>
        <v>46.1</v>
      </c>
      <c r="C217" s="24">
        <f>Table1346[[#This Row],[PMI]]-B216</f>
        <v>4</v>
      </c>
    </row>
    <row r="218" spans="1:3" x14ac:dyDescent="0.2">
      <c r="A218" s="10">
        <v>42979</v>
      </c>
      <c r="B218" s="18">
        <f>IF(VLOOKUP(A218,'DB Country PMI'!$A:$AZ,MATCH($A$1,'DB Country PMI'!$A$1:$AZ$1,),)=0,#N/A,VLOOKUP(A218,'DB Country PMI'!$A:$AZ,MATCH($A$1,'DB Country PMI'!$A$1:$AZ$1,),))</f>
        <v>46.4</v>
      </c>
      <c r="C218" s="24">
        <f>Table1346[[#This Row],[PMI]]-B217</f>
        <v>0.29999999999999716</v>
      </c>
    </row>
    <row r="219" spans="1:3" x14ac:dyDescent="0.2">
      <c r="A219" s="10">
        <v>43009</v>
      </c>
      <c r="B219" s="18">
        <f>IF(VLOOKUP(A219,'DB Country PMI'!$A:$AZ,MATCH($A$1,'DB Country PMI'!$A$1:$AZ$1,),)=0,#N/A,VLOOKUP(A219,'DB Country PMI'!$A:$AZ,MATCH($A$1,'DB Country PMI'!$A$1:$AZ$1,),))</f>
        <v>48.4</v>
      </c>
      <c r="C219" s="24">
        <f>Table1346[[#This Row],[PMI]]-B218</f>
        <v>2</v>
      </c>
    </row>
    <row r="220" spans="1:3" x14ac:dyDescent="0.2">
      <c r="A220" s="10">
        <v>43040</v>
      </c>
      <c r="B220" s="18">
        <f>IF(VLOOKUP(A220,'DB Country PMI'!$A:$AZ,MATCH($A$1,'DB Country PMI'!$A$1:$AZ$1,),)=0,#N/A,VLOOKUP(A220,'DB Country PMI'!$A:$AZ,MATCH($A$1,'DB Country PMI'!$A$1:$AZ$1,),))</f>
        <v>48.9</v>
      </c>
      <c r="C220" s="24">
        <f>Table1346[[#This Row],[PMI]]-B219</f>
        <v>0.5</v>
      </c>
    </row>
    <row r="221" spans="1:3" x14ac:dyDescent="0.2">
      <c r="A221" s="10">
        <v>43070</v>
      </c>
      <c r="B221" s="18">
        <f>IF(VLOOKUP(A221,'DB Country PMI'!$A:$AZ,MATCH($A$1,'DB Country PMI'!$A$1:$AZ$1,),)=0,#N/A,VLOOKUP(A221,'DB Country PMI'!$A:$AZ,MATCH($A$1,'DB Country PMI'!$A$1:$AZ$1,),))</f>
        <v>45.9</v>
      </c>
      <c r="C221" s="24">
        <f>Table1346[[#This Row],[PMI]]-B220</f>
        <v>-3</v>
      </c>
    </row>
    <row r="222" spans="1:3" x14ac:dyDescent="0.2">
      <c r="A222" s="10">
        <v>43101</v>
      </c>
      <c r="B222" s="18">
        <f>IF(VLOOKUP(A222,'DB Country PMI'!$A:$AZ,MATCH($A$1,'DB Country PMI'!$A$1:$AZ$1,),)=0,#N/A,VLOOKUP(A222,'DB Country PMI'!$A:$AZ,MATCH($A$1,'DB Country PMI'!$A$1:$AZ$1,),))</f>
        <v>49.2</v>
      </c>
      <c r="C222" s="24">
        <f>Table1346[[#This Row],[PMI]]-B221</f>
        <v>3.3000000000000043</v>
      </c>
    </row>
    <row r="223" spans="1:3" x14ac:dyDescent="0.2">
      <c r="A223" s="10">
        <v>43132</v>
      </c>
      <c r="B223" s="18">
        <f>IF(VLOOKUP(A223,'DB Country PMI'!$A:$AZ,MATCH($A$1,'DB Country PMI'!$A$1:$AZ$1,),)=0,#N/A,VLOOKUP(A223,'DB Country PMI'!$A:$AZ,MATCH($A$1,'DB Country PMI'!$A$1:$AZ$1,),))</f>
        <v>50</v>
      </c>
      <c r="C223" s="24">
        <f>Table1346[[#This Row],[PMI]]-B222</f>
        <v>0.79999999999999716</v>
      </c>
    </row>
    <row r="224" spans="1:3" x14ac:dyDescent="0.2">
      <c r="A224" s="10">
        <v>43160</v>
      </c>
      <c r="B224" s="18">
        <f>IF(VLOOKUP(A224,'DB Country PMI'!$A:$AZ,MATCH($A$1,'DB Country PMI'!$A$1:$AZ$1,),)=0,#N/A,VLOOKUP(A224,'DB Country PMI'!$A:$AZ,MATCH($A$1,'DB Country PMI'!$A$1:$AZ$1,),))</f>
        <v>46.7</v>
      </c>
      <c r="C224" s="24">
        <f>Table1346[[#This Row],[PMI]]-B223</f>
        <v>-3.2999999999999972</v>
      </c>
    </row>
    <row r="225" spans="1:3" x14ac:dyDescent="0.2">
      <c r="A225" s="10">
        <v>43191</v>
      </c>
      <c r="B225" s="18">
        <f>IF(VLOOKUP(A225,'DB Country PMI'!$A:$AZ,MATCH($A$1,'DB Country PMI'!$A$1:$AZ$1,),)=0,#N/A,VLOOKUP(A225,'DB Country PMI'!$A:$AZ,MATCH($A$1,'DB Country PMI'!$A$1:$AZ$1,),))</f>
        <v>49.1</v>
      </c>
      <c r="C225" s="24">
        <f>Table1346[[#This Row],[PMI]]-B224</f>
        <v>2.3999999999999986</v>
      </c>
    </row>
    <row r="226" spans="1:3" x14ac:dyDescent="0.2">
      <c r="A226" s="10">
        <v>43221</v>
      </c>
      <c r="B226" s="18">
        <f>IF(VLOOKUP(A226,'DB Country PMI'!$A:$AZ,MATCH($A$1,'DB Country PMI'!$A$1:$AZ$1,),)=0,#N/A,VLOOKUP(A226,'DB Country PMI'!$A:$AZ,MATCH($A$1,'DB Country PMI'!$A$1:$AZ$1,),))</f>
        <v>49.4</v>
      </c>
      <c r="C226" s="24">
        <f>Table1346[[#This Row],[PMI]]-B225</f>
        <v>0.29999999999999716</v>
      </c>
    </row>
    <row r="227" spans="1:3" x14ac:dyDescent="0.2">
      <c r="A227" s="10">
        <v>43252</v>
      </c>
      <c r="B227" s="18">
        <f>IF(VLOOKUP(A227,'DB Country PMI'!$A:$AZ,MATCH($A$1,'DB Country PMI'!$A$1:$AZ$1,),)=0,#N/A,VLOOKUP(A227,'DB Country PMI'!$A:$AZ,MATCH($A$1,'DB Country PMI'!$A$1:$AZ$1,),))</f>
        <v>48</v>
      </c>
      <c r="C227" s="24">
        <f>Table1346[[#This Row],[PMI]]-B226</f>
        <v>-1.3999999999999986</v>
      </c>
    </row>
    <row r="228" spans="1:3" x14ac:dyDescent="0.2">
      <c r="A228" s="10">
        <v>43282</v>
      </c>
      <c r="B228" s="18">
        <f>IF(VLOOKUP(A228,'DB Country PMI'!$A:$AZ,MATCH($A$1,'DB Country PMI'!$A$1:$AZ$1,),)=0,#N/A,VLOOKUP(A228,'DB Country PMI'!$A:$AZ,MATCH($A$1,'DB Country PMI'!$A$1:$AZ$1,),))</f>
        <v>49.9</v>
      </c>
      <c r="C228" s="24">
        <f>Table1346[[#This Row],[PMI]]-B227</f>
        <v>1.8999999999999986</v>
      </c>
    </row>
    <row r="229" spans="1:3" x14ac:dyDescent="0.2">
      <c r="A229" s="10">
        <v>43313</v>
      </c>
      <c r="B229" s="18">
        <f>IF(VLOOKUP(A229,'DB Country PMI'!$A:$AZ,MATCH($A$1,'DB Country PMI'!$A$1:$AZ$1,),)=0,#N/A,VLOOKUP(A229,'DB Country PMI'!$A:$AZ,MATCH($A$1,'DB Country PMI'!$A$1:$AZ$1,),))</f>
        <v>45.2</v>
      </c>
      <c r="C229" s="24">
        <f>Table1346[[#This Row],[PMI]]-B228</f>
        <v>-4.6999999999999957</v>
      </c>
    </row>
    <row r="230" spans="1:3" x14ac:dyDescent="0.2">
      <c r="A230" s="10">
        <v>43344</v>
      </c>
      <c r="B230" s="18">
        <f>IF(VLOOKUP(A230,'DB Country PMI'!$A:$AZ,MATCH($A$1,'DB Country PMI'!$A$1:$AZ$1,),)=0,#N/A,VLOOKUP(A230,'DB Country PMI'!$A:$AZ,MATCH($A$1,'DB Country PMI'!$A$1:$AZ$1,),))</f>
        <v>44.5</v>
      </c>
      <c r="C230" s="24">
        <f>Table1346[[#This Row],[PMI]]-B229</f>
        <v>-0.70000000000000284</v>
      </c>
    </row>
    <row r="231" spans="1:3" x14ac:dyDescent="0.2">
      <c r="A231" s="10">
        <v>43374</v>
      </c>
      <c r="B231" s="18">
        <f>IF(VLOOKUP(A231,'DB Country PMI'!$A:$AZ,MATCH($A$1,'DB Country PMI'!$A$1:$AZ$1,),)=0,#N/A,VLOOKUP(A231,'DB Country PMI'!$A:$AZ,MATCH($A$1,'DB Country PMI'!$A$1:$AZ$1,),))</f>
        <v>42.4</v>
      </c>
      <c r="C231" s="24">
        <f>Table1346[[#This Row],[PMI]]-B230</f>
        <v>-2.1000000000000014</v>
      </c>
    </row>
    <row r="232" spans="1:3" x14ac:dyDescent="0.2">
      <c r="A232" s="10">
        <v>43405</v>
      </c>
      <c r="B232" s="18">
        <f>IF(VLOOKUP(A232,'DB Country PMI'!$A:$AZ,MATCH($A$1,'DB Country PMI'!$A$1:$AZ$1,),)=0,#N/A,VLOOKUP(A232,'DB Country PMI'!$A:$AZ,MATCH($A$1,'DB Country PMI'!$A$1:$AZ$1,),))</f>
        <v>49.5</v>
      </c>
      <c r="C232" s="24">
        <f>Table1346[[#This Row],[PMI]]-B231</f>
        <v>7.1000000000000014</v>
      </c>
    </row>
    <row r="233" spans="1:3" x14ac:dyDescent="0.2">
      <c r="A233" s="10">
        <v>43435</v>
      </c>
      <c r="B233" s="18">
        <f>IF(VLOOKUP(A233,'DB Country PMI'!$A:$AZ,MATCH($A$1,'DB Country PMI'!$A$1:$AZ$1,),)=0,#N/A,VLOOKUP(A233,'DB Country PMI'!$A:$AZ,MATCH($A$1,'DB Country PMI'!$A$1:$AZ$1,),))</f>
        <v>50.7</v>
      </c>
      <c r="C233" s="24">
        <f>Table1346[[#This Row],[PMI]]-B232</f>
        <v>1.2000000000000028</v>
      </c>
    </row>
    <row r="234" spans="1:3" x14ac:dyDescent="0.2">
      <c r="A234" s="10">
        <v>43466</v>
      </c>
      <c r="B234" s="18">
        <f>IF(VLOOKUP(A234,'DB Country PMI'!$A:$AZ,MATCH($A$1,'DB Country PMI'!$A$1:$AZ$1,),)=0,#N/A,VLOOKUP(A234,'DB Country PMI'!$A:$AZ,MATCH($A$1,'DB Country PMI'!$A$1:$AZ$1,),))</f>
        <v>49.9</v>
      </c>
      <c r="C234" s="24">
        <f>Table1346[[#This Row],[PMI]]-B233</f>
        <v>-0.80000000000000426</v>
      </c>
    </row>
    <row r="235" spans="1:3" x14ac:dyDescent="0.2">
      <c r="A235" s="10">
        <v>43497</v>
      </c>
      <c r="B235" s="18">
        <f>IF(VLOOKUP(A235,'DB Country PMI'!$A:$AZ,MATCH($A$1,'DB Country PMI'!$A$1:$AZ$1,),)=0,#N/A,VLOOKUP(A235,'DB Country PMI'!$A:$AZ,MATCH($A$1,'DB Country PMI'!$A$1:$AZ$1,),))</f>
        <v>46.2</v>
      </c>
      <c r="C235" s="24">
        <f>Table1346[[#This Row],[PMI]]-B234</f>
        <v>-3.6999999999999957</v>
      </c>
    </row>
    <row r="236" spans="1:3" x14ac:dyDescent="0.2">
      <c r="A236" s="10">
        <v>43525</v>
      </c>
      <c r="B236" s="18">
        <f>IF(VLOOKUP(A236,'DB Country PMI'!$A:$AZ,MATCH($A$1,'DB Country PMI'!$A$1:$AZ$1,),)=0,#N/A,VLOOKUP(A236,'DB Country PMI'!$A:$AZ,MATCH($A$1,'DB Country PMI'!$A$1:$AZ$1,),))</f>
        <v>45</v>
      </c>
      <c r="C236" s="24">
        <f>Table1346[[#This Row],[PMI]]-B235</f>
        <v>-1.2000000000000028</v>
      </c>
    </row>
    <row r="237" spans="1:3" x14ac:dyDescent="0.2">
      <c r="A237" s="10">
        <v>43556</v>
      </c>
      <c r="B237" s="18">
        <f>IF(VLOOKUP(A237,'DB Country PMI'!$A:$AZ,MATCH($A$1,'DB Country PMI'!$A$1:$AZ$1,),)=0,#N/A,VLOOKUP(A237,'DB Country PMI'!$A:$AZ,MATCH($A$1,'DB Country PMI'!$A$1:$AZ$1,),))</f>
        <v>47.2</v>
      </c>
      <c r="C237" s="24">
        <f>Table1346[[#This Row],[PMI]]-B236</f>
        <v>2.2000000000000028</v>
      </c>
    </row>
    <row r="238" spans="1:3" x14ac:dyDescent="0.2">
      <c r="A238" s="10">
        <v>43586</v>
      </c>
      <c r="B238" s="18">
        <f>IF(VLOOKUP(A238,'DB Country PMI'!$A:$AZ,MATCH($A$1,'DB Country PMI'!$A$1:$AZ$1,),)=0,#N/A,VLOOKUP(A238,'DB Country PMI'!$A:$AZ,MATCH($A$1,'DB Country PMI'!$A$1:$AZ$1,),))</f>
        <v>45.4</v>
      </c>
      <c r="C238" s="24">
        <f>Table1346[[#This Row],[PMI]]-B237</f>
        <v>-1.8000000000000043</v>
      </c>
    </row>
    <row r="239" spans="1:3" x14ac:dyDescent="0.2">
      <c r="A239" s="10">
        <v>43617</v>
      </c>
      <c r="B239" s="18">
        <f>IF(VLOOKUP(A239,'DB Country PMI'!$A:$AZ,MATCH($A$1,'DB Country PMI'!$A$1:$AZ$1,),)=0,#N/A,VLOOKUP(A239,'DB Country PMI'!$A:$AZ,MATCH($A$1,'DB Country PMI'!$A$1:$AZ$1,),))</f>
        <v>46.2</v>
      </c>
      <c r="C239" s="24">
        <f>Table1346[[#This Row],[PMI]]-B238</f>
        <v>0.80000000000000426</v>
      </c>
    </row>
    <row r="240" spans="1:3" x14ac:dyDescent="0.2">
      <c r="A240" s="10">
        <v>43647</v>
      </c>
      <c r="B240" s="18">
        <f>IF(VLOOKUP(A240,'DB Country PMI'!$A:$AZ,MATCH($A$1,'DB Country PMI'!$A$1:$AZ$1,),)=0,#N/A,VLOOKUP(A240,'DB Country PMI'!$A:$AZ,MATCH($A$1,'DB Country PMI'!$A$1:$AZ$1,),))</f>
        <v>52.1</v>
      </c>
      <c r="C240" s="24">
        <f>Table1346[[#This Row],[PMI]]-B239</f>
        <v>5.8999999999999986</v>
      </c>
    </row>
    <row r="241" spans="1:3" x14ac:dyDescent="0.2">
      <c r="A241" s="10">
        <v>43678</v>
      </c>
      <c r="B241" s="18">
        <f>IF(VLOOKUP(A241,'DB Country PMI'!$A:$AZ,MATCH($A$1,'DB Country PMI'!$A$1:$AZ$1,),)=0,#N/A,VLOOKUP(A241,'DB Country PMI'!$A:$AZ,MATCH($A$1,'DB Country PMI'!$A$1:$AZ$1,),))</f>
        <v>45.7</v>
      </c>
      <c r="C241" s="24">
        <f>Table1346[[#This Row],[PMI]]-B240</f>
        <v>-6.3999999999999986</v>
      </c>
    </row>
    <row r="242" spans="1:3" x14ac:dyDescent="0.2">
      <c r="A242" s="10">
        <v>43709</v>
      </c>
      <c r="B242" s="18">
        <f>IF(VLOOKUP(A242,'DB Country PMI'!$A:$AZ,MATCH($A$1,'DB Country PMI'!$A$1:$AZ$1,),)=0,#N/A,VLOOKUP(A242,'DB Country PMI'!$A:$AZ,MATCH($A$1,'DB Country PMI'!$A$1:$AZ$1,),))</f>
        <v>41.6</v>
      </c>
      <c r="C242" s="24">
        <f>Table1346[[#This Row],[PMI]]-B241</f>
        <v>-4.1000000000000014</v>
      </c>
    </row>
    <row r="243" spans="1:3" x14ac:dyDescent="0.2">
      <c r="A243" s="10">
        <v>43739</v>
      </c>
      <c r="B243" s="18">
        <f>IF(VLOOKUP(A243,'DB Country PMI'!$A:$AZ,MATCH($A$1,'DB Country PMI'!$A$1:$AZ$1,),)=0,#N/A,VLOOKUP(A243,'DB Country PMI'!$A:$AZ,MATCH($A$1,'DB Country PMI'!$A$1:$AZ$1,),))</f>
        <v>48.1</v>
      </c>
      <c r="C243" s="24">
        <f>Table1346[[#This Row],[PMI]]-B242</f>
        <v>6.5</v>
      </c>
    </row>
    <row r="244" spans="1:3" x14ac:dyDescent="0.2">
      <c r="A244" s="10">
        <v>43770</v>
      </c>
      <c r="B244" s="18">
        <f>IF(VLOOKUP(A244,'DB Country PMI'!$A:$AZ,MATCH($A$1,'DB Country PMI'!$A$1:$AZ$1,),)=0,#N/A,VLOOKUP(A244,'DB Country PMI'!$A:$AZ,MATCH($A$1,'DB Country PMI'!$A$1:$AZ$1,),))</f>
        <v>47.7</v>
      </c>
      <c r="C244" s="24">
        <f>Table1346[[#This Row],[PMI]]-B243</f>
        <v>-0.39999999999999858</v>
      </c>
    </row>
    <row r="245" spans="1:3" x14ac:dyDescent="0.2">
      <c r="A245" s="10">
        <v>43800</v>
      </c>
      <c r="B245" s="18">
        <f>IF(VLOOKUP(A245,'DB Country PMI'!$A:$AZ,MATCH($A$1,'DB Country PMI'!$A$1:$AZ$1,),)=0,#N/A,VLOOKUP(A245,'DB Country PMI'!$A:$AZ,MATCH($A$1,'DB Country PMI'!$A$1:$AZ$1,),))</f>
        <v>47.1</v>
      </c>
      <c r="C245" s="24">
        <f>Table1346[[#This Row],[PMI]]-B244</f>
        <v>-0.60000000000000142</v>
      </c>
    </row>
    <row r="246" spans="1:3" x14ac:dyDescent="0.2">
      <c r="A246" s="10">
        <v>43831</v>
      </c>
      <c r="B246" s="18">
        <f>IF(VLOOKUP(A246,'DB Country PMI'!$A:$AZ,MATCH($A$1,'DB Country PMI'!$A$1:$AZ$1,),)=0,#N/A,VLOOKUP(A246,'DB Country PMI'!$A:$AZ,MATCH($A$1,'DB Country PMI'!$A$1:$AZ$1,),))</f>
        <v>45.2</v>
      </c>
      <c r="C246" s="24">
        <f>Table1346[[#This Row],[PMI]]-B245</f>
        <v>-1.8999999999999986</v>
      </c>
    </row>
    <row r="247" spans="1:3" x14ac:dyDescent="0.2">
      <c r="A247" s="10">
        <v>43862</v>
      </c>
      <c r="B247" s="18">
        <f>IF(VLOOKUP(A247,'DB Country PMI'!$A:$AZ,MATCH($A$1,'DB Country PMI'!$A$1:$AZ$1,),)=0,#N/A,VLOOKUP(A247,'DB Country PMI'!$A:$AZ,MATCH($A$1,'DB Country PMI'!$A$1:$AZ$1,),))</f>
        <v>44.3</v>
      </c>
      <c r="C247" s="24">
        <f>Table1346[[#This Row],[PMI]]-B246</f>
        <v>-0.90000000000000568</v>
      </c>
    </row>
    <row r="248" spans="1:3" x14ac:dyDescent="0.2">
      <c r="A248" s="10">
        <v>43891</v>
      </c>
      <c r="B248" s="18">
        <f>IF(VLOOKUP(A248,'DB Country PMI'!$A:$AZ,MATCH($A$1,'DB Country PMI'!$A$1:$AZ$1,),)=0,#N/A,VLOOKUP(A248,'DB Country PMI'!$A:$AZ,MATCH($A$1,'DB Country PMI'!$A$1:$AZ$1,),))</f>
        <v>48.1</v>
      </c>
      <c r="C248" s="24">
        <f>Table1346[[#This Row],[PMI]]-B247</f>
        <v>3.8000000000000043</v>
      </c>
    </row>
    <row r="249" spans="1:3" x14ac:dyDescent="0.2">
      <c r="A249" s="10">
        <v>43922</v>
      </c>
      <c r="B249" s="18">
        <f>IF(VLOOKUP(A249,'DB Country PMI'!$A:$AZ,MATCH($A$1,'DB Country PMI'!$A$1:$AZ$1,),)=0,#N/A,VLOOKUP(A249,'DB Country PMI'!$A:$AZ,MATCH($A$1,'DB Country PMI'!$A$1:$AZ$1,),))</f>
        <v>46.1</v>
      </c>
      <c r="C249" s="24">
        <f>Table1346[[#This Row],[PMI]]-B248</f>
        <v>-2</v>
      </c>
    </row>
    <row r="250" spans="1:3" x14ac:dyDescent="0.2">
      <c r="A250" s="10">
        <v>43952</v>
      </c>
      <c r="B250" s="18">
        <f>IF(VLOOKUP(A250,'DB Country PMI'!$A:$AZ,MATCH($A$1,'DB Country PMI'!$A$1:$AZ$1,),)=0,#N/A,VLOOKUP(A250,'DB Country PMI'!$A:$AZ,MATCH($A$1,'DB Country PMI'!$A$1:$AZ$1,),))</f>
        <v>50.2</v>
      </c>
      <c r="C250" s="24">
        <f>Table1346[[#This Row],[PMI]]-B249</f>
        <v>4.1000000000000014</v>
      </c>
    </row>
    <row r="251" spans="1:3" x14ac:dyDescent="0.2">
      <c r="A251" s="10">
        <v>43983</v>
      </c>
      <c r="B251" s="18">
        <f>IF(VLOOKUP(A251,'DB Country PMI'!$A:$AZ,MATCH($A$1,'DB Country PMI'!$A$1:$AZ$1,),)=0,#N/A,VLOOKUP(A251,'DB Country PMI'!$A:$AZ,MATCH($A$1,'DB Country PMI'!$A$1:$AZ$1,),))</f>
        <v>53.9</v>
      </c>
      <c r="C251" s="24">
        <f>Table1346[[#This Row],[PMI]]-B250</f>
        <v>3.6999999999999957</v>
      </c>
    </row>
    <row r="252" spans="1:3" x14ac:dyDescent="0.2">
      <c r="A252" s="10">
        <v>44013</v>
      </c>
      <c r="B252" s="18">
        <f>IF(VLOOKUP(A252,'DB Country PMI'!$A:$AZ,MATCH($A$1,'DB Country PMI'!$A$1:$AZ$1,),)=0,#N/A,VLOOKUP(A252,'DB Country PMI'!$A:$AZ,MATCH($A$1,'DB Country PMI'!$A$1:$AZ$1,),))</f>
        <v>51.2</v>
      </c>
      <c r="C252" s="24">
        <f>Table1346[[#This Row],[PMI]]-B251</f>
        <v>-2.6999999999999957</v>
      </c>
    </row>
    <row r="253" spans="1:3" x14ac:dyDescent="0.2">
      <c r="A253" s="10">
        <v>44044</v>
      </c>
      <c r="B253" s="18">
        <f>IF(VLOOKUP(A253,'DB Country PMI'!$A:$AZ,MATCH($A$1,'DB Country PMI'!$A$1:$AZ$1,),)=0,#N/A,VLOOKUP(A253,'DB Country PMI'!$A:$AZ,MATCH($A$1,'DB Country PMI'!$A$1:$AZ$1,),))</f>
        <v>57.3</v>
      </c>
      <c r="C253" s="24">
        <f>Table1346[[#This Row],[PMI]]-B252</f>
        <v>6.0999999999999943</v>
      </c>
    </row>
    <row r="254" spans="1:3" x14ac:dyDescent="0.2">
      <c r="A254" s="10">
        <v>44075</v>
      </c>
      <c r="B254" s="18">
        <f>IF(VLOOKUP(A254,'DB Country PMI'!$A:$AZ,MATCH($A$1,'DB Country PMI'!$A$1:$AZ$1,),)=0,#N/A,VLOOKUP(A254,'DB Country PMI'!$A:$AZ,MATCH($A$1,'DB Country PMI'!$A$1:$AZ$1,),))</f>
        <v>58.3</v>
      </c>
      <c r="C254" s="24">
        <f>Table1346[[#This Row],[PMI]]-B253</f>
        <v>1</v>
      </c>
    </row>
    <row r="255" spans="1:3" x14ac:dyDescent="0.2">
      <c r="A255" s="10">
        <v>44105</v>
      </c>
      <c r="B255" s="18">
        <f>IF(VLOOKUP(A255,'DB Country PMI'!$A:$AZ,MATCH($A$1,'DB Country PMI'!$A$1:$AZ$1,),)=0,#N/A,VLOOKUP(A255,'DB Country PMI'!$A:$AZ,MATCH($A$1,'DB Country PMI'!$A$1:$AZ$1,),))</f>
        <v>60.9</v>
      </c>
      <c r="C255" s="24">
        <f>Table1346[[#This Row],[PMI]]-B254</f>
        <v>2.6000000000000014</v>
      </c>
    </row>
    <row r="256" spans="1:3" x14ac:dyDescent="0.2">
      <c r="A256" s="10">
        <v>44136</v>
      </c>
      <c r="B256" s="18">
        <f>IF(VLOOKUP(A256,'DB Country PMI'!$A:$AZ,MATCH($A$1,'DB Country PMI'!$A$1:$AZ$1,),)=0,#N/A,VLOOKUP(A256,'DB Country PMI'!$A:$AZ,MATCH($A$1,'DB Country PMI'!$A$1:$AZ$1,),))</f>
        <v>52.6</v>
      </c>
      <c r="C256" s="24">
        <f>Table1346[[#This Row],[PMI]]-B255</f>
        <v>-8.2999999999999972</v>
      </c>
    </row>
    <row r="257" spans="1:3" x14ac:dyDescent="0.2">
      <c r="A257" s="10">
        <v>44166</v>
      </c>
      <c r="B257" s="18">
        <f>IF(VLOOKUP(A257,'DB Country PMI'!$A:$AZ,MATCH($A$1,'DB Country PMI'!$A$1:$AZ$1,),)=0,#N/A,VLOOKUP(A257,'DB Country PMI'!$A:$AZ,MATCH($A$1,'DB Country PMI'!$A$1:$AZ$1,),))</f>
        <v>50.3</v>
      </c>
      <c r="C257" s="24">
        <f>Table1346[[#This Row],[PMI]]-B256</f>
        <v>-2.3000000000000043</v>
      </c>
    </row>
    <row r="258" spans="1:3" x14ac:dyDescent="0.2">
      <c r="A258" s="10">
        <v>44197</v>
      </c>
      <c r="B258" s="18">
        <f>IF(VLOOKUP(A258,'DB Country PMI'!$A:$AZ,MATCH($A$1,'DB Country PMI'!$A$1:$AZ$1,),)=0,#N/A,VLOOKUP(A258,'DB Country PMI'!$A:$AZ,MATCH($A$1,'DB Country PMI'!$A$1:$AZ$1,),))</f>
        <v>50.3</v>
      </c>
      <c r="C258" s="24">
        <f>Table1346[[#This Row],[PMI]]-B257</f>
        <v>0</v>
      </c>
    </row>
    <row r="259" spans="1:3" x14ac:dyDescent="0.2">
      <c r="A259" s="10">
        <v>44228</v>
      </c>
      <c r="B259" s="18">
        <f>IF(VLOOKUP(A259,'DB Country PMI'!$A:$AZ,MATCH($A$1,'DB Country PMI'!$A$1:$AZ$1,),)=0,#N/A,VLOOKUP(A259,'DB Country PMI'!$A:$AZ,MATCH($A$1,'DB Country PMI'!$A$1:$AZ$1,),))</f>
        <v>53</v>
      </c>
      <c r="C259" s="24">
        <f>Table1346[[#This Row],[PMI]]-B258</f>
        <v>2.7000000000000028</v>
      </c>
    </row>
    <row r="260" spans="1:3" x14ac:dyDescent="0.2">
      <c r="A260" s="10">
        <v>44256</v>
      </c>
      <c r="B260" s="18">
        <f>IF(VLOOKUP(A260,'DB Country PMI'!$A:$AZ,MATCH($A$1,'DB Country PMI'!$A$1:$AZ$1,),)=0,#N/A,VLOOKUP(A260,'DB Country PMI'!$A:$AZ,MATCH($A$1,'DB Country PMI'!$A$1:$AZ$1,),))</f>
        <v>57.4</v>
      </c>
      <c r="C260" s="24">
        <f>Table1346[[#This Row],[PMI]]-B259</f>
        <v>4.3999999999999986</v>
      </c>
    </row>
    <row r="261" spans="1:3" x14ac:dyDescent="0.2">
      <c r="A261" s="10">
        <v>44287</v>
      </c>
      <c r="B261" s="18">
        <f>IF(VLOOKUP(A261,'DB Country PMI'!$A:$AZ,MATCH($A$1,'DB Country PMI'!$A$1:$AZ$1,),)=0,#N/A,VLOOKUP(A261,'DB Country PMI'!$A:$AZ,MATCH($A$1,'DB Country PMI'!$A$1:$AZ$1,),))</f>
        <v>56.2</v>
      </c>
      <c r="C261" s="24">
        <f>Table1346[[#This Row],[PMI]]-B260</f>
        <v>-1.1999999999999957</v>
      </c>
    </row>
    <row r="262" spans="1:3" x14ac:dyDescent="0.2">
      <c r="A262" s="10">
        <v>44317</v>
      </c>
      <c r="B262" s="18">
        <f>IF(VLOOKUP(A262,'DB Country PMI'!$A:$AZ,MATCH($A$1,'DB Country PMI'!$A$1:$AZ$1,),)=0,#N/A,VLOOKUP(A262,'DB Country PMI'!$A:$AZ,MATCH($A$1,'DB Country PMI'!$A$1:$AZ$1,),))</f>
        <v>57.8</v>
      </c>
      <c r="C262" s="24">
        <f>Table1346[[#This Row],[PMI]]-B261</f>
        <v>1.5999999999999943</v>
      </c>
    </row>
    <row r="263" spans="1:3" x14ac:dyDescent="0.2">
      <c r="A263" s="10">
        <v>44348</v>
      </c>
      <c r="B263" s="18">
        <f>IF(VLOOKUP(A263,'DB Country PMI'!$A:$AZ,MATCH($A$1,'DB Country PMI'!$A$1:$AZ$1,),)=0,#N/A,VLOOKUP(A263,'DB Country PMI'!$A:$AZ,MATCH($A$1,'DB Country PMI'!$A$1:$AZ$1,),))</f>
        <v>57.4</v>
      </c>
      <c r="C263" s="24">
        <f>Table1346[[#This Row],[PMI]]-B262</f>
        <v>-0.39999999999999858</v>
      </c>
    </row>
    <row r="264" spans="1:3" x14ac:dyDescent="0.2">
      <c r="A264" s="10">
        <v>44378</v>
      </c>
      <c r="B264" s="18">
        <f>IF(VLOOKUP(A264,'DB Country PMI'!$A:$AZ,MATCH($A$1,'DB Country PMI'!$A$1:$AZ$1,),)=0,#N/A,VLOOKUP(A264,'DB Country PMI'!$A:$AZ,MATCH($A$1,'DB Country PMI'!$A$1:$AZ$1,),))</f>
        <v>43.5</v>
      </c>
      <c r="C264" s="24">
        <f>Table1346[[#This Row],[PMI]]-B263</f>
        <v>-13.899999999999999</v>
      </c>
    </row>
    <row r="265" spans="1:3" x14ac:dyDescent="0.2">
      <c r="A265" s="10">
        <v>44409</v>
      </c>
      <c r="B265" s="18">
        <f>IF(VLOOKUP(A265,'DB Country PMI'!$A:$AZ,MATCH($A$1,'DB Country PMI'!$A$1:$AZ$1,),)=0,#N/A,VLOOKUP(A265,'DB Country PMI'!$A:$AZ,MATCH($A$1,'DB Country PMI'!$A$1:$AZ$1,),))</f>
        <v>57.9</v>
      </c>
      <c r="C265" s="24">
        <f>Table1346[[#This Row],[PMI]]-B264</f>
        <v>14.399999999999999</v>
      </c>
    </row>
    <row r="266" spans="1:3" x14ac:dyDescent="0.2">
      <c r="A266" s="10">
        <v>44440</v>
      </c>
      <c r="B266" s="18">
        <f>IF(VLOOKUP(A266,'DB Country PMI'!$A:$AZ,MATCH($A$1,'DB Country PMI'!$A$1:$AZ$1,),)=0,#N/A,VLOOKUP(A266,'DB Country PMI'!$A:$AZ,MATCH($A$1,'DB Country PMI'!$A$1:$AZ$1,),))</f>
        <v>54.7</v>
      </c>
      <c r="C266" s="24">
        <f>Table1346[[#This Row],[PMI]]-B265</f>
        <v>-3.1999999999999957</v>
      </c>
    </row>
    <row r="267" spans="1:3" x14ac:dyDescent="0.2">
      <c r="A267" s="10">
        <v>44470</v>
      </c>
      <c r="B267" s="18">
        <f>IF(VLOOKUP(A267,'DB Country PMI'!$A:$AZ,MATCH($A$1,'DB Country PMI'!$A$1:$AZ$1,),)=0,#N/A,VLOOKUP(A267,'DB Country PMI'!$A:$AZ,MATCH($A$1,'DB Country PMI'!$A$1:$AZ$1,),))</f>
        <v>53.6</v>
      </c>
      <c r="C267" s="24">
        <f>Table1346[[#This Row],[PMI]]-B266</f>
        <v>-1.1000000000000014</v>
      </c>
    </row>
    <row r="268" spans="1:3" x14ac:dyDescent="0.2">
      <c r="A268" s="10">
        <v>44501</v>
      </c>
      <c r="B268" s="18">
        <f>IF(VLOOKUP(A268,'DB Country PMI'!$A:$AZ,MATCH($A$1,'DB Country PMI'!$A$1:$AZ$1,),)=0,#N/A,VLOOKUP(A268,'DB Country PMI'!$A:$AZ,MATCH($A$1,'DB Country PMI'!$A$1:$AZ$1,),))</f>
        <v>57.2</v>
      </c>
      <c r="C268" s="24">
        <f>Table1346[[#This Row],[PMI]]-B267</f>
        <v>3.6000000000000014</v>
      </c>
    </row>
  </sheetData>
  <conditionalFormatting sqref="C126:C268">
    <cfRule type="colorScale" priority="59">
      <colorScale>
        <cfvo type="min"/>
        <cfvo type="percentile" val="50"/>
        <cfvo type="max"/>
        <color rgb="FFF8696B"/>
        <color rgb="FFFCFCFF"/>
        <color rgb="FF5A8AC6"/>
      </colorScale>
    </cfRule>
  </conditionalFormatting>
  <conditionalFormatting sqref="B126:B26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20"/>
  <sheetViews>
    <sheetView zoomScale="160" zoomScaleNormal="160" workbookViewId="0">
      <pane ySplit="5" topLeftCell="A82" activePane="bottomLeft" state="frozen"/>
      <selection pane="bottomLeft" activeCell="U97" sqref="U97"/>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51</v>
      </c>
      <c r="K1" s="63" t="s">
        <v>107</v>
      </c>
    </row>
    <row r="2" spans="1:11" x14ac:dyDescent="0.2">
      <c r="K2" s="63" t="str">
        <f>A1&amp;K1</f>
        <v>Hong Kong Manufacturing PMI</v>
      </c>
    </row>
    <row r="4" spans="1:11" ht="16" customHeight="1" thickBot="1" x14ac:dyDescent="0.25"/>
    <row r="5" spans="1:11" ht="16" customHeight="1" thickBot="1" x14ac:dyDescent="0.25">
      <c r="A5" s="21" t="s">
        <v>44</v>
      </c>
      <c r="B5" s="22" t="s">
        <v>103</v>
      </c>
      <c r="C5" s="22" t="s">
        <v>104</v>
      </c>
    </row>
    <row r="6" spans="1:11" x14ac:dyDescent="0.2">
      <c r="A6" s="17">
        <v>41061</v>
      </c>
      <c r="B6" s="18">
        <f>IF(VLOOKUP(A6,'DB Country PMI'!$A:$AZ,MATCH($A$1,'DB Country PMI'!$A$1:$AZ$1,),)=0,#N/A,VLOOKUP(A6,'DB Country PMI'!$A:$AZ,MATCH($A$1,'DB Country PMI'!$A$1:$AZ$1,),))</f>
        <v>49.8</v>
      </c>
      <c r="C6" s="18"/>
    </row>
    <row r="7" spans="1:11" x14ac:dyDescent="0.2">
      <c r="A7" s="10">
        <v>41091</v>
      </c>
      <c r="B7" s="18">
        <f>IF(VLOOKUP(A7,'DB Country PMI'!$A:$AZ,MATCH($A$1,'DB Country PMI'!$A$1:$AZ$1,),)=0,#N/A,VLOOKUP(A7,'DB Country PMI'!$A:$AZ,MATCH($A$1,'DB Country PMI'!$A$1:$AZ$1,),))</f>
        <v>50.3</v>
      </c>
      <c r="C7" s="24">
        <f>Table13467[[#This Row],[PMI]]-B6</f>
        <v>0.5</v>
      </c>
    </row>
    <row r="8" spans="1:11" x14ac:dyDescent="0.2">
      <c r="A8" s="10">
        <v>41122</v>
      </c>
      <c r="B8" s="18">
        <f>IF(VLOOKUP(A8,'DB Country PMI'!$A:$AZ,MATCH($A$1,'DB Country PMI'!$A$1:$AZ$1,),)=0,#N/A,VLOOKUP(A8,'DB Country PMI'!$A:$AZ,MATCH($A$1,'DB Country PMI'!$A$1:$AZ$1,),))</f>
        <v>50.5</v>
      </c>
      <c r="C8" s="24">
        <f>Table13467[[#This Row],[PMI]]-B7</f>
        <v>0.20000000000000284</v>
      </c>
    </row>
    <row r="9" spans="1:11" x14ac:dyDescent="0.2">
      <c r="A9" s="10">
        <v>41153</v>
      </c>
      <c r="B9" s="18">
        <f>IF(VLOOKUP(A9,'DB Country PMI'!$A:$AZ,MATCH($A$1,'DB Country PMI'!$A$1:$AZ$1,),)=0,#N/A,VLOOKUP(A9,'DB Country PMI'!$A:$AZ,MATCH($A$1,'DB Country PMI'!$A$1:$AZ$1,),))</f>
        <v>49.6</v>
      </c>
      <c r="C9" s="24">
        <f>Table13467[[#This Row],[PMI]]-B8</f>
        <v>-0.89999999999999858</v>
      </c>
    </row>
    <row r="10" spans="1:11" x14ac:dyDescent="0.2">
      <c r="A10" s="10">
        <v>41183</v>
      </c>
      <c r="B10" s="18">
        <f>IF(VLOOKUP(A10,'DB Country PMI'!$A:$AZ,MATCH($A$1,'DB Country PMI'!$A$1:$AZ$1,),)=0,#N/A,VLOOKUP(A10,'DB Country PMI'!$A:$AZ,MATCH($A$1,'DB Country PMI'!$A$1:$AZ$1,),))</f>
        <v>50.5</v>
      </c>
      <c r="C10" s="24">
        <f>Table13467[[#This Row],[PMI]]-B9</f>
        <v>0.89999999999999858</v>
      </c>
    </row>
    <row r="11" spans="1:11" x14ac:dyDescent="0.2">
      <c r="A11" s="10">
        <v>41214</v>
      </c>
      <c r="B11" s="18">
        <f>IF(VLOOKUP(A11,'DB Country PMI'!$A:$AZ,MATCH($A$1,'DB Country PMI'!$A$1:$AZ$1,),)=0,#N/A,VLOOKUP(A11,'DB Country PMI'!$A:$AZ,MATCH($A$1,'DB Country PMI'!$A$1:$AZ$1,),))</f>
        <v>52.2</v>
      </c>
      <c r="C11" s="24">
        <f>Table13467[[#This Row],[PMI]]-B10</f>
        <v>1.7000000000000028</v>
      </c>
    </row>
    <row r="12" spans="1:11" x14ac:dyDescent="0.2">
      <c r="A12" s="10">
        <v>41244</v>
      </c>
      <c r="B12" s="18">
        <f>IF(VLOOKUP(A12,'DB Country PMI'!$A:$AZ,MATCH($A$1,'DB Country PMI'!$A$1:$AZ$1,),)=0,#N/A,VLOOKUP(A12,'DB Country PMI'!$A:$AZ,MATCH($A$1,'DB Country PMI'!$A$1:$AZ$1,),))</f>
        <v>51.7</v>
      </c>
      <c r="C12" s="24">
        <f>Table13467[[#This Row],[PMI]]-B11</f>
        <v>-0.5</v>
      </c>
    </row>
    <row r="13" spans="1:11" x14ac:dyDescent="0.2">
      <c r="A13" s="10">
        <v>41275</v>
      </c>
      <c r="B13" s="18">
        <f>IF(VLOOKUP(A13,'DB Country PMI'!$A:$AZ,MATCH($A$1,'DB Country PMI'!$A$1:$AZ$1,),)=0,#N/A,VLOOKUP(A13,'DB Country PMI'!$A:$AZ,MATCH($A$1,'DB Country PMI'!$A$1:$AZ$1,),))</f>
        <v>52.5</v>
      </c>
      <c r="C13" s="24">
        <f>Table13467[[#This Row],[PMI]]-B12</f>
        <v>0.79999999999999716</v>
      </c>
    </row>
    <row r="14" spans="1:11" x14ac:dyDescent="0.2">
      <c r="A14" s="10">
        <v>41306</v>
      </c>
      <c r="B14" s="18">
        <f>IF(VLOOKUP(A14,'DB Country PMI'!$A:$AZ,MATCH($A$1,'DB Country PMI'!$A$1:$AZ$1,),)=0,#N/A,VLOOKUP(A14,'DB Country PMI'!$A:$AZ,MATCH($A$1,'DB Country PMI'!$A$1:$AZ$1,),))</f>
        <v>51.2</v>
      </c>
      <c r="C14" s="24">
        <f>Table13467[[#This Row],[PMI]]-B13</f>
        <v>-1.2999999999999972</v>
      </c>
    </row>
    <row r="15" spans="1:11" x14ac:dyDescent="0.2">
      <c r="A15" s="10">
        <v>41334</v>
      </c>
      <c r="B15" s="18">
        <f>IF(VLOOKUP(A15,'DB Country PMI'!$A:$AZ,MATCH($A$1,'DB Country PMI'!$A$1:$AZ$1,),)=0,#N/A,VLOOKUP(A15,'DB Country PMI'!$A:$AZ,MATCH($A$1,'DB Country PMI'!$A$1:$AZ$1,),))</f>
        <v>50.5</v>
      </c>
      <c r="C15" s="24">
        <f>Table13467[[#This Row],[PMI]]-B14</f>
        <v>-0.70000000000000284</v>
      </c>
    </row>
    <row r="16" spans="1:11" x14ac:dyDescent="0.2">
      <c r="A16" s="10">
        <v>41365</v>
      </c>
      <c r="B16" s="18">
        <f>IF(VLOOKUP(A16,'DB Country PMI'!$A:$AZ,MATCH($A$1,'DB Country PMI'!$A$1:$AZ$1,),)=0,#N/A,VLOOKUP(A16,'DB Country PMI'!$A:$AZ,MATCH($A$1,'DB Country PMI'!$A$1:$AZ$1,),))</f>
        <v>49.9</v>
      </c>
      <c r="C16" s="24">
        <f>Table13467[[#This Row],[PMI]]-B15</f>
        <v>-0.60000000000000142</v>
      </c>
    </row>
    <row r="17" spans="1:3" x14ac:dyDescent="0.2">
      <c r="A17" s="10">
        <v>41395</v>
      </c>
      <c r="B17" s="18">
        <f>IF(VLOOKUP(A17,'DB Country PMI'!$A:$AZ,MATCH($A$1,'DB Country PMI'!$A$1:$AZ$1,),)=0,#N/A,VLOOKUP(A17,'DB Country PMI'!$A:$AZ,MATCH($A$1,'DB Country PMI'!$A$1:$AZ$1,),))</f>
        <v>49.8</v>
      </c>
      <c r="C17" s="24">
        <f>Table13467[[#This Row],[PMI]]-B16</f>
        <v>-0.10000000000000142</v>
      </c>
    </row>
    <row r="18" spans="1:3" x14ac:dyDescent="0.2">
      <c r="A18" s="10">
        <v>41426</v>
      </c>
      <c r="B18" s="18">
        <f>IF(VLOOKUP(A18,'DB Country PMI'!$A:$AZ,MATCH($A$1,'DB Country PMI'!$A$1:$AZ$1,),)=0,#N/A,VLOOKUP(A18,'DB Country PMI'!$A:$AZ,MATCH($A$1,'DB Country PMI'!$A$1:$AZ$1,),))</f>
        <v>48.7</v>
      </c>
      <c r="C18" s="24">
        <f>Table13467[[#This Row],[PMI]]-B17</f>
        <v>-1.0999999999999943</v>
      </c>
    </row>
    <row r="19" spans="1:3" x14ac:dyDescent="0.2">
      <c r="A19" s="10">
        <v>41456</v>
      </c>
      <c r="B19" s="18">
        <f>IF(VLOOKUP(A19,'DB Country PMI'!$A:$AZ,MATCH($A$1,'DB Country PMI'!$A$1:$AZ$1,),)=0,#N/A,VLOOKUP(A19,'DB Country PMI'!$A:$AZ,MATCH($A$1,'DB Country PMI'!$A$1:$AZ$1,),))</f>
        <v>49.7</v>
      </c>
      <c r="C19" s="24">
        <f>Table13467[[#This Row],[PMI]]-B18</f>
        <v>1</v>
      </c>
    </row>
    <row r="20" spans="1:3" x14ac:dyDescent="0.2">
      <c r="A20" s="10">
        <v>41487</v>
      </c>
      <c r="B20" s="18">
        <f>IF(VLOOKUP(A20,'DB Country PMI'!$A:$AZ,MATCH($A$1,'DB Country PMI'!$A$1:$AZ$1,),)=0,#N/A,VLOOKUP(A20,'DB Country PMI'!$A:$AZ,MATCH($A$1,'DB Country PMI'!$A$1:$AZ$1,),))</f>
        <v>49.7</v>
      </c>
      <c r="C20" s="24">
        <f>Table13467[[#This Row],[PMI]]-B19</f>
        <v>0</v>
      </c>
    </row>
    <row r="21" spans="1:3" x14ac:dyDescent="0.2">
      <c r="A21" s="10">
        <v>41518</v>
      </c>
      <c r="B21" s="18">
        <f>IF(VLOOKUP(A21,'DB Country PMI'!$A:$AZ,MATCH($A$1,'DB Country PMI'!$A$1:$AZ$1,),)=0,#N/A,VLOOKUP(A21,'DB Country PMI'!$A:$AZ,MATCH($A$1,'DB Country PMI'!$A$1:$AZ$1,),))</f>
        <v>50</v>
      </c>
      <c r="C21" s="24">
        <f>Table13467[[#This Row],[PMI]]-B20</f>
        <v>0.29999999999999716</v>
      </c>
    </row>
    <row r="22" spans="1:3" x14ac:dyDescent="0.2">
      <c r="A22" s="10">
        <v>41548</v>
      </c>
      <c r="B22" s="18">
        <f>IF(VLOOKUP(A22,'DB Country PMI'!$A:$AZ,MATCH($A$1,'DB Country PMI'!$A$1:$AZ$1,),)=0,#N/A,VLOOKUP(A22,'DB Country PMI'!$A:$AZ,MATCH($A$1,'DB Country PMI'!$A$1:$AZ$1,),))</f>
        <v>50.1</v>
      </c>
      <c r="C22" s="24">
        <f>Table13467[[#This Row],[PMI]]-B21</f>
        <v>0.10000000000000142</v>
      </c>
    </row>
    <row r="23" spans="1:3" x14ac:dyDescent="0.2">
      <c r="A23" s="10">
        <v>41579</v>
      </c>
      <c r="B23" s="18">
        <f>IF(VLOOKUP(A23,'DB Country PMI'!$A:$AZ,MATCH($A$1,'DB Country PMI'!$A$1:$AZ$1,),)=0,#N/A,VLOOKUP(A23,'DB Country PMI'!$A:$AZ,MATCH($A$1,'DB Country PMI'!$A$1:$AZ$1,),))</f>
        <v>52.1</v>
      </c>
      <c r="C23" s="24">
        <f>Table13467[[#This Row],[PMI]]-B22</f>
        <v>2</v>
      </c>
    </row>
    <row r="24" spans="1:3" x14ac:dyDescent="0.2">
      <c r="A24" s="10">
        <v>41609</v>
      </c>
      <c r="B24" s="18">
        <f>IF(VLOOKUP(A24,'DB Country PMI'!$A:$AZ,MATCH($A$1,'DB Country PMI'!$A$1:$AZ$1,),)=0,#N/A,VLOOKUP(A24,'DB Country PMI'!$A:$AZ,MATCH($A$1,'DB Country PMI'!$A$1:$AZ$1,),))</f>
        <v>51.2</v>
      </c>
      <c r="C24" s="24">
        <f>Table13467[[#This Row],[PMI]]-B23</f>
        <v>-0.89999999999999858</v>
      </c>
    </row>
    <row r="25" spans="1:3" x14ac:dyDescent="0.2">
      <c r="A25" s="10">
        <v>41640</v>
      </c>
      <c r="B25" s="18">
        <f>IF(VLOOKUP(A25,'DB Country PMI'!$A:$AZ,MATCH($A$1,'DB Country PMI'!$A$1:$AZ$1,),)=0,#N/A,VLOOKUP(A25,'DB Country PMI'!$A:$AZ,MATCH($A$1,'DB Country PMI'!$A$1:$AZ$1,),))</f>
        <v>52.7</v>
      </c>
      <c r="C25" s="24">
        <f>Table13467[[#This Row],[PMI]]-B24</f>
        <v>1.5</v>
      </c>
    </row>
    <row r="26" spans="1:3" x14ac:dyDescent="0.2">
      <c r="A26" s="10">
        <v>41671</v>
      </c>
      <c r="B26" s="18">
        <f>IF(VLOOKUP(A26,'DB Country PMI'!$A:$AZ,MATCH($A$1,'DB Country PMI'!$A$1:$AZ$1,),)=0,#N/A,VLOOKUP(A26,'DB Country PMI'!$A:$AZ,MATCH($A$1,'DB Country PMI'!$A$1:$AZ$1,),))</f>
        <v>53.3</v>
      </c>
      <c r="C26" s="24">
        <f>Table13467[[#This Row],[PMI]]-B25</f>
        <v>0.59999999999999432</v>
      </c>
    </row>
    <row r="27" spans="1:3" x14ac:dyDescent="0.2">
      <c r="A27" s="10">
        <v>41699</v>
      </c>
      <c r="B27" s="18">
        <f>IF(VLOOKUP(A27,'DB Country PMI'!$A:$AZ,MATCH($A$1,'DB Country PMI'!$A$1:$AZ$1,),)=0,#N/A,VLOOKUP(A27,'DB Country PMI'!$A:$AZ,MATCH($A$1,'DB Country PMI'!$A$1:$AZ$1,),))</f>
        <v>49.9</v>
      </c>
      <c r="C27" s="24">
        <f>Table13467[[#This Row],[PMI]]-B26</f>
        <v>-3.3999999999999986</v>
      </c>
    </row>
    <row r="28" spans="1:3" x14ac:dyDescent="0.2">
      <c r="A28" s="10">
        <v>41730</v>
      </c>
      <c r="B28" s="18">
        <f>IF(VLOOKUP(A28,'DB Country PMI'!$A:$AZ,MATCH($A$1,'DB Country PMI'!$A$1:$AZ$1,),)=0,#N/A,VLOOKUP(A28,'DB Country PMI'!$A:$AZ,MATCH($A$1,'DB Country PMI'!$A$1:$AZ$1,),))</f>
        <v>49.7</v>
      </c>
      <c r="C28" s="24">
        <f>Table13467[[#This Row],[PMI]]-B27</f>
        <v>-0.19999999999999574</v>
      </c>
    </row>
    <row r="29" spans="1:3" x14ac:dyDescent="0.2">
      <c r="A29" s="10">
        <v>41760</v>
      </c>
      <c r="B29" s="18">
        <f>IF(VLOOKUP(A29,'DB Country PMI'!$A:$AZ,MATCH($A$1,'DB Country PMI'!$A$1:$AZ$1,),)=0,#N/A,VLOOKUP(A29,'DB Country PMI'!$A:$AZ,MATCH($A$1,'DB Country PMI'!$A$1:$AZ$1,),))</f>
        <v>49.1</v>
      </c>
      <c r="C29" s="24">
        <f>Table13467[[#This Row],[PMI]]-B28</f>
        <v>-0.60000000000000142</v>
      </c>
    </row>
    <row r="30" spans="1:3" x14ac:dyDescent="0.2">
      <c r="A30" s="10">
        <v>41791</v>
      </c>
      <c r="B30" s="18">
        <f>IF(VLOOKUP(A30,'DB Country PMI'!$A:$AZ,MATCH($A$1,'DB Country PMI'!$A$1:$AZ$1,),)=0,#N/A,VLOOKUP(A30,'DB Country PMI'!$A:$AZ,MATCH($A$1,'DB Country PMI'!$A$1:$AZ$1,),))</f>
        <v>50.1</v>
      </c>
      <c r="C30" s="24">
        <f>Table13467[[#This Row],[PMI]]-B29</f>
        <v>1</v>
      </c>
    </row>
    <row r="31" spans="1:3" x14ac:dyDescent="0.2">
      <c r="A31" s="10">
        <v>41821</v>
      </c>
      <c r="B31" s="18">
        <f>IF(VLOOKUP(A31,'DB Country PMI'!$A:$AZ,MATCH($A$1,'DB Country PMI'!$A$1:$AZ$1,),)=0,#N/A,VLOOKUP(A31,'DB Country PMI'!$A:$AZ,MATCH($A$1,'DB Country PMI'!$A$1:$AZ$1,),))</f>
        <v>50.4</v>
      </c>
      <c r="C31" s="24">
        <f>Table13467[[#This Row],[PMI]]-B30</f>
        <v>0.29999999999999716</v>
      </c>
    </row>
    <row r="32" spans="1:3" x14ac:dyDescent="0.2">
      <c r="A32" s="10">
        <v>41852</v>
      </c>
      <c r="B32" s="18">
        <f>IF(VLOOKUP(A32,'DB Country PMI'!$A:$AZ,MATCH($A$1,'DB Country PMI'!$A$1:$AZ$1,),)=0,#N/A,VLOOKUP(A32,'DB Country PMI'!$A:$AZ,MATCH($A$1,'DB Country PMI'!$A$1:$AZ$1,),))</f>
        <v>49.6</v>
      </c>
      <c r="C32" s="24">
        <f>Table13467[[#This Row],[PMI]]-B31</f>
        <v>-0.79999999999999716</v>
      </c>
    </row>
    <row r="33" spans="1:3" x14ac:dyDescent="0.2">
      <c r="A33" s="10">
        <v>41883</v>
      </c>
      <c r="B33" s="18">
        <f>IF(VLOOKUP(A33,'DB Country PMI'!$A:$AZ,MATCH($A$1,'DB Country PMI'!$A$1:$AZ$1,),)=0,#N/A,VLOOKUP(A33,'DB Country PMI'!$A:$AZ,MATCH($A$1,'DB Country PMI'!$A$1:$AZ$1,),))</f>
        <v>49.8</v>
      </c>
      <c r="C33" s="24">
        <f>Table13467[[#This Row],[PMI]]-B32</f>
        <v>0.19999999999999574</v>
      </c>
    </row>
    <row r="34" spans="1:3" x14ac:dyDescent="0.2">
      <c r="A34" s="10">
        <v>41913</v>
      </c>
      <c r="B34" s="18">
        <f>IF(VLOOKUP(A34,'DB Country PMI'!$A:$AZ,MATCH($A$1,'DB Country PMI'!$A$1:$AZ$1,),)=0,#N/A,VLOOKUP(A34,'DB Country PMI'!$A:$AZ,MATCH($A$1,'DB Country PMI'!$A$1:$AZ$1,),))</f>
        <v>47.7</v>
      </c>
      <c r="C34" s="24">
        <f>Table13467[[#This Row],[PMI]]-B33</f>
        <v>-2.0999999999999943</v>
      </c>
    </row>
    <row r="35" spans="1:3" x14ac:dyDescent="0.2">
      <c r="A35" s="10">
        <v>41944</v>
      </c>
      <c r="B35" s="18">
        <f>IF(VLOOKUP(A35,'DB Country PMI'!$A:$AZ,MATCH($A$1,'DB Country PMI'!$A$1:$AZ$1,),)=0,#N/A,VLOOKUP(A35,'DB Country PMI'!$A:$AZ,MATCH($A$1,'DB Country PMI'!$A$1:$AZ$1,),))</f>
        <v>48.8</v>
      </c>
      <c r="C35" s="24">
        <f>Table13467[[#This Row],[PMI]]-B34</f>
        <v>1.0999999999999943</v>
      </c>
    </row>
    <row r="36" spans="1:3" x14ac:dyDescent="0.2">
      <c r="A36" s="10">
        <v>41974</v>
      </c>
      <c r="B36" s="18">
        <f>IF(VLOOKUP(A36,'DB Country PMI'!$A:$AZ,MATCH($A$1,'DB Country PMI'!$A$1:$AZ$1,),)=0,#N/A,VLOOKUP(A36,'DB Country PMI'!$A:$AZ,MATCH($A$1,'DB Country PMI'!$A$1:$AZ$1,),))</f>
        <v>50.3</v>
      </c>
      <c r="C36" s="24">
        <f>Table13467[[#This Row],[PMI]]-B35</f>
        <v>1.5</v>
      </c>
    </row>
    <row r="37" spans="1:3" x14ac:dyDescent="0.2">
      <c r="A37" s="10">
        <v>42005</v>
      </c>
      <c r="B37" s="18">
        <f>IF(VLOOKUP(A37,'DB Country PMI'!$A:$AZ,MATCH($A$1,'DB Country PMI'!$A$1:$AZ$1,),)=0,#N/A,VLOOKUP(A37,'DB Country PMI'!$A:$AZ,MATCH($A$1,'DB Country PMI'!$A$1:$AZ$1,),))</f>
        <v>49.4</v>
      </c>
      <c r="C37" s="24">
        <f>Table13467[[#This Row],[PMI]]-B36</f>
        <v>-0.89999999999999858</v>
      </c>
    </row>
    <row r="38" spans="1:3" x14ac:dyDescent="0.2">
      <c r="A38" s="10">
        <v>42036</v>
      </c>
      <c r="B38" s="18">
        <f>IF(VLOOKUP(A38,'DB Country PMI'!$A:$AZ,MATCH($A$1,'DB Country PMI'!$A$1:$AZ$1,),)=0,#N/A,VLOOKUP(A38,'DB Country PMI'!$A:$AZ,MATCH($A$1,'DB Country PMI'!$A$1:$AZ$1,),))</f>
        <v>50.7</v>
      </c>
      <c r="C38" s="24">
        <f>Table13467[[#This Row],[PMI]]-B37</f>
        <v>1.3000000000000043</v>
      </c>
    </row>
    <row r="39" spans="1:3" x14ac:dyDescent="0.2">
      <c r="A39" s="10">
        <v>42064</v>
      </c>
      <c r="B39" s="18">
        <f>IF(VLOOKUP(A39,'DB Country PMI'!$A:$AZ,MATCH($A$1,'DB Country PMI'!$A$1:$AZ$1,),)=0,#N/A,VLOOKUP(A39,'DB Country PMI'!$A:$AZ,MATCH($A$1,'DB Country PMI'!$A$1:$AZ$1,),))</f>
        <v>49.6</v>
      </c>
      <c r="C39" s="24">
        <f>Table13467[[#This Row],[PMI]]-B38</f>
        <v>-1.1000000000000014</v>
      </c>
    </row>
    <row r="40" spans="1:3" x14ac:dyDescent="0.2">
      <c r="A40" s="10">
        <v>42095</v>
      </c>
      <c r="B40" s="18">
        <f>IF(VLOOKUP(A40,'DB Country PMI'!$A:$AZ,MATCH($A$1,'DB Country PMI'!$A$1:$AZ$1,),)=0,#N/A,VLOOKUP(A40,'DB Country PMI'!$A:$AZ,MATCH($A$1,'DB Country PMI'!$A$1:$AZ$1,),))</f>
        <v>48.6</v>
      </c>
      <c r="C40" s="24">
        <f>Table13467[[#This Row],[PMI]]-B39</f>
        <v>-1</v>
      </c>
    </row>
    <row r="41" spans="1:3" x14ac:dyDescent="0.2">
      <c r="A41" s="10">
        <v>42125</v>
      </c>
      <c r="B41" s="18">
        <f>IF(VLOOKUP(A41,'DB Country PMI'!$A:$AZ,MATCH($A$1,'DB Country PMI'!$A$1:$AZ$1,),)=0,#N/A,VLOOKUP(A41,'DB Country PMI'!$A:$AZ,MATCH($A$1,'DB Country PMI'!$A$1:$AZ$1,),))</f>
        <v>47.6</v>
      </c>
      <c r="C41" s="24">
        <f>Table13467[[#This Row],[PMI]]-B40</f>
        <v>-1</v>
      </c>
    </row>
    <row r="42" spans="1:3" x14ac:dyDescent="0.2">
      <c r="A42" s="10">
        <v>42156</v>
      </c>
      <c r="B42" s="18">
        <f>IF(VLOOKUP(A42,'DB Country PMI'!$A:$AZ,MATCH($A$1,'DB Country PMI'!$A$1:$AZ$1,),)=0,#N/A,VLOOKUP(A42,'DB Country PMI'!$A:$AZ,MATCH($A$1,'DB Country PMI'!$A$1:$AZ$1,),))</f>
        <v>49.2</v>
      </c>
      <c r="C42" s="24">
        <f>Table13467[[#This Row],[PMI]]-B41</f>
        <v>1.6000000000000014</v>
      </c>
    </row>
    <row r="43" spans="1:3" x14ac:dyDescent="0.2">
      <c r="A43" s="10">
        <v>42186</v>
      </c>
      <c r="B43" s="18">
        <f>IF(VLOOKUP(A43,'DB Country PMI'!$A:$AZ,MATCH($A$1,'DB Country PMI'!$A$1:$AZ$1,),)=0,#N/A,VLOOKUP(A43,'DB Country PMI'!$A:$AZ,MATCH($A$1,'DB Country PMI'!$A$1:$AZ$1,),))</f>
        <v>48.2</v>
      </c>
      <c r="C43" s="24">
        <f>Table13467[[#This Row],[PMI]]-B42</f>
        <v>-1</v>
      </c>
    </row>
    <row r="44" spans="1:3" x14ac:dyDescent="0.2">
      <c r="A44" s="10">
        <v>42217</v>
      </c>
      <c r="B44" s="18">
        <f>IF(VLOOKUP(A44,'DB Country PMI'!$A:$AZ,MATCH($A$1,'DB Country PMI'!$A$1:$AZ$1,),)=0,#N/A,VLOOKUP(A44,'DB Country PMI'!$A:$AZ,MATCH($A$1,'DB Country PMI'!$A$1:$AZ$1,),))</f>
        <v>44.4</v>
      </c>
      <c r="C44" s="24">
        <f>Table13467[[#This Row],[PMI]]-B43</f>
        <v>-3.8000000000000043</v>
      </c>
    </row>
    <row r="45" spans="1:3" x14ac:dyDescent="0.2">
      <c r="A45" s="10">
        <v>42248</v>
      </c>
      <c r="B45" s="18">
        <f>IF(VLOOKUP(A45,'DB Country PMI'!$A:$AZ,MATCH($A$1,'DB Country PMI'!$A$1:$AZ$1,),)=0,#N/A,VLOOKUP(A45,'DB Country PMI'!$A:$AZ,MATCH($A$1,'DB Country PMI'!$A$1:$AZ$1,),))</f>
        <v>45.7</v>
      </c>
      <c r="C45" s="24">
        <f>Table13467[[#This Row],[PMI]]-B44</f>
        <v>1.3000000000000043</v>
      </c>
    </row>
    <row r="46" spans="1:3" x14ac:dyDescent="0.2">
      <c r="A46" s="10">
        <v>42278</v>
      </c>
      <c r="B46" s="18">
        <f>IF(VLOOKUP(A46,'DB Country PMI'!$A:$AZ,MATCH($A$1,'DB Country PMI'!$A$1:$AZ$1,),)=0,#N/A,VLOOKUP(A46,'DB Country PMI'!$A:$AZ,MATCH($A$1,'DB Country PMI'!$A$1:$AZ$1,),))</f>
        <v>46.6</v>
      </c>
      <c r="C46" s="24">
        <f>Table13467[[#This Row],[PMI]]-B45</f>
        <v>0.89999999999999858</v>
      </c>
    </row>
    <row r="47" spans="1:3" x14ac:dyDescent="0.2">
      <c r="A47" s="10">
        <v>42309</v>
      </c>
      <c r="B47" s="18">
        <f>IF(VLOOKUP(A47,'DB Country PMI'!$A:$AZ,MATCH($A$1,'DB Country PMI'!$A$1:$AZ$1,),)=0,#N/A,VLOOKUP(A47,'DB Country PMI'!$A:$AZ,MATCH($A$1,'DB Country PMI'!$A$1:$AZ$1,),))</f>
        <v>46.6</v>
      </c>
      <c r="C47" s="24">
        <f>Table13467[[#This Row],[PMI]]-B46</f>
        <v>0</v>
      </c>
    </row>
    <row r="48" spans="1:3" x14ac:dyDescent="0.2">
      <c r="A48" s="10">
        <v>42339</v>
      </c>
      <c r="B48" s="18">
        <f>IF(VLOOKUP(A48,'DB Country PMI'!$A:$AZ,MATCH($A$1,'DB Country PMI'!$A$1:$AZ$1,),)=0,#N/A,VLOOKUP(A48,'DB Country PMI'!$A:$AZ,MATCH($A$1,'DB Country PMI'!$A$1:$AZ$1,),))</f>
        <v>46.4</v>
      </c>
      <c r="C48" s="24">
        <f>Table13467[[#This Row],[PMI]]-B47</f>
        <v>-0.20000000000000284</v>
      </c>
    </row>
    <row r="49" spans="1:3" x14ac:dyDescent="0.2">
      <c r="A49" s="10">
        <v>42370</v>
      </c>
      <c r="B49" s="18">
        <f>IF(VLOOKUP(A49,'DB Country PMI'!$A:$AZ,MATCH($A$1,'DB Country PMI'!$A$1:$AZ$1,),)=0,#N/A,VLOOKUP(A49,'DB Country PMI'!$A:$AZ,MATCH($A$1,'DB Country PMI'!$A$1:$AZ$1,),))</f>
        <v>46.1</v>
      </c>
      <c r="C49" s="24">
        <f>Table13467[[#This Row],[PMI]]-B48</f>
        <v>-0.29999999999999716</v>
      </c>
    </row>
    <row r="50" spans="1:3" x14ac:dyDescent="0.2">
      <c r="A50" s="10">
        <v>42401</v>
      </c>
      <c r="B50" s="18">
        <f>IF(VLOOKUP(A50,'DB Country PMI'!$A:$AZ,MATCH($A$1,'DB Country PMI'!$A$1:$AZ$1,),)=0,#N/A,VLOOKUP(A50,'DB Country PMI'!$A:$AZ,MATCH($A$1,'DB Country PMI'!$A$1:$AZ$1,),))</f>
        <v>46.4</v>
      </c>
      <c r="C50" s="24">
        <f>Table13467[[#This Row],[PMI]]-B49</f>
        <v>0.29999999999999716</v>
      </c>
    </row>
    <row r="51" spans="1:3" x14ac:dyDescent="0.2">
      <c r="A51" s="10">
        <v>42430</v>
      </c>
      <c r="B51" s="18">
        <f>IF(VLOOKUP(A51,'DB Country PMI'!$A:$AZ,MATCH($A$1,'DB Country PMI'!$A$1:$AZ$1,),)=0,#N/A,VLOOKUP(A51,'DB Country PMI'!$A:$AZ,MATCH($A$1,'DB Country PMI'!$A$1:$AZ$1,),))</f>
        <v>45.5</v>
      </c>
      <c r="C51" s="24">
        <f>Table13467[[#This Row],[PMI]]-B50</f>
        <v>-0.89999999999999858</v>
      </c>
    </row>
    <row r="52" spans="1:3" x14ac:dyDescent="0.2">
      <c r="A52" s="10">
        <v>42461</v>
      </c>
      <c r="B52" s="18">
        <f>IF(VLOOKUP(A52,'DB Country PMI'!$A:$AZ,MATCH($A$1,'DB Country PMI'!$A$1:$AZ$1,),)=0,#N/A,VLOOKUP(A52,'DB Country PMI'!$A:$AZ,MATCH($A$1,'DB Country PMI'!$A$1:$AZ$1,),))</f>
        <v>45.3</v>
      </c>
      <c r="C52" s="24">
        <f>Table13467[[#This Row],[PMI]]-B51</f>
        <v>-0.20000000000000284</v>
      </c>
    </row>
    <row r="53" spans="1:3" x14ac:dyDescent="0.2">
      <c r="A53" s="10">
        <v>42491</v>
      </c>
      <c r="B53" s="18">
        <f>IF(VLOOKUP(A53,'DB Country PMI'!$A:$AZ,MATCH($A$1,'DB Country PMI'!$A$1:$AZ$1,),)=0,#N/A,VLOOKUP(A53,'DB Country PMI'!$A:$AZ,MATCH($A$1,'DB Country PMI'!$A$1:$AZ$1,),))</f>
        <v>47.2</v>
      </c>
      <c r="C53" s="24">
        <f>Table13467[[#This Row],[PMI]]-B52</f>
        <v>1.9000000000000057</v>
      </c>
    </row>
    <row r="54" spans="1:3" x14ac:dyDescent="0.2">
      <c r="A54" s="10">
        <v>42522</v>
      </c>
      <c r="B54" s="18">
        <f>IF(VLOOKUP(A54,'DB Country PMI'!$A:$AZ,MATCH($A$1,'DB Country PMI'!$A$1:$AZ$1,),)=0,#N/A,VLOOKUP(A54,'DB Country PMI'!$A:$AZ,MATCH($A$1,'DB Country PMI'!$A$1:$AZ$1,),))</f>
        <v>45.4</v>
      </c>
      <c r="C54" s="24">
        <f>Table13467[[#This Row],[PMI]]-B53</f>
        <v>-1.8000000000000043</v>
      </c>
    </row>
    <row r="55" spans="1:3" x14ac:dyDescent="0.2">
      <c r="A55" s="10">
        <v>42552</v>
      </c>
      <c r="B55" s="18">
        <f>IF(VLOOKUP(A55,'DB Country PMI'!$A:$AZ,MATCH($A$1,'DB Country PMI'!$A$1:$AZ$1,),)=0,#N/A,VLOOKUP(A55,'DB Country PMI'!$A:$AZ,MATCH($A$1,'DB Country PMI'!$A$1:$AZ$1,),))</f>
        <v>47.2</v>
      </c>
      <c r="C55" s="24">
        <f>Table13467[[#This Row],[PMI]]-B54</f>
        <v>1.8000000000000043</v>
      </c>
    </row>
    <row r="56" spans="1:3" x14ac:dyDescent="0.2">
      <c r="A56" s="10">
        <v>42583</v>
      </c>
      <c r="B56" s="18">
        <f>IF(VLOOKUP(A56,'DB Country PMI'!$A:$AZ,MATCH($A$1,'DB Country PMI'!$A$1:$AZ$1,),)=0,#N/A,VLOOKUP(A56,'DB Country PMI'!$A:$AZ,MATCH($A$1,'DB Country PMI'!$A$1:$AZ$1,),))</f>
        <v>49</v>
      </c>
      <c r="C56" s="24">
        <f>Table13467[[#This Row],[PMI]]-B55</f>
        <v>1.7999999999999972</v>
      </c>
    </row>
    <row r="57" spans="1:3" x14ac:dyDescent="0.2">
      <c r="A57" s="10">
        <v>42614</v>
      </c>
      <c r="B57" s="18">
        <f>IF(VLOOKUP(A57,'DB Country PMI'!$A:$AZ,MATCH($A$1,'DB Country PMI'!$A$1:$AZ$1,),)=0,#N/A,VLOOKUP(A57,'DB Country PMI'!$A:$AZ,MATCH($A$1,'DB Country PMI'!$A$1:$AZ$1,),))</f>
        <v>49.3</v>
      </c>
      <c r="C57" s="24">
        <f>Table13467[[#This Row],[PMI]]-B56</f>
        <v>0.29999999999999716</v>
      </c>
    </row>
    <row r="58" spans="1:3" x14ac:dyDescent="0.2">
      <c r="A58" s="10">
        <v>42644</v>
      </c>
      <c r="B58" s="18">
        <f>IF(VLOOKUP(A58,'DB Country PMI'!$A:$AZ,MATCH($A$1,'DB Country PMI'!$A$1:$AZ$1,),)=0,#N/A,VLOOKUP(A58,'DB Country PMI'!$A:$AZ,MATCH($A$1,'DB Country PMI'!$A$1:$AZ$1,),))</f>
        <v>48.2</v>
      </c>
      <c r="C58" s="24">
        <f>Table13467[[#This Row],[PMI]]-B57</f>
        <v>-1.0999999999999943</v>
      </c>
    </row>
    <row r="59" spans="1:3" x14ac:dyDescent="0.2">
      <c r="A59" s="10">
        <v>42675</v>
      </c>
      <c r="B59" s="18">
        <f>IF(VLOOKUP(A59,'DB Country PMI'!$A:$AZ,MATCH($A$1,'DB Country PMI'!$A$1:$AZ$1,),)=0,#N/A,VLOOKUP(A59,'DB Country PMI'!$A:$AZ,MATCH($A$1,'DB Country PMI'!$A$1:$AZ$1,),))</f>
        <v>49.5</v>
      </c>
      <c r="C59" s="24">
        <f>Table13467[[#This Row],[PMI]]-B58</f>
        <v>1.2999999999999972</v>
      </c>
    </row>
    <row r="60" spans="1:3" x14ac:dyDescent="0.2">
      <c r="A60" s="10">
        <v>42705</v>
      </c>
      <c r="B60" s="18">
        <f>IF(VLOOKUP(A60,'DB Country PMI'!$A:$AZ,MATCH($A$1,'DB Country PMI'!$A$1:$AZ$1,),)=0,#N/A,VLOOKUP(A60,'DB Country PMI'!$A:$AZ,MATCH($A$1,'DB Country PMI'!$A$1:$AZ$1,),))</f>
        <v>50.3</v>
      </c>
      <c r="C60" s="24">
        <f>Table13467[[#This Row],[PMI]]-B59</f>
        <v>0.79999999999999716</v>
      </c>
    </row>
    <row r="61" spans="1:3" x14ac:dyDescent="0.2">
      <c r="A61" s="10">
        <v>42736</v>
      </c>
      <c r="B61" s="18">
        <f>IF(VLOOKUP(A61,'DB Country PMI'!$A:$AZ,MATCH($A$1,'DB Country PMI'!$A$1:$AZ$1,),)=0,#N/A,VLOOKUP(A61,'DB Country PMI'!$A:$AZ,MATCH($A$1,'DB Country PMI'!$A$1:$AZ$1,),))</f>
        <v>49.9</v>
      </c>
      <c r="C61" s="24">
        <f>Table13467[[#This Row],[PMI]]-B60</f>
        <v>-0.39999999999999858</v>
      </c>
    </row>
    <row r="62" spans="1:3" x14ac:dyDescent="0.2">
      <c r="A62" s="10">
        <v>42767</v>
      </c>
      <c r="B62" s="18">
        <f>IF(VLOOKUP(A62,'DB Country PMI'!$A:$AZ,MATCH($A$1,'DB Country PMI'!$A$1:$AZ$1,),)=0,#N/A,VLOOKUP(A62,'DB Country PMI'!$A:$AZ,MATCH($A$1,'DB Country PMI'!$A$1:$AZ$1,),))</f>
        <v>49.6</v>
      </c>
      <c r="C62" s="24">
        <f>Table13467[[#This Row],[PMI]]-B61</f>
        <v>-0.29999999999999716</v>
      </c>
    </row>
    <row r="63" spans="1:3" x14ac:dyDescent="0.2">
      <c r="A63" s="10">
        <v>42795</v>
      </c>
      <c r="B63" s="18">
        <f>IF(VLOOKUP(A63,'DB Country PMI'!$A:$AZ,MATCH($A$1,'DB Country PMI'!$A$1:$AZ$1,),)=0,#N/A,VLOOKUP(A63,'DB Country PMI'!$A:$AZ,MATCH($A$1,'DB Country PMI'!$A$1:$AZ$1,),))</f>
        <v>49.9</v>
      </c>
      <c r="C63" s="24">
        <f>Table13467[[#This Row],[PMI]]-B62</f>
        <v>0.29999999999999716</v>
      </c>
    </row>
    <row r="64" spans="1:3" x14ac:dyDescent="0.2">
      <c r="A64" s="10">
        <v>42826</v>
      </c>
      <c r="B64" s="18">
        <f>IF(VLOOKUP(A64,'DB Country PMI'!$A:$AZ,MATCH($A$1,'DB Country PMI'!$A$1:$AZ$1,),)=0,#N/A,VLOOKUP(A64,'DB Country PMI'!$A:$AZ,MATCH($A$1,'DB Country PMI'!$A$1:$AZ$1,),))</f>
        <v>51.1</v>
      </c>
      <c r="C64" s="24">
        <f>Table13467[[#This Row],[PMI]]-B63</f>
        <v>1.2000000000000028</v>
      </c>
    </row>
    <row r="65" spans="1:3" x14ac:dyDescent="0.2">
      <c r="A65" s="10">
        <v>42856</v>
      </c>
      <c r="B65" s="18">
        <f>IF(VLOOKUP(A65,'DB Country PMI'!$A:$AZ,MATCH($A$1,'DB Country PMI'!$A$1:$AZ$1,),)=0,#N/A,VLOOKUP(A65,'DB Country PMI'!$A:$AZ,MATCH($A$1,'DB Country PMI'!$A$1:$AZ$1,),))</f>
        <v>50.5</v>
      </c>
      <c r="C65" s="24">
        <f>Table13467[[#This Row],[PMI]]-B64</f>
        <v>-0.60000000000000142</v>
      </c>
    </row>
    <row r="66" spans="1:3" x14ac:dyDescent="0.2">
      <c r="A66" s="10">
        <v>42887</v>
      </c>
      <c r="B66" s="18">
        <f>IF(VLOOKUP(A66,'DB Country PMI'!$A:$AZ,MATCH($A$1,'DB Country PMI'!$A$1:$AZ$1,),)=0,#N/A,VLOOKUP(A66,'DB Country PMI'!$A:$AZ,MATCH($A$1,'DB Country PMI'!$A$1:$AZ$1,),))</f>
        <v>51.1</v>
      </c>
      <c r="C66" s="24">
        <f>Table13467[[#This Row],[PMI]]-B65</f>
        <v>0.60000000000000142</v>
      </c>
    </row>
    <row r="67" spans="1:3" x14ac:dyDescent="0.2">
      <c r="A67" s="10">
        <v>42917</v>
      </c>
      <c r="B67" s="18">
        <f>IF(VLOOKUP(A67,'DB Country PMI'!$A:$AZ,MATCH($A$1,'DB Country PMI'!$A$1:$AZ$1,),)=0,#N/A,VLOOKUP(A67,'DB Country PMI'!$A:$AZ,MATCH($A$1,'DB Country PMI'!$A$1:$AZ$1,),))</f>
        <v>51.3</v>
      </c>
      <c r="C67" s="24">
        <f>Table13467[[#This Row],[PMI]]-B66</f>
        <v>0.19999999999999574</v>
      </c>
    </row>
    <row r="68" spans="1:3" x14ac:dyDescent="0.2">
      <c r="A68" s="10">
        <v>42948</v>
      </c>
      <c r="B68" s="18">
        <f>IF(VLOOKUP(A68,'DB Country PMI'!$A:$AZ,MATCH($A$1,'DB Country PMI'!$A$1:$AZ$1,),)=0,#N/A,VLOOKUP(A68,'DB Country PMI'!$A:$AZ,MATCH($A$1,'DB Country PMI'!$A$1:$AZ$1,),))</f>
        <v>49.7</v>
      </c>
      <c r="C68" s="24">
        <f>Table13467[[#This Row],[PMI]]-B67</f>
        <v>-1.5999999999999943</v>
      </c>
    </row>
    <row r="69" spans="1:3" x14ac:dyDescent="0.2">
      <c r="A69" s="10">
        <v>42979</v>
      </c>
      <c r="B69" s="18">
        <f>IF(VLOOKUP(A69,'DB Country PMI'!$A:$AZ,MATCH($A$1,'DB Country PMI'!$A$1:$AZ$1,),)=0,#N/A,VLOOKUP(A69,'DB Country PMI'!$A:$AZ,MATCH($A$1,'DB Country PMI'!$A$1:$AZ$1,),))</f>
        <v>51.2</v>
      </c>
      <c r="C69" s="24">
        <f>Table13467[[#This Row],[PMI]]-B68</f>
        <v>1.5</v>
      </c>
    </row>
    <row r="70" spans="1:3" x14ac:dyDescent="0.2">
      <c r="A70" s="10">
        <v>43009</v>
      </c>
      <c r="B70" s="18">
        <f>IF(VLOOKUP(A70,'DB Country PMI'!$A:$AZ,MATCH($A$1,'DB Country PMI'!$A$1:$AZ$1,),)=0,#N/A,VLOOKUP(A70,'DB Country PMI'!$A:$AZ,MATCH($A$1,'DB Country PMI'!$A$1:$AZ$1,),))</f>
        <v>50.3</v>
      </c>
      <c r="C70" s="24">
        <f>Table13467[[#This Row],[PMI]]-B69</f>
        <v>-0.90000000000000568</v>
      </c>
    </row>
    <row r="71" spans="1:3" x14ac:dyDescent="0.2">
      <c r="A71" s="10">
        <v>43040</v>
      </c>
      <c r="B71" s="18">
        <f>IF(VLOOKUP(A71,'DB Country PMI'!$A:$AZ,MATCH($A$1,'DB Country PMI'!$A$1:$AZ$1,),)=0,#N/A,VLOOKUP(A71,'DB Country PMI'!$A:$AZ,MATCH($A$1,'DB Country PMI'!$A$1:$AZ$1,),))</f>
        <v>50.7</v>
      </c>
      <c r="C71" s="24">
        <f>Table13467[[#This Row],[PMI]]-B70</f>
        <v>0.40000000000000568</v>
      </c>
    </row>
    <row r="72" spans="1:3" x14ac:dyDescent="0.2">
      <c r="A72" s="10">
        <v>43070</v>
      </c>
      <c r="B72" s="18">
        <f>IF(VLOOKUP(A72,'DB Country PMI'!$A:$AZ,MATCH($A$1,'DB Country PMI'!$A$1:$AZ$1,),)=0,#N/A,VLOOKUP(A72,'DB Country PMI'!$A:$AZ,MATCH($A$1,'DB Country PMI'!$A$1:$AZ$1,),))</f>
        <v>51.5</v>
      </c>
      <c r="C72" s="24">
        <f>Table13467[[#This Row],[PMI]]-B71</f>
        <v>0.79999999999999716</v>
      </c>
    </row>
    <row r="73" spans="1:3" x14ac:dyDescent="0.2">
      <c r="A73" s="10">
        <v>43101</v>
      </c>
      <c r="B73" s="18">
        <f>IF(VLOOKUP(A73,'DB Country PMI'!$A:$AZ,MATCH($A$1,'DB Country PMI'!$A$1:$AZ$1,),)=0,#N/A,VLOOKUP(A73,'DB Country PMI'!$A:$AZ,MATCH($A$1,'DB Country PMI'!$A$1:$AZ$1,),))</f>
        <v>51.1</v>
      </c>
      <c r="C73" s="24">
        <f>Table13467[[#This Row],[PMI]]-B72</f>
        <v>-0.39999999999999858</v>
      </c>
    </row>
    <row r="74" spans="1:3" x14ac:dyDescent="0.2">
      <c r="A74" s="10">
        <v>43132</v>
      </c>
      <c r="B74" s="18">
        <f>IF(VLOOKUP(A74,'DB Country PMI'!$A:$AZ,MATCH($A$1,'DB Country PMI'!$A$1:$AZ$1,),)=0,#N/A,VLOOKUP(A74,'DB Country PMI'!$A:$AZ,MATCH($A$1,'DB Country PMI'!$A$1:$AZ$1,),))</f>
        <v>51.7</v>
      </c>
      <c r="C74" s="24">
        <f>Table13467[[#This Row],[PMI]]-B73</f>
        <v>0.60000000000000142</v>
      </c>
    </row>
    <row r="75" spans="1:3" x14ac:dyDescent="0.2">
      <c r="A75" s="10">
        <v>43160</v>
      </c>
      <c r="B75" s="18">
        <f>IF(VLOOKUP(A75,'DB Country PMI'!$A:$AZ,MATCH($A$1,'DB Country PMI'!$A$1:$AZ$1,),)=0,#N/A,VLOOKUP(A75,'DB Country PMI'!$A:$AZ,MATCH($A$1,'DB Country PMI'!$A$1:$AZ$1,),))</f>
        <v>50.6</v>
      </c>
      <c r="C75" s="24">
        <f>Table13467[[#This Row],[PMI]]-B74</f>
        <v>-1.1000000000000014</v>
      </c>
    </row>
    <row r="76" spans="1:3" x14ac:dyDescent="0.2">
      <c r="A76" s="10">
        <v>43191</v>
      </c>
      <c r="B76" s="18">
        <f>IF(VLOOKUP(A76,'DB Country PMI'!$A:$AZ,MATCH($A$1,'DB Country PMI'!$A$1:$AZ$1,),)=0,#N/A,VLOOKUP(A76,'DB Country PMI'!$A:$AZ,MATCH($A$1,'DB Country PMI'!$A$1:$AZ$1,),))</f>
        <v>49.1</v>
      </c>
      <c r="C76" s="24">
        <f>Table13467[[#This Row],[PMI]]-B75</f>
        <v>-1.5</v>
      </c>
    </row>
    <row r="77" spans="1:3" x14ac:dyDescent="0.2">
      <c r="A77" s="10">
        <v>43221</v>
      </c>
      <c r="B77" s="18">
        <f>IF(VLOOKUP(A77,'DB Country PMI'!$A:$AZ,MATCH($A$1,'DB Country PMI'!$A$1:$AZ$1,),)=0,#N/A,VLOOKUP(A77,'DB Country PMI'!$A:$AZ,MATCH($A$1,'DB Country PMI'!$A$1:$AZ$1,),))</f>
        <v>47.8</v>
      </c>
      <c r="C77" s="24">
        <f>Table13467[[#This Row],[PMI]]-B76</f>
        <v>-1.3000000000000043</v>
      </c>
    </row>
    <row r="78" spans="1:3" x14ac:dyDescent="0.2">
      <c r="A78" s="10">
        <v>43252</v>
      </c>
      <c r="B78" s="18">
        <f>IF(VLOOKUP(A78,'DB Country PMI'!$A:$AZ,MATCH($A$1,'DB Country PMI'!$A$1:$AZ$1,),)=0,#N/A,VLOOKUP(A78,'DB Country PMI'!$A:$AZ,MATCH($A$1,'DB Country PMI'!$A$1:$AZ$1,),))</f>
        <v>47.7</v>
      </c>
      <c r="C78" s="24">
        <f>Table13467[[#This Row],[PMI]]-B77</f>
        <v>-9.9999999999994316E-2</v>
      </c>
    </row>
    <row r="79" spans="1:3" x14ac:dyDescent="0.2">
      <c r="A79" s="10">
        <v>43282</v>
      </c>
      <c r="B79" s="18">
        <f>IF(VLOOKUP(A79,'DB Country PMI'!$A:$AZ,MATCH($A$1,'DB Country PMI'!$A$1:$AZ$1,),)=0,#N/A,VLOOKUP(A79,'DB Country PMI'!$A:$AZ,MATCH($A$1,'DB Country PMI'!$A$1:$AZ$1,),))</f>
        <v>48.2</v>
      </c>
      <c r="C79" s="24">
        <f>Table13467[[#This Row],[PMI]]-B78</f>
        <v>0.5</v>
      </c>
    </row>
    <row r="80" spans="1:3" x14ac:dyDescent="0.2">
      <c r="A80" s="10">
        <v>43313</v>
      </c>
      <c r="B80" s="18">
        <f>IF(VLOOKUP(A80,'DB Country PMI'!$A:$AZ,MATCH($A$1,'DB Country PMI'!$A$1:$AZ$1,),)=0,#N/A,VLOOKUP(A80,'DB Country PMI'!$A:$AZ,MATCH($A$1,'DB Country PMI'!$A$1:$AZ$1,),))</f>
        <v>48.5</v>
      </c>
      <c r="C80" s="24">
        <f>Table13467[[#This Row],[PMI]]-B79</f>
        <v>0.29999999999999716</v>
      </c>
    </row>
    <row r="81" spans="1:3" x14ac:dyDescent="0.2">
      <c r="A81" s="10">
        <v>43344</v>
      </c>
      <c r="B81" s="18">
        <f>IF(VLOOKUP(A81,'DB Country PMI'!$A:$AZ,MATCH($A$1,'DB Country PMI'!$A$1:$AZ$1,),)=0,#N/A,VLOOKUP(A81,'DB Country PMI'!$A:$AZ,MATCH($A$1,'DB Country PMI'!$A$1:$AZ$1,),))</f>
        <v>47.9</v>
      </c>
      <c r="C81" s="24">
        <f>Table13467[[#This Row],[PMI]]-B80</f>
        <v>-0.60000000000000142</v>
      </c>
    </row>
    <row r="82" spans="1:3" x14ac:dyDescent="0.2">
      <c r="A82" s="10">
        <v>43374</v>
      </c>
      <c r="B82" s="18">
        <f>IF(VLOOKUP(A82,'DB Country PMI'!$A:$AZ,MATCH($A$1,'DB Country PMI'!$A$1:$AZ$1,),)=0,#N/A,VLOOKUP(A82,'DB Country PMI'!$A:$AZ,MATCH($A$1,'DB Country PMI'!$A$1:$AZ$1,),))</f>
        <v>48.6</v>
      </c>
      <c r="C82" s="24">
        <f>Table13467[[#This Row],[PMI]]-B81</f>
        <v>0.70000000000000284</v>
      </c>
    </row>
    <row r="83" spans="1:3" x14ac:dyDescent="0.2">
      <c r="A83" s="10">
        <v>43405</v>
      </c>
      <c r="B83" s="18">
        <f>IF(VLOOKUP(A83,'DB Country PMI'!$A:$AZ,MATCH($A$1,'DB Country PMI'!$A$1:$AZ$1,),)=0,#N/A,VLOOKUP(A83,'DB Country PMI'!$A:$AZ,MATCH($A$1,'DB Country PMI'!$A$1:$AZ$1,),))</f>
        <v>47.1</v>
      </c>
      <c r="C83" s="24">
        <f>Table13467[[#This Row],[PMI]]-B82</f>
        <v>-1.5</v>
      </c>
    </row>
    <row r="84" spans="1:3" x14ac:dyDescent="0.2">
      <c r="A84" s="10">
        <v>43435</v>
      </c>
      <c r="B84" s="18">
        <f>IF(VLOOKUP(A84,'DB Country PMI'!$A:$AZ,MATCH($A$1,'DB Country PMI'!$A$1:$AZ$1,),)=0,#N/A,VLOOKUP(A84,'DB Country PMI'!$A:$AZ,MATCH($A$1,'DB Country PMI'!$A$1:$AZ$1,),))</f>
        <v>48</v>
      </c>
      <c r="C84" s="24">
        <f>Table13467[[#This Row],[PMI]]-B83</f>
        <v>0.89999999999999858</v>
      </c>
    </row>
    <row r="85" spans="1:3" x14ac:dyDescent="0.2">
      <c r="A85" s="10">
        <v>43466</v>
      </c>
      <c r="B85" s="18">
        <f>IF(VLOOKUP(A85,'DB Country PMI'!$A:$AZ,MATCH($A$1,'DB Country PMI'!$A$1:$AZ$1,),)=0,#N/A,VLOOKUP(A85,'DB Country PMI'!$A:$AZ,MATCH($A$1,'DB Country PMI'!$A$1:$AZ$1,),))</f>
        <v>48.2</v>
      </c>
      <c r="C85" s="24">
        <f>Table13467[[#This Row],[PMI]]-B84</f>
        <v>0.20000000000000284</v>
      </c>
    </row>
    <row r="86" spans="1:3" x14ac:dyDescent="0.2">
      <c r="A86" s="10">
        <v>43497</v>
      </c>
      <c r="B86" s="18">
        <f>IF(VLOOKUP(A86,'DB Country PMI'!$A:$AZ,MATCH($A$1,'DB Country PMI'!$A$1:$AZ$1,),)=0,#N/A,VLOOKUP(A86,'DB Country PMI'!$A:$AZ,MATCH($A$1,'DB Country PMI'!$A$1:$AZ$1,),))</f>
        <v>48.4</v>
      </c>
      <c r="C86" s="24">
        <f>Table13467[[#This Row],[PMI]]-B85</f>
        <v>0.19999999999999574</v>
      </c>
    </row>
    <row r="87" spans="1:3" x14ac:dyDescent="0.2">
      <c r="A87" s="10">
        <v>43525</v>
      </c>
      <c r="B87" s="18">
        <f>IF(VLOOKUP(A87,'DB Country PMI'!$A:$AZ,MATCH($A$1,'DB Country PMI'!$A$1:$AZ$1,),)=0,#N/A,VLOOKUP(A87,'DB Country PMI'!$A:$AZ,MATCH($A$1,'DB Country PMI'!$A$1:$AZ$1,),))</f>
        <v>48</v>
      </c>
      <c r="C87" s="24">
        <f>Table13467[[#This Row],[PMI]]-B86</f>
        <v>-0.39999999999999858</v>
      </c>
    </row>
    <row r="88" spans="1:3" x14ac:dyDescent="0.2">
      <c r="A88" s="10">
        <v>43556</v>
      </c>
      <c r="B88" s="18">
        <f>IF(VLOOKUP(A88,'DB Country PMI'!$A:$AZ,MATCH($A$1,'DB Country PMI'!$A$1:$AZ$1,),)=0,#N/A,VLOOKUP(A88,'DB Country PMI'!$A:$AZ,MATCH($A$1,'DB Country PMI'!$A$1:$AZ$1,),))</f>
        <v>48.4</v>
      </c>
      <c r="C88" s="24">
        <f>Table13467[[#This Row],[PMI]]-B87</f>
        <v>0.39999999999999858</v>
      </c>
    </row>
    <row r="89" spans="1:3" x14ac:dyDescent="0.2">
      <c r="A89" s="10">
        <v>43586</v>
      </c>
      <c r="B89" s="18">
        <f>IF(VLOOKUP(A89,'DB Country PMI'!$A:$AZ,MATCH($A$1,'DB Country PMI'!$A$1:$AZ$1,),)=0,#N/A,VLOOKUP(A89,'DB Country PMI'!$A:$AZ,MATCH($A$1,'DB Country PMI'!$A$1:$AZ$1,),))</f>
        <v>46.9</v>
      </c>
      <c r="C89" s="24">
        <f>Table13467[[#This Row],[PMI]]-B88</f>
        <v>-1.5</v>
      </c>
    </row>
    <row r="90" spans="1:3" x14ac:dyDescent="0.2">
      <c r="A90" s="10">
        <v>43617</v>
      </c>
      <c r="B90" s="18">
        <f>IF(VLOOKUP(A90,'DB Country PMI'!$A:$AZ,MATCH($A$1,'DB Country PMI'!$A$1:$AZ$1,),)=0,#N/A,VLOOKUP(A90,'DB Country PMI'!$A:$AZ,MATCH($A$1,'DB Country PMI'!$A$1:$AZ$1,),))</f>
        <v>47.9</v>
      </c>
      <c r="C90" s="24">
        <f>Table13467[[#This Row],[PMI]]-B89</f>
        <v>1</v>
      </c>
    </row>
    <row r="91" spans="1:3" x14ac:dyDescent="0.2">
      <c r="A91" s="10">
        <v>43647</v>
      </c>
      <c r="B91" s="18">
        <f>IF(VLOOKUP(A91,'DB Country PMI'!$A:$AZ,MATCH($A$1,'DB Country PMI'!$A$1:$AZ$1,),)=0,#N/A,VLOOKUP(A91,'DB Country PMI'!$A:$AZ,MATCH($A$1,'DB Country PMI'!$A$1:$AZ$1,),))</f>
        <v>43.8</v>
      </c>
      <c r="C91" s="24">
        <f>Table13467[[#This Row],[PMI]]-B90</f>
        <v>-4.1000000000000014</v>
      </c>
    </row>
    <row r="92" spans="1:3" x14ac:dyDescent="0.2">
      <c r="A92" s="10">
        <v>43678</v>
      </c>
      <c r="B92" s="18">
        <f>IF(VLOOKUP(A92,'DB Country PMI'!$A:$AZ,MATCH($A$1,'DB Country PMI'!$A$1:$AZ$1,),)=0,#N/A,VLOOKUP(A92,'DB Country PMI'!$A:$AZ,MATCH($A$1,'DB Country PMI'!$A$1:$AZ$1,),))</f>
        <v>40.799999999999997</v>
      </c>
      <c r="C92" s="24">
        <f>Table13467[[#This Row],[PMI]]-B91</f>
        <v>-3</v>
      </c>
    </row>
    <row r="93" spans="1:3" x14ac:dyDescent="0.2">
      <c r="A93" s="10">
        <v>43709</v>
      </c>
      <c r="B93" s="18">
        <f>IF(VLOOKUP(A93,'DB Country PMI'!$A:$AZ,MATCH($A$1,'DB Country PMI'!$A$1:$AZ$1,),)=0,#N/A,VLOOKUP(A93,'DB Country PMI'!$A:$AZ,MATCH($A$1,'DB Country PMI'!$A$1:$AZ$1,),))</f>
        <v>41.5</v>
      </c>
      <c r="C93" s="24">
        <f>Table13467[[#This Row],[PMI]]-B92</f>
        <v>0.70000000000000284</v>
      </c>
    </row>
    <row r="94" spans="1:3" x14ac:dyDescent="0.2">
      <c r="A94" s="10">
        <v>43739</v>
      </c>
      <c r="B94" s="18">
        <f>IF(VLOOKUP(A94,'DB Country PMI'!$A:$AZ,MATCH($A$1,'DB Country PMI'!$A$1:$AZ$1,),)=0,#N/A,VLOOKUP(A94,'DB Country PMI'!$A:$AZ,MATCH($A$1,'DB Country PMI'!$A$1:$AZ$1,),))</f>
        <v>39.299999999999997</v>
      </c>
      <c r="C94" s="24">
        <f>Table13467[[#This Row],[PMI]]-B93</f>
        <v>-2.2000000000000028</v>
      </c>
    </row>
    <row r="95" spans="1:3" x14ac:dyDescent="0.2">
      <c r="A95" s="10">
        <v>43770</v>
      </c>
      <c r="B95" s="18">
        <f>IF(VLOOKUP(A95,'DB Country PMI'!$A:$AZ,MATCH($A$1,'DB Country PMI'!$A$1:$AZ$1,),)=0,#N/A,VLOOKUP(A95,'DB Country PMI'!$A:$AZ,MATCH($A$1,'DB Country PMI'!$A$1:$AZ$1,),))</f>
        <v>38.5</v>
      </c>
      <c r="C95" s="24">
        <f>Table13467[[#This Row],[PMI]]-B94</f>
        <v>-0.79999999999999716</v>
      </c>
    </row>
    <row r="96" spans="1:3" x14ac:dyDescent="0.2">
      <c r="A96" s="10">
        <v>43800</v>
      </c>
      <c r="B96" s="18">
        <f>IF(VLOOKUP(A96,'DB Country PMI'!$A:$AZ,MATCH($A$1,'DB Country PMI'!$A$1:$AZ$1,),)=0,#N/A,VLOOKUP(A96,'DB Country PMI'!$A:$AZ,MATCH($A$1,'DB Country PMI'!$A$1:$AZ$1,),))</f>
        <v>42.1</v>
      </c>
      <c r="C96" s="24">
        <f>Table13467[[#This Row],[PMI]]-B95</f>
        <v>3.6000000000000014</v>
      </c>
    </row>
    <row r="97" spans="1:3" x14ac:dyDescent="0.2">
      <c r="A97" s="10">
        <v>43831</v>
      </c>
      <c r="B97" s="18">
        <f>IF(VLOOKUP(A97,'DB Country PMI'!$A:$AZ,MATCH($A$1,'DB Country PMI'!$A$1:$AZ$1,),)=0,#N/A,VLOOKUP(A97,'DB Country PMI'!$A:$AZ,MATCH($A$1,'DB Country PMI'!$A$1:$AZ$1,),))</f>
        <v>46.8</v>
      </c>
      <c r="C97" s="24">
        <f>Table13467[[#This Row],[PMI]]-B96</f>
        <v>4.6999999999999957</v>
      </c>
    </row>
    <row r="98" spans="1:3" x14ac:dyDescent="0.2">
      <c r="A98" s="10">
        <v>43862</v>
      </c>
      <c r="B98" s="18">
        <f>IF(VLOOKUP(A98,'DB Country PMI'!$A:$AZ,MATCH($A$1,'DB Country PMI'!$A$1:$AZ$1,),)=0,#N/A,VLOOKUP(A98,'DB Country PMI'!$A:$AZ,MATCH($A$1,'DB Country PMI'!$A$1:$AZ$1,),))</f>
        <v>33.1</v>
      </c>
      <c r="C98" s="24">
        <f>Table13467[[#This Row],[PMI]]-B97</f>
        <v>-13.699999999999996</v>
      </c>
    </row>
    <row r="99" spans="1:3" x14ac:dyDescent="0.2">
      <c r="A99" s="10">
        <v>43891</v>
      </c>
      <c r="B99" s="18">
        <f>IF(VLOOKUP(A99,'DB Country PMI'!$A:$AZ,MATCH($A$1,'DB Country PMI'!$A$1:$AZ$1,),)=0,#N/A,VLOOKUP(A99,'DB Country PMI'!$A:$AZ,MATCH($A$1,'DB Country PMI'!$A$1:$AZ$1,),))</f>
        <v>34.9</v>
      </c>
      <c r="C99" s="24">
        <f>Table13467[[#This Row],[PMI]]-B98</f>
        <v>1.7999999999999972</v>
      </c>
    </row>
    <row r="100" spans="1:3" x14ac:dyDescent="0.2">
      <c r="A100" s="10">
        <v>43922</v>
      </c>
      <c r="B100" s="18">
        <f>IF(VLOOKUP(A100,'DB Country PMI'!$A:$AZ,MATCH($A$1,'DB Country PMI'!$A$1:$AZ$1,),)=0,#N/A,VLOOKUP(A100,'DB Country PMI'!$A:$AZ,MATCH($A$1,'DB Country PMI'!$A$1:$AZ$1,),))</f>
        <v>36.9</v>
      </c>
      <c r="C100" s="24">
        <f>Table13467[[#This Row],[PMI]]-B99</f>
        <v>2</v>
      </c>
    </row>
    <row r="101" spans="1:3" x14ac:dyDescent="0.2">
      <c r="A101" s="10">
        <v>43952</v>
      </c>
      <c r="B101" s="18">
        <f>IF(VLOOKUP(A101,'DB Country PMI'!$A:$AZ,MATCH($A$1,'DB Country PMI'!$A$1:$AZ$1,),)=0,#N/A,VLOOKUP(A101,'DB Country PMI'!$A:$AZ,MATCH($A$1,'DB Country PMI'!$A$1:$AZ$1,),))</f>
        <v>43.9</v>
      </c>
      <c r="C101" s="24">
        <f>Table13467[[#This Row],[PMI]]-B100</f>
        <v>7</v>
      </c>
    </row>
    <row r="102" spans="1:3" x14ac:dyDescent="0.2">
      <c r="A102" s="10">
        <v>43983</v>
      </c>
      <c r="B102" s="18">
        <f>IF(VLOOKUP(A102,'DB Country PMI'!$A:$AZ,MATCH($A$1,'DB Country PMI'!$A$1:$AZ$1,),)=0,#N/A,VLOOKUP(A102,'DB Country PMI'!$A:$AZ,MATCH($A$1,'DB Country PMI'!$A$1:$AZ$1,),))</f>
        <v>49.6</v>
      </c>
      <c r="C102" s="24">
        <f>Table13467[[#This Row],[PMI]]-B101</f>
        <v>5.7000000000000028</v>
      </c>
    </row>
    <row r="103" spans="1:3" x14ac:dyDescent="0.2">
      <c r="A103" s="10">
        <v>44013</v>
      </c>
      <c r="B103" s="18">
        <f>IF(VLOOKUP(A103,'DB Country PMI'!$A:$AZ,MATCH($A$1,'DB Country PMI'!$A$1:$AZ$1,),)=0,#N/A,VLOOKUP(A103,'DB Country PMI'!$A:$AZ,MATCH($A$1,'DB Country PMI'!$A$1:$AZ$1,),))</f>
        <v>44.5</v>
      </c>
      <c r="C103" s="24">
        <f>Table13467[[#This Row],[PMI]]-B102</f>
        <v>-5.1000000000000014</v>
      </c>
    </row>
    <row r="104" spans="1:3" x14ac:dyDescent="0.2">
      <c r="A104" s="10">
        <v>44044</v>
      </c>
      <c r="B104" s="18">
        <f>IF(VLOOKUP(A104,'DB Country PMI'!$A:$AZ,MATCH($A$1,'DB Country PMI'!$A$1:$AZ$1,),)=0,#N/A,VLOOKUP(A104,'DB Country PMI'!$A:$AZ,MATCH($A$1,'DB Country PMI'!$A$1:$AZ$1,),))</f>
        <v>44</v>
      </c>
      <c r="C104" s="24">
        <f>Table13467[[#This Row],[PMI]]-B103</f>
        <v>-0.5</v>
      </c>
    </row>
    <row r="105" spans="1:3" x14ac:dyDescent="0.2">
      <c r="A105" s="10">
        <v>44075</v>
      </c>
      <c r="B105" s="18">
        <f>IF(VLOOKUP(A105,'DB Country PMI'!$A:$AZ,MATCH($A$1,'DB Country PMI'!$A$1:$AZ$1,),)=0,#N/A,VLOOKUP(A105,'DB Country PMI'!$A:$AZ,MATCH($A$1,'DB Country PMI'!$A$1:$AZ$1,),))</f>
        <v>47.7</v>
      </c>
      <c r="C105" s="24">
        <f>Table13467[[#This Row],[PMI]]-B104</f>
        <v>3.7000000000000028</v>
      </c>
    </row>
    <row r="106" spans="1:3" x14ac:dyDescent="0.2">
      <c r="A106" s="10">
        <v>44105</v>
      </c>
      <c r="B106" s="18">
        <f>IF(VLOOKUP(A106,'DB Country PMI'!$A:$AZ,MATCH($A$1,'DB Country PMI'!$A$1:$AZ$1,),)=0,#N/A,VLOOKUP(A106,'DB Country PMI'!$A:$AZ,MATCH($A$1,'DB Country PMI'!$A$1:$AZ$1,),))</f>
        <v>49.8</v>
      </c>
      <c r="C106" s="24">
        <f>Table13467[[#This Row],[PMI]]-B105</f>
        <v>2.0999999999999943</v>
      </c>
    </row>
    <row r="107" spans="1:3" x14ac:dyDescent="0.2">
      <c r="A107" s="10">
        <v>44136</v>
      </c>
      <c r="B107" s="18">
        <f>IF(VLOOKUP(A107,'DB Country PMI'!$A:$AZ,MATCH($A$1,'DB Country PMI'!$A$1:$AZ$1,),)=0,#N/A,VLOOKUP(A107,'DB Country PMI'!$A:$AZ,MATCH($A$1,'DB Country PMI'!$A$1:$AZ$1,),))</f>
        <v>50.1</v>
      </c>
      <c r="C107" s="24">
        <f>Table13467[[#This Row],[PMI]]-B106</f>
        <v>0.30000000000000426</v>
      </c>
    </row>
    <row r="108" spans="1:3" x14ac:dyDescent="0.2">
      <c r="A108" s="10">
        <v>44166</v>
      </c>
      <c r="B108" s="18">
        <f>IF(VLOOKUP(A108,'DB Country PMI'!$A:$AZ,MATCH($A$1,'DB Country PMI'!$A$1:$AZ$1,),)=0,#N/A,VLOOKUP(A108,'DB Country PMI'!$A:$AZ,MATCH($A$1,'DB Country PMI'!$A$1:$AZ$1,),))</f>
        <v>43.5</v>
      </c>
      <c r="C108" s="24">
        <f>Table13467[[#This Row],[PMI]]-B107</f>
        <v>-6.6000000000000014</v>
      </c>
    </row>
    <row r="109" spans="1:3" x14ac:dyDescent="0.2">
      <c r="A109" s="10">
        <v>44197</v>
      </c>
      <c r="B109" s="18">
        <f>IF(VLOOKUP(A109,'DB Country PMI'!$A:$AZ,MATCH($A$1,'DB Country PMI'!$A$1:$AZ$1,),)=0,#N/A,VLOOKUP(A109,'DB Country PMI'!$A:$AZ,MATCH($A$1,'DB Country PMI'!$A$1:$AZ$1,),))</f>
        <v>47.8</v>
      </c>
      <c r="C109" s="24">
        <f>Table13467[[#This Row],[PMI]]-B108</f>
        <v>4.2999999999999972</v>
      </c>
    </row>
    <row r="110" spans="1:3" x14ac:dyDescent="0.2">
      <c r="A110" s="10">
        <v>44228</v>
      </c>
      <c r="B110" s="18">
        <f>IF(VLOOKUP(A110,'DB Country PMI'!$A:$AZ,MATCH($A$1,'DB Country PMI'!$A$1:$AZ$1,),)=0,#N/A,VLOOKUP(A110,'DB Country PMI'!$A:$AZ,MATCH($A$1,'DB Country PMI'!$A$1:$AZ$1,),))</f>
        <v>50.2</v>
      </c>
      <c r="C110" s="24">
        <f>Table13467[[#This Row],[PMI]]-B109</f>
        <v>2.4000000000000057</v>
      </c>
    </row>
    <row r="111" spans="1:3" x14ac:dyDescent="0.2">
      <c r="A111" s="10">
        <v>44256</v>
      </c>
      <c r="B111" s="18">
        <f>IF(VLOOKUP(A111,'DB Country PMI'!$A:$AZ,MATCH($A$1,'DB Country PMI'!$A$1:$AZ$1,),)=0,#N/A,VLOOKUP(A111,'DB Country PMI'!$A:$AZ,MATCH($A$1,'DB Country PMI'!$A$1:$AZ$1,),))</f>
        <v>50.5</v>
      </c>
      <c r="C111" s="24">
        <f>Table13467[[#This Row],[PMI]]-B110</f>
        <v>0.29999999999999716</v>
      </c>
    </row>
    <row r="112" spans="1:3" x14ac:dyDescent="0.2">
      <c r="A112" s="10">
        <v>44287</v>
      </c>
      <c r="B112" s="18">
        <f>IF(VLOOKUP(A112,'DB Country PMI'!$A:$AZ,MATCH($A$1,'DB Country PMI'!$A$1:$AZ$1,),)=0,#N/A,VLOOKUP(A112,'DB Country PMI'!$A:$AZ,MATCH($A$1,'DB Country PMI'!$A$1:$AZ$1,),))</f>
        <v>50.3</v>
      </c>
      <c r="C112" s="24">
        <f>Table13467[[#This Row],[PMI]]-B111</f>
        <v>-0.20000000000000284</v>
      </c>
    </row>
    <row r="113" spans="1:3" x14ac:dyDescent="0.2">
      <c r="A113" s="10">
        <v>44317</v>
      </c>
      <c r="B113" s="18">
        <f>IF(VLOOKUP(A113,'DB Country PMI'!$A:$AZ,MATCH($A$1,'DB Country PMI'!$A$1:$AZ$1,),)=0,#N/A,VLOOKUP(A113,'DB Country PMI'!$A:$AZ,MATCH($A$1,'DB Country PMI'!$A$1:$AZ$1,),))</f>
        <v>52.5</v>
      </c>
      <c r="C113" s="24">
        <f>Table13467[[#This Row],[PMI]]-B112</f>
        <v>2.2000000000000028</v>
      </c>
    </row>
    <row r="114" spans="1:3" x14ac:dyDescent="0.2">
      <c r="A114" s="10">
        <v>44348</v>
      </c>
      <c r="B114" s="18">
        <f>IF(VLOOKUP(A114,'DB Country PMI'!$A:$AZ,MATCH($A$1,'DB Country PMI'!$A$1:$AZ$1,),)=0,#N/A,VLOOKUP(A114,'DB Country PMI'!$A:$AZ,MATCH($A$1,'DB Country PMI'!$A$1:$AZ$1,),))</f>
        <v>51.4</v>
      </c>
      <c r="C114" s="24">
        <f>Table13467[[#This Row],[PMI]]-B113</f>
        <v>-1.1000000000000014</v>
      </c>
    </row>
    <row r="115" spans="1:3" x14ac:dyDescent="0.2">
      <c r="A115" s="10">
        <v>44378</v>
      </c>
      <c r="B115" s="18">
        <f>IF(VLOOKUP(A115,'DB Country PMI'!$A:$AZ,MATCH($A$1,'DB Country PMI'!$A$1:$AZ$1,),)=0,#N/A,VLOOKUP(A115,'DB Country PMI'!$A:$AZ,MATCH($A$1,'DB Country PMI'!$A$1:$AZ$1,),))</f>
        <v>51.3</v>
      </c>
      <c r="C115" s="24">
        <f>Table13467[[#This Row],[PMI]]-B114</f>
        <v>-0.10000000000000142</v>
      </c>
    </row>
    <row r="116" spans="1:3" x14ac:dyDescent="0.2">
      <c r="A116" s="10">
        <v>44409</v>
      </c>
      <c r="B116" s="18">
        <f>IF(VLOOKUP(A116,'DB Country PMI'!$A:$AZ,MATCH($A$1,'DB Country PMI'!$A$1:$AZ$1,),)=0,#N/A,VLOOKUP(A116,'DB Country PMI'!$A:$AZ,MATCH($A$1,'DB Country PMI'!$A$1:$AZ$1,),))</f>
        <v>53.3</v>
      </c>
      <c r="C116" s="24">
        <f>Table13467[[#This Row],[PMI]]-B115</f>
        <v>2</v>
      </c>
    </row>
    <row r="117" spans="1:3" x14ac:dyDescent="0.2">
      <c r="A117" s="10">
        <v>44440</v>
      </c>
      <c r="B117" s="18">
        <f>IF(VLOOKUP(A117,'DB Country PMI'!$A:$AZ,MATCH($A$1,'DB Country PMI'!$A$1:$AZ$1,),)=0,#N/A,VLOOKUP(A117,'DB Country PMI'!$A:$AZ,MATCH($A$1,'DB Country PMI'!$A$1:$AZ$1,),))</f>
        <v>51.7</v>
      </c>
      <c r="C117" s="24">
        <f>Table13467[[#This Row],[PMI]]-B116</f>
        <v>-1.5999999999999943</v>
      </c>
    </row>
    <row r="118" spans="1:3" x14ac:dyDescent="0.2">
      <c r="A118" s="10">
        <v>44470</v>
      </c>
      <c r="B118" s="18">
        <f>IF(VLOOKUP(A118,'DB Country PMI'!$A:$AZ,MATCH($A$1,'DB Country PMI'!$A$1:$AZ$1,),)=0,#N/A,VLOOKUP(A118,'DB Country PMI'!$A:$AZ,MATCH($A$1,'DB Country PMI'!$A$1:$AZ$1,),))</f>
        <v>50.8</v>
      </c>
      <c r="C118" s="24">
        <f>Table13467[[#This Row],[PMI]]-B117</f>
        <v>-0.90000000000000568</v>
      </c>
    </row>
    <row r="119" spans="1:3" x14ac:dyDescent="0.2">
      <c r="A119" s="10">
        <v>44501</v>
      </c>
      <c r="B119" s="18">
        <f>IF(VLOOKUP(A119,'DB Country PMI'!$A:$AZ,MATCH($A$1,'DB Country PMI'!$A$1:$AZ$1,),)=0,#N/A,VLOOKUP(A119,'DB Country PMI'!$A:$AZ,MATCH($A$1,'DB Country PMI'!$A$1:$AZ$1,),))</f>
        <v>52.6</v>
      </c>
      <c r="C119" s="24">
        <f>Table13467[[#This Row],[PMI]]-B118</f>
        <v>1.8000000000000043</v>
      </c>
    </row>
    <row r="120" spans="1:3" x14ac:dyDescent="0.2">
      <c r="A120" s="10">
        <v>44531</v>
      </c>
      <c r="B120" s="18">
        <f>IF(VLOOKUP(A120,'DB Country PMI'!$A:$AZ,MATCH($A$1,'DB Country PMI'!$A$1:$AZ$1,),)=0,#N/A,VLOOKUP(A120,'DB Country PMI'!$A:$AZ,MATCH($A$1,'DB Country PMI'!$A$1:$AZ$1,),))</f>
        <v>50.8</v>
      </c>
      <c r="C120" s="24">
        <f>Table13467[[#This Row],[PMI]]-B119</f>
        <v>-1.8000000000000043</v>
      </c>
    </row>
  </sheetData>
  <conditionalFormatting sqref="B6:B12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87"/>
  <sheetViews>
    <sheetView zoomScale="160" zoomScaleNormal="160" workbookViewId="0">
      <pane ySplit="5" topLeftCell="A54" activePane="bottomLeft" state="frozen"/>
      <selection pane="bottomLeft" activeCell="U83" sqref="U83"/>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68</v>
      </c>
      <c r="K1" s="63" t="s">
        <v>107</v>
      </c>
    </row>
    <row r="2" spans="1:11" x14ac:dyDescent="0.2">
      <c r="K2" s="63" t="str">
        <f>A1&amp;K1</f>
        <v>Saudi Arabia Manufacturing PMI</v>
      </c>
    </row>
    <row r="4" spans="1:11" ht="16" customHeight="1" thickBot="1" x14ac:dyDescent="0.25"/>
    <row r="5" spans="1:11" ht="16" customHeight="1" thickBot="1" x14ac:dyDescent="0.25">
      <c r="A5" s="21" t="s">
        <v>44</v>
      </c>
      <c r="B5" s="22" t="s">
        <v>103</v>
      </c>
      <c r="C5" s="22" t="s">
        <v>104</v>
      </c>
    </row>
    <row r="6" spans="1:11" x14ac:dyDescent="0.2">
      <c r="A6" s="17">
        <v>42095</v>
      </c>
      <c r="B6" s="18">
        <f>IF(VLOOKUP(A6,'DB Country PMI'!$A:$AZ,MATCH($A$1,'DB Country PMI'!$A$1:$AZ$1,),)=0,#N/A,VLOOKUP(A6,'DB Country PMI'!$A:$AZ,MATCH($A$1,'DB Country PMI'!$A$1:$AZ$1,),))</f>
        <v>60.1</v>
      </c>
      <c r="C6" s="18"/>
    </row>
    <row r="7" spans="1:11" x14ac:dyDescent="0.2">
      <c r="A7" s="10">
        <v>42125</v>
      </c>
      <c r="B7" s="18">
        <f>IF(VLOOKUP(A7,'DB Country PMI'!$A:$AZ,MATCH($A$1,'DB Country PMI'!$A$1:$AZ$1,),)=0,#N/A,VLOOKUP(A7,'DB Country PMI'!$A:$AZ,MATCH($A$1,'DB Country PMI'!$A$1:$AZ$1,),))</f>
        <v>57</v>
      </c>
      <c r="C7" s="24">
        <f>Table134689[[#This Row],[PMI]]-B6</f>
        <v>-3.1000000000000014</v>
      </c>
    </row>
    <row r="8" spans="1:11" x14ac:dyDescent="0.2">
      <c r="A8" s="10">
        <v>42156</v>
      </c>
      <c r="B8" s="18">
        <f>IF(VLOOKUP(A8,'DB Country PMI'!$A:$AZ,MATCH($A$1,'DB Country PMI'!$A$1:$AZ$1,),)=0,#N/A,VLOOKUP(A8,'DB Country PMI'!$A:$AZ,MATCH($A$1,'DB Country PMI'!$A$1:$AZ$1,),))</f>
        <v>56.1</v>
      </c>
      <c r="C8" s="24">
        <f>Table134689[[#This Row],[PMI]]-B7</f>
        <v>-0.89999999999999858</v>
      </c>
    </row>
    <row r="9" spans="1:11" x14ac:dyDescent="0.2">
      <c r="A9" s="10">
        <v>42186</v>
      </c>
      <c r="B9" s="18">
        <f>IF(VLOOKUP(A9,'DB Country PMI'!$A:$AZ,MATCH($A$1,'DB Country PMI'!$A$1:$AZ$1,),)=0,#N/A,VLOOKUP(A9,'DB Country PMI'!$A:$AZ,MATCH($A$1,'DB Country PMI'!$A$1:$AZ$1,),))</f>
        <v>57.7</v>
      </c>
      <c r="C9" s="24">
        <f>Table134689[[#This Row],[PMI]]-B8</f>
        <v>1.6000000000000014</v>
      </c>
    </row>
    <row r="10" spans="1:11" x14ac:dyDescent="0.2">
      <c r="A10" s="10">
        <v>42217</v>
      </c>
      <c r="B10" s="18">
        <f>IF(VLOOKUP(A10,'DB Country PMI'!$A:$AZ,MATCH($A$1,'DB Country PMI'!$A$1:$AZ$1,),)=0,#N/A,VLOOKUP(A10,'DB Country PMI'!$A:$AZ,MATCH($A$1,'DB Country PMI'!$A$1:$AZ$1,),))</f>
        <v>58.7</v>
      </c>
      <c r="C10" s="24">
        <f>Table134689[[#This Row],[PMI]]-B9</f>
        <v>1</v>
      </c>
    </row>
    <row r="11" spans="1:11" x14ac:dyDescent="0.2">
      <c r="A11" s="10">
        <v>42248</v>
      </c>
      <c r="B11" s="18">
        <f>IF(VLOOKUP(A11,'DB Country PMI'!$A:$AZ,MATCH($A$1,'DB Country PMI'!$A$1:$AZ$1,),)=0,#N/A,VLOOKUP(A11,'DB Country PMI'!$A:$AZ,MATCH($A$1,'DB Country PMI'!$A$1:$AZ$1,),))</f>
        <v>56.5</v>
      </c>
      <c r="C11" s="24">
        <f>Table134689[[#This Row],[PMI]]-B10</f>
        <v>-2.2000000000000028</v>
      </c>
    </row>
    <row r="12" spans="1:11" x14ac:dyDescent="0.2">
      <c r="A12" s="10">
        <v>42278</v>
      </c>
      <c r="B12" s="18">
        <f>IF(VLOOKUP(A12,'DB Country PMI'!$A:$AZ,MATCH($A$1,'DB Country PMI'!$A$1:$AZ$1,),)=0,#N/A,VLOOKUP(A12,'DB Country PMI'!$A:$AZ,MATCH($A$1,'DB Country PMI'!$A$1:$AZ$1,),))</f>
        <v>55.7</v>
      </c>
      <c r="C12" s="24">
        <f>Table134689[[#This Row],[PMI]]-B11</f>
        <v>-0.79999999999999716</v>
      </c>
    </row>
    <row r="13" spans="1:11" x14ac:dyDescent="0.2">
      <c r="A13" s="10">
        <v>42309</v>
      </c>
      <c r="B13" s="18">
        <f>IF(VLOOKUP(A13,'DB Country PMI'!$A:$AZ,MATCH($A$1,'DB Country PMI'!$A$1:$AZ$1,),)=0,#N/A,VLOOKUP(A13,'DB Country PMI'!$A:$AZ,MATCH($A$1,'DB Country PMI'!$A$1:$AZ$1,),))</f>
        <v>56.3</v>
      </c>
      <c r="C13" s="24">
        <f>Table134689[[#This Row],[PMI]]-B12</f>
        <v>0.59999999999999432</v>
      </c>
    </row>
    <row r="14" spans="1:11" x14ac:dyDescent="0.2">
      <c r="A14" s="10">
        <v>42339</v>
      </c>
      <c r="B14" s="18">
        <f>IF(VLOOKUP(A14,'DB Country PMI'!$A:$AZ,MATCH($A$1,'DB Country PMI'!$A$1:$AZ$1,),)=0,#N/A,VLOOKUP(A14,'DB Country PMI'!$A:$AZ,MATCH($A$1,'DB Country PMI'!$A$1:$AZ$1,),))</f>
        <v>54.4</v>
      </c>
      <c r="C14" s="24">
        <f>Table134689[[#This Row],[PMI]]-B13</f>
        <v>-1.8999999999999986</v>
      </c>
    </row>
    <row r="15" spans="1:11" x14ac:dyDescent="0.2">
      <c r="A15" s="10">
        <v>42370</v>
      </c>
      <c r="B15" s="18">
        <f>IF(VLOOKUP(A15,'DB Country PMI'!$A:$AZ,MATCH($A$1,'DB Country PMI'!$A$1:$AZ$1,),)=0,#N/A,VLOOKUP(A15,'DB Country PMI'!$A:$AZ,MATCH($A$1,'DB Country PMI'!$A$1:$AZ$1,),))</f>
        <v>53.9</v>
      </c>
      <c r="C15" s="24">
        <f>Table134689[[#This Row],[PMI]]-B14</f>
        <v>-0.5</v>
      </c>
    </row>
    <row r="16" spans="1:11" x14ac:dyDescent="0.2">
      <c r="A16" s="10">
        <v>42401</v>
      </c>
      <c r="B16" s="18">
        <f>IF(VLOOKUP(A16,'DB Country PMI'!$A:$AZ,MATCH($A$1,'DB Country PMI'!$A$1:$AZ$1,),)=0,#N/A,VLOOKUP(A16,'DB Country PMI'!$A:$AZ,MATCH($A$1,'DB Country PMI'!$A$1:$AZ$1,),))</f>
        <v>54.4</v>
      </c>
      <c r="C16" s="24">
        <f>Table134689[[#This Row],[PMI]]-B15</f>
        <v>0.5</v>
      </c>
    </row>
    <row r="17" spans="1:3" x14ac:dyDescent="0.2">
      <c r="A17" s="10">
        <v>42430</v>
      </c>
      <c r="B17" s="18">
        <f>IF(VLOOKUP(A17,'DB Country PMI'!$A:$AZ,MATCH($A$1,'DB Country PMI'!$A$1:$AZ$1,),)=0,#N/A,VLOOKUP(A17,'DB Country PMI'!$A:$AZ,MATCH($A$1,'DB Country PMI'!$A$1:$AZ$1,),))</f>
        <v>54.5</v>
      </c>
      <c r="C17" s="24">
        <f>Table134689[[#This Row],[PMI]]-B16</f>
        <v>0.10000000000000142</v>
      </c>
    </row>
    <row r="18" spans="1:3" x14ac:dyDescent="0.2">
      <c r="A18" s="10">
        <v>42461</v>
      </c>
      <c r="B18" s="18">
        <f>IF(VLOOKUP(A18,'DB Country PMI'!$A:$AZ,MATCH($A$1,'DB Country PMI'!$A$1:$AZ$1,),)=0,#N/A,VLOOKUP(A18,'DB Country PMI'!$A:$AZ,MATCH($A$1,'DB Country PMI'!$A$1:$AZ$1,),))</f>
        <v>54.2</v>
      </c>
      <c r="C18" s="24">
        <f>Table134689[[#This Row],[PMI]]-B17</f>
        <v>-0.29999999999999716</v>
      </c>
    </row>
    <row r="19" spans="1:3" x14ac:dyDescent="0.2">
      <c r="A19" s="10">
        <v>42491</v>
      </c>
      <c r="B19" s="18">
        <f>IF(VLOOKUP(A19,'DB Country PMI'!$A:$AZ,MATCH($A$1,'DB Country PMI'!$A$1:$AZ$1,),)=0,#N/A,VLOOKUP(A19,'DB Country PMI'!$A:$AZ,MATCH($A$1,'DB Country PMI'!$A$1:$AZ$1,),))</f>
        <v>54.8</v>
      </c>
      <c r="C19" s="24">
        <f>Table134689[[#This Row],[PMI]]-B18</f>
        <v>0.59999999999999432</v>
      </c>
    </row>
    <row r="20" spans="1:3" x14ac:dyDescent="0.2">
      <c r="A20" s="10">
        <v>42522</v>
      </c>
      <c r="B20" s="18">
        <f>IF(VLOOKUP(A20,'DB Country PMI'!$A:$AZ,MATCH($A$1,'DB Country PMI'!$A$1:$AZ$1,),)=0,#N/A,VLOOKUP(A20,'DB Country PMI'!$A:$AZ,MATCH($A$1,'DB Country PMI'!$A$1:$AZ$1,),))</f>
        <v>54.4</v>
      </c>
      <c r="C20" s="24">
        <f>Table134689[[#This Row],[PMI]]-B19</f>
        <v>-0.39999999999999858</v>
      </c>
    </row>
    <row r="21" spans="1:3" x14ac:dyDescent="0.2">
      <c r="A21" s="10">
        <v>42552</v>
      </c>
      <c r="B21" s="18">
        <f>IF(VLOOKUP(A21,'DB Country PMI'!$A:$AZ,MATCH($A$1,'DB Country PMI'!$A$1:$AZ$1,),)=0,#N/A,VLOOKUP(A21,'DB Country PMI'!$A:$AZ,MATCH($A$1,'DB Country PMI'!$A$1:$AZ$1,),))</f>
        <v>56</v>
      </c>
      <c r="C21" s="24">
        <f>Table134689[[#This Row],[PMI]]-B20</f>
        <v>1.6000000000000014</v>
      </c>
    </row>
    <row r="22" spans="1:3" x14ac:dyDescent="0.2">
      <c r="A22" s="10">
        <v>42583</v>
      </c>
      <c r="B22" s="18">
        <f>IF(VLOOKUP(A22,'DB Country PMI'!$A:$AZ,MATCH($A$1,'DB Country PMI'!$A$1:$AZ$1,),)=0,#N/A,VLOOKUP(A22,'DB Country PMI'!$A:$AZ,MATCH($A$1,'DB Country PMI'!$A$1:$AZ$1,),))</f>
        <v>56.6</v>
      </c>
      <c r="C22" s="24">
        <f>Table134689[[#This Row],[PMI]]-B21</f>
        <v>0.60000000000000142</v>
      </c>
    </row>
    <row r="23" spans="1:3" x14ac:dyDescent="0.2">
      <c r="A23" s="10">
        <v>42614</v>
      </c>
      <c r="B23" s="18">
        <f>IF(VLOOKUP(A23,'DB Country PMI'!$A:$AZ,MATCH($A$1,'DB Country PMI'!$A$1:$AZ$1,),)=0,#N/A,VLOOKUP(A23,'DB Country PMI'!$A:$AZ,MATCH($A$1,'DB Country PMI'!$A$1:$AZ$1,),))</f>
        <v>55.3</v>
      </c>
      <c r="C23" s="24">
        <f>Table134689[[#This Row],[PMI]]-B22</f>
        <v>-1.3000000000000043</v>
      </c>
    </row>
    <row r="24" spans="1:3" x14ac:dyDescent="0.2">
      <c r="A24" s="10">
        <v>42644</v>
      </c>
      <c r="B24" s="18">
        <f>IF(VLOOKUP(A24,'DB Country PMI'!$A:$AZ,MATCH($A$1,'DB Country PMI'!$A$1:$AZ$1,),)=0,#N/A,VLOOKUP(A24,'DB Country PMI'!$A:$AZ,MATCH($A$1,'DB Country PMI'!$A$1:$AZ$1,),))</f>
        <v>53.2</v>
      </c>
      <c r="C24" s="24">
        <f>Table134689[[#This Row],[PMI]]-B23</f>
        <v>-2.0999999999999943</v>
      </c>
    </row>
    <row r="25" spans="1:3" x14ac:dyDescent="0.2">
      <c r="A25" s="10">
        <v>42675</v>
      </c>
      <c r="B25" s="18">
        <f>IF(VLOOKUP(A25,'DB Country PMI'!$A:$AZ,MATCH($A$1,'DB Country PMI'!$A$1:$AZ$1,),)=0,#N/A,VLOOKUP(A25,'DB Country PMI'!$A:$AZ,MATCH($A$1,'DB Country PMI'!$A$1:$AZ$1,),))</f>
        <v>55</v>
      </c>
      <c r="C25" s="24">
        <f>Table134689[[#This Row],[PMI]]-B24</f>
        <v>1.7999999999999972</v>
      </c>
    </row>
    <row r="26" spans="1:3" x14ac:dyDescent="0.2">
      <c r="A26" s="10">
        <v>42705</v>
      </c>
      <c r="B26" s="18">
        <f>IF(VLOOKUP(A26,'DB Country PMI'!$A:$AZ,MATCH($A$1,'DB Country PMI'!$A$1:$AZ$1,),)=0,#N/A,VLOOKUP(A26,'DB Country PMI'!$A:$AZ,MATCH($A$1,'DB Country PMI'!$A$1:$AZ$1,),))</f>
        <v>55.5</v>
      </c>
      <c r="C26" s="24">
        <f>Table134689[[#This Row],[PMI]]-B25</f>
        <v>0.5</v>
      </c>
    </row>
    <row r="27" spans="1:3" x14ac:dyDescent="0.2">
      <c r="A27" s="10">
        <v>42736</v>
      </c>
      <c r="B27" s="18">
        <f>IF(VLOOKUP(A27,'DB Country PMI'!$A:$AZ,MATCH($A$1,'DB Country PMI'!$A$1:$AZ$1,),)=0,#N/A,VLOOKUP(A27,'DB Country PMI'!$A:$AZ,MATCH($A$1,'DB Country PMI'!$A$1:$AZ$1,),))</f>
        <v>56.7</v>
      </c>
      <c r="C27" s="24">
        <f>Table134689[[#This Row],[PMI]]-B26</f>
        <v>1.2000000000000028</v>
      </c>
    </row>
    <row r="28" spans="1:3" x14ac:dyDescent="0.2">
      <c r="A28" s="10">
        <v>42767</v>
      </c>
      <c r="B28" s="18">
        <f>IF(VLOOKUP(A28,'DB Country PMI'!$A:$AZ,MATCH($A$1,'DB Country PMI'!$A$1:$AZ$1,),)=0,#N/A,VLOOKUP(A28,'DB Country PMI'!$A:$AZ,MATCH($A$1,'DB Country PMI'!$A$1:$AZ$1,),))</f>
        <v>57</v>
      </c>
      <c r="C28" s="24">
        <f>Table134689[[#This Row],[PMI]]-B27</f>
        <v>0.29999999999999716</v>
      </c>
    </row>
    <row r="29" spans="1:3" x14ac:dyDescent="0.2">
      <c r="A29" s="10">
        <v>42795</v>
      </c>
      <c r="B29" s="18">
        <f>IF(VLOOKUP(A29,'DB Country PMI'!$A:$AZ,MATCH($A$1,'DB Country PMI'!$A$1:$AZ$1,),)=0,#N/A,VLOOKUP(A29,'DB Country PMI'!$A:$AZ,MATCH($A$1,'DB Country PMI'!$A$1:$AZ$1,),))</f>
        <v>56.4</v>
      </c>
      <c r="C29" s="24">
        <f>Table134689[[#This Row],[PMI]]-B28</f>
        <v>-0.60000000000000142</v>
      </c>
    </row>
    <row r="30" spans="1:3" x14ac:dyDescent="0.2">
      <c r="A30" s="10">
        <v>42826</v>
      </c>
      <c r="B30" s="18">
        <f>IF(VLOOKUP(A30,'DB Country PMI'!$A:$AZ,MATCH($A$1,'DB Country PMI'!$A$1:$AZ$1,),)=0,#N/A,VLOOKUP(A30,'DB Country PMI'!$A:$AZ,MATCH($A$1,'DB Country PMI'!$A$1:$AZ$1,),))</f>
        <v>56.5</v>
      </c>
      <c r="C30" s="24">
        <f>Table134689[[#This Row],[PMI]]-B29</f>
        <v>0.10000000000000142</v>
      </c>
    </row>
    <row r="31" spans="1:3" x14ac:dyDescent="0.2">
      <c r="A31" s="10">
        <v>42856</v>
      </c>
      <c r="B31" s="18">
        <f>IF(VLOOKUP(A31,'DB Country PMI'!$A:$AZ,MATCH($A$1,'DB Country PMI'!$A$1:$AZ$1,),)=0,#N/A,VLOOKUP(A31,'DB Country PMI'!$A:$AZ,MATCH($A$1,'DB Country PMI'!$A$1:$AZ$1,),))</f>
        <v>55.3</v>
      </c>
      <c r="C31" s="24">
        <f>Table134689[[#This Row],[PMI]]-B30</f>
        <v>-1.2000000000000028</v>
      </c>
    </row>
    <row r="32" spans="1:3" x14ac:dyDescent="0.2">
      <c r="A32" s="10">
        <v>42887</v>
      </c>
      <c r="B32" s="18">
        <f>IF(VLOOKUP(A32,'DB Country PMI'!$A:$AZ,MATCH($A$1,'DB Country PMI'!$A$1:$AZ$1,),)=0,#N/A,VLOOKUP(A32,'DB Country PMI'!$A:$AZ,MATCH($A$1,'DB Country PMI'!$A$1:$AZ$1,),))</f>
        <v>54.3</v>
      </c>
      <c r="C32" s="24">
        <f>Table134689[[#This Row],[PMI]]-B31</f>
        <v>-1</v>
      </c>
    </row>
    <row r="33" spans="1:3" x14ac:dyDescent="0.2">
      <c r="A33" s="10">
        <v>42917</v>
      </c>
      <c r="B33" s="18">
        <f>IF(VLOOKUP(A33,'DB Country PMI'!$A:$AZ,MATCH($A$1,'DB Country PMI'!$A$1:$AZ$1,),)=0,#N/A,VLOOKUP(A33,'DB Country PMI'!$A:$AZ,MATCH($A$1,'DB Country PMI'!$A$1:$AZ$1,),))</f>
        <v>55.7</v>
      </c>
      <c r="C33" s="24">
        <f>Table134689[[#This Row],[PMI]]-B32</f>
        <v>1.4000000000000057</v>
      </c>
    </row>
    <row r="34" spans="1:3" x14ac:dyDescent="0.2">
      <c r="A34" s="10">
        <v>42948</v>
      </c>
      <c r="B34" s="18">
        <f>IF(VLOOKUP(A34,'DB Country PMI'!$A:$AZ,MATCH($A$1,'DB Country PMI'!$A$1:$AZ$1,),)=0,#N/A,VLOOKUP(A34,'DB Country PMI'!$A:$AZ,MATCH($A$1,'DB Country PMI'!$A$1:$AZ$1,),))</f>
        <v>55.8</v>
      </c>
      <c r="C34" s="24">
        <f>Table134689[[#This Row],[PMI]]-B33</f>
        <v>9.9999999999994316E-2</v>
      </c>
    </row>
    <row r="35" spans="1:3" x14ac:dyDescent="0.2">
      <c r="A35" s="10">
        <v>42979</v>
      </c>
      <c r="B35" s="18">
        <f>IF(VLOOKUP(A35,'DB Country PMI'!$A:$AZ,MATCH($A$1,'DB Country PMI'!$A$1:$AZ$1,),)=0,#N/A,VLOOKUP(A35,'DB Country PMI'!$A:$AZ,MATCH($A$1,'DB Country PMI'!$A$1:$AZ$1,),))</f>
        <v>55.5</v>
      </c>
      <c r="C35" s="24">
        <f>Table134689[[#This Row],[PMI]]-B34</f>
        <v>-0.29999999999999716</v>
      </c>
    </row>
    <row r="36" spans="1:3" x14ac:dyDescent="0.2">
      <c r="A36" s="10">
        <v>43009</v>
      </c>
      <c r="B36" s="18">
        <f>IF(VLOOKUP(A36,'DB Country PMI'!$A:$AZ,MATCH($A$1,'DB Country PMI'!$A$1:$AZ$1,),)=0,#N/A,VLOOKUP(A36,'DB Country PMI'!$A:$AZ,MATCH($A$1,'DB Country PMI'!$A$1:$AZ$1,),))</f>
        <v>55.6</v>
      </c>
      <c r="C36" s="24">
        <f>Table134689[[#This Row],[PMI]]-B35</f>
        <v>0.10000000000000142</v>
      </c>
    </row>
    <row r="37" spans="1:3" x14ac:dyDescent="0.2">
      <c r="A37" s="10">
        <v>43040</v>
      </c>
      <c r="B37" s="18">
        <f>IF(VLOOKUP(A37,'DB Country PMI'!$A:$AZ,MATCH($A$1,'DB Country PMI'!$A$1:$AZ$1,),)=0,#N/A,VLOOKUP(A37,'DB Country PMI'!$A:$AZ,MATCH($A$1,'DB Country PMI'!$A$1:$AZ$1,),))</f>
        <v>57.5</v>
      </c>
      <c r="C37" s="24">
        <f>Table134689[[#This Row],[PMI]]-B36</f>
        <v>1.8999999999999986</v>
      </c>
    </row>
    <row r="38" spans="1:3" x14ac:dyDescent="0.2">
      <c r="A38" s="10">
        <v>43070</v>
      </c>
      <c r="B38" s="18">
        <f>IF(VLOOKUP(A38,'DB Country PMI'!$A:$AZ,MATCH($A$1,'DB Country PMI'!$A$1:$AZ$1,),)=0,#N/A,VLOOKUP(A38,'DB Country PMI'!$A:$AZ,MATCH($A$1,'DB Country PMI'!$A$1:$AZ$1,),))</f>
        <v>57.3</v>
      </c>
      <c r="C38" s="24">
        <f>Table134689[[#This Row],[PMI]]-B37</f>
        <v>-0.20000000000000284</v>
      </c>
    </row>
    <row r="39" spans="1:3" x14ac:dyDescent="0.2">
      <c r="A39" s="10">
        <v>43101</v>
      </c>
      <c r="B39" s="18">
        <f>IF(VLOOKUP(A39,'DB Country PMI'!$A:$AZ,MATCH($A$1,'DB Country PMI'!$A$1:$AZ$1,),)=0,#N/A,VLOOKUP(A39,'DB Country PMI'!$A:$AZ,MATCH($A$1,'DB Country PMI'!$A$1:$AZ$1,),))</f>
        <v>53</v>
      </c>
      <c r="C39" s="24">
        <f>Table134689[[#This Row],[PMI]]-B38</f>
        <v>-4.2999999999999972</v>
      </c>
    </row>
    <row r="40" spans="1:3" x14ac:dyDescent="0.2">
      <c r="A40" s="10">
        <v>43132</v>
      </c>
      <c r="B40" s="18">
        <f>IF(VLOOKUP(A40,'DB Country PMI'!$A:$AZ,MATCH($A$1,'DB Country PMI'!$A$1:$AZ$1,),)=0,#N/A,VLOOKUP(A40,'DB Country PMI'!$A:$AZ,MATCH($A$1,'DB Country PMI'!$A$1:$AZ$1,),))</f>
        <v>53.2</v>
      </c>
      <c r="C40" s="24">
        <f>Table134689[[#This Row],[PMI]]-B39</f>
        <v>0.20000000000000284</v>
      </c>
    </row>
    <row r="41" spans="1:3" x14ac:dyDescent="0.2">
      <c r="A41" s="10">
        <v>43160</v>
      </c>
      <c r="B41" s="18">
        <f>IF(VLOOKUP(A41,'DB Country PMI'!$A:$AZ,MATCH($A$1,'DB Country PMI'!$A$1:$AZ$1,),)=0,#N/A,VLOOKUP(A41,'DB Country PMI'!$A:$AZ,MATCH($A$1,'DB Country PMI'!$A$1:$AZ$1,),))</f>
        <v>52.8</v>
      </c>
      <c r="C41" s="24">
        <f>Table134689[[#This Row],[PMI]]-B40</f>
        <v>-0.40000000000000568</v>
      </c>
    </row>
    <row r="42" spans="1:3" x14ac:dyDescent="0.2">
      <c r="A42" s="10">
        <v>43191</v>
      </c>
      <c r="B42" s="18">
        <f>IF(VLOOKUP(A42,'DB Country PMI'!$A:$AZ,MATCH($A$1,'DB Country PMI'!$A$1:$AZ$1,),)=0,#N/A,VLOOKUP(A42,'DB Country PMI'!$A:$AZ,MATCH($A$1,'DB Country PMI'!$A$1:$AZ$1,),))</f>
        <v>51.4</v>
      </c>
      <c r="C42" s="24">
        <f>Table134689[[#This Row],[PMI]]-B41</f>
        <v>-1.3999999999999986</v>
      </c>
    </row>
    <row r="43" spans="1:3" x14ac:dyDescent="0.2">
      <c r="A43" s="10">
        <v>43221</v>
      </c>
      <c r="B43" s="18">
        <f>IF(VLOOKUP(A43,'DB Country PMI'!$A:$AZ,MATCH($A$1,'DB Country PMI'!$A$1:$AZ$1,),)=0,#N/A,VLOOKUP(A43,'DB Country PMI'!$A:$AZ,MATCH($A$1,'DB Country PMI'!$A$1:$AZ$1,),))</f>
        <v>53.2</v>
      </c>
      <c r="C43" s="24">
        <f>Table134689[[#This Row],[PMI]]-B42</f>
        <v>1.8000000000000043</v>
      </c>
    </row>
    <row r="44" spans="1:3" x14ac:dyDescent="0.2">
      <c r="A44" s="10">
        <v>43252</v>
      </c>
      <c r="B44" s="18">
        <f>IF(VLOOKUP(A44,'DB Country PMI'!$A:$AZ,MATCH($A$1,'DB Country PMI'!$A$1:$AZ$1,),)=0,#N/A,VLOOKUP(A44,'DB Country PMI'!$A:$AZ,MATCH($A$1,'DB Country PMI'!$A$1:$AZ$1,),))</f>
        <v>55</v>
      </c>
      <c r="C44" s="24">
        <f>Table134689[[#This Row],[PMI]]-B43</f>
        <v>1.7999999999999972</v>
      </c>
    </row>
    <row r="45" spans="1:3" x14ac:dyDescent="0.2">
      <c r="A45" s="10">
        <v>43282</v>
      </c>
      <c r="B45" s="18">
        <f>IF(VLOOKUP(A45,'DB Country PMI'!$A:$AZ,MATCH($A$1,'DB Country PMI'!$A$1:$AZ$1,),)=0,#N/A,VLOOKUP(A45,'DB Country PMI'!$A:$AZ,MATCH($A$1,'DB Country PMI'!$A$1:$AZ$1,),))</f>
        <v>54.9</v>
      </c>
      <c r="C45" s="24">
        <f>Table134689[[#This Row],[PMI]]-B44</f>
        <v>-0.10000000000000142</v>
      </c>
    </row>
    <row r="46" spans="1:3" x14ac:dyDescent="0.2">
      <c r="A46" s="10">
        <v>43313</v>
      </c>
      <c r="B46" s="18">
        <f>IF(VLOOKUP(A46,'DB Country PMI'!$A:$AZ,MATCH($A$1,'DB Country PMI'!$A$1:$AZ$1,),)=0,#N/A,VLOOKUP(A46,'DB Country PMI'!$A:$AZ,MATCH($A$1,'DB Country PMI'!$A$1:$AZ$1,),))</f>
        <v>55.1</v>
      </c>
      <c r="C46" s="24">
        <f>Table134689[[#This Row],[PMI]]-B45</f>
        <v>0.20000000000000284</v>
      </c>
    </row>
    <row r="47" spans="1:3" x14ac:dyDescent="0.2">
      <c r="A47" s="10">
        <v>43344</v>
      </c>
      <c r="B47" s="18">
        <f>IF(VLOOKUP(A47,'DB Country PMI'!$A:$AZ,MATCH($A$1,'DB Country PMI'!$A$1:$AZ$1,),)=0,#N/A,VLOOKUP(A47,'DB Country PMI'!$A:$AZ,MATCH($A$1,'DB Country PMI'!$A$1:$AZ$1,),))</f>
        <v>53.4</v>
      </c>
      <c r="C47" s="24">
        <f>Table134689[[#This Row],[PMI]]-B46</f>
        <v>-1.7000000000000028</v>
      </c>
    </row>
    <row r="48" spans="1:3" x14ac:dyDescent="0.2">
      <c r="A48" s="10">
        <v>43374</v>
      </c>
      <c r="B48" s="18">
        <f>IF(VLOOKUP(A48,'DB Country PMI'!$A:$AZ,MATCH($A$1,'DB Country PMI'!$A$1:$AZ$1,),)=0,#N/A,VLOOKUP(A48,'DB Country PMI'!$A:$AZ,MATCH($A$1,'DB Country PMI'!$A$1:$AZ$1,),))</f>
        <v>53.8</v>
      </c>
      <c r="C48" s="24">
        <f>Table134689[[#This Row],[PMI]]-B47</f>
        <v>0.39999999999999858</v>
      </c>
    </row>
    <row r="49" spans="1:3" x14ac:dyDescent="0.2">
      <c r="A49" s="10">
        <v>43405</v>
      </c>
      <c r="B49" s="18">
        <f>IF(VLOOKUP(A49,'DB Country PMI'!$A:$AZ,MATCH($A$1,'DB Country PMI'!$A$1:$AZ$1,),)=0,#N/A,VLOOKUP(A49,'DB Country PMI'!$A:$AZ,MATCH($A$1,'DB Country PMI'!$A$1:$AZ$1,),))</f>
        <v>55.2</v>
      </c>
      <c r="C49" s="24">
        <f>Table134689[[#This Row],[PMI]]-B48</f>
        <v>1.4000000000000057</v>
      </c>
    </row>
    <row r="50" spans="1:3" x14ac:dyDescent="0.2">
      <c r="A50" s="10">
        <v>43435</v>
      </c>
      <c r="B50" s="18">
        <f>IF(VLOOKUP(A50,'DB Country PMI'!$A:$AZ,MATCH($A$1,'DB Country PMI'!$A$1:$AZ$1,),)=0,#N/A,VLOOKUP(A50,'DB Country PMI'!$A:$AZ,MATCH($A$1,'DB Country PMI'!$A$1:$AZ$1,),))</f>
        <v>54.5</v>
      </c>
      <c r="C50" s="24">
        <f>Table134689[[#This Row],[PMI]]-B49</f>
        <v>-0.70000000000000284</v>
      </c>
    </row>
    <row r="51" spans="1:3" x14ac:dyDescent="0.2">
      <c r="A51" s="10">
        <v>43466</v>
      </c>
      <c r="B51" s="18">
        <f>IF(VLOOKUP(A51,'DB Country PMI'!$A:$AZ,MATCH($A$1,'DB Country PMI'!$A$1:$AZ$1,),)=0,#N/A,VLOOKUP(A51,'DB Country PMI'!$A:$AZ,MATCH($A$1,'DB Country PMI'!$A$1:$AZ$1,),))</f>
        <v>56.2</v>
      </c>
      <c r="C51" s="24">
        <f>Table134689[[#This Row],[PMI]]-B50</f>
        <v>1.7000000000000028</v>
      </c>
    </row>
    <row r="52" spans="1:3" x14ac:dyDescent="0.2">
      <c r="A52" s="10">
        <v>43497</v>
      </c>
      <c r="B52" s="18">
        <f>IF(VLOOKUP(A52,'DB Country PMI'!$A:$AZ,MATCH($A$1,'DB Country PMI'!$A$1:$AZ$1,),)=0,#N/A,VLOOKUP(A52,'DB Country PMI'!$A:$AZ,MATCH($A$1,'DB Country PMI'!$A$1:$AZ$1,),))</f>
        <v>56.6</v>
      </c>
      <c r="C52" s="24">
        <f>Table134689[[#This Row],[PMI]]-B51</f>
        <v>0.39999999999999858</v>
      </c>
    </row>
    <row r="53" spans="1:3" x14ac:dyDescent="0.2">
      <c r="A53" s="10">
        <v>43525</v>
      </c>
      <c r="B53" s="18">
        <f>IF(VLOOKUP(A53,'DB Country PMI'!$A:$AZ,MATCH($A$1,'DB Country PMI'!$A$1:$AZ$1,),)=0,#N/A,VLOOKUP(A53,'DB Country PMI'!$A:$AZ,MATCH($A$1,'DB Country PMI'!$A$1:$AZ$1,),))</f>
        <v>56.8</v>
      </c>
      <c r="C53" s="24">
        <f>Table134689[[#This Row],[PMI]]-B52</f>
        <v>0.19999999999999574</v>
      </c>
    </row>
    <row r="54" spans="1:3" x14ac:dyDescent="0.2">
      <c r="A54" s="10">
        <v>43556</v>
      </c>
      <c r="B54" s="18">
        <f>IF(VLOOKUP(A54,'DB Country PMI'!$A:$AZ,MATCH($A$1,'DB Country PMI'!$A$1:$AZ$1,),)=0,#N/A,VLOOKUP(A54,'DB Country PMI'!$A:$AZ,MATCH($A$1,'DB Country PMI'!$A$1:$AZ$1,),))</f>
        <v>57.3</v>
      </c>
      <c r="C54" s="24">
        <f>Table134689[[#This Row],[PMI]]-B53</f>
        <v>0.5</v>
      </c>
    </row>
    <row r="55" spans="1:3" x14ac:dyDescent="0.2">
      <c r="A55" s="10">
        <v>43586</v>
      </c>
      <c r="B55" s="18">
        <f>IF(VLOOKUP(A55,'DB Country PMI'!$A:$AZ,MATCH($A$1,'DB Country PMI'!$A$1:$AZ$1,),)=0,#N/A,VLOOKUP(A55,'DB Country PMI'!$A:$AZ,MATCH($A$1,'DB Country PMI'!$A$1:$AZ$1,),))</f>
        <v>57.3</v>
      </c>
      <c r="C55" s="24">
        <f>Table134689[[#This Row],[PMI]]-B54</f>
        <v>0</v>
      </c>
    </row>
    <row r="56" spans="1:3" x14ac:dyDescent="0.2">
      <c r="A56" s="10">
        <v>43617</v>
      </c>
      <c r="B56" s="18">
        <f>IF(VLOOKUP(A56,'DB Country PMI'!$A:$AZ,MATCH($A$1,'DB Country PMI'!$A$1:$AZ$1,),)=0,#N/A,VLOOKUP(A56,'DB Country PMI'!$A:$AZ,MATCH($A$1,'DB Country PMI'!$A$1:$AZ$1,),))</f>
        <v>57.4</v>
      </c>
      <c r="C56" s="24">
        <f>Table134689[[#This Row],[PMI]]-B55</f>
        <v>0.10000000000000142</v>
      </c>
    </row>
    <row r="57" spans="1:3" x14ac:dyDescent="0.2">
      <c r="A57" s="10">
        <v>43647</v>
      </c>
      <c r="B57" s="18">
        <f>IF(VLOOKUP(A57,'DB Country PMI'!$A:$AZ,MATCH($A$1,'DB Country PMI'!$A$1:$AZ$1,),)=0,#N/A,VLOOKUP(A57,'DB Country PMI'!$A:$AZ,MATCH($A$1,'DB Country PMI'!$A$1:$AZ$1,),))</f>
        <v>56.6</v>
      </c>
      <c r="C57" s="24">
        <f>Table134689[[#This Row],[PMI]]-B56</f>
        <v>-0.79999999999999716</v>
      </c>
    </row>
    <row r="58" spans="1:3" x14ac:dyDescent="0.2">
      <c r="A58" s="10">
        <v>43678</v>
      </c>
      <c r="B58" s="18">
        <f>IF(VLOOKUP(A58,'DB Country PMI'!$A:$AZ,MATCH($A$1,'DB Country PMI'!$A$1:$AZ$1,),)=0,#N/A,VLOOKUP(A58,'DB Country PMI'!$A:$AZ,MATCH($A$1,'DB Country PMI'!$A$1:$AZ$1,),))</f>
        <v>57</v>
      </c>
      <c r="C58" s="24">
        <f>Table134689[[#This Row],[PMI]]-B57</f>
        <v>0.39999999999999858</v>
      </c>
    </row>
    <row r="59" spans="1:3" x14ac:dyDescent="0.2">
      <c r="A59" s="10">
        <v>43709</v>
      </c>
      <c r="B59" s="18">
        <f>IF(VLOOKUP(A59,'DB Country PMI'!$A:$AZ,MATCH($A$1,'DB Country PMI'!$A$1:$AZ$1,),)=0,#N/A,VLOOKUP(A59,'DB Country PMI'!$A:$AZ,MATCH($A$1,'DB Country PMI'!$A$1:$AZ$1,),))</f>
        <v>57.3</v>
      </c>
      <c r="C59" s="24">
        <f>Table134689[[#This Row],[PMI]]-B58</f>
        <v>0.29999999999999716</v>
      </c>
    </row>
    <row r="60" spans="1:3" x14ac:dyDescent="0.2">
      <c r="A60" s="10">
        <v>43739</v>
      </c>
      <c r="B60" s="18">
        <f>IF(VLOOKUP(A60,'DB Country PMI'!$A:$AZ,MATCH($A$1,'DB Country PMI'!$A$1:$AZ$1,),)=0,#N/A,VLOOKUP(A60,'DB Country PMI'!$A:$AZ,MATCH($A$1,'DB Country PMI'!$A$1:$AZ$1,),))</f>
        <v>57.8</v>
      </c>
      <c r="C60" s="24">
        <f>Table134689[[#This Row],[PMI]]-B59</f>
        <v>0.5</v>
      </c>
    </row>
    <row r="61" spans="1:3" x14ac:dyDescent="0.2">
      <c r="A61" s="10">
        <v>43770</v>
      </c>
      <c r="B61" s="18">
        <f>IF(VLOOKUP(A61,'DB Country PMI'!$A:$AZ,MATCH($A$1,'DB Country PMI'!$A$1:$AZ$1,),)=0,#N/A,VLOOKUP(A61,'DB Country PMI'!$A:$AZ,MATCH($A$1,'DB Country PMI'!$A$1:$AZ$1,),))</f>
        <v>58.3</v>
      </c>
      <c r="C61" s="24">
        <f>Table134689[[#This Row],[PMI]]-B60</f>
        <v>0.5</v>
      </c>
    </row>
    <row r="62" spans="1:3" x14ac:dyDescent="0.2">
      <c r="A62" s="10">
        <v>43800</v>
      </c>
      <c r="B62" s="18">
        <f>IF(VLOOKUP(A62,'DB Country PMI'!$A:$AZ,MATCH($A$1,'DB Country PMI'!$A$1:$AZ$1,),)=0,#N/A,VLOOKUP(A62,'DB Country PMI'!$A:$AZ,MATCH($A$1,'DB Country PMI'!$A$1:$AZ$1,),))</f>
        <v>56.9</v>
      </c>
      <c r="C62" s="24">
        <f>Table134689[[#This Row],[PMI]]-B61</f>
        <v>-1.3999999999999986</v>
      </c>
    </row>
    <row r="63" spans="1:3" x14ac:dyDescent="0.2">
      <c r="A63" s="10">
        <v>43831</v>
      </c>
      <c r="B63" s="18">
        <f>IF(VLOOKUP(A63,'DB Country PMI'!$A:$AZ,MATCH($A$1,'DB Country PMI'!$A$1:$AZ$1,),)=0,#N/A,VLOOKUP(A63,'DB Country PMI'!$A:$AZ,MATCH($A$1,'DB Country PMI'!$A$1:$AZ$1,),))</f>
        <v>54.9</v>
      </c>
      <c r="C63" s="24">
        <f>Table134689[[#This Row],[PMI]]-B62</f>
        <v>-2</v>
      </c>
    </row>
    <row r="64" spans="1:3" x14ac:dyDescent="0.2">
      <c r="A64" s="10">
        <v>43862</v>
      </c>
      <c r="B64" s="18">
        <f>IF(VLOOKUP(A64,'DB Country PMI'!$A:$AZ,MATCH($A$1,'DB Country PMI'!$A$1:$AZ$1,),)=0,#N/A,VLOOKUP(A64,'DB Country PMI'!$A:$AZ,MATCH($A$1,'DB Country PMI'!$A$1:$AZ$1,),))</f>
        <v>52.5</v>
      </c>
      <c r="C64" s="24">
        <f>Table134689[[#This Row],[PMI]]-B63</f>
        <v>-2.3999999999999986</v>
      </c>
    </row>
    <row r="65" spans="1:3" x14ac:dyDescent="0.2">
      <c r="A65" s="10">
        <v>43891</v>
      </c>
      <c r="B65" s="18">
        <f>IF(VLOOKUP(A65,'DB Country PMI'!$A:$AZ,MATCH($A$1,'DB Country PMI'!$A$1:$AZ$1,),)=0,#N/A,VLOOKUP(A65,'DB Country PMI'!$A:$AZ,MATCH($A$1,'DB Country PMI'!$A$1:$AZ$1,),))</f>
        <v>42.4</v>
      </c>
      <c r="C65" s="24">
        <f>Table134689[[#This Row],[PMI]]-B64</f>
        <v>-10.100000000000001</v>
      </c>
    </row>
    <row r="66" spans="1:3" x14ac:dyDescent="0.2">
      <c r="A66" s="10">
        <v>43922</v>
      </c>
      <c r="B66" s="18">
        <f>IF(VLOOKUP(A66,'DB Country PMI'!$A:$AZ,MATCH($A$1,'DB Country PMI'!$A$1:$AZ$1,),)=0,#N/A,VLOOKUP(A66,'DB Country PMI'!$A:$AZ,MATCH($A$1,'DB Country PMI'!$A$1:$AZ$1,),))</f>
        <v>44.4</v>
      </c>
      <c r="C66" s="24">
        <f>Table134689[[#This Row],[PMI]]-B65</f>
        <v>2</v>
      </c>
    </row>
    <row r="67" spans="1:3" x14ac:dyDescent="0.2">
      <c r="A67" s="10">
        <v>43952</v>
      </c>
      <c r="B67" s="18">
        <f>IF(VLOOKUP(A67,'DB Country PMI'!$A:$AZ,MATCH($A$1,'DB Country PMI'!$A$1:$AZ$1,),)=0,#N/A,VLOOKUP(A67,'DB Country PMI'!$A:$AZ,MATCH($A$1,'DB Country PMI'!$A$1:$AZ$1,),))</f>
        <v>48.1</v>
      </c>
      <c r="C67" s="24">
        <f>Table134689[[#This Row],[PMI]]-B66</f>
        <v>3.7000000000000028</v>
      </c>
    </row>
    <row r="68" spans="1:3" x14ac:dyDescent="0.2">
      <c r="A68" s="10">
        <v>43983</v>
      </c>
      <c r="B68" s="18">
        <f>IF(VLOOKUP(A68,'DB Country PMI'!$A:$AZ,MATCH($A$1,'DB Country PMI'!$A$1:$AZ$1,),)=0,#N/A,VLOOKUP(A68,'DB Country PMI'!$A:$AZ,MATCH($A$1,'DB Country PMI'!$A$1:$AZ$1,),))</f>
        <v>47.7</v>
      </c>
      <c r="C68" s="24">
        <f>Table134689[[#This Row],[PMI]]-B67</f>
        <v>-0.39999999999999858</v>
      </c>
    </row>
    <row r="69" spans="1:3" x14ac:dyDescent="0.2">
      <c r="A69" s="10">
        <v>44013</v>
      </c>
      <c r="B69" s="18">
        <f>IF(VLOOKUP(A69,'DB Country PMI'!$A:$AZ,MATCH($A$1,'DB Country PMI'!$A$1:$AZ$1,),)=0,#N/A,VLOOKUP(A69,'DB Country PMI'!$A:$AZ,MATCH($A$1,'DB Country PMI'!$A$1:$AZ$1,),))</f>
        <v>48.8</v>
      </c>
      <c r="C69" s="24">
        <f>Table134689[[#This Row],[PMI]]-B68</f>
        <v>1.0999999999999943</v>
      </c>
    </row>
    <row r="70" spans="1:3" x14ac:dyDescent="0.2">
      <c r="A70" s="10">
        <v>44044</v>
      </c>
      <c r="B70" s="18">
        <f>IF(VLOOKUP(A70,'DB Country PMI'!$A:$AZ,MATCH($A$1,'DB Country PMI'!$A$1:$AZ$1,),)=0,#N/A,VLOOKUP(A70,'DB Country PMI'!$A:$AZ,MATCH($A$1,'DB Country PMI'!$A$1:$AZ$1,),))</f>
        <v>50</v>
      </c>
      <c r="C70" s="24">
        <f>Table134689[[#This Row],[PMI]]-B69</f>
        <v>1.2000000000000028</v>
      </c>
    </row>
    <row r="71" spans="1:3" x14ac:dyDescent="0.2">
      <c r="A71" s="10">
        <v>44075</v>
      </c>
      <c r="B71" s="18">
        <f>IF(VLOOKUP(A71,'DB Country PMI'!$A:$AZ,MATCH($A$1,'DB Country PMI'!$A$1:$AZ$1,),)=0,#N/A,VLOOKUP(A71,'DB Country PMI'!$A:$AZ,MATCH($A$1,'DB Country PMI'!$A$1:$AZ$1,),))</f>
        <v>50.7</v>
      </c>
      <c r="C71" s="24">
        <f>Table134689[[#This Row],[PMI]]-B70</f>
        <v>0.70000000000000284</v>
      </c>
    </row>
    <row r="72" spans="1:3" x14ac:dyDescent="0.2">
      <c r="A72" s="10">
        <v>44105</v>
      </c>
      <c r="B72" s="18">
        <f>IF(VLOOKUP(A72,'DB Country PMI'!$A:$AZ,MATCH($A$1,'DB Country PMI'!$A$1:$AZ$1,),)=0,#N/A,VLOOKUP(A72,'DB Country PMI'!$A:$AZ,MATCH($A$1,'DB Country PMI'!$A$1:$AZ$1,),))</f>
        <v>51</v>
      </c>
      <c r="C72" s="24">
        <f>Table134689[[#This Row],[PMI]]-B71</f>
        <v>0.29999999999999716</v>
      </c>
    </row>
    <row r="73" spans="1:3" x14ac:dyDescent="0.2">
      <c r="A73" s="10">
        <v>44136</v>
      </c>
      <c r="B73" s="18">
        <f>IF(VLOOKUP(A73,'DB Country PMI'!$A:$AZ,MATCH($A$1,'DB Country PMI'!$A$1:$AZ$1,),)=0,#N/A,VLOOKUP(A73,'DB Country PMI'!$A:$AZ,MATCH($A$1,'DB Country PMI'!$A$1:$AZ$1,),))</f>
        <v>54.7</v>
      </c>
      <c r="C73" s="24">
        <f>Table134689[[#This Row],[PMI]]-B72</f>
        <v>3.7000000000000028</v>
      </c>
    </row>
    <row r="74" spans="1:3" x14ac:dyDescent="0.2">
      <c r="A74" s="10">
        <v>44166</v>
      </c>
      <c r="B74" s="18">
        <f>IF(VLOOKUP(A74,'DB Country PMI'!$A:$AZ,MATCH($A$1,'DB Country PMI'!$A$1:$AZ$1,),)=0,#N/A,VLOOKUP(A74,'DB Country PMI'!$A:$AZ,MATCH($A$1,'DB Country PMI'!$A$1:$AZ$1,),))</f>
        <v>57</v>
      </c>
      <c r="C74" s="24">
        <f>Table134689[[#This Row],[PMI]]-B73</f>
        <v>2.2999999999999972</v>
      </c>
    </row>
    <row r="75" spans="1:3" x14ac:dyDescent="0.2">
      <c r="A75" s="10">
        <v>44197</v>
      </c>
      <c r="B75" s="18">
        <f>IF(VLOOKUP(A75,'DB Country PMI'!$A:$AZ,MATCH($A$1,'DB Country PMI'!$A$1:$AZ$1,),)=0,#N/A,VLOOKUP(A75,'DB Country PMI'!$A:$AZ,MATCH($A$1,'DB Country PMI'!$A$1:$AZ$1,),))</f>
        <v>57.1</v>
      </c>
      <c r="C75" s="24">
        <f>Table134689[[#This Row],[PMI]]-B74</f>
        <v>0.10000000000000142</v>
      </c>
    </row>
    <row r="76" spans="1:3" x14ac:dyDescent="0.2">
      <c r="A76" s="10">
        <v>44228</v>
      </c>
      <c r="B76" s="18">
        <f>IF(VLOOKUP(A76,'DB Country PMI'!$A:$AZ,MATCH($A$1,'DB Country PMI'!$A$1:$AZ$1,),)=0,#N/A,VLOOKUP(A76,'DB Country PMI'!$A:$AZ,MATCH($A$1,'DB Country PMI'!$A$1:$AZ$1,),))</f>
        <v>53.9</v>
      </c>
      <c r="C76" s="24">
        <f>Table134689[[#This Row],[PMI]]-B75</f>
        <v>-3.2000000000000028</v>
      </c>
    </row>
    <row r="77" spans="1:3" x14ac:dyDescent="0.2">
      <c r="A77" s="10">
        <v>44256</v>
      </c>
      <c r="B77" s="18">
        <f>IF(VLOOKUP(A77,'DB Country PMI'!$A:$AZ,MATCH($A$1,'DB Country PMI'!$A$1:$AZ$1,),)=0,#N/A,VLOOKUP(A77,'DB Country PMI'!$A:$AZ,MATCH($A$1,'DB Country PMI'!$A$1:$AZ$1,),))</f>
        <v>53.3</v>
      </c>
      <c r="C77" s="24">
        <f>Table134689[[#This Row],[PMI]]-B76</f>
        <v>-0.60000000000000142</v>
      </c>
    </row>
    <row r="78" spans="1:3" x14ac:dyDescent="0.2">
      <c r="A78" s="10">
        <v>44287</v>
      </c>
      <c r="B78" s="18">
        <f>IF(VLOOKUP(A78,'DB Country PMI'!$A:$AZ,MATCH($A$1,'DB Country PMI'!$A$1:$AZ$1,),)=0,#N/A,VLOOKUP(A78,'DB Country PMI'!$A:$AZ,MATCH($A$1,'DB Country PMI'!$A$1:$AZ$1,),))</f>
        <v>55.2</v>
      </c>
      <c r="C78" s="24">
        <f>Table134689[[#This Row],[PMI]]-B77</f>
        <v>1.9000000000000057</v>
      </c>
    </row>
    <row r="79" spans="1:3" x14ac:dyDescent="0.2">
      <c r="A79" s="10">
        <v>44317</v>
      </c>
      <c r="B79" s="18">
        <f>IF(VLOOKUP(A79,'DB Country PMI'!$A:$AZ,MATCH($A$1,'DB Country PMI'!$A$1:$AZ$1,),)=0,#N/A,VLOOKUP(A79,'DB Country PMI'!$A:$AZ,MATCH($A$1,'DB Country PMI'!$A$1:$AZ$1,),))</f>
        <v>56.4</v>
      </c>
      <c r="C79" s="24">
        <f>Table134689[[#This Row],[PMI]]-B78</f>
        <v>1.1999999999999957</v>
      </c>
    </row>
    <row r="80" spans="1:3" x14ac:dyDescent="0.2">
      <c r="A80" s="10">
        <v>44348</v>
      </c>
      <c r="B80" s="18">
        <f>IF(VLOOKUP(A80,'DB Country PMI'!$A:$AZ,MATCH($A$1,'DB Country PMI'!$A$1:$AZ$1,),)=0,#N/A,VLOOKUP(A80,'DB Country PMI'!$A:$AZ,MATCH($A$1,'DB Country PMI'!$A$1:$AZ$1,),))</f>
        <v>56.4</v>
      </c>
      <c r="C80" s="24">
        <f>Table134689[[#This Row],[PMI]]-B79</f>
        <v>0</v>
      </c>
    </row>
    <row r="81" spans="1:3" x14ac:dyDescent="0.2">
      <c r="A81" s="10">
        <v>44378</v>
      </c>
      <c r="B81" s="18">
        <f>IF(VLOOKUP(A81,'DB Country PMI'!$A:$AZ,MATCH($A$1,'DB Country PMI'!$A$1:$AZ$1,),)=0,#N/A,VLOOKUP(A81,'DB Country PMI'!$A:$AZ,MATCH($A$1,'DB Country PMI'!$A$1:$AZ$1,),))</f>
        <v>55.8</v>
      </c>
      <c r="C81" s="24">
        <f>Table134689[[#This Row],[PMI]]-B80</f>
        <v>-0.60000000000000142</v>
      </c>
    </row>
    <row r="82" spans="1:3" x14ac:dyDescent="0.2">
      <c r="A82" s="10">
        <v>44409</v>
      </c>
      <c r="B82" s="18">
        <f>IF(VLOOKUP(A82,'DB Country PMI'!$A:$AZ,MATCH($A$1,'DB Country PMI'!$A$1:$AZ$1,),)=0,#N/A,VLOOKUP(A82,'DB Country PMI'!$A:$AZ,MATCH($A$1,'DB Country PMI'!$A$1:$AZ$1,),))</f>
        <v>54.1</v>
      </c>
      <c r="C82" s="24">
        <f>Table134689[[#This Row],[PMI]]-B81</f>
        <v>-1.6999999999999957</v>
      </c>
    </row>
    <row r="83" spans="1:3" x14ac:dyDescent="0.2">
      <c r="A83" s="10">
        <v>44440</v>
      </c>
      <c r="B83" s="18">
        <f>IF(VLOOKUP(A83,'DB Country PMI'!$A:$AZ,MATCH($A$1,'DB Country PMI'!$A$1:$AZ$1,),)=0,#N/A,VLOOKUP(A83,'DB Country PMI'!$A:$AZ,MATCH($A$1,'DB Country PMI'!$A$1:$AZ$1,),))</f>
        <v>58.6</v>
      </c>
      <c r="C83" s="24">
        <f>Table134689[[#This Row],[PMI]]-B82</f>
        <v>4.5</v>
      </c>
    </row>
    <row r="84" spans="1:3" x14ac:dyDescent="0.2">
      <c r="A84" s="10">
        <v>44470</v>
      </c>
      <c r="B84" s="18">
        <f>IF(VLOOKUP(A84,'DB Country PMI'!$A:$AZ,MATCH($A$1,'DB Country PMI'!$A$1:$AZ$1,),)=0,#N/A,VLOOKUP(A84,'DB Country PMI'!$A:$AZ,MATCH($A$1,'DB Country PMI'!$A$1:$AZ$1,),))</f>
        <v>57.7</v>
      </c>
      <c r="C84" s="24">
        <f>Table134689[[#This Row],[PMI]]-B83</f>
        <v>-0.89999999999999858</v>
      </c>
    </row>
    <row r="85" spans="1:3" x14ac:dyDescent="0.2">
      <c r="A85" s="10">
        <v>44501</v>
      </c>
      <c r="B85" s="18">
        <f>IF(VLOOKUP(A85,'DB Country PMI'!$A:$AZ,MATCH($A$1,'DB Country PMI'!$A$1:$AZ$1,),)=0,#N/A,VLOOKUP(A85,'DB Country PMI'!$A:$AZ,MATCH($A$1,'DB Country PMI'!$A$1:$AZ$1,),))</f>
        <v>56.9</v>
      </c>
      <c r="C85" s="24">
        <f>Table134689[[#This Row],[PMI]]-B84</f>
        <v>-0.80000000000000426</v>
      </c>
    </row>
    <row r="86" spans="1:3" x14ac:dyDescent="0.2">
      <c r="A86" s="10">
        <v>44531</v>
      </c>
      <c r="B86" s="18">
        <f>IF(VLOOKUP(A86,'DB Country PMI'!$A:$AZ,MATCH($A$1,'DB Country PMI'!$A$1:$AZ$1,),)=0,#N/A,VLOOKUP(A86,'DB Country PMI'!$A:$AZ,MATCH($A$1,'DB Country PMI'!$A$1:$AZ$1,),))</f>
        <v>53.9</v>
      </c>
      <c r="C86" s="24">
        <f>Table134689[[#This Row],[PMI]]-B85</f>
        <v>-3</v>
      </c>
    </row>
    <row r="87" spans="1:3" x14ac:dyDescent="0.2">
      <c r="A87" s="10">
        <v>44562</v>
      </c>
      <c r="B87" s="18">
        <f>IF(VLOOKUP(A87,'DB Country PMI'!$A:$AZ,MATCH($A$1,'DB Country PMI'!$A$1:$AZ$1,),)=0,#N/A,VLOOKUP(A87,'DB Country PMI'!$A:$AZ,MATCH($A$1,'DB Country PMI'!$A$1:$AZ$1,),))</f>
        <v>53.2</v>
      </c>
      <c r="C87" s="24">
        <f>Table134689[[#This Row],[PMI]]-B86</f>
        <v>-0.69999999999999574</v>
      </c>
    </row>
  </sheetData>
  <conditionalFormatting sqref="B6:B87">
    <cfRule type="colorScale" priority="54">
      <colorScale>
        <cfvo type="min"/>
        <cfvo type="percentile" val="50"/>
        <cfvo type="max"/>
        <color rgb="FFF8696B"/>
        <color rgb="FFFFEB84"/>
        <color rgb="FF63BE7B"/>
      </colorScale>
    </cfRule>
  </conditionalFormatting>
  <conditionalFormatting sqref="C7:C87">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37"/>
  <sheetViews>
    <sheetView zoomScale="160" zoomScaleNormal="160" workbookViewId="0">
      <pane ySplit="5" topLeftCell="A200" activePane="bottomLeft" state="frozen"/>
      <selection activeCell="B327" sqref="B327"/>
      <selection pane="bottomLeft" activeCell="B327" sqref="B327"/>
    </sheetView>
  </sheetViews>
  <sheetFormatPr baseColWidth="10" defaultColWidth="9.1640625" defaultRowHeight="15" x14ac:dyDescent="0.2"/>
  <cols>
    <col min="1" max="1" width="13.5" style="63" customWidth="1"/>
    <col min="2" max="2" width="11.33203125" style="63" customWidth="1"/>
    <col min="3" max="39" width="9.1640625" style="63" customWidth="1"/>
    <col min="40" max="16384" width="9.1640625" style="63"/>
  </cols>
  <sheetData>
    <row r="1" spans="1:11" x14ac:dyDescent="0.2">
      <c r="A1" s="63" t="s">
        <v>62</v>
      </c>
      <c r="K1" s="63" t="s">
        <v>107</v>
      </c>
    </row>
    <row r="2" spans="1:11" x14ac:dyDescent="0.2">
      <c r="K2" s="63" t="str">
        <f>A1&amp;K1</f>
        <v>New Zealand Manufacturing PMI</v>
      </c>
    </row>
    <row r="4" spans="1:11" ht="16" customHeight="1" thickBot="1" x14ac:dyDescent="0.25"/>
    <row r="5" spans="1:11" ht="16" customHeight="1" thickBot="1" x14ac:dyDescent="0.25">
      <c r="A5" s="21" t="s">
        <v>44</v>
      </c>
      <c r="B5" s="22" t="s">
        <v>103</v>
      </c>
      <c r="C5" s="22" t="s">
        <v>104</v>
      </c>
    </row>
    <row r="6" spans="1:11" x14ac:dyDescent="0.2">
      <c r="A6" s="17">
        <v>37469</v>
      </c>
      <c r="B6" s="19">
        <f>IF(VLOOKUP(A6,'DB Country PMI'!$A:$AZ,MATCH($A$1,'DB Country PMI'!$A$1:$AZ$1,),)=0,#N/A,VLOOKUP(A6,'DB Country PMI'!$A:$AZ,MATCH($A$1,'DB Country PMI'!$A$1:$AZ$1,),))</f>
        <v>56.907262129678003</v>
      </c>
      <c r="C6" s="18"/>
    </row>
    <row r="7" spans="1:11" x14ac:dyDescent="0.2">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2">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2">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2">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2">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2">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2">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2">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2">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2">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2">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2">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2">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2">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2">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2">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2">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2">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2">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2">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2">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2">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2">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2">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2">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2">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2">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2">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2">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2">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2">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2">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2">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2">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2">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2">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2">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2">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2">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2">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2">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2">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2">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2">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2">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2">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2">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2">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2">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2">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2">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2">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2">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2">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2">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2">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2">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2">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2">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2">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2">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2">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2">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2">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2">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2">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2">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2">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2">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2">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2">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2">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2">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2">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2">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2">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2">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2">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2">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2">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2">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2">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2">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2">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2">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2">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2">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2">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2">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2">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2">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2">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2">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2">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2">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2">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2">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2">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2">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2">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2">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2">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2">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2">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2">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2">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2">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2">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2">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2">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2">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2">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2">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2">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2">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2">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2">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2">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2">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2">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2">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2">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2">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2">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2">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2">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2">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2">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2">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2">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2">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2">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2">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2">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2">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2">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2">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2">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2">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2">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2">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2">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2">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2">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2">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2">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2">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2">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2">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2">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2">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2">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2">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2">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2">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2">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2">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2">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2">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2">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2">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2">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2">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2">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2">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2">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2">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2">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2">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2">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2">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2">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2">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2">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2">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2">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2">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2">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2">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2">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2">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2">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2">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2">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2">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2">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2">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2">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2">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2">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2">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2">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2">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2">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2">
      <c r="A201" s="10">
        <v>43405</v>
      </c>
      <c r="B201" s="19">
        <f>IF(VLOOKUP(A201,'DB Country PMI'!$A:$AZ,MATCH($A$1,'DB Country PMI'!$A$1:$AZ$1,),)=0,#N/A,VLOOKUP(A201,'DB Country PMI'!$A:$AZ,MATCH($A$1,'DB Country PMI'!$A$1:$AZ$1,),))</f>
        <v>53.5</v>
      </c>
      <c r="C201" s="26">
        <f>Table1346811121415161718192022253032[[#This Row],[PMI]]-B200</f>
        <v>0</v>
      </c>
    </row>
    <row r="202" spans="1:3" x14ac:dyDescent="0.2">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2">
      <c r="A203" s="10">
        <v>43466</v>
      </c>
      <c r="B203" s="19">
        <f>IF(VLOOKUP(A203,'DB Country PMI'!$A:$AZ,MATCH($A$1,'DB Country PMI'!$A$1:$AZ$1,),)=0,#N/A,VLOOKUP(A203,'DB Country PMI'!$A:$AZ,MATCH($A$1,'DB Country PMI'!$A$1:$AZ$1,),))</f>
        <v>53.1</v>
      </c>
      <c r="C203" s="26">
        <f>Table1346811121415161718192022253032[[#This Row],[PMI]]-B202</f>
        <v>-2</v>
      </c>
    </row>
    <row r="204" spans="1:3" x14ac:dyDescent="0.2">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2">
      <c r="A205" s="10">
        <v>43525</v>
      </c>
      <c r="B205" s="19">
        <f>IF(VLOOKUP(A205,'DB Country PMI'!$A:$AZ,MATCH($A$1,'DB Country PMI'!$A$1:$AZ$1,),)=0,#N/A,VLOOKUP(A205,'DB Country PMI'!$A:$AZ,MATCH($A$1,'DB Country PMI'!$A$1:$AZ$1,),))</f>
        <v>51.9</v>
      </c>
      <c r="C205" s="26">
        <f>Table1346811121415161718192022253032[[#This Row],[PMI]]-B204</f>
        <v>-1.5</v>
      </c>
    </row>
    <row r="206" spans="1:3" x14ac:dyDescent="0.2">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2">
      <c r="A207" s="10">
        <v>43586</v>
      </c>
      <c r="B207" s="19">
        <f>IF(VLOOKUP(A207,'DB Country PMI'!$A:$AZ,MATCH($A$1,'DB Country PMI'!$A$1:$AZ$1,),)=0,#N/A,VLOOKUP(A207,'DB Country PMI'!$A:$AZ,MATCH($A$1,'DB Country PMI'!$A$1:$AZ$1,),))</f>
        <v>50.2</v>
      </c>
      <c r="C207" s="26">
        <f>Table1346811121415161718192022253032[[#This Row],[PMI]]-B206</f>
        <v>-2.5</v>
      </c>
    </row>
    <row r="208" spans="1:3" x14ac:dyDescent="0.2">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2">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2">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2">
      <c r="A211" s="10">
        <v>43709</v>
      </c>
      <c r="B211" s="19">
        <f>IF(VLOOKUP(A211,'DB Country PMI'!$A:$AZ,MATCH($A$1,'DB Country PMI'!$A$1:$AZ$1,),)=0,#N/A,VLOOKUP(A211,'DB Country PMI'!$A:$AZ,MATCH($A$1,'DB Country PMI'!$A$1:$AZ$1,),))</f>
        <v>48.4</v>
      </c>
      <c r="C211" s="26">
        <f>Table1346811121415161718192022253032[[#This Row],[PMI]]-B210</f>
        <v>0</v>
      </c>
    </row>
    <row r="212" spans="1:3" x14ac:dyDescent="0.2">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2">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2">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2">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2">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2">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2">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2">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2">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2">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2">
      <c r="A222" s="10">
        <v>44044</v>
      </c>
      <c r="B222" s="19">
        <f>IF(VLOOKUP(A222,'DB Country PMI'!$A:$AZ,MATCH($A$1,'DB Country PMI'!$A$1:$AZ$1,),)=0,#N/A,VLOOKUP(A222,'DB Country PMI'!$A:$AZ,MATCH($A$1,'DB Country PMI'!$A$1:$AZ$1,),))</f>
        <v>51</v>
      </c>
      <c r="C222" s="26">
        <f>Table1346811121415161718192022253032[[#This Row],[PMI]]-B221</f>
        <v>-8</v>
      </c>
    </row>
    <row r="223" spans="1:3" x14ac:dyDescent="0.2">
      <c r="A223" s="10">
        <v>44075</v>
      </c>
      <c r="B223" s="19">
        <f>IF(VLOOKUP(A223,'DB Country PMI'!$A:$AZ,MATCH($A$1,'DB Country PMI'!$A$1:$AZ$1,),)=0,#N/A,VLOOKUP(A223,'DB Country PMI'!$A:$AZ,MATCH($A$1,'DB Country PMI'!$A$1:$AZ$1,),))</f>
        <v>54</v>
      </c>
      <c r="C223" s="26">
        <f>Table1346811121415161718192022253032[[#This Row],[PMI]]-B222</f>
        <v>3</v>
      </c>
    </row>
    <row r="224" spans="1:3" x14ac:dyDescent="0.2">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2">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2">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2">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2">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2">
      <c r="A229" s="10">
        <v>44256</v>
      </c>
      <c r="B229" s="19">
        <f>IF(VLOOKUP(A229,'DB Country PMI'!$A:$AZ,MATCH($A$1,'DB Country PMI'!$A$1:$AZ$1,),)=0,#N/A,VLOOKUP(A229,'DB Country PMI'!$A:$AZ,MATCH($A$1,'DB Country PMI'!$A$1:$AZ$1,),))</f>
        <v>63.6</v>
      </c>
      <c r="C229" s="26">
        <f>Table1346811121415161718192022253032[[#This Row],[PMI]]-B228</f>
        <v>9.39</v>
      </c>
    </row>
    <row r="230" spans="1:3" x14ac:dyDescent="0.2">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2">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2">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2">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2">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2">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2">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2">
      <c r="A237" s="10">
        <v>44501</v>
      </c>
      <c r="B237" s="19">
        <f>IF(VLOOKUP(A237,'DB Country PMI'!$A:$AZ,MATCH($A$1,'DB Country PMI'!$A$1:$AZ$1,),)=0,#N/A,VLOOKUP(A237,'DB Country PMI'!$A:$AZ,MATCH($A$1,'DB Country PMI'!$A$1:$AZ$1,),))</f>
        <v>50.6</v>
      </c>
      <c r="C237" s="26">
        <f>Table1346811121415161718192022253032[[#This Row],[PMI]]-B236</f>
        <v>-3.6999999999999957</v>
      </c>
    </row>
  </sheetData>
  <conditionalFormatting sqref="C95:C237">
    <cfRule type="colorScale" priority="2">
      <colorScale>
        <cfvo type="min"/>
        <cfvo type="percentile" val="50"/>
        <cfvo type="max"/>
        <color rgb="FFF8696B"/>
        <color rgb="FFFCFCFF"/>
        <color rgb="FF5A8AC6"/>
      </colorScale>
    </cfRule>
  </conditionalFormatting>
  <conditionalFormatting sqref="B95:B23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2022-02-16T11:16:17Z</dcterms:modified>
</cp:coreProperties>
</file>