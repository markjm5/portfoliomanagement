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Global!$E$6:$E$142</f>
              <numCache>
                <formatCode>General</formatCode>
                <ptCount val="137"/>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-2.200000000000003</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Global!$F$6:$F$142</f>
              <numCache>
                <formatCode>General</formatCode>
                <ptCount val="137"/>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Global!$B$6:$B$142</f>
              <numCache>
                <formatCode>General</formatCode>
                <ptCount val="137"/>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51.4</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US!$A$6:$A$144</f>
              <numCache>
                <formatCode>m/d/yy</formatCode>
                <ptCount val="13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US!$B$6:$B$144</f>
              <numCache>
                <formatCode>General</formatCode>
                <ptCount val="139"/>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China!$D$6:$D$212</f>
              <numCache>
                <formatCode>General</formatCode>
                <ptCount val="207"/>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China!$F$6:$F$212</f>
              <numCache>
                <formatCode>0.0%</formatCode>
                <ptCount val="207"/>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Area'!$E$18:$E$217</f>
              <numCache>
                <formatCode>General</formatCode>
                <ptCount val="200"/>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Area'!$F$18:$F$217</f>
              <numCache>
                <formatCode>0.0%</formatCode>
                <ptCount val="200"/>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pt idx="194">
                  <v>0.0951016805590177</v>
                </pt>
                <pt idx="195">
                  <v>-0.04510848986000766</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Area'!$G$6:$G$213</f>
              <numCache>
                <formatCode>0.0%</formatCode>
                <ptCount val="208"/>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0.00289714389151726</v>
                </pt>
                <pt idx="203">
                  <v>0</v>
                </pt>
                <pt idx="204">
                  <v>0</v>
                </pt>
                <pt idx="205">
                  <v>0</v>
                </pt>
                <pt idx="206">
                  <v>0</v>
                </pt>
                <pt idx="207">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Japan!$A$6:$A$175</f>
              <numCache>
                <formatCode>m/d/yy</formatCode>
                <ptCount val="170"/>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numCache>
            </numRef>
          </cat>
          <val>
            <numRef>
              <f>Japan!$B$6:$B$175</f>
              <numCache>
                <formatCode>General</formatCode>
                <ptCount val="170"/>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Germany!$A$6:$A$176</f>
              <numCache>
                <formatCode>m/d/yy</formatCode>
                <ptCount val="171"/>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numCache>
            </numRef>
          </cat>
          <val>
            <numRef>
              <f>Germany!$B$6:$B$176</f>
              <numCache>
                <formatCode>General</formatCode>
                <ptCount val="171"/>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UK!$B$18:$B$218</f>
              <numCache>
                <formatCode>General</formatCode>
                <ptCount val="201"/>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UK!$D$18:$D$218</f>
              <numCache>
                <formatCode>0.00</formatCode>
                <ptCount val="201"/>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pt idx="194">
                  <v>34.27999877929688</v>
                </pt>
                <pt idx="195">
                  <v>33.63999938964844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UK!$B$6:$B$213</f>
              <numCache>
                <formatCode>General</formatCode>
                <ptCount val="208"/>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Italy!$B$6:$B$189</f>
              <numCache>
                <formatCode>General</formatCode>
                <ptCount val="184"/>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Spain!$B$6:$B$189</f>
              <numCache>
                <formatCode>General</formatCode>
                <ptCount val="184"/>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Mexico!$B$6:$B$137</f>
              <numCache>
                <formatCode>General</formatCode>
                <ptCount val="132"/>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India!$B$6:$B$142</f>
              <numCache>
                <formatCode>General</formatCode>
                <ptCount val="137"/>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Canada!$B$6:$B$137</f>
              <numCache>
                <formatCode>General</formatCode>
                <ptCount val="132"/>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Australia!$A$6:$A$172</f>
              <numCache>
                <formatCode>m/d/yy</formatCode>
                <ptCount val="167"/>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numCache>
            </numRef>
          </cat>
          <val>
            <numRef>
              <f>Australia!$B$6:$B$172</f>
              <numCache>
                <formatCode>General</formatCode>
                <ptCount val="167"/>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Indonesia!$B$6:$B$137</f>
              <numCache>
                <formatCode>General</formatCode>
                <ptCount val="132"/>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SouthKorea!$A$6:$A$141</f>
              <numCache>
                <formatCode>m/d/yy</formatCode>
                <ptCount val="136"/>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numCache>
            </numRef>
          </cat>
          <val>
            <numRef>
              <f>SouthKorea!$B$6:$B$141</f>
              <numCache>
                <formatCode>General</formatCode>
                <ptCount val="136"/>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Taiwan!$B$6:$B$143</f>
              <numCache>
                <formatCode>General</formatCode>
                <ptCount val="138"/>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Greece!$A$6:$A$143</f>
              <numCache>
                <formatCode>m/d/yy</formatCode>
                <ptCount val="138"/>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Greece!$B$6:$B$143</f>
              <numCache>
                <formatCode>General</formatCode>
                <ptCount val="138"/>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Turkey!$B$6:$B$143</f>
              <numCache>
                <formatCode>General</formatCode>
                <ptCount val="138"/>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CzechRepublic!$B$6:$B$143</f>
              <numCache>
                <formatCode>General</formatCode>
                <ptCount val="138"/>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Poland!$B$6:$B$143</f>
              <numCache>
                <formatCode>General</formatCode>
                <ptCount val="138"/>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Denmark!$A$6:$A$344</f>
              <numCache>
                <formatCode>m/d/yy</formatCode>
                <ptCount val="339"/>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numCache>
            </numRef>
          </cat>
          <val>
            <numRef>
              <f>Denmark!$B$6:$B$344</f>
              <numCache>
                <formatCode>General</formatCode>
                <ptCount val="339"/>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Vietnam!$A$6:$A$122</f>
              <numCache>
                <formatCode>m/d/yy</formatCode>
                <ptCount val="117"/>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numCache>
            </numRef>
          </cat>
          <val>
            <numRef>
              <f>Vietnam!$B$6:$B$122</f>
              <numCache>
                <formatCode>General</formatCode>
                <ptCount val="117"/>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Thailand!$A$6:$A$73</f>
              <numCache>
                <formatCode>m/d/yy</formatCode>
                <ptCount val="68"/>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numCache>
            </numRef>
          </cat>
          <val>
            <numRef>
              <f>Thailand!$B$6:$B$73</f>
              <numCache>
                <formatCode>General</formatCode>
                <ptCount val="68"/>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Africa'!$A$6:$A$272</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'South Africa'!$B$6:$B$272</f>
              <numCache>
                <formatCode>General</formatCode>
                <ptCount val="267"/>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Kong'!$A$6:$A$122</f>
              <numCache>
                <formatCode>m/d/yy</formatCode>
                <ptCount val="117"/>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numCache>
            </numRef>
          </cat>
          <val>
            <numRef>
              <f>'Hong Kong'!$B$6:$B$122</f>
              <numCache>
                <formatCode>General</formatCode>
                <ptCount val="117"/>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Arabia'!$A$6:$A$88</f>
              <numCache>
                <formatCode>m/d/yy</formatCode>
                <ptCount val="83"/>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numCache>
            </numRef>
          </cat>
          <val>
            <numRef>
              <f>'Saudi Arabia'!$B$6:$B$88</f>
              <numCache>
                <formatCode>General</formatCode>
                <ptCount val="83"/>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NewZealand!$A$6:$A$241</f>
              <numCache>
                <formatCode>m/d/yy</formatCode>
                <ptCount val="236"/>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numCache>
            </numRef>
          </cat>
          <val>
            <numRef>
              <f>NewZealand!$B$6:$B$241</f>
              <numCache>
                <formatCode>0.00</formatCode>
                <ptCount val="236"/>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440266</colOff>
      <row>101</row>
      <rowOff>127003</rowOff>
    </from>
    <to>
      <col>16</col>
      <colOff>50799</colOff>
      <row>121</row>
      <rowOff>177799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266699</colOff>
      <row>143</row>
      <rowOff>55563</rowOff>
    </from>
    <to>
      <col>13</col>
      <colOff>365124</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1" headerRowCount="1" totalsRowShown="0" headerRowDxfId="275" dataDxfId="273" headerRowBorderDxfId="274" tableBorderDxfId="272" totalsRowBorderDxfId="271">
  <autoFilter ref="A5:F141"/>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3" headerRowCount="1" totalsRowShown="0" headerRowDxfId="264" dataDxfId="262" headerRowBorderDxfId="263" tableBorderDxfId="261" totalsRowBorderDxfId="260">
  <autoFilter ref="A5:D143"/>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1" headerRowCount="1" totalsRowShown="0" headerRowDxfId="255" dataDxfId="253" headerRowBorderDxfId="254" tableBorderDxfId="252" totalsRowBorderDxfId="251">
  <autoFilter ref="A5:F211"/>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3" headerRowCount="1" totalsRowShown="0" headerRowDxfId="244" dataDxfId="242" headerRowBorderDxfId="243" tableBorderDxfId="241" totalsRowBorderDxfId="240">
  <autoFilter ref="A5:G213"/>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5" headerRowCount="1" totalsRowShown="0" headerRowDxfId="232" dataDxfId="230" headerRowBorderDxfId="231" tableBorderDxfId="229" totalsRowBorderDxfId="228">
  <autoFilter ref="A5:C175"/>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6" headerRowCount="1" totalsRowShown="0" headerRowDxfId="224" dataDxfId="222" headerRowBorderDxfId="223" tableBorderDxfId="221" totalsRowBorderDxfId="220">
  <autoFilter ref="A5:C176"/>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9" headerRowCount="1" totalsRowShown="0" headerRowDxfId="216" dataDxfId="214" headerRowBorderDxfId="215" tableBorderDxfId="213" totalsRowBorderDxfId="212">
  <autoFilter ref="A5:C169"/>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3" headerRowCount="1" totalsRowShown="0" headerRowDxfId="208" dataDxfId="206" headerRowBorderDxfId="207" tableBorderDxfId="205" totalsRowBorderDxfId="204">
  <autoFilter ref="A5:F213"/>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9" headerRowCount="1" totalsRowShown="0" headerRowDxfId="197" dataDxfId="195" headerRowBorderDxfId="196" tableBorderDxfId="194" totalsRowBorderDxfId="193">
  <autoFilter ref="A5:C189"/>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9" headerRowCount="1" totalsRowShown="0" headerRowDxfId="189" dataDxfId="187" headerRowBorderDxfId="188" tableBorderDxfId="186" totalsRowBorderDxfId="185">
  <autoFilter ref="A5:C189"/>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3" headerRowCount="1" totalsRowShown="0" headerRowDxfId="181" dataDxfId="179" headerRowBorderDxfId="180" tableBorderDxfId="178" totalsRowBorderDxfId="177">
  <autoFilter ref="A5:C143"/>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7" headerRowCount="1" totalsRowShown="0" headerRowDxfId="173" dataDxfId="171" headerRowBorderDxfId="172" tableBorderDxfId="170" totalsRowBorderDxfId="169">
  <autoFilter ref="A5:C137"/>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3" headerRowCount="1" totalsRowShown="0" headerRowDxfId="165" dataDxfId="163" headerRowBorderDxfId="164" tableBorderDxfId="162" totalsRowBorderDxfId="161">
  <autoFilter ref="A5:C143"/>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2" headerRowCount="1" totalsRowShown="0" headerRowDxfId="157" dataDxfId="155" headerRowBorderDxfId="156" tableBorderDxfId="154" totalsRowBorderDxfId="153">
  <autoFilter ref="A5:C142"/>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7" headerRowCount="1" totalsRowShown="0" headerRowDxfId="149" dataDxfId="147" headerRowBorderDxfId="148" tableBorderDxfId="146" totalsRowBorderDxfId="145">
  <autoFilter ref="A5:C137"/>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2" headerRowCount="1" totalsRowShown="0" headerRowDxfId="141" dataDxfId="139" headerRowBorderDxfId="140" tableBorderDxfId="138" totalsRowBorderDxfId="137">
  <autoFilter ref="A5:C172"/>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7" headerRowCount="1" totalsRowShown="0" headerRowDxfId="133" dataDxfId="131" headerRowBorderDxfId="132" tableBorderDxfId="130" totalsRowBorderDxfId="129">
  <autoFilter ref="A5:C137"/>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1" headerRowCount="1" totalsRowShown="0" headerRowDxfId="125" dataDxfId="123" headerRowBorderDxfId="124" tableBorderDxfId="122" totalsRowBorderDxfId="121">
  <autoFilter ref="A5:C141"/>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3" headerRowCount="1" totalsRowShown="0" headerRowDxfId="117" dataDxfId="115" headerRowBorderDxfId="116" tableBorderDxfId="114" totalsRowBorderDxfId="113">
  <autoFilter ref="A5:C143"/>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3" headerRowCount="1" totalsRowShown="0" headerRowDxfId="109" dataDxfId="107" headerRowBorderDxfId="108" tableBorderDxfId="106" totalsRowBorderDxfId="105">
  <autoFilter ref="A5:C143"/>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3" headerRowCount="1" totalsRowShown="0" headerRowDxfId="101" dataDxfId="99" headerRowBorderDxfId="100" tableBorderDxfId="98" totalsRowBorderDxfId="97">
  <autoFilter ref="A5:C143"/>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3" headerRowCount="1" totalsRowShown="0" headerRowDxfId="93" dataDxfId="91" headerRowBorderDxfId="92" tableBorderDxfId="90" totalsRowBorderDxfId="89">
  <autoFilter ref="A5:C143"/>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3" headerRowCount="1" totalsRowShown="0" headerRowDxfId="85" dataDxfId="83" headerRowBorderDxfId="84" tableBorderDxfId="82" totalsRowBorderDxfId="81">
  <autoFilter ref="A5:C143"/>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3" headerRowCount="1" totalsRowShown="0" headerRowDxfId="77" dataDxfId="75" headerRowBorderDxfId="76" tableBorderDxfId="74" totalsRowBorderDxfId="73">
  <autoFilter ref="A5:C143"/>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4" headerRowCount="1" totalsRowShown="0" headerRowDxfId="69" dataDxfId="67" headerRowBorderDxfId="68" tableBorderDxfId="66" totalsRowBorderDxfId="65">
  <autoFilter ref="A5:C344"/>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2" headerRowCount="1" totalsRowShown="0" headerRowDxfId="61" dataDxfId="59" headerRowBorderDxfId="60" tableBorderDxfId="58" totalsRowBorderDxfId="57">
  <autoFilter ref="A5:C122"/>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3" headerRowCount="1" totalsRowShown="0" headerRowDxfId="53" dataDxfId="51" headerRowBorderDxfId="52" tableBorderDxfId="50" totalsRowBorderDxfId="49">
  <autoFilter ref="A5:C73"/>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2" headerRowCount="1" totalsRowShown="0" headerRowDxfId="45" dataDxfId="43" headerRowBorderDxfId="44" tableBorderDxfId="42" totalsRowBorderDxfId="41">
  <autoFilter ref="A5:C272"/>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2" headerRowCount="1" totalsRowShown="0" headerRowDxfId="37" dataDxfId="35" headerRowBorderDxfId="36" tableBorderDxfId="34" totalsRowBorderDxfId="33">
  <autoFilter ref="A5:C122"/>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8" headerRowCount="1" totalsRowShown="0" headerRowDxfId="29" dataDxfId="27" headerRowBorderDxfId="28" tableBorderDxfId="26" totalsRowBorderDxfId="25">
  <autoFilter ref="A5:C88"/>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1" headerRowCount="1" totalsRowShown="0" headerRowDxfId="21" dataDxfId="19" headerRowBorderDxfId="20" tableBorderDxfId="18" totalsRowBorderDxfId="17">
  <autoFilter ref="A5:C241"/>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B327" sqref="B327"/>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58"/>
    <col width="9.1640625" customWidth="1" style="70" min="59"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69" t="n"/>
      <c r="D8" s="69" t="n"/>
      <c r="E8" s="69" t="n"/>
      <c r="F8" s="69" t="n"/>
      <c r="G8" s="69" t="n"/>
      <c r="H8" s="69" t="n"/>
      <c r="I8" s="69" t="n"/>
      <c r="J8" s="69" t="n"/>
    </row>
    <row r="9" ht="16" customHeight="1" s="61" thickBot="1">
      <c r="B9" s="2" t="n"/>
      <c r="C9" s="3" t="n"/>
      <c r="D9" s="3" t="n"/>
      <c r="E9" s="3" t="n"/>
    </row>
    <row r="10" ht="16" customHeight="1" s="61"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1" thickBot="1">
      <c r="B12" s="67" t="inlineStr">
        <is>
          <t>TO DO LIST</t>
        </is>
      </c>
      <c r="C12" s="77" t="n"/>
      <c r="D12" s="77" t="n"/>
      <c r="E12" s="77" t="n"/>
      <c r="F12" s="68" t="n"/>
      <c r="G12" s="67" t="inlineStr">
        <is>
          <t>Comments</t>
        </is>
      </c>
      <c r="H12" s="77" t="n"/>
      <c r="I12" s="77" t="n"/>
      <c r="J12" s="68" t="n"/>
    </row>
    <row r="13">
      <c r="P13" s="5" t="n">
        <v>44593</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69"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5"/>
  <sheetViews>
    <sheetView zoomScale="160" zoomScaleNormal="160" workbookViewId="0">
      <pane ySplit="1" topLeftCell="A335" activePane="bottomLeft" state="frozen"/>
      <selection pane="bottomLeft" activeCell="X324" sqref="X324"/>
    </sheetView>
  </sheetViews>
  <sheetFormatPr baseColWidth="10" defaultRowHeight="15"/>
  <cols>
    <col width="10.83203125" customWidth="1" style="61" min="1" max="30"/>
    <col width="10.83203125" customWidth="1" style="61" min="31"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2"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2"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U345" t="n">
        <v>50.9</v>
      </c>
      <c r="V345" t="n">
        <v>52.7</v>
      </c>
      <c r="W345" t="n">
        <v>53</v>
      </c>
      <c r="X345" t="n">
        <v>46.8</v>
      </c>
      <c r="Y345" t="n">
        <v>49.1</v>
      </c>
      <c r="Z345" t="n">
        <v>50.4</v>
      </c>
      <c r="AA345" t="n">
        <v>52.2</v>
      </c>
      <c r="AB345" t="n">
        <v>48.2</v>
      </c>
      <c r="AC345" t="n">
        <v>55.9</v>
      </c>
      <c r="AD345" t="n">
        <v>49.74</v>
      </c>
      <c r="AF345" t="n">
        <v>56.4</v>
      </c>
      <c r="AG345" t="n">
        <v>53.8</v>
      </c>
      <c r="AH345" t="n">
        <v>44.4</v>
      </c>
      <c r="AJ345" t="n">
        <v>67.5</v>
      </c>
      <c r="AK345" t="n">
        <v>50.9</v>
      </c>
      <c r="AL345" t="n">
        <v>57</v>
      </c>
      <c r="AM345" t="n">
        <v>50.3</v>
      </c>
      <c r="AN345" t="n">
        <v>52.2</v>
      </c>
      <c r="AO345" t="n">
        <v>51.3</v>
      </c>
      <c r="AP345" t="n">
        <v>52.6</v>
      </c>
      <c r="AR345" t="n">
        <v>53.7</v>
      </c>
      <c r="AS345" t="n">
        <v>59.1</v>
      </c>
      <c r="AT345" t="n">
        <v>49.8</v>
      </c>
      <c r="AU345" t="n">
        <v>50.7</v>
      </c>
      <c r="AV345" t="n">
        <v>48.1</v>
      </c>
      <c r="AW345" t="n">
        <v>54.8</v>
      </c>
      <c r="AX345" t="n">
        <v>53.4</v>
      </c>
      <c r="AY345" t="n">
        <v>52.4</v>
      </c>
      <c r="AZ345" t="n">
        <v>54</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1"/>
  <sheetViews>
    <sheetView zoomScale="160" zoomScaleNormal="160" workbookViewId="0">
      <pane ySplit="1" topLeftCell="A309" activePane="bottomLeft" state="frozen"/>
      <selection activeCell="B327" sqref="B327"/>
      <selection pane="bottomLeft" activeCell="B327" sqref="B327"/>
    </sheetView>
  </sheetViews>
  <sheetFormatPr baseColWidth="10" defaultRowHeight="15"/>
  <cols>
    <col width="10.83203125" customWidth="1" style="61" min="1" max="5"/>
    <col width="17.33203125" customWidth="1" style="61" min="6" max="6"/>
    <col width="10.83203125" customWidth="1" style="61" min="7" max="31"/>
    <col width="10.83203125" customWidth="1" style="61" min="32"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0.005572378964655846</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0.002196780173741038</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0.003542710832364428</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0.001942712867942231</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0.00707701076294708</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0.005408774226634588</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0.004389970709835348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0.002576417142976121</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0.01239738119301462</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0.007753804278516108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0.01127903265870928</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0.006448190519709418</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0.00461615600321455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0.005940954827727079</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0.001398196871179425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0.009903441867869891</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0.005768015076544173</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0.01153930866798152</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0.011499442352521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0.01212351300049259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0.00917156713634323</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0.005399897470420746</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0.006674893115193551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0.01022951233929343</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0.0009526124053542181</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0.0009960935120852145</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0.001183124451582714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0.000944064294162423</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0.005426205119090722</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0.004151128774705715</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0.001576007868011613</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-0.00306654182883776</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0.0008648354852849554</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0.005404038730152291</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0.007351884935929493</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0.004929389203795287</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0.006341194138634979</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0.002416831641831761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0.003638064328120734</v>
      </c>
    </row>
    <row r="120">
      <c r="A120" s="82" t="n">
        <v>38292</v>
      </c>
      <c r="B120" t="n">
        <v/>
      </c>
      <c r="C120" t="n">
        <v/>
      </c>
      <c r="D120" t="n">
        <v/>
      </c>
      <c r="E120" t="n">
        <v/>
      </c>
      <c r="F120" t="n">
        <v/>
      </c>
    </row>
    <row r="121">
      <c r="A121" s="82" t="n">
        <v>38322</v>
      </c>
      <c r="B121" t="n">
        <v/>
      </c>
      <c r="C121" t="n">
        <v/>
      </c>
      <c r="D121" t="n">
        <v>22.17093467712402</v>
      </c>
      <c r="E121" t="n">
        <v>18.60927391052246</v>
      </c>
      <c r="F121" t="n">
        <v/>
      </c>
    </row>
    <row r="122">
      <c r="A122" s="82" t="n">
        <v>38353</v>
      </c>
      <c r="B122" t="n">
        <v/>
      </c>
      <c r="C122" t="n">
        <v/>
      </c>
      <c r="D122" t="n">
        <v>22.07795143127441</v>
      </c>
      <c r="E122" t="n">
        <v>18.50707626342773</v>
      </c>
      <c r="F122" t="n">
        <v>0.002373109956616418</v>
      </c>
    </row>
    <row r="123">
      <c r="A123" s="82" t="n">
        <v>38384</v>
      </c>
      <c r="B123" t="n">
        <v/>
      </c>
      <c r="C123" t="n">
        <v/>
      </c>
      <c r="D123" t="n">
        <v>23.0388069152832</v>
      </c>
      <c r="E123" t="n">
        <v>19.48223686218262</v>
      </c>
      <c r="F123" t="n">
        <v/>
      </c>
    </row>
    <row r="124">
      <c r="A124" s="82" t="n">
        <v>38412</v>
      </c>
      <c r="B124" t="n">
        <v/>
      </c>
      <c r="C124" t="n">
        <v/>
      </c>
      <c r="D124" t="n">
        <v>22.4821949005127</v>
      </c>
      <c r="E124" t="n">
        <v>19.01039123535156</v>
      </c>
      <c r="F124" t="n">
        <v/>
      </c>
    </row>
    <row r="125">
      <c r="A125" s="82" t="n">
        <v>38443</v>
      </c>
      <c r="B125" t="n">
        <v/>
      </c>
      <c r="C125" t="n">
        <v/>
      </c>
      <c r="D125" t="n">
        <v>21.70480537414551</v>
      </c>
      <c r="E125" t="n">
        <v>18.77970123291016</v>
      </c>
      <c r="F125" t="n">
        <v>0.00568122960912859</v>
      </c>
    </row>
    <row r="126">
      <c r="A126" s="82" t="n">
        <v>38473</v>
      </c>
      <c r="B126" t="n">
        <v/>
      </c>
      <c r="C126" t="n">
        <v/>
      </c>
      <c r="D126" t="n">
        <v>21.80119705200195</v>
      </c>
      <c r="E126" t="n">
        <v>18.63290214538574</v>
      </c>
      <c r="F126" t="n">
        <v/>
      </c>
    </row>
    <row r="127">
      <c r="A127" s="82" t="n">
        <v>38504</v>
      </c>
      <c r="B127" t="n">
        <v/>
      </c>
      <c r="C127" t="n">
        <v/>
      </c>
      <c r="D127" t="n">
        <v>22.12148857116699</v>
      </c>
      <c r="E127" t="n">
        <v>18.84261703491211</v>
      </c>
      <c r="F127" t="n">
        <v/>
      </c>
    </row>
    <row r="128">
      <c r="A128" s="82" t="n">
        <v>38534</v>
      </c>
      <c r="B128" t="n">
        <v/>
      </c>
      <c r="C128" t="n">
        <v/>
      </c>
      <c r="D128" t="n">
        <v>23.12898826599121</v>
      </c>
      <c r="E128" t="n">
        <v>18.97892951965332</v>
      </c>
      <c r="F128" t="n">
        <v>0.00744763910204726</v>
      </c>
    </row>
    <row r="129">
      <c r="A129" s="82" t="n">
        <v>38565</v>
      </c>
      <c r="B129" t="n">
        <v/>
      </c>
      <c r="C129" t="n">
        <v/>
      </c>
      <c r="D129" t="n">
        <v>23.50835418701172</v>
      </c>
      <c r="E129" t="n">
        <v>19.7338924407959</v>
      </c>
      <c r="F129" t="n">
        <v/>
      </c>
    </row>
    <row r="130">
      <c r="A130" s="82" t="n">
        <v>38596</v>
      </c>
      <c r="B130" t="n">
        <v/>
      </c>
      <c r="C130" t="n">
        <v/>
      </c>
      <c r="D130" t="n">
        <v>23.9188175201416</v>
      </c>
      <c r="E130" t="n">
        <v>19.88069152832031</v>
      </c>
      <c r="F130" t="n">
        <v/>
      </c>
    </row>
    <row r="131">
      <c r="A131" s="82" t="n">
        <v>38626</v>
      </c>
      <c r="B131" t="n">
        <v/>
      </c>
      <c r="C131" t="n">
        <v/>
      </c>
      <c r="D131" t="n">
        <v>23.01703643798828</v>
      </c>
      <c r="E131" t="n">
        <v>19.39835166931152</v>
      </c>
      <c r="F131" t="n">
        <v>0.006513438786644205</v>
      </c>
    </row>
    <row r="132">
      <c r="A132" s="82" t="n">
        <v>38657</v>
      </c>
      <c r="B132" t="n">
        <v/>
      </c>
      <c r="C132" t="n">
        <v/>
      </c>
      <c r="D132" t="n">
        <v>23.43994140625</v>
      </c>
      <c r="E132" t="n">
        <v>19.4298152923584</v>
      </c>
      <c r="F132" t="n">
        <v/>
      </c>
    </row>
    <row r="133">
      <c r="A133" s="82" t="n">
        <v>38687</v>
      </c>
      <c r="B133" t="n">
        <v/>
      </c>
      <c r="C133" t="n">
        <v/>
      </c>
      <c r="D133" t="n">
        <v>24.14581680297852</v>
      </c>
      <c r="E133" t="n">
        <v>19.48223686218262</v>
      </c>
      <c r="F133" t="n">
        <v/>
      </c>
    </row>
    <row r="134">
      <c r="A134" s="82" t="n">
        <v>38718</v>
      </c>
      <c r="B134" t="n">
        <v/>
      </c>
      <c r="C134" t="n">
        <v/>
      </c>
      <c r="D134" t="n">
        <v>26.20860290527344</v>
      </c>
      <c r="E134" t="n">
        <v>21.306640625</v>
      </c>
      <c r="F134" t="n">
        <v>0.008761069710671199</v>
      </c>
    </row>
    <row r="135">
      <c r="A135" s="82" t="n">
        <v>38749</v>
      </c>
      <c r="B135" t="n">
        <v/>
      </c>
      <c r="C135" t="n">
        <v/>
      </c>
      <c r="D135" t="n">
        <v>26.39834022521973</v>
      </c>
      <c r="E135" t="n">
        <v>21.18773078918457</v>
      </c>
      <c r="F135" t="n">
        <v/>
      </c>
    </row>
    <row r="136">
      <c r="A136" s="82" t="n">
        <v>38777</v>
      </c>
      <c r="B136" t="n">
        <v/>
      </c>
      <c r="C136" t="n">
        <v/>
      </c>
      <c r="D136" t="n">
        <v>27.55888366699219</v>
      </c>
      <c r="E136" t="n">
        <v>21.79309272766113</v>
      </c>
      <c r="F136" t="n">
        <v/>
      </c>
    </row>
    <row r="137">
      <c r="A137" s="82" t="n">
        <v>38808</v>
      </c>
      <c r="B137" t="n">
        <v/>
      </c>
      <c r="C137" t="n">
        <v/>
      </c>
      <c r="D137" t="n">
        <v>28.79213714599609</v>
      </c>
      <c r="E137" t="n">
        <v>23.18759346008301</v>
      </c>
      <c r="F137" t="n">
        <v>0.01098615237747919</v>
      </c>
    </row>
    <row r="138">
      <c r="A138" s="82" t="n">
        <v>38838</v>
      </c>
      <c r="B138" t="n">
        <v/>
      </c>
      <c r="C138" t="n">
        <v/>
      </c>
      <c r="D138" t="n">
        <v>27.76758575439453</v>
      </c>
      <c r="E138" t="n">
        <v>22.5714168548584</v>
      </c>
      <c r="F138" t="n">
        <v/>
      </c>
    </row>
    <row r="139">
      <c r="A139" s="82" t="n">
        <v>38869</v>
      </c>
      <c r="B139" t="n">
        <v/>
      </c>
      <c r="C139" t="n">
        <v/>
      </c>
      <c r="D139" t="n">
        <v>27.84663963317871</v>
      </c>
      <c r="E139" t="n">
        <v>22.75518798828125</v>
      </c>
      <c r="F139" t="n">
        <v/>
      </c>
    </row>
    <row r="140">
      <c r="A140" s="82" t="n">
        <v>38899</v>
      </c>
      <c r="B140" t="n">
        <v/>
      </c>
      <c r="C140" t="n">
        <v/>
      </c>
      <c r="D140" t="n">
        <v>28.17867660522461</v>
      </c>
      <c r="E140" t="n">
        <v>23.34974670410156</v>
      </c>
      <c r="F140" t="n">
        <v>0.005785902632427613</v>
      </c>
    </row>
    <row r="141">
      <c r="A141" s="82" t="n">
        <v>38930</v>
      </c>
      <c r="B141" t="n">
        <v/>
      </c>
      <c r="C141" t="n">
        <v/>
      </c>
      <c r="D141" t="n">
        <v>29.27280616760254</v>
      </c>
      <c r="E141" t="n">
        <v>23.85781288146973</v>
      </c>
      <c r="F141" t="n">
        <v/>
      </c>
    </row>
    <row r="142">
      <c r="A142" s="82" t="n">
        <v>38961</v>
      </c>
      <c r="B142" t="n">
        <v/>
      </c>
      <c r="C142" t="n">
        <v/>
      </c>
      <c r="D142" t="n">
        <v>29.78509521484375</v>
      </c>
      <c r="E142" t="n">
        <v>23.66323280334473</v>
      </c>
      <c r="F142" t="n">
        <v/>
      </c>
    </row>
    <row r="143">
      <c r="A143" s="82" t="n">
        <v>38991</v>
      </c>
      <c r="B143" t="n">
        <v/>
      </c>
      <c r="C143" t="n">
        <v/>
      </c>
      <c r="D143" t="n">
        <v>30.80016326904297</v>
      </c>
      <c r="E143" t="n">
        <v>24.75505828857422</v>
      </c>
      <c r="F143" t="n">
        <v>0.01176764611043488</v>
      </c>
    </row>
    <row r="144">
      <c r="A144" s="82" t="n">
        <v>39022</v>
      </c>
      <c r="B144" t="n">
        <v/>
      </c>
      <c r="C144" t="n">
        <v/>
      </c>
      <c r="D144" t="n">
        <v>32.22316741943359</v>
      </c>
      <c r="E144" t="n">
        <v>25.45770835876465</v>
      </c>
      <c r="F144" t="n">
        <v/>
      </c>
    </row>
    <row r="145">
      <c r="A145" s="82" t="n">
        <v>39052</v>
      </c>
      <c r="B145" t="n">
        <v/>
      </c>
      <c r="C145" t="n">
        <v/>
      </c>
      <c r="D145" t="n">
        <v>32.68168640136719</v>
      </c>
      <c r="E145" t="n">
        <v>25.30636787414551</v>
      </c>
      <c r="F145" t="n">
        <v/>
      </c>
    </row>
    <row r="146">
      <c r="A146" s="82" t="n">
        <v>39083</v>
      </c>
      <c r="B146" t="n">
        <v/>
      </c>
      <c r="C146" t="n">
        <v/>
      </c>
      <c r="D146" t="n">
        <v>33.75348663330078</v>
      </c>
      <c r="E146" t="n">
        <v>26.36204147338867</v>
      </c>
      <c r="F146" t="n">
        <v>0.006261726375147719</v>
      </c>
    </row>
    <row r="147">
      <c r="A147" s="82" t="n">
        <v>39114</v>
      </c>
      <c r="B147" t="n">
        <v/>
      </c>
      <c r="C147" t="n">
        <v/>
      </c>
      <c r="D147" t="n">
        <v>33.44765853881836</v>
      </c>
      <c r="E147" t="n">
        <v>25.9705810546875</v>
      </c>
      <c r="F147" t="n">
        <v/>
      </c>
    </row>
    <row r="148">
      <c r="A148" s="82" t="n">
        <v>39142</v>
      </c>
      <c r="B148" t="n">
        <v/>
      </c>
      <c r="C148" t="n">
        <v/>
      </c>
      <c r="D148" t="n">
        <v>34.83836364746094</v>
      </c>
      <c r="E148" t="n">
        <v>26.92127227783203</v>
      </c>
      <c r="F148" t="n">
        <v/>
      </c>
    </row>
    <row r="149">
      <c r="A149" s="82" t="n">
        <v>39173</v>
      </c>
      <c r="B149" t="n">
        <v/>
      </c>
      <c r="C149" t="n">
        <v/>
      </c>
      <c r="D149" t="n">
        <v>37.02099990844727</v>
      </c>
      <c r="E149" t="n">
        <v>27.79367256164551</v>
      </c>
      <c r="F149" t="n">
        <v>0.007187588147183276</v>
      </c>
    </row>
    <row r="150">
      <c r="A150" s="82" t="n">
        <v>39203</v>
      </c>
      <c r="B150" t="n">
        <v/>
      </c>
      <c r="C150" t="n">
        <v/>
      </c>
      <c r="D150" t="n">
        <v>38.42134857177734</v>
      </c>
      <c r="E150" t="n">
        <v>28.38644981384277</v>
      </c>
      <c r="F150" t="n">
        <v/>
      </c>
    </row>
    <row r="151">
      <c r="A151" s="82" t="n">
        <v>39234</v>
      </c>
      <c r="B151" t="n">
        <v/>
      </c>
      <c r="C151" t="n">
        <v/>
      </c>
      <c r="D151" t="n">
        <v>37.98675155639648</v>
      </c>
      <c r="E151" t="n">
        <v>28.57659530639648</v>
      </c>
      <c r="F151" t="n">
        <v/>
      </c>
    </row>
    <row r="152">
      <c r="A152" s="82" t="n">
        <v>39264</v>
      </c>
      <c r="B152" t="n">
        <v/>
      </c>
      <c r="C152" t="n">
        <v/>
      </c>
      <c r="D152" t="n">
        <v>36.79242706298828</v>
      </c>
      <c r="E152" t="n">
        <v>27.61471939086914</v>
      </c>
      <c r="F152" t="n">
        <v>0.004292591115049461</v>
      </c>
    </row>
    <row r="153">
      <c r="A153" s="82" t="n">
        <v>39295</v>
      </c>
      <c r="B153" t="n">
        <v/>
      </c>
      <c r="C153" t="n">
        <v/>
      </c>
      <c r="D153" t="n">
        <v>36.78276824951172</v>
      </c>
      <c r="E153" t="n">
        <v>27.6706371307373</v>
      </c>
      <c r="F153" t="n">
        <v/>
      </c>
    </row>
    <row r="154">
      <c r="A154" s="82" t="n">
        <v>39326</v>
      </c>
      <c r="B154" t="n">
        <v/>
      </c>
      <c r="C154" t="n">
        <v/>
      </c>
      <c r="D154" t="n">
        <v>38.92032623291016</v>
      </c>
      <c r="E154" t="n">
        <v>28.77791404724121</v>
      </c>
      <c r="F154" t="n">
        <v/>
      </c>
    </row>
    <row r="155">
      <c r="A155" s="82" t="n">
        <v>39356</v>
      </c>
      <c r="B155" t="n">
        <v/>
      </c>
      <c r="C155" t="n">
        <v/>
      </c>
      <c r="D155" t="n">
        <v>40.8486328125</v>
      </c>
      <c r="E155" t="n">
        <v>30.44441413879395</v>
      </c>
      <c r="F155" t="n">
        <v>0.005376043618680066</v>
      </c>
    </row>
    <row r="156">
      <c r="A156" s="82" t="n">
        <v>39387</v>
      </c>
      <c r="B156" t="n">
        <v/>
      </c>
      <c r="C156" t="n">
        <v/>
      </c>
      <c r="D156" t="n">
        <v>39.71548461914062</v>
      </c>
      <c r="E156" t="n">
        <v>28.65487670898438</v>
      </c>
      <c r="F156" t="n">
        <v/>
      </c>
    </row>
    <row r="157">
      <c r="A157" s="82" t="n">
        <v>39417</v>
      </c>
      <c r="B157" t="n">
        <v/>
      </c>
      <c r="C157" t="n">
        <v/>
      </c>
      <c r="D157" t="n">
        <v>38.41168975830078</v>
      </c>
      <c r="E157" t="n">
        <v>26.93245315551758</v>
      </c>
      <c r="F157" t="n">
        <v/>
      </c>
    </row>
    <row r="158">
      <c r="A158" s="82" t="n">
        <v>39448</v>
      </c>
      <c r="B158" t="n">
        <v/>
      </c>
      <c r="C158" t="n">
        <v/>
      </c>
      <c r="D158" t="n">
        <v>35.32838439941406</v>
      </c>
      <c r="E158" t="n">
        <v>25.64885330200195</v>
      </c>
      <c r="F158" t="n">
        <v>0.004741288422510499</v>
      </c>
    </row>
    <row r="159">
      <c r="A159" s="82" t="n">
        <v>39479</v>
      </c>
      <c r="B159" t="n">
        <v/>
      </c>
      <c r="C159" t="n">
        <v/>
      </c>
      <c r="D159" t="n">
        <v>35.03783798217773</v>
      </c>
      <c r="E159" t="n">
        <v>25.3479175567627</v>
      </c>
      <c r="F159" t="n">
        <v/>
      </c>
    </row>
    <row r="160">
      <c r="A160" s="82" t="n">
        <v>39508</v>
      </c>
      <c r="B160" t="n">
        <v/>
      </c>
      <c r="C160" t="n">
        <v/>
      </c>
      <c r="D160" t="n">
        <v>35.92268753051758</v>
      </c>
      <c r="E160" t="n">
        <v>24.95438766479492</v>
      </c>
      <c r="F160" t="n">
        <v/>
      </c>
    </row>
    <row r="161">
      <c r="A161" s="82" t="n">
        <v>39539</v>
      </c>
      <c r="B161" t="n">
        <v/>
      </c>
      <c r="C161" t="n">
        <v/>
      </c>
      <c r="D161" t="n">
        <v>37.35563278198242</v>
      </c>
      <c r="E161" t="n">
        <v>26.4359073638916</v>
      </c>
      <c r="F161" t="n">
        <v>-0.003259068903049832</v>
      </c>
    </row>
    <row r="162">
      <c r="A162" s="82" t="n">
        <v>39569</v>
      </c>
      <c r="B162" t="n">
        <v/>
      </c>
      <c r="C162" t="n">
        <v/>
      </c>
      <c r="D162" t="n">
        <v>37.79806518554688</v>
      </c>
      <c r="E162" t="n">
        <v>26.37803840637207</v>
      </c>
      <c r="F162" t="n">
        <v/>
      </c>
    </row>
    <row r="163">
      <c r="A163" s="82" t="n">
        <v>39600</v>
      </c>
      <c r="B163" t="n">
        <v/>
      </c>
      <c r="C163" t="n">
        <v/>
      </c>
      <c r="D163" t="n">
        <v>32.35353851318359</v>
      </c>
      <c r="E163" t="n">
        <v>23.98213386535645</v>
      </c>
      <c r="F163" t="n">
        <v/>
      </c>
    </row>
    <row r="164">
      <c r="A164" s="82" t="n">
        <v>39630</v>
      </c>
      <c r="B164" t="n">
        <v/>
      </c>
      <c r="C164" t="n">
        <v/>
      </c>
      <c r="D164" t="n">
        <v>32.72359085083008</v>
      </c>
      <c r="E164" t="n">
        <v>23.52326774597168</v>
      </c>
      <c r="F164" t="n">
        <v>-0.005354358585678789</v>
      </c>
    </row>
    <row r="165">
      <c r="A165" s="82" t="n">
        <v>39661</v>
      </c>
      <c r="B165" t="n">
        <v/>
      </c>
      <c r="C165" t="n">
        <v/>
      </c>
      <c r="D165" t="n">
        <v>31.43655204772949</v>
      </c>
      <c r="E165" t="n">
        <v>22.73008728027344</v>
      </c>
      <c r="F165" t="n">
        <v/>
      </c>
    </row>
    <row r="166">
      <c r="A166" s="82" t="n">
        <v>39692</v>
      </c>
      <c r="B166" t="n">
        <v/>
      </c>
      <c r="C166" t="n">
        <v/>
      </c>
      <c r="D166" t="n">
        <v>27.19206809997559</v>
      </c>
      <c r="E166" t="n">
        <v>19.71124839782715</v>
      </c>
      <c r="F166" t="n">
        <v/>
      </c>
    </row>
    <row r="167">
      <c r="A167" s="82" t="n">
        <v>39722</v>
      </c>
      <c r="B167" t="n">
        <v/>
      </c>
      <c r="C167" t="n">
        <v/>
      </c>
      <c r="D167" t="n">
        <v>20.51043510437012</v>
      </c>
      <c r="E167" t="n">
        <v>15.81634712219238</v>
      </c>
      <c r="F167" t="n">
        <v>-0.01781536400651185</v>
      </c>
    </row>
    <row r="168">
      <c r="A168" s="82" t="n">
        <v>39753</v>
      </c>
      <c r="B168" t="n">
        <v/>
      </c>
      <c r="C168" t="n">
        <v/>
      </c>
      <c r="D168" t="n">
        <v>18.98379325866699</v>
      </c>
      <c r="E168" t="n">
        <v>14.79823589324951</v>
      </c>
      <c r="F168" t="n">
        <v/>
      </c>
    </row>
    <row r="169">
      <c r="A169" s="82" t="n">
        <v>39783</v>
      </c>
      <c r="B169" t="n">
        <v/>
      </c>
      <c r="C169" t="n">
        <v/>
      </c>
      <c r="D169" t="n">
        <v>20.95541954040527</v>
      </c>
      <c r="E169" t="n">
        <v>14.50226783752441</v>
      </c>
      <c r="F169" t="n">
        <v/>
      </c>
    </row>
    <row r="170">
      <c r="A170" s="82" t="n">
        <v>39814</v>
      </c>
      <c r="B170" t="n">
        <v/>
      </c>
      <c r="C170" t="n">
        <v/>
      </c>
      <c r="D170" t="n">
        <v>17.6751708984375</v>
      </c>
      <c r="E170" t="n">
        <v>13.51969814300537</v>
      </c>
      <c r="F170" t="n">
        <v>-0.03110206545240362</v>
      </c>
    </row>
    <row r="171">
      <c r="A171" s="82" t="n">
        <v>39845</v>
      </c>
      <c r="B171" t="n">
        <v/>
      </c>
      <c r="C171" t="n">
        <v/>
      </c>
      <c r="D171" t="n">
        <v>15.54160690307617</v>
      </c>
      <c r="E171" t="n">
        <v>12.20426750183105</v>
      </c>
      <c r="F171" t="n">
        <v/>
      </c>
    </row>
    <row r="172">
      <c r="A172" s="82" t="n">
        <v>39873</v>
      </c>
      <c r="B172" t="n">
        <v/>
      </c>
      <c r="C172" t="n">
        <v/>
      </c>
      <c r="D172" t="n">
        <v>17.08251190185547</v>
      </c>
      <c r="E172" t="n">
        <v>12.76454162597656</v>
      </c>
      <c r="F172" t="n">
        <v/>
      </c>
    </row>
    <row r="173">
      <c r="A173" s="82" t="n">
        <v>39904</v>
      </c>
      <c r="B173" t="n">
        <v/>
      </c>
      <c r="C173" t="n">
        <v/>
      </c>
      <c r="D173" t="n">
        <v>19.58563232421875</v>
      </c>
      <c r="E173" t="n">
        <v>14.28703308105469</v>
      </c>
      <c r="F173" t="n">
        <v>-0.0002015911470144634</v>
      </c>
    </row>
    <row r="174">
      <c r="A174" s="82" t="n">
        <v>39934</v>
      </c>
      <c r="B174" t="n">
        <v/>
      </c>
      <c r="C174" t="n">
        <v/>
      </c>
      <c r="D174" t="n">
        <v>22.17240715026855</v>
      </c>
      <c r="E174" t="n">
        <v>16.72301292419434</v>
      </c>
      <c r="F174" t="n">
        <v/>
      </c>
    </row>
    <row r="175">
      <c r="A175" s="82" t="n">
        <v>39965</v>
      </c>
      <c r="B175" t="n">
        <v/>
      </c>
      <c r="C175" t="n">
        <v/>
      </c>
      <c r="D175" t="n">
        <v>21.13351440429688</v>
      </c>
      <c r="E175" t="n">
        <v>16.08966255187988</v>
      </c>
      <c r="F175" t="n">
        <v/>
      </c>
    </row>
    <row r="176">
      <c r="A176" s="82" t="n">
        <v>39995</v>
      </c>
      <c r="B176" t="n">
        <v/>
      </c>
      <c r="C176" t="n">
        <v/>
      </c>
      <c r="D176" t="n">
        <v>24.0100154876709</v>
      </c>
      <c r="E176" t="n">
        <v>17.77075576782227</v>
      </c>
      <c r="F176" t="n">
        <v>0.003896021635706352</v>
      </c>
    </row>
    <row r="177">
      <c r="A177" s="82" t="n">
        <v>40026</v>
      </c>
      <c r="B177" t="n">
        <v/>
      </c>
      <c r="C177" t="n">
        <v/>
      </c>
      <c r="D177" t="n">
        <v>25.5119800567627</v>
      </c>
      <c r="E177" t="n">
        <v>18.53962135314941</v>
      </c>
      <c r="F177" t="n">
        <v/>
      </c>
    </row>
    <row r="178">
      <c r="A178" s="82" t="n">
        <v>40057</v>
      </c>
      <c r="B178" t="n">
        <v/>
      </c>
      <c r="C178" t="n">
        <v/>
      </c>
      <c r="D178" t="n">
        <v>27.18560409545898</v>
      </c>
      <c r="E178" t="n">
        <v>19.23408317565918</v>
      </c>
      <c r="F178" t="n">
        <v/>
      </c>
    </row>
    <row r="179">
      <c r="A179" s="82" t="n">
        <v>40087</v>
      </c>
      <c r="B179" t="n">
        <v/>
      </c>
      <c r="C179" t="n">
        <v/>
      </c>
      <c r="D179" t="n">
        <v>25.94112205505371</v>
      </c>
      <c r="E179" t="n">
        <v>19.20927810668945</v>
      </c>
      <c r="F179" t="n">
        <v>0.004567447150381795</v>
      </c>
    </row>
    <row r="180">
      <c r="A180" s="82" t="n">
        <v>40118</v>
      </c>
      <c r="B180" t="n">
        <v/>
      </c>
      <c r="C180" t="n">
        <v/>
      </c>
      <c r="D180" t="n">
        <v>27.20705986022949</v>
      </c>
      <c r="E180" t="n">
        <v>20.17656517028809</v>
      </c>
      <c r="F180" t="n">
        <v/>
      </c>
    </row>
    <row r="181">
      <c r="A181" s="82" t="n">
        <v>40148</v>
      </c>
      <c r="B181" t="n">
        <v/>
      </c>
      <c r="C181" t="n">
        <v/>
      </c>
      <c r="D181" t="n">
        <v>26.79938507080078</v>
      </c>
      <c r="E181" t="n">
        <v>20.08975791931152</v>
      </c>
      <c r="F181" t="n">
        <v/>
      </c>
    </row>
    <row r="182">
      <c r="A182" s="82" t="n">
        <v>40179</v>
      </c>
      <c r="B182" t="n">
        <v/>
      </c>
      <c r="C182" t="n">
        <v/>
      </c>
      <c r="D182" t="n">
        <v>24.86527061462402</v>
      </c>
      <c r="E182" t="n">
        <v>19.35871124267578</v>
      </c>
      <c r="F182" t="n">
        <v>0.004008230254392896</v>
      </c>
    </row>
    <row r="183">
      <c r="A183" s="82" t="n">
        <v>40210</v>
      </c>
      <c r="B183" t="n">
        <v/>
      </c>
      <c r="C183" t="n">
        <v/>
      </c>
      <c r="D183" t="n">
        <v>24.12269592285156</v>
      </c>
      <c r="E183" t="n">
        <v>19.19561195373535</v>
      </c>
      <c r="F183" t="n">
        <v/>
      </c>
    </row>
    <row r="184">
      <c r="A184" s="82" t="n">
        <v>40238</v>
      </c>
      <c r="B184" t="n">
        <v/>
      </c>
      <c r="C184" t="n">
        <v/>
      </c>
      <c r="D184" t="n">
        <v>25.90341758728027</v>
      </c>
      <c r="E184" t="n">
        <v>20.4125862121582</v>
      </c>
      <c r="F184" t="n">
        <v/>
      </c>
    </row>
    <row r="185">
      <c r="A185" s="82" t="n">
        <v>40269</v>
      </c>
      <c r="B185" t="n">
        <v/>
      </c>
      <c r="C185" t="n">
        <v/>
      </c>
      <c r="D185" t="n">
        <v>24.62014579772949</v>
      </c>
      <c r="E185" t="n">
        <v>19.97347068786621</v>
      </c>
      <c r="F185" t="n">
        <v>0.009705944382897234</v>
      </c>
    </row>
    <row r="186">
      <c r="A186" s="82" t="n">
        <v>40299</v>
      </c>
      <c r="B186" t="n">
        <v/>
      </c>
      <c r="C186" t="n">
        <v/>
      </c>
      <c r="D186" t="n">
        <v>21.51289176940918</v>
      </c>
      <c r="E186" t="n">
        <v>17.77789306640625</v>
      </c>
      <c r="F186" t="n">
        <v/>
      </c>
    </row>
    <row r="187">
      <c r="A187" s="82" t="n">
        <v>40330</v>
      </c>
      <c r="B187" t="n">
        <v/>
      </c>
      <c r="C187" t="n">
        <v/>
      </c>
      <c r="D187" t="n">
        <v>20.5828742980957</v>
      </c>
      <c r="E187" t="n">
        <v>16.86202812194824</v>
      </c>
      <c r="F187" t="n">
        <v/>
      </c>
    </row>
    <row r="188">
      <c r="A188" s="82" t="n">
        <v>40360</v>
      </c>
      <c r="B188" t="n">
        <v/>
      </c>
      <c r="C188" t="n">
        <v/>
      </c>
      <c r="D188" t="n">
        <v>24.16836166381836</v>
      </c>
      <c r="E188" t="n">
        <v>19.64841651916504</v>
      </c>
      <c r="F188" t="n">
        <v>0.004403357655901216</v>
      </c>
    </row>
    <row r="189">
      <c r="A189" s="82" t="n">
        <v>40391</v>
      </c>
      <c r="B189" t="n">
        <v/>
      </c>
      <c r="C189" t="n">
        <v/>
      </c>
      <c r="D189" t="n">
        <v>22.4830493927002</v>
      </c>
      <c r="E189" t="n">
        <v>19.09942817687988</v>
      </c>
      <c r="F189" t="n">
        <v/>
      </c>
    </row>
    <row r="190">
      <c r="A190" s="82" t="n">
        <v>40422</v>
      </c>
      <c r="B190" t="n">
        <v/>
      </c>
      <c r="C190" t="n">
        <v/>
      </c>
      <c r="D190" t="n">
        <v>25.48570442199707</v>
      </c>
      <c r="E190" t="n">
        <v>20.88680839538574</v>
      </c>
      <c r="F190" t="n">
        <v/>
      </c>
    </row>
    <row r="191">
      <c r="A191" s="82" t="n">
        <v>40452</v>
      </c>
      <c r="B191" t="n">
        <v>53.7</v>
      </c>
      <c r="C191" t="n">
        <v>35.05340576171875</v>
      </c>
      <c r="D191" t="n">
        <v>27.03117942810059</v>
      </c>
      <c r="E191" t="n">
        <v>21.76773262023926</v>
      </c>
      <c r="F191" t="n">
        <v>0.00626045630584848</v>
      </c>
    </row>
    <row r="192">
      <c r="A192" s="82" t="n">
        <v>40483</v>
      </c>
      <c r="B192" t="n">
        <v>54</v>
      </c>
      <c r="C192" t="n">
        <v>34.28712463378906</v>
      </c>
      <c r="D192" t="n">
        <v>24.03589248657227</v>
      </c>
      <c r="E192" t="n">
        <v>20.63146781921387</v>
      </c>
      <c r="F192" t="n">
        <v/>
      </c>
    </row>
    <row r="193">
      <c r="A193" s="82" t="n">
        <v>40513</v>
      </c>
      <c r="B193" t="n">
        <v>54.9</v>
      </c>
      <c r="C193" t="n">
        <v>36.60160827636719</v>
      </c>
      <c r="D193" t="n">
        <v>25.95669746398926</v>
      </c>
      <c r="E193" t="n">
        <v>22.17627906799316</v>
      </c>
      <c r="F193" t="n">
        <v/>
      </c>
    </row>
    <row r="194">
      <c r="A194" s="82" t="n">
        <v>40544</v>
      </c>
      <c r="B194" t="n">
        <v>57.2</v>
      </c>
      <c r="C194" t="n">
        <v>37.35361099243164</v>
      </c>
      <c r="D194" t="n">
        <v>27.83026695251465</v>
      </c>
      <c r="E194" t="n">
        <v>22.6449031829834</v>
      </c>
      <c r="F194" t="n">
        <v>0.008455494635761653</v>
      </c>
    </row>
    <row r="195">
      <c r="A195" s="82" t="n">
        <v>40575</v>
      </c>
      <c r="B195" t="n">
        <v>58.2</v>
      </c>
      <c r="C195" t="n">
        <v>38.51425170898438</v>
      </c>
      <c r="D195" t="n">
        <v>28.64640617370605</v>
      </c>
      <c r="E195" t="n">
        <v>23.67655944824219</v>
      </c>
      <c r="F195" t="n">
        <v/>
      </c>
    </row>
    <row r="196">
      <c r="A196" s="82" t="n">
        <v>40603</v>
      </c>
      <c r="B196" t="n">
        <v>56</v>
      </c>
      <c r="C196" t="n">
        <v>38.18263244628906</v>
      </c>
      <c r="D196" t="n">
        <v>28.74286270141602</v>
      </c>
      <c r="E196" t="n">
        <v>23.09625434875488</v>
      </c>
      <c r="F196" t="n">
        <v/>
      </c>
    </row>
    <row r="197">
      <c r="A197" s="82" t="n">
        <v>40634</v>
      </c>
      <c r="B197" t="n">
        <v>55.5</v>
      </c>
      <c r="C197" t="n">
        <v>40.02228546142578</v>
      </c>
      <c r="D197" t="n">
        <v>31.03545951843262</v>
      </c>
      <c r="E197" t="n">
        <v>24.64374732971191</v>
      </c>
      <c r="F197" t="n">
        <v>-2.21604078440194e-05</v>
      </c>
    </row>
    <row r="198">
      <c r="A198" s="82" t="n">
        <v>40664</v>
      </c>
      <c r="B198" t="n">
        <v>53.1</v>
      </c>
      <c r="C198" t="n">
        <v>39.24062728881836</v>
      </c>
      <c r="D198" t="n">
        <v>29.55898666381836</v>
      </c>
      <c r="E198" t="n">
        <v>24.06343650817871</v>
      </c>
      <c r="F198" t="n">
        <v/>
      </c>
    </row>
    <row r="199">
      <c r="A199" s="82" t="n">
        <v>40695</v>
      </c>
      <c r="B199" t="n">
        <v>52.8</v>
      </c>
      <c r="C199" t="n">
        <v>38.09578323364258</v>
      </c>
      <c r="D199" t="n">
        <v>28.80963134765625</v>
      </c>
      <c r="E199" t="n">
        <v>22.96729469299316</v>
      </c>
      <c r="F199" t="n">
        <v/>
      </c>
    </row>
    <row r="200">
      <c r="A200" s="82" t="n">
        <v>40725</v>
      </c>
      <c r="B200" t="n">
        <v>50.9</v>
      </c>
      <c r="C200" t="n">
        <v>37.67074584960938</v>
      </c>
      <c r="D200" t="n">
        <v>27.23822593688965</v>
      </c>
      <c r="E200" t="n">
        <v>23.27229118347168</v>
      </c>
      <c r="F200" t="n">
        <v>0.001244930797537815</v>
      </c>
    </row>
    <row r="201">
      <c r="A201" s="82" t="n">
        <v>40756</v>
      </c>
      <c r="B201" t="n">
        <v>50.4</v>
      </c>
      <c r="C201" t="n">
        <v>34.89837265014648</v>
      </c>
      <c r="D201" t="n">
        <v>23.91501235961914</v>
      </c>
      <c r="E201" t="n">
        <v>21.4881706237793</v>
      </c>
      <c r="F201" t="n">
        <v/>
      </c>
    </row>
    <row r="202">
      <c r="A202" s="82" t="n">
        <v>40787</v>
      </c>
      <c r="B202" t="n">
        <v>50.1</v>
      </c>
      <c r="C202" t="n">
        <v>31.2551326751709</v>
      </c>
      <c r="D202" t="n">
        <v>20.72836494445801</v>
      </c>
      <c r="E202" t="n">
        <v>19.37608528137207</v>
      </c>
      <c r="F202" t="n">
        <v/>
      </c>
    </row>
    <row r="203">
      <c r="A203" s="82" t="n">
        <v>40817</v>
      </c>
      <c r="B203" t="n">
        <v>49.5</v>
      </c>
      <c r="C203" t="n">
        <v>34.79450988769531</v>
      </c>
      <c r="D203" t="n">
        <v>23.34596061706543</v>
      </c>
      <c r="E203" t="n">
        <v>21.88172912597656</v>
      </c>
      <c r="F203" t="n">
        <v>-0.004089599075691828</v>
      </c>
    </row>
    <row r="204">
      <c r="A204" s="82" t="n">
        <v>40848</v>
      </c>
      <c r="B204" t="n">
        <v>49.6</v>
      </c>
      <c r="C204" t="n">
        <v>34.39502716064453</v>
      </c>
      <c r="D204" t="n">
        <v>22.35961723327637</v>
      </c>
      <c r="E204" t="n">
        <v>21.52752304077148</v>
      </c>
      <c r="F204" t="n">
        <v/>
      </c>
    </row>
    <row r="205">
      <c r="A205" s="82" t="n">
        <v>40878</v>
      </c>
      <c r="B205" t="n">
        <v>50.4</v>
      </c>
      <c r="C205" t="n">
        <v>33.69194793701172</v>
      </c>
      <c r="D205" t="n">
        <v>21.16842079162598</v>
      </c>
      <c r="E205" t="n">
        <v>21.19956016540527</v>
      </c>
      <c r="F205" t="n">
        <v/>
      </c>
    </row>
    <row r="206">
      <c r="A206" s="82" t="n">
        <v>40909</v>
      </c>
      <c r="B206" t="n">
        <v>51</v>
      </c>
      <c r="C206" t="n">
        <v>35.93434906005859</v>
      </c>
      <c r="D206" t="n">
        <v>22.9275951385498</v>
      </c>
      <c r="E206" t="n">
        <v>22.20933532714844</v>
      </c>
      <c r="F206" t="n">
        <v>-0.002110929629305632</v>
      </c>
    </row>
    <row r="207">
      <c r="A207" s="82" t="n">
        <v>40940</v>
      </c>
      <c r="B207" t="n">
        <v>51.2</v>
      </c>
      <c r="C207" t="n">
        <v>37.7116813659668</v>
      </c>
      <c r="D207" t="n">
        <v>24.18642234802246</v>
      </c>
      <c r="E207" t="n">
        <v>23.34110641479492</v>
      </c>
      <c r="F207" t="n">
        <v/>
      </c>
    </row>
    <row r="208">
      <c r="A208" s="82" t="n">
        <v>40969</v>
      </c>
      <c r="B208" t="n">
        <v>51.6</v>
      </c>
      <c r="C208" t="n">
        <v>38.13177871704102</v>
      </c>
      <c r="D208" t="n">
        <v>24.21712684631348</v>
      </c>
      <c r="E208" t="n">
        <v>23.03486061096191</v>
      </c>
      <c r="F208" t="n">
        <v/>
      </c>
    </row>
    <row r="209">
      <c r="A209" s="82" t="n">
        <v>41000</v>
      </c>
      <c r="B209" t="n">
        <v>51.3</v>
      </c>
      <c r="C209" t="n">
        <v>37.69552230834961</v>
      </c>
      <c r="D209" t="n">
        <v>22.85851097106934</v>
      </c>
      <c r="E209" t="n">
        <v>23.36773490905762</v>
      </c>
      <c r="F209" t="n">
        <v>-0.002649158453816333</v>
      </c>
    </row>
    <row r="210">
      <c r="A210" s="82" t="n">
        <v>41030</v>
      </c>
      <c r="B210" t="n">
        <v>50.3</v>
      </c>
      <c r="C210" t="n">
        <v>34.19742965698242</v>
      </c>
      <c r="D210" t="n">
        <v>19.91101264953613</v>
      </c>
      <c r="E210" t="n">
        <v>20.70474433898926</v>
      </c>
      <c r="F210" t="n">
        <v/>
      </c>
    </row>
    <row r="211">
      <c r="A211" s="82" t="n">
        <v>41061</v>
      </c>
      <c r="B211" t="n">
        <v>49.7</v>
      </c>
      <c r="C211" t="n">
        <v>35.44155120849609</v>
      </c>
      <c r="D211" t="n">
        <v>21.0700569152832</v>
      </c>
      <c r="E211" t="n">
        <v>21.69005393981934</v>
      </c>
      <c r="F211" t="n">
        <v/>
      </c>
    </row>
    <row r="212">
      <c r="A212" s="82" t="n">
        <v>41091</v>
      </c>
      <c r="B212" t="n">
        <v>48.8</v>
      </c>
      <c r="C212" t="n">
        <v>36.22687911987305</v>
      </c>
      <c r="D212" t="n">
        <v>21.47642135620117</v>
      </c>
      <c r="E212" t="n">
        <v>22.39491271972656</v>
      </c>
      <c r="F212" t="n">
        <v>-0.001156939399196649</v>
      </c>
    </row>
    <row r="213">
      <c r="A213" s="82" t="n">
        <v>41122</v>
      </c>
      <c r="B213" t="n">
        <v>48.7</v>
      </c>
      <c r="C213" t="n">
        <v>37.23430633544922</v>
      </c>
      <c r="D213" t="n">
        <v>22.89869689941406</v>
      </c>
      <c r="E213" t="n">
        <v>23.13095664978027</v>
      </c>
      <c r="F213" t="n">
        <v/>
      </c>
    </row>
    <row r="214">
      <c r="A214" s="82" t="n">
        <v>41153</v>
      </c>
      <c r="B214" t="n">
        <v>48.7</v>
      </c>
      <c r="C214" t="n">
        <v>38.24175643920898</v>
      </c>
      <c r="D214" t="n">
        <v>23.74416160583496</v>
      </c>
      <c r="E214" t="n">
        <v>23.71706771850586</v>
      </c>
      <c r="F214" t="n">
        <v/>
      </c>
    </row>
    <row r="215">
      <c r="A215" s="82" t="n">
        <v>41183</v>
      </c>
      <c r="B215" t="n">
        <v>48.9</v>
      </c>
      <c r="C215" t="n">
        <v>38.04518127441406</v>
      </c>
      <c r="D215" t="n">
        <v>24.35258102416992</v>
      </c>
      <c r="E215" t="n">
        <v>23.82611274719238</v>
      </c>
      <c r="F215" t="n">
        <v>-0.004171962576357932</v>
      </c>
    </row>
    <row r="216">
      <c r="A216" s="82" t="n">
        <v>41214</v>
      </c>
      <c r="B216" t="n">
        <v>49.6</v>
      </c>
      <c r="C216" t="n">
        <v>38.65127563476562</v>
      </c>
      <c r="D216" t="n">
        <v>25.18224334716797</v>
      </c>
      <c r="E216" t="n">
        <v>24.09872436523438</v>
      </c>
      <c r="F216" t="n">
        <v/>
      </c>
    </row>
    <row r="217">
      <c r="A217" s="82" t="n">
        <v>41244</v>
      </c>
      <c r="B217" t="n">
        <v>50</v>
      </c>
      <c r="C217" t="n">
        <v>39.38024520874023</v>
      </c>
      <c r="D217" t="n">
        <v>26.43859100341797</v>
      </c>
      <c r="E217" t="n">
        <v>24.45311546325684</v>
      </c>
      <c r="F217" t="n">
        <v/>
      </c>
    </row>
    <row r="218">
      <c r="A218" s="82" t="n">
        <v>41275</v>
      </c>
      <c r="B218" t="n">
        <v>51.5</v>
      </c>
      <c r="C218" t="n">
        <v>41.27107238769531</v>
      </c>
      <c r="D218" t="n">
        <v>27.53639793395996</v>
      </c>
      <c r="E218" t="n">
        <v>25.53362846374512</v>
      </c>
      <c r="F218" t="n">
        <v>-0.00378479858965948</v>
      </c>
    </row>
    <row r="219">
      <c r="A219" s="82" t="n">
        <v>41306</v>
      </c>
      <c r="B219" t="n">
        <v>50.9</v>
      </c>
      <c r="C219" t="n">
        <v>41.22971343994141</v>
      </c>
      <c r="D219" t="n">
        <v>26.26744079589844</v>
      </c>
      <c r="E219" t="n">
        <v>24.8424072265625</v>
      </c>
      <c r="F219" t="n">
        <v/>
      </c>
    </row>
    <row r="220">
      <c r="A220" s="82" t="n">
        <v>41334</v>
      </c>
      <c r="B220" t="n">
        <v>51.2</v>
      </c>
      <c r="C220" t="n">
        <v>41.98250198364258</v>
      </c>
      <c r="D220" t="n">
        <v>25.89468193054199</v>
      </c>
      <c r="E220" t="n">
        <v>25.25713920593262</v>
      </c>
      <c r="F220" t="n">
        <v/>
      </c>
    </row>
    <row r="221">
      <c r="A221" s="82" t="n">
        <v>41365</v>
      </c>
      <c r="B221" t="n">
        <v>50.4</v>
      </c>
      <c r="C221" t="n">
        <v>43.17373275756836</v>
      </c>
      <c r="D221" t="n">
        <v>27.38570404052734</v>
      </c>
      <c r="E221" t="n">
        <v>25.97601127624512</v>
      </c>
      <c r="F221" t="n">
        <v>0.005363717802491315</v>
      </c>
    </row>
    <row r="222">
      <c r="A222" s="82" t="n">
        <v>41395</v>
      </c>
      <c r="B222" t="n">
        <v>50.6</v>
      </c>
      <c r="C222" t="n">
        <v>43.00827789306641</v>
      </c>
      <c r="D222" t="n">
        <v>27.74260330200195</v>
      </c>
      <c r="E222" t="n">
        <v>25.9483585357666</v>
      </c>
      <c r="F222" t="n">
        <v/>
      </c>
    </row>
    <row r="223">
      <c r="A223" s="82" t="n">
        <v>41426</v>
      </c>
      <c r="B223" t="n">
        <v>50.6</v>
      </c>
      <c r="C223" t="n">
        <v>41.36206817626953</v>
      </c>
      <c r="D223" t="n">
        <v>25.75984954833984</v>
      </c>
      <c r="E223" t="n">
        <v>24.41385269165039</v>
      </c>
      <c r="F223" t="n">
        <v/>
      </c>
    </row>
    <row r="224">
      <c r="A224" s="82" t="n">
        <v>41456</v>
      </c>
      <c r="B224" t="n">
        <v>50.8</v>
      </c>
      <c r="C224" t="n">
        <v>43.80786514282227</v>
      </c>
      <c r="D224" t="n">
        <v>28.69867706298828</v>
      </c>
      <c r="E224" t="n">
        <v>26.36099243164062</v>
      </c>
      <c r="F224" t="n">
        <v>0.003130919284702075</v>
      </c>
    </row>
    <row r="225">
      <c r="A225" s="82" t="n">
        <v>41487</v>
      </c>
      <c r="B225" t="n">
        <v>51.6</v>
      </c>
      <c r="C225" t="n">
        <v>42.80252075195312</v>
      </c>
      <c r="D225" t="n">
        <v>28.17865753173828</v>
      </c>
      <c r="E225" t="n">
        <v>26.16458129882812</v>
      </c>
      <c r="F225" t="n">
        <v/>
      </c>
    </row>
    <row r="226">
      <c r="A226" s="82" t="n">
        <v>41518</v>
      </c>
      <c r="B226" t="n">
        <v>51.8</v>
      </c>
      <c r="C226" t="n">
        <v>45.17345428466797</v>
      </c>
      <c r="D226" t="n">
        <v>30.65688323974609</v>
      </c>
      <c r="E226" t="n">
        <v>27.52541351318359</v>
      </c>
      <c r="F226" t="n">
        <v/>
      </c>
    </row>
    <row r="227">
      <c r="A227" s="82" t="n">
        <v>41548</v>
      </c>
      <c r="B227" t="n">
        <v>52.1</v>
      </c>
      <c r="C227" t="n">
        <v>46.95794296264648</v>
      </c>
      <c r="D227" t="n">
        <v>32.32257461547852</v>
      </c>
      <c r="E227" t="n">
        <v>28.54955673217773</v>
      </c>
      <c r="F227" t="n">
        <v>0.002748022662438321</v>
      </c>
    </row>
    <row r="228">
      <c r="A228" s="82" t="n">
        <v>41579</v>
      </c>
      <c r="B228" t="n">
        <v>53.1</v>
      </c>
      <c r="C228" t="n">
        <v>47.68681335449219</v>
      </c>
      <c r="D228" t="n">
        <v>32.79383850097656</v>
      </c>
      <c r="E228" t="n">
        <v>28.77402114868164</v>
      </c>
      <c r="F228" t="n">
        <v/>
      </c>
    </row>
    <row r="229">
      <c r="A229" s="82" t="n">
        <v>41609</v>
      </c>
      <c r="B229" t="n">
        <v>53.3</v>
      </c>
      <c r="C229" t="n">
        <v>48.27326202392578</v>
      </c>
      <c r="D229" t="n">
        <v>33.62263488769531</v>
      </c>
      <c r="E229" t="n">
        <v>29.29310607910156</v>
      </c>
      <c r="F229" t="n">
        <v/>
      </c>
    </row>
    <row r="230">
      <c r="A230" s="82" t="n">
        <v>41640</v>
      </c>
      <c r="B230" t="n">
        <v>52.9</v>
      </c>
      <c r="C230" t="n">
        <v>46.41812133789062</v>
      </c>
      <c r="D230" t="n">
        <v>32.01101684570312</v>
      </c>
      <c r="E230" t="n">
        <v>28.26807975769043</v>
      </c>
      <c r="F230" t="n">
        <v>0.004003198575165064</v>
      </c>
    </row>
    <row r="231">
      <c r="A231" s="82" t="n">
        <v>41671</v>
      </c>
      <c r="B231" t="n">
        <v>53.3</v>
      </c>
      <c r="C231" t="n">
        <v>48.83406829833984</v>
      </c>
      <c r="D231" t="n">
        <v>34.24453735351562</v>
      </c>
      <c r="E231" t="n">
        <v>30.18480110168457</v>
      </c>
      <c r="F231" t="n">
        <v/>
      </c>
    </row>
    <row r="232">
      <c r="A232" s="82" t="n">
        <v>41699</v>
      </c>
      <c r="B232" t="n">
        <v>52.4</v>
      </c>
      <c r="C232" t="n">
        <v>49.11282730102539</v>
      </c>
      <c r="D232" t="n">
        <v>34.45647811889648</v>
      </c>
      <c r="E232" t="n">
        <v>29.23353385925293</v>
      </c>
      <c r="F232" t="n">
        <v/>
      </c>
    </row>
    <row r="233">
      <c r="A233" s="82" t="n">
        <v>41730</v>
      </c>
      <c r="B233" t="n">
        <v>51.9</v>
      </c>
      <c r="C233" t="n">
        <v>49.69569396972656</v>
      </c>
      <c r="D233" t="n">
        <v>35.09230041503906</v>
      </c>
      <c r="E233" t="n">
        <v>30.5539493560791</v>
      </c>
      <c r="F233" t="n">
        <v>0.002260536398467356</v>
      </c>
    </row>
    <row r="234">
      <c r="A234" s="82" t="n">
        <v>41760</v>
      </c>
      <c r="B234" t="n">
        <v>52.2</v>
      </c>
      <c r="C234" t="n">
        <v>50.69247817993164</v>
      </c>
      <c r="D234" t="n">
        <v>35.38575744628906</v>
      </c>
      <c r="E234" t="n">
        <v>30.85210609436035</v>
      </c>
      <c r="F234" t="n">
        <v/>
      </c>
    </row>
    <row r="235">
      <c r="A235" s="82" t="n">
        <v>41791</v>
      </c>
      <c r="B235" t="n">
        <v>52.6</v>
      </c>
      <c r="C235" t="n">
        <v>50.90365219116211</v>
      </c>
      <c r="D235" t="n">
        <v>34.49723434448242</v>
      </c>
      <c r="E235" t="n">
        <v>29.64528465270996</v>
      </c>
      <c r="F235" t="n">
        <v/>
      </c>
    </row>
    <row r="236">
      <c r="A236" s="82" t="n">
        <v>41821</v>
      </c>
      <c r="B236" t="n">
        <v>52.5</v>
      </c>
      <c r="C236" t="n">
        <v>50.86899566650391</v>
      </c>
      <c r="D236" t="n">
        <v>33.06711578369141</v>
      </c>
      <c r="E236" t="n">
        <v>30.35628890991211</v>
      </c>
      <c r="F236" t="n">
        <v>0.004499122926499684</v>
      </c>
    </row>
    <row r="237">
      <c r="A237" s="82" t="n">
        <v>41852</v>
      </c>
      <c r="B237" t="n">
        <v>52.6</v>
      </c>
      <c r="C237" t="n">
        <v>52.17947769165039</v>
      </c>
      <c r="D237" t="n">
        <v>33.12527465820312</v>
      </c>
      <c r="E237" t="n">
        <v>30.5946102142334</v>
      </c>
      <c r="F237" t="n">
        <v/>
      </c>
    </row>
    <row r="238">
      <c r="A238" s="82" t="n">
        <v>41883</v>
      </c>
      <c r="B238" t="n">
        <v>52.2</v>
      </c>
      <c r="C238" t="n">
        <v>50.44929504394531</v>
      </c>
      <c r="D238" t="n">
        <v>31.9870433807373</v>
      </c>
      <c r="E238" t="n">
        <v>28.86677551269531</v>
      </c>
      <c r="F238" t="n">
        <v/>
      </c>
    </row>
    <row r="239">
      <c r="A239" s="82" t="n">
        <v>41913</v>
      </c>
      <c r="B239" t="n">
        <v>52.2</v>
      </c>
      <c r="C239" t="n">
        <v>51.05743026733398</v>
      </c>
      <c r="D239" t="n">
        <v>31.07312774658203</v>
      </c>
      <c r="E239" t="n">
        <v>28.31565093994141</v>
      </c>
      <c r="F239" t="n">
        <v>0.00416281893289462</v>
      </c>
    </row>
    <row r="240">
      <c r="A240" s="82" t="n">
        <v>41944</v>
      </c>
      <c r="B240" t="n">
        <v>51.8</v>
      </c>
      <c r="C240" t="n">
        <v>51.7597770690918</v>
      </c>
      <c r="D240" t="n">
        <v>32.27783203125</v>
      </c>
      <c r="E240" t="n">
        <v>28.34544372558594</v>
      </c>
      <c r="F240" t="n">
        <v/>
      </c>
    </row>
    <row r="241">
      <c r="A241" s="82" t="n">
        <v>41974</v>
      </c>
      <c r="B241" t="n">
        <v>51.6</v>
      </c>
      <c r="C241" t="n">
        <v>50.106689453125</v>
      </c>
      <c r="D241" t="n">
        <v>30.18413734436035</v>
      </c>
      <c r="E241" t="n">
        <v>26.85593032836914</v>
      </c>
      <c r="F241" t="n">
        <v/>
      </c>
    </row>
    <row r="242">
      <c r="A242" s="82" t="n">
        <v>42005</v>
      </c>
      <c r="B242" t="n">
        <v>51.7</v>
      </c>
      <c r="C242" t="n">
        <v>49.87423324584961</v>
      </c>
      <c r="D242" t="n">
        <v>30.69611930847168</v>
      </c>
      <c r="E242" t="n">
        <v>27.40793991088867</v>
      </c>
      <c r="F242" t="n">
        <v>0.006512988159310988</v>
      </c>
    </row>
    <row r="243">
      <c r="A243" s="82" t="n">
        <v>42036</v>
      </c>
      <c r="B243" t="n">
        <v>52</v>
      </c>
      <c r="C243" t="n">
        <v>52.62150573730469</v>
      </c>
      <c r="D243" t="n">
        <v>32.60416030883789</v>
      </c>
      <c r="E243" t="n">
        <v>29.01838302612305</v>
      </c>
      <c r="F243" t="n">
        <v/>
      </c>
    </row>
    <row r="244">
      <c r="A244" s="82" t="n">
        <v>42064</v>
      </c>
      <c r="B244" t="n">
        <v>51.8</v>
      </c>
      <c r="C244" t="n">
        <v>51.85261535644531</v>
      </c>
      <c r="D244" t="n">
        <v>32.28615570068359</v>
      </c>
      <c r="E244" t="n">
        <v>27.36235618591309</v>
      </c>
      <c r="F244" t="n">
        <v/>
      </c>
    </row>
    <row r="245">
      <c r="A245" s="82" t="n">
        <v>42095</v>
      </c>
      <c r="B245" t="n">
        <v>51</v>
      </c>
      <c r="C245" t="n">
        <v>53.33855819702148</v>
      </c>
      <c r="D245" t="n">
        <v>33.00585556030273</v>
      </c>
      <c r="E245" t="n">
        <v>29.18549919128418</v>
      </c>
      <c r="F245" t="n">
        <v>0.004424676495390618</v>
      </c>
    </row>
    <row r="246">
      <c r="A246" s="82" t="n">
        <v>42125</v>
      </c>
      <c r="B246" t="n">
        <v>51.2</v>
      </c>
      <c r="C246" t="n">
        <v>53.33855819702148</v>
      </c>
      <c r="D246" t="n">
        <v>32.79663848876953</v>
      </c>
      <c r="E246" t="n">
        <v>29.3678150177002</v>
      </c>
      <c r="F246" t="n">
        <v/>
      </c>
    </row>
    <row r="247">
      <c r="A247" s="82" t="n">
        <v>42156</v>
      </c>
      <c r="B247" t="n">
        <v>51</v>
      </c>
      <c r="C247" t="n">
        <v>51.36018753051758</v>
      </c>
      <c r="D247" t="n">
        <v>31.41581535339355</v>
      </c>
      <c r="E247" t="n">
        <v>27.72698974609375</v>
      </c>
      <c r="F247" t="n">
        <v/>
      </c>
    </row>
    <row r="248">
      <c r="A248" s="82" t="n">
        <v>42186</v>
      </c>
      <c r="B248" t="n">
        <v>51</v>
      </c>
      <c r="C248" t="n">
        <v>52.3916015625</v>
      </c>
      <c r="D248" t="n">
        <v>32.94659805297852</v>
      </c>
      <c r="E248" t="n">
        <v>28.68111419677734</v>
      </c>
      <c r="F248" t="n">
        <v>0.00445933382839703</v>
      </c>
    </row>
    <row r="249">
      <c r="A249" s="82" t="n">
        <v>42217</v>
      </c>
      <c r="B249" t="n">
        <v>50.7</v>
      </c>
      <c r="C249" t="n">
        <v>48.82541656494141</v>
      </c>
      <c r="D249" t="n">
        <v>30.67294692993164</v>
      </c>
      <c r="E249" t="n">
        <v>26.39157676696777</v>
      </c>
      <c r="F249" t="n">
        <v/>
      </c>
    </row>
    <row r="250">
      <c r="A250" s="82" t="n">
        <v>42248</v>
      </c>
      <c r="B250" t="n">
        <v>50.6</v>
      </c>
      <c r="C250" t="n">
        <v>47.14720153808594</v>
      </c>
      <c r="D250" t="n">
        <v>29.24233245849609</v>
      </c>
      <c r="E250" t="n">
        <v>25.3550968170166</v>
      </c>
      <c r="F250" t="n">
        <v/>
      </c>
    </row>
    <row r="251">
      <c r="A251" s="82" t="n">
        <v>42278</v>
      </c>
      <c r="B251" t="n">
        <v>51.4</v>
      </c>
      <c r="C251" t="n">
        <v>50.75709533691406</v>
      </c>
      <c r="D251" t="n">
        <v>31.37973022460938</v>
      </c>
      <c r="E251" t="n">
        <v>27.02584266662598</v>
      </c>
      <c r="F251" t="n">
        <v>0.004611206098427258</v>
      </c>
    </row>
    <row r="252">
      <c r="A252" s="82" t="n">
        <v>42309</v>
      </c>
      <c r="B252" t="n">
        <v>51.2</v>
      </c>
      <c r="C252" t="n">
        <v>50.48614120483398</v>
      </c>
      <c r="D252" t="n">
        <v>31.13278007507324</v>
      </c>
      <c r="E252" t="n">
        <v>26.57721710205078</v>
      </c>
      <c r="F252" t="n">
        <v/>
      </c>
    </row>
    <row r="253">
      <c r="A253" s="82" t="n">
        <v>42339</v>
      </c>
      <c r="B253" t="n">
        <v>50.9</v>
      </c>
      <c r="C253" t="n">
        <v>48.79045104980469</v>
      </c>
      <c r="D253" t="n">
        <v>29.83842086791992</v>
      </c>
      <c r="E253" t="n">
        <v>24.96834945678711</v>
      </c>
      <c r="F253" t="n">
        <v/>
      </c>
    </row>
    <row r="254">
      <c r="A254" s="82" t="n">
        <v>42370</v>
      </c>
      <c r="B254" t="n">
        <v>50.9</v>
      </c>
      <c r="C254" t="n">
        <v>46.80223083496094</v>
      </c>
      <c r="D254" t="n">
        <v>28.33388137817383</v>
      </c>
      <c r="E254" t="n">
        <v>24.23922920227051</v>
      </c>
      <c r="F254" t="n">
        <v>0.005517386148381159</v>
      </c>
    </row>
    <row r="255">
      <c r="A255" s="82" t="n">
        <v>42401</v>
      </c>
      <c r="B255" t="n">
        <v>50</v>
      </c>
      <c r="C255" t="n">
        <v>46.21787643432617</v>
      </c>
      <c r="D255" t="n">
        <v>27.13907814025879</v>
      </c>
      <c r="E255" t="n">
        <v>23.48175811767578</v>
      </c>
      <c r="F255" t="n">
        <v/>
      </c>
    </row>
    <row r="256">
      <c r="A256" s="82" t="n">
        <v>42430</v>
      </c>
      <c r="B256" t="n">
        <v>50.5</v>
      </c>
      <c r="C256" t="n">
        <v>49.63551712036133</v>
      </c>
      <c r="D256" t="n">
        <v>29.34946632385254</v>
      </c>
      <c r="E256" t="n">
        <v>24.74421691894531</v>
      </c>
      <c r="F256" t="n">
        <v/>
      </c>
    </row>
    <row r="257">
      <c r="A257" s="82" t="n">
        <v>42461</v>
      </c>
      <c r="B257" t="n">
        <v>50.1</v>
      </c>
      <c r="C257" t="n">
        <v>50.29956817626953</v>
      </c>
      <c r="D257" t="n">
        <v>30.1004810333252</v>
      </c>
      <c r="E257" t="n">
        <v>25.7384033203125</v>
      </c>
      <c r="F257" t="n">
        <v>0.002513290428046121</v>
      </c>
    </row>
    <row r="258">
      <c r="A258" s="82" t="n">
        <v>42491</v>
      </c>
      <c r="B258" t="n">
        <v>50</v>
      </c>
      <c r="C258" t="n">
        <v>50.4677848815918</v>
      </c>
      <c r="D258" t="n">
        <v>29.00809478759766</v>
      </c>
      <c r="E258" t="n">
        <v>25.43857383728027</v>
      </c>
      <c r="F258" t="n">
        <v/>
      </c>
    </row>
    <row r="259">
      <c r="A259" s="82" t="n">
        <v>42522</v>
      </c>
      <c r="B259" t="n">
        <v>50.9</v>
      </c>
      <c r="C259" t="n">
        <v>49.7860221862793</v>
      </c>
      <c r="D259" t="n">
        <v>27.54019165039062</v>
      </c>
      <c r="E259" t="n">
        <v>24.25501441955566</v>
      </c>
      <c r="F259" t="n">
        <v/>
      </c>
    </row>
    <row r="260">
      <c r="A260" s="82" t="n">
        <v>42552</v>
      </c>
      <c r="B260" t="n">
        <v>51</v>
      </c>
      <c r="C260" t="n">
        <v>52.34452438354492</v>
      </c>
      <c r="D260" t="n">
        <v>29.59014701843262</v>
      </c>
      <c r="E260" t="n">
        <v>25.23065376281738</v>
      </c>
      <c r="F260" t="n">
        <v>0.004555557172284219</v>
      </c>
    </row>
    <row r="261">
      <c r="A261" s="82" t="n">
        <v>42583</v>
      </c>
      <c r="B261" t="n">
        <v>50.9</v>
      </c>
      <c r="C261" t="n">
        <v>52.52392959594727</v>
      </c>
      <c r="D261" t="n">
        <v>29.92252540588379</v>
      </c>
      <c r="E261" t="n">
        <v>25.50559997558594</v>
      </c>
      <c r="F261" t="n">
        <v/>
      </c>
    </row>
    <row r="262">
      <c r="A262" s="82" t="n">
        <v>42614</v>
      </c>
      <c r="B262" t="n">
        <v>51</v>
      </c>
      <c r="C262" t="n">
        <v>53.01732635498047</v>
      </c>
      <c r="D262" t="n">
        <v>30.16743087768555</v>
      </c>
      <c r="E262" t="n">
        <v>25.61881446838379</v>
      </c>
      <c r="F262" t="n">
        <v/>
      </c>
    </row>
    <row r="263">
      <c r="A263" s="82" t="n">
        <v>42644</v>
      </c>
      <c r="B263" t="n">
        <v>52</v>
      </c>
      <c r="C263" t="n">
        <v>52.00363540649414</v>
      </c>
      <c r="D263" t="n">
        <v>29.86129760742188</v>
      </c>
      <c r="E263" t="n">
        <v>24.26023864746094</v>
      </c>
      <c r="F263" t="n">
        <v>0.007478709557519001</v>
      </c>
    </row>
    <row r="264">
      <c r="A264" s="82" t="n">
        <v>42675</v>
      </c>
      <c r="B264" t="n">
        <v>52.1</v>
      </c>
      <c r="C264" t="n">
        <v>52.54187774658203</v>
      </c>
      <c r="D264" t="n">
        <v>28.6717414855957</v>
      </c>
      <c r="E264" t="n">
        <v>24.30875968933105</v>
      </c>
      <c r="F264" t="n">
        <v/>
      </c>
    </row>
    <row r="265">
      <c r="A265" s="82" t="n">
        <v>42705</v>
      </c>
      <c r="B265" t="n">
        <v>52.7</v>
      </c>
      <c r="C265" t="n">
        <v>53.08012008666992</v>
      </c>
      <c r="D265" t="n">
        <v>30.26364707946777</v>
      </c>
      <c r="E265" t="n">
        <v>24.8182258605957</v>
      </c>
      <c r="F265" t="n">
        <v/>
      </c>
    </row>
    <row r="266">
      <c r="A266" s="82" t="n">
        <v>42736</v>
      </c>
      <c r="B266" t="n">
        <v>52.7</v>
      </c>
      <c r="C266" t="n">
        <v>55.13020324707031</v>
      </c>
      <c r="D266" t="n">
        <v>31.11288261413574</v>
      </c>
      <c r="E266" t="n">
        <v>25.78496551513672</v>
      </c>
      <c r="F266" t="n">
        <v>0.007043301674883182</v>
      </c>
    </row>
    <row r="267">
      <c r="A267" s="82" t="n">
        <v>42767</v>
      </c>
      <c r="B267" t="n">
        <v>53</v>
      </c>
      <c r="C267" t="n">
        <v>56.51547241210938</v>
      </c>
      <c r="D267" t="n">
        <v>31.17451858520508</v>
      </c>
      <c r="E267" t="n">
        <v>26.16210556030273</v>
      </c>
      <c r="F267" t="n">
        <v/>
      </c>
    </row>
    <row r="268">
      <c r="A268" s="82" t="n">
        <v>42795</v>
      </c>
      <c r="B268" t="n">
        <v>53</v>
      </c>
      <c r="C268" t="n">
        <v>57.2760124206543</v>
      </c>
      <c r="D268" t="n">
        <v>33.10256576538086</v>
      </c>
      <c r="E268" t="n">
        <v>26.68682289123535</v>
      </c>
      <c r="F268" t="n">
        <v/>
      </c>
    </row>
    <row r="269">
      <c r="A269" s="82" t="n">
        <v>42826</v>
      </c>
      <c r="B269" t="n">
        <v>52.7</v>
      </c>
      <c r="C269" t="n">
        <v>58.19952774047852</v>
      </c>
      <c r="D269" t="n">
        <v>34.54640579223633</v>
      </c>
      <c r="E269" t="n">
        <v>27.13775062561035</v>
      </c>
      <c r="F269" t="n">
        <v>0.008086738694067177</v>
      </c>
    </row>
    <row r="270">
      <c r="A270" s="82" t="n">
        <v>42856</v>
      </c>
      <c r="B270" t="n">
        <v>52.6</v>
      </c>
      <c r="C270" t="n">
        <v>59.48520660400391</v>
      </c>
      <c r="D270" t="n">
        <v>36.25435638427734</v>
      </c>
      <c r="E270" t="n">
        <v>28.37575721740723</v>
      </c>
      <c r="F270" t="n">
        <v/>
      </c>
    </row>
    <row r="271">
      <c r="A271" s="82" t="n">
        <v>42887</v>
      </c>
      <c r="B271" t="n">
        <v>52.6</v>
      </c>
      <c r="C271" t="n">
        <v>59.29507064819336</v>
      </c>
      <c r="D271" t="n">
        <v>35.50602340698242</v>
      </c>
      <c r="E271" t="n">
        <v>27.32632255554199</v>
      </c>
      <c r="F271" t="n">
        <v/>
      </c>
    </row>
    <row r="272">
      <c r="A272" s="82" t="n">
        <v>42917</v>
      </c>
      <c r="B272" t="n">
        <v>52.8</v>
      </c>
      <c r="C272" t="n">
        <v>61.59209823608398</v>
      </c>
      <c r="D272" t="n">
        <v>37.22262954711914</v>
      </c>
      <c r="E272" t="n">
        <v>28.59103202819824</v>
      </c>
      <c r="F272" t="n">
        <v>0.007036527366504477</v>
      </c>
    </row>
    <row r="273">
      <c r="A273" s="82" t="n">
        <v>42948</v>
      </c>
      <c r="B273" t="n">
        <v>53.2</v>
      </c>
      <c r="C273" t="n">
        <v>61.83927536010742</v>
      </c>
      <c r="D273" t="n">
        <v>37.40145492553711</v>
      </c>
      <c r="E273" t="n">
        <v>28.35640525817871</v>
      </c>
      <c r="F273" t="n">
        <v/>
      </c>
    </row>
    <row r="274">
      <c r="A274" s="82" t="n">
        <v>42979</v>
      </c>
      <c r="B274" t="n">
        <v>53.3</v>
      </c>
      <c r="C274" t="n">
        <v>63.00190353393555</v>
      </c>
      <c r="D274" t="n">
        <v>38.73370361328125</v>
      </c>
      <c r="E274" t="n">
        <v>29.20273971557617</v>
      </c>
      <c r="F274" t="n">
        <v/>
      </c>
    </row>
    <row r="275">
      <c r="A275" s="82" t="n">
        <v>43009</v>
      </c>
      <c r="B275" t="n">
        <v>53.5</v>
      </c>
      <c r="C275" t="n">
        <v>64.35679626464844</v>
      </c>
      <c r="D275" t="n">
        <v>39.18971633911133</v>
      </c>
      <c r="E275" t="n">
        <v>29.37870788574219</v>
      </c>
      <c r="F275" t="n">
        <v>0.008521343915844401</v>
      </c>
    </row>
    <row r="276">
      <c r="A276" s="82" t="n">
        <v>43040</v>
      </c>
      <c r="B276" t="n">
        <v>54.1</v>
      </c>
      <c r="C276" t="n">
        <v>65.65674591064453</v>
      </c>
      <c r="D276" t="n">
        <v>39.09135437011719</v>
      </c>
      <c r="E276" t="n">
        <v>29.34519004821777</v>
      </c>
      <c r="F276" t="n">
        <v/>
      </c>
    </row>
    <row r="277">
      <c r="A277" s="82" t="n">
        <v>43070</v>
      </c>
      <c r="B277" t="n">
        <v>54.5</v>
      </c>
      <c r="C277" t="n">
        <v>65.99544525146484</v>
      </c>
      <c r="D277" t="n">
        <v>38.78735733032227</v>
      </c>
      <c r="E277" t="n">
        <v>30.01556015014648</v>
      </c>
      <c r="F277" t="n">
        <v/>
      </c>
    </row>
    <row r="278">
      <c r="A278" s="82" t="n">
        <v>43101</v>
      </c>
      <c r="B278" t="n">
        <v>54.4</v>
      </c>
      <c r="C278" t="n">
        <v>70.40650939941406</v>
      </c>
      <c r="D278" t="n">
        <v>41.68721389770508</v>
      </c>
      <c r="E278" t="n">
        <v>31.72566986083984</v>
      </c>
      <c r="F278" t="n">
        <v>0.0007067725851483017</v>
      </c>
    </row>
    <row r="279">
      <c r="A279" s="82" t="n">
        <v>43132</v>
      </c>
      <c r="B279" t="n">
        <v>54.1</v>
      </c>
      <c r="C279" t="n">
        <v>67.25577545166016</v>
      </c>
      <c r="D279" t="n">
        <v>39.19065093994141</v>
      </c>
      <c r="E279" t="n">
        <v>29.59980392456055</v>
      </c>
      <c r="F279" t="n">
        <v/>
      </c>
    </row>
    <row r="280">
      <c r="A280" s="82" t="n">
        <v>43160</v>
      </c>
      <c r="B280" t="n">
        <v>53.3</v>
      </c>
      <c r="C280" t="n">
        <v>66.24864196777344</v>
      </c>
      <c r="D280" t="n">
        <v>38.93021774291992</v>
      </c>
      <c r="E280" t="n">
        <v>29.66810989379883</v>
      </c>
      <c r="F280" t="n">
        <v/>
      </c>
    </row>
    <row r="281">
      <c r="A281" s="82" t="n">
        <v>43191</v>
      </c>
      <c r="B281" t="n">
        <v>53.5</v>
      </c>
      <c r="C281" t="n">
        <v>66.5166015625</v>
      </c>
      <c r="D281" t="n">
        <v>39.81031036376953</v>
      </c>
      <c r="E281" t="n">
        <v>30.94874572753906</v>
      </c>
      <c r="F281" t="n">
        <v>0.004925372816114744</v>
      </c>
    </row>
    <row r="282">
      <c r="A282" s="82" t="n">
        <v>43221</v>
      </c>
      <c r="B282" t="n">
        <v>53.1</v>
      </c>
      <c r="C282" t="n">
        <v>66.83074951171875</v>
      </c>
      <c r="D282" t="n">
        <v>38.38241195678711</v>
      </c>
      <c r="E282" t="n">
        <v>30.76091766357422</v>
      </c>
      <c r="F282" t="n">
        <v/>
      </c>
    </row>
    <row r="283">
      <c r="A283" s="82" t="n">
        <v>43252</v>
      </c>
      <c r="B283" t="n">
        <v>53</v>
      </c>
      <c r="C283" t="n">
        <v>65.71274566650391</v>
      </c>
      <c r="D283" t="n">
        <v>36.82879638671875</v>
      </c>
      <c r="E283" t="n">
        <v>29.6937198638916</v>
      </c>
      <c r="F283" t="n">
        <v/>
      </c>
    </row>
    <row r="284">
      <c r="A284" s="82" t="n">
        <v>43282</v>
      </c>
      <c r="B284" t="n">
        <v>52.8</v>
      </c>
      <c r="C284" t="n">
        <v>68.47612762451172</v>
      </c>
      <c r="D284" t="n">
        <v>39.16288757324219</v>
      </c>
      <c r="E284" t="n">
        <v>30.68381309509277</v>
      </c>
      <c r="F284" t="n">
        <v>0.0005963159795785645</v>
      </c>
    </row>
    <row r="285">
      <c r="A285" s="82" t="n">
        <v>43313</v>
      </c>
      <c r="B285" t="n">
        <v>52.6</v>
      </c>
      <c r="C285" t="n">
        <v>68.95254516601562</v>
      </c>
      <c r="D285" t="n">
        <v>37.92093276977539</v>
      </c>
      <c r="E285" t="n">
        <v>29.33795547485352</v>
      </c>
      <c r="F285" t="n">
        <v/>
      </c>
    </row>
    <row r="286">
      <c r="A286" s="82" t="n">
        <v>43344</v>
      </c>
      <c r="B286" t="n">
        <v>52.2</v>
      </c>
      <c r="C286" t="n">
        <v>69.37293243408203</v>
      </c>
      <c r="D286" t="n">
        <v>37.72774505615234</v>
      </c>
      <c r="E286" t="n">
        <v>29.81861877441406</v>
      </c>
      <c r="F286" t="n">
        <v/>
      </c>
    </row>
    <row r="287">
      <c r="A287" s="82" t="n">
        <v>43374</v>
      </c>
      <c r="B287" t="n">
        <v>52</v>
      </c>
      <c r="C287" t="n">
        <v>64.21620178222656</v>
      </c>
      <c r="D287" t="n">
        <v>34.37907028198242</v>
      </c>
      <c r="E287" t="n">
        <v>27.79983329772949</v>
      </c>
      <c r="F287" t="n">
        <v>0.005784982716763937</v>
      </c>
    </row>
    <row r="288">
      <c r="A288" s="82" t="n">
        <v>43405</v>
      </c>
      <c r="B288" t="n">
        <v>52</v>
      </c>
      <c r="C288" t="n">
        <v>65.23448181152344</v>
      </c>
      <c r="D288" t="n">
        <v>34.25947952270508</v>
      </c>
      <c r="E288" t="n">
        <v>27.46773719787598</v>
      </c>
      <c r="F288" t="n">
        <v/>
      </c>
    </row>
    <row r="289">
      <c r="A289" s="82" t="n">
        <v>43435</v>
      </c>
      <c r="B289" t="n">
        <v>51.5</v>
      </c>
      <c r="C289" t="n">
        <v>59.9376220703125</v>
      </c>
      <c r="D289" t="n">
        <v>32.25395965576172</v>
      </c>
      <c r="E289" t="n">
        <v>25.64995574951172</v>
      </c>
      <c r="F289" t="n">
        <v/>
      </c>
    </row>
    <row r="290">
      <c r="A290" s="82" t="n">
        <v>43466</v>
      </c>
      <c r="B290" t="n">
        <v>50.7</v>
      </c>
      <c r="C290" t="n">
        <v>65.39913177490234</v>
      </c>
      <c r="D290" t="n">
        <v>34.54741668701172</v>
      </c>
      <c r="E290" t="n">
        <v>28.12026023864746</v>
      </c>
      <c r="F290" t="n">
        <v>0.007224796933285062</v>
      </c>
    </row>
    <row r="291">
      <c r="A291" s="82" t="n">
        <v>43497</v>
      </c>
      <c r="B291" t="n">
        <v>50.6</v>
      </c>
      <c r="C291" t="n">
        <v>67.01239776611328</v>
      </c>
      <c r="D291" t="n">
        <v>35.6296272277832</v>
      </c>
      <c r="E291" t="n">
        <v>29.08469200134277</v>
      </c>
      <c r="F291" t="n">
        <v/>
      </c>
    </row>
    <row r="292">
      <c r="A292" s="82" t="n">
        <v>43525</v>
      </c>
      <c r="B292" t="n">
        <v>50.5</v>
      </c>
      <c r="C292" t="n">
        <v>68.06904602050781</v>
      </c>
      <c r="D292" t="n">
        <v>35.70362091064453</v>
      </c>
      <c r="E292" t="n">
        <v>29.47760391235352</v>
      </c>
      <c r="F292" t="n">
        <v/>
      </c>
    </row>
    <row r="293">
      <c r="A293" s="82" t="n">
        <v>43556</v>
      </c>
      <c r="B293" t="n">
        <v>50.4</v>
      </c>
      <c r="C293" t="n">
        <v>70.39934539794922</v>
      </c>
      <c r="D293" t="n">
        <v>37.48880386352539</v>
      </c>
      <c r="E293" t="n">
        <v>30.14734649658203</v>
      </c>
      <c r="F293" t="n">
        <v>0.001857687266810299</v>
      </c>
    </row>
    <row r="294">
      <c r="A294" s="82" t="n">
        <v>43586</v>
      </c>
      <c r="B294" t="n">
        <v>49.8</v>
      </c>
      <c r="C294" t="n">
        <v>66.12556457519531</v>
      </c>
      <c r="D294" t="n">
        <v>35.07464218139648</v>
      </c>
      <c r="E294" t="n">
        <v>28.29886054992676</v>
      </c>
      <c r="F294" t="n">
        <v/>
      </c>
    </row>
    <row r="295">
      <c r="A295" s="82" t="n">
        <v>43617</v>
      </c>
      <c r="B295" t="n">
        <v>49.4</v>
      </c>
      <c r="C295" t="n">
        <v>69.54081726074219</v>
      </c>
      <c r="D295" t="n">
        <v>36.59159088134766</v>
      </c>
      <c r="E295" t="n">
        <v>28.86144065856934</v>
      </c>
      <c r="F295" t="n">
        <v/>
      </c>
    </row>
    <row r="296">
      <c r="A296" s="82" t="n">
        <v>43647</v>
      </c>
      <c r="B296" t="n">
        <v>49.3</v>
      </c>
      <c r="C296" t="n">
        <v>70.46517181396484</v>
      </c>
      <c r="D296" t="n">
        <v>36.55445861816406</v>
      </c>
      <c r="E296" t="n">
        <v>28.88526153564453</v>
      </c>
      <c r="F296" t="n">
        <v>0.002482582620101211</v>
      </c>
    </row>
    <row r="297">
      <c r="A297" s="82" t="n">
        <v>43678</v>
      </c>
      <c r="B297" t="n">
        <v>49.5</v>
      </c>
      <c r="C297" t="n">
        <v>68.90798187255859</v>
      </c>
      <c r="D297" t="n">
        <v>36.00362396240234</v>
      </c>
      <c r="E297" t="n">
        <v>27.7862663269043</v>
      </c>
      <c r="F297" t="n">
        <v/>
      </c>
    </row>
    <row r="298">
      <c r="A298" s="82" t="n">
        <v>43709</v>
      </c>
      <c r="B298" t="n">
        <v>49.7</v>
      </c>
      <c r="C298" t="n">
        <v>70.45561218261719</v>
      </c>
      <c r="D298" t="n">
        <v>36.93434524536133</v>
      </c>
      <c r="E298" t="n">
        <v>28.78452110290527</v>
      </c>
      <c r="F298" t="n">
        <v/>
      </c>
    </row>
    <row r="299">
      <c r="A299" s="82" t="n">
        <v>43739</v>
      </c>
      <c r="B299" t="n">
        <v>49.8</v>
      </c>
      <c r="C299" t="n">
        <v>72.38539123535156</v>
      </c>
      <c r="D299" t="n">
        <v>38.38740158081055</v>
      </c>
      <c r="E299" t="n">
        <v>29.79193305969238</v>
      </c>
      <c r="F299" t="n">
        <v>-7.286367645245951e-05</v>
      </c>
    </row>
    <row r="300">
      <c r="A300" s="82" t="n">
        <v>43770</v>
      </c>
      <c r="B300" t="n">
        <v>50.3</v>
      </c>
      <c r="C300" t="n">
        <v>74.07631683349609</v>
      </c>
      <c r="D300" t="n">
        <v>38.73879241943359</v>
      </c>
      <c r="E300" t="n">
        <v>30.15826797485352</v>
      </c>
      <c r="F300" t="n">
        <v/>
      </c>
    </row>
    <row r="301">
      <c r="A301" s="82" t="n">
        <v>43800</v>
      </c>
      <c r="B301" t="n">
        <v>50.1</v>
      </c>
      <c r="C301" t="n">
        <v>75.70993804931641</v>
      </c>
      <c r="D301" t="n">
        <v>39.81196975708008</v>
      </c>
      <c r="E301" t="n">
        <v>31.22978591918945</v>
      </c>
      <c r="F301" t="n">
        <v/>
      </c>
    </row>
    <row r="302">
      <c r="A302" s="82" t="n">
        <v>43831</v>
      </c>
      <c r="B302" t="n">
        <v>50.4</v>
      </c>
      <c r="C302" t="n">
        <v>75.52373504638672</v>
      </c>
      <c r="D302" t="n">
        <v>38.60243606567383</v>
      </c>
      <c r="E302" t="n">
        <v>30.42715835571289</v>
      </c>
      <c r="F302" t="n">
        <v>-0.03466468468979434</v>
      </c>
    </row>
    <row r="303">
      <c r="A303" s="82" t="n">
        <v>43862</v>
      </c>
      <c r="B303" t="n">
        <v>47.1</v>
      </c>
      <c r="C303" t="n">
        <v>69.86743927001953</v>
      </c>
      <c r="D303" t="n">
        <v>35.75112152099609</v>
      </c>
      <c r="E303" t="n">
        <v>27.3135929107666</v>
      </c>
      <c r="F303" t="n">
        <v/>
      </c>
    </row>
    <row r="304">
      <c r="A304" s="82" t="n">
        <v>43891</v>
      </c>
      <c r="B304" t="n">
        <v>47.3</v>
      </c>
      <c r="C304" t="n">
        <v>60.49827194213867</v>
      </c>
      <c r="D304" t="n">
        <v>29.09487152099609</v>
      </c>
      <c r="E304" t="n">
        <v>22.26104354858398</v>
      </c>
      <c r="F304" t="n">
        <v/>
      </c>
    </row>
    <row r="305">
      <c r="A305" s="82" t="n">
        <v>43922</v>
      </c>
      <c r="B305" t="n">
        <v>39.6</v>
      </c>
      <c r="C305" t="n">
        <v>66.44464874267578</v>
      </c>
      <c r="D305" t="n">
        <v>30.88767051696777</v>
      </c>
      <c r="E305" t="n">
        <v>23.53816604614258</v>
      </c>
      <c r="F305" t="n">
        <v>-0.1168268012845826</v>
      </c>
    </row>
    <row r="306">
      <c r="A306" s="82" t="n">
        <v>43952</v>
      </c>
      <c r="B306" t="n">
        <v>42.4</v>
      </c>
      <c r="C306" t="n">
        <v>69.82875823974609</v>
      </c>
      <c r="D306" t="n">
        <v>33.16681671142578</v>
      </c>
      <c r="E306" t="n">
        <v>23.98562240600586</v>
      </c>
      <c r="F306" t="n">
        <v/>
      </c>
    </row>
    <row r="307">
      <c r="A307" s="82" t="n">
        <v>43983</v>
      </c>
      <c r="B307" t="n">
        <v>47.8</v>
      </c>
      <c r="C307" t="n">
        <v>71.27909088134766</v>
      </c>
      <c r="D307" t="n">
        <v>34.78797149658203</v>
      </c>
      <c r="E307" t="n">
        <v>24.01359176635742</v>
      </c>
      <c r="F307" t="n">
        <v/>
      </c>
    </row>
    <row r="308">
      <c r="A308" s="82" t="n">
        <v>44013</v>
      </c>
      <c r="B308" t="n">
        <v>50.6</v>
      </c>
      <c r="C308" t="n">
        <v>75.73363494873047</v>
      </c>
      <c r="D308" t="n">
        <v>36.24202346801758</v>
      </c>
      <c r="E308" t="n">
        <v>24.54149436950684</v>
      </c>
      <c r="F308" t="n">
        <v>0.1255337243230222</v>
      </c>
    </row>
    <row r="309">
      <c r="A309" s="82" t="n">
        <v>44044</v>
      </c>
      <c r="B309" t="n">
        <v>51.8</v>
      </c>
      <c r="C309" t="n">
        <v>80.29696655273438</v>
      </c>
      <c r="D309" t="n">
        <v>37.89682388305664</v>
      </c>
      <c r="E309" t="n">
        <v>25.21347427368164</v>
      </c>
      <c r="F309" t="n">
        <v/>
      </c>
    </row>
    <row r="310">
      <c r="A310" s="82" t="n">
        <v>44075</v>
      </c>
      <c r="B310" t="n">
        <v>52.4</v>
      </c>
      <c r="C310" t="n">
        <v>77.92754364013672</v>
      </c>
      <c r="D310" t="n">
        <v>36.4825439453125</v>
      </c>
      <c r="E310" t="n">
        <v>24.12505722045898</v>
      </c>
      <c r="F310" t="n">
        <v/>
      </c>
    </row>
    <row r="311">
      <c r="A311" s="82" t="n">
        <v>44105</v>
      </c>
      <c r="B311" t="n">
        <v>53</v>
      </c>
      <c r="C311" t="n">
        <v>76.19192504882812</v>
      </c>
      <c r="D311" t="n">
        <v>34.51987838745117</v>
      </c>
      <c r="E311" t="n">
        <v>23.0366382598877</v>
      </c>
      <c r="F311" t="n">
        <v>-0.003496103456489912</v>
      </c>
    </row>
    <row r="312">
      <c r="A312" s="82" t="n">
        <v>44136</v>
      </c>
      <c r="B312" t="n">
        <v>53.8</v>
      </c>
      <c r="C312" t="n">
        <v>85.15281677246094</v>
      </c>
      <c r="D312" t="n">
        <v>41.31225204467773</v>
      </c>
      <c r="E312" t="n">
        <v>26.74672698974609</v>
      </c>
      <c r="F312" t="n">
        <v/>
      </c>
    </row>
    <row r="313">
      <c r="A313" s="82" t="n">
        <v>44166</v>
      </c>
      <c r="B313" t="n">
        <v>53.8</v>
      </c>
      <c r="C313" t="n">
        <v>88.45829772949219</v>
      </c>
      <c r="D313" t="n">
        <v>42.40903472900391</v>
      </c>
      <c r="E313" t="n">
        <v>27.7215747833252</v>
      </c>
      <c r="F313" t="n">
        <v/>
      </c>
    </row>
    <row r="314">
      <c r="A314" s="82" t="n">
        <v>44197</v>
      </c>
      <c r="B314" t="n">
        <v>53.6</v>
      </c>
      <c r="C314" t="n">
        <v>88.86903381347656</v>
      </c>
      <c r="D314" t="n">
        <v>42.26904296875</v>
      </c>
      <c r="E314" t="n">
        <v>27.97151184082031</v>
      </c>
      <c r="F314" t="n">
        <v>-0.002057290440293625</v>
      </c>
    </row>
    <row r="315">
      <c r="A315" s="82" t="n">
        <v>44228</v>
      </c>
      <c r="B315" t="n">
        <v>53.9</v>
      </c>
      <c r="C315" t="n">
        <v>90.90308380126953</v>
      </c>
      <c r="D315" t="n">
        <v>43.70370483398438</v>
      </c>
      <c r="E315" t="n">
        <v>29.0723762512207</v>
      </c>
      <c r="F315" t="n">
        <v/>
      </c>
    </row>
    <row r="316">
      <c r="A316" s="82" t="n">
        <v>44256</v>
      </c>
      <c r="B316" t="n">
        <v>55</v>
      </c>
      <c r="C316" t="n">
        <v>93.49722290039062</v>
      </c>
      <c r="D316" t="n">
        <v>45.31404876708984</v>
      </c>
      <c r="E316" t="n">
        <v>29.97221183776855</v>
      </c>
      <c r="F316" t="n">
        <v/>
      </c>
    </row>
    <row r="317">
      <c r="A317" s="82" t="n">
        <v>44287</v>
      </c>
      <c r="B317" t="n">
        <v>55.9</v>
      </c>
      <c r="C317" t="n">
        <v>97.46704864501953</v>
      </c>
      <c r="D317" t="n">
        <v>47.42213439941406</v>
      </c>
      <c r="E317" t="n">
        <v>31.14008331298828</v>
      </c>
      <c r="F317" t="n">
        <v>0.0220018774523587</v>
      </c>
    </row>
    <row r="318">
      <c r="A318" s="82" t="n">
        <v>44317</v>
      </c>
      <c r="B318" t="n">
        <v>56</v>
      </c>
      <c r="C318" t="n">
        <v>98.90167999267578</v>
      </c>
      <c r="D318" t="n">
        <v>49.50093841552734</v>
      </c>
      <c r="E318" t="n">
        <v>32.34625244140625</v>
      </c>
      <c r="F318" t="n">
        <v/>
      </c>
    </row>
    <row r="319">
      <c r="A319" s="82" t="n">
        <v>44348</v>
      </c>
      <c r="B319" t="n">
        <v>55.5</v>
      </c>
      <c r="C319" t="n">
        <v>99.43231201171875</v>
      </c>
      <c r="D319" t="n">
        <v>48.16386413574219</v>
      </c>
      <c r="E319" t="n">
        <v>31.30282211303711</v>
      </c>
      <c r="F319" t="n">
        <v/>
      </c>
    </row>
    <row r="320">
      <c r="A320" s="82" t="n">
        <v>44378</v>
      </c>
      <c r="B320" t="n">
        <v>55.4</v>
      </c>
      <c r="C320" t="n">
        <v>101.0592498779297</v>
      </c>
      <c r="D320" t="n">
        <v>49.11542129516602</v>
      </c>
      <c r="E320" t="n">
        <v>31.9211540222168</v>
      </c>
      <c r="F320" t="n">
        <v>0.02264902081004062</v>
      </c>
    </row>
    <row r="321">
      <c r="A321" s="82" t="n">
        <v>44409</v>
      </c>
      <c r="B321" t="n">
        <v>54.1</v>
      </c>
      <c r="C321" t="n">
        <v>103.2564010620117</v>
      </c>
      <c r="D321" t="n">
        <v>50.08098220825195</v>
      </c>
      <c r="E321" t="n">
        <v>32.13532257080078</v>
      </c>
      <c r="F321" t="n">
        <v/>
      </c>
    </row>
    <row r="322">
      <c r="A322" s="82" t="n">
        <v>44440</v>
      </c>
      <c r="B322" t="n">
        <v>54.1</v>
      </c>
      <c r="C322" t="n">
        <v>98.89178466796875</v>
      </c>
      <c r="D322" t="n">
        <v>47.41091156005859</v>
      </c>
      <c r="E322" t="n">
        <v>31.39546203613281</v>
      </c>
      <c r="F322" t="n">
        <v/>
      </c>
    </row>
    <row r="323">
      <c r="A323" s="82" t="n">
        <v>44470</v>
      </c>
      <c r="B323" t="n">
        <v>54.2</v>
      </c>
      <c r="C323" t="n">
        <v>104.226318359375</v>
      </c>
      <c r="D323" t="n">
        <v>49.57849502563477</v>
      </c>
      <c r="E323" t="n">
        <v>32.78757095336914</v>
      </c>
      <c r="F323" t="n">
        <v>0.00289714389151726</v>
      </c>
    </row>
    <row r="324">
      <c r="A324" s="82" t="n">
        <v>44501</v>
      </c>
      <c r="B324" t="n">
        <v>54.2</v>
      </c>
      <c r="C324" t="n">
        <v>101.8213195800781</v>
      </c>
      <c r="D324" t="n">
        <v>46.89857482910156</v>
      </c>
      <c r="E324" t="n">
        <v>31.19102668762207</v>
      </c>
      <c r="F324" t="n">
        <v/>
      </c>
    </row>
    <row r="325">
      <c r="A325" s="82" t="n">
        <v>44531</v>
      </c>
      <c r="B325" t="n">
        <v>54.3</v>
      </c>
      <c r="C325" t="n">
        <v>104.6914825439453</v>
      </c>
      <c r="D325" t="n">
        <v>48.28779602050781</v>
      </c>
      <c r="E325" t="n">
        <v>32.26187896728516</v>
      </c>
      <c r="F325" t="n">
        <v/>
      </c>
    </row>
    <row r="326">
      <c r="A326" s="82" t="n">
        <v>44562</v>
      </c>
      <c r="B326" t="n">
        <v>51.4</v>
      </c>
      <c r="C326" t="n">
        <v>100.9700012207031</v>
      </c>
      <c r="D326" t="n">
        <v>47.38000106811523</v>
      </c>
      <c r="E326" t="n">
        <v>33.88999938964844</v>
      </c>
      <c r="F326" t="n">
        <v>0.002680248862159694</v>
      </c>
    </row>
    <row r="327">
      <c r="A327" s="82" t="n">
        <v>44593</v>
      </c>
      <c r="B327" t="n">
        <v/>
      </c>
      <c r="C327" t="n">
        <v>101.75</v>
      </c>
      <c r="D327" t="n">
        <v>47.86000061035156</v>
      </c>
      <c r="E327" t="n">
        <v>34.27999877929688</v>
      </c>
      <c r="F327" t="n">
        <v/>
      </c>
    </row>
    <row r="328">
      <c r="A328" s="82" t="n">
        <v>44621</v>
      </c>
      <c r="B328" t="n">
        <v/>
      </c>
      <c r="C328" t="n">
        <v>99.77999877929688</v>
      </c>
      <c r="D328" t="n">
        <v>43.27000045776367</v>
      </c>
      <c r="E328" t="n">
        <v>33.63999938964844</v>
      </c>
      <c r="F328" t="n">
        <v/>
      </c>
    </row>
    <row r="329">
      <c r="A329" s="82" t="n">
        <v>44652</v>
      </c>
      <c r="B329" t="n">
        <v/>
      </c>
      <c r="C329" t="n">
        <v>91.73000335693359</v>
      </c>
      <c r="D329" t="n">
        <v>40.11000061035156</v>
      </c>
      <c r="E329" t="n">
        <v>32.29999923706055</v>
      </c>
      <c r="F329" t="n">
        <v/>
      </c>
    </row>
    <row r="330">
      <c r="A330" s="82" t="n">
        <v>44682</v>
      </c>
      <c r="B330" t="n">
        <v/>
      </c>
      <c r="C330" t="n">
        <v>92.13999938964844</v>
      </c>
      <c r="D330" t="n">
        <v>41.84999847412109</v>
      </c>
      <c r="E330" t="n">
        <v>33.16999816894531</v>
      </c>
      <c r="F330" t="n">
        <v/>
      </c>
    </row>
    <row r="331">
      <c r="A331" s="82" t="n">
        <v>44713</v>
      </c>
      <c r="B331" t="n">
        <v/>
      </c>
      <c r="C331" t="n">
        <v>83.11690521240234</v>
      </c>
      <c r="D331" t="n">
        <v>35.53578567504883</v>
      </c>
      <c r="E331" t="n">
        <v>29.43150901794434</v>
      </c>
      <c r="F331"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4"/>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6"/>
    <col width="10.83203125" customWidth="1" style="61" min="27"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44682</v>
      </c>
      <c r="B210" t="n">
        <v>49.6</v>
      </c>
    </row>
    <row r="211">
      <c r="A211" s="82" t="n">
        <v>44713</v>
      </c>
      <c r="B211" t="n">
        <v>50.2</v>
      </c>
    </row>
    <row r="212">
      <c r="A212" s="82" t="n">
        <v>44743</v>
      </c>
    </row>
    <row r="213">
      <c r="A213" s="82" t="n">
        <v>44835</v>
      </c>
    </row>
    <row r="214">
      <c r="A214"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2"/>
  <sheetViews>
    <sheetView zoomScale="200" zoomScaleNormal="200" workbookViewId="0">
      <pane ySplit="1" topLeftCell="A109" activePane="bottomLeft" state="frozen"/>
      <selection pane="bottomLeft" activeCell="G20" sqref="G20"/>
    </sheetView>
  </sheetViews>
  <sheetFormatPr baseColWidth="10" defaultRowHeight="15"/>
  <cols>
    <col width="10.83203125" customWidth="1" style="61" min="1" max="26"/>
    <col width="10.83203125" customWidth="1" style="61" min="27"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row r="141">
      <c r="A141" s="82" t="n">
        <v>44682</v>
      </c>
      <c r="B141" t="n">
        <v>56.1</v>
      </c>
    </row>
    <row r="142">
      <c r="A142" s="82" t="n">
        <v>44713</v>
      </c>
      <c r="B142" t="n">
        <v>53</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5"/>
  <sheetViews>
    <sheetView zoomScale="150" zoomScaleNormal="150" workbookViewId="0">
      <pane xSplit="2" ySplit="11" topLeftCell="C91" activePane="bottomRight" state="frozen"/>
      <selection activeCell="B327" sqref="B327"/>
      <selection pane="topRight" activeCell="B327" sqref="B327"/>
      <selection pane="bottomLeft" activeCell="B327" sqref="B327"/>
      <selection pane="bottomRight" activeCell="M97" sqref="M97"/>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3"/>
    <col width="9.1640625" customWidth="1" style="61" min="114" max="16384"/>
  </cols>
  <sheetData>
    <row r="1" ht="16" customFormat="1" customHeight="1" s="70" thickBot="1">
      <c r="AD1" s="31" t="inlineStr">
        <is>
          <t>*to update</t>
        </is>
      </c>
      <c r="AE1" s="70" t="inlineStr">
        <is>
          <t>Last month</t>
        </is>
      </c>
      <c r="AG1" s="63" t="n">
        <v>44562</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95">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1"/>
  <sheetViews>
    <sheetView zoomScale="150" zoomScaleNormal="150" workbookViewId="0">
      <pane ySplit="5" topLeftCell="A124" activePane="bottomLeft" state="frozen"/>
      <selection activeCell="B327" sqref="B327"/>
      <selection pane="bottomLeft" activeCell="A137" sqref="A137:F141"/>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3"/>
    <col width="9.1640625" customWidth="1" style="70" min="44"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activeCell="O117" sqref="O117"/>
      <selection pane="bottomLeft" activeCell="A138" sqref="A138:D143"/>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3"/>
    <col width="9.1640625" customWidth="1" style="70" min="44"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sheetData>
  <conditionalFormatting sqref="B6:B143">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1"/>
  <sheetViews>
    <sheetView zoomScale="140" zoomScaleNormal="140" workbookViewId="0">
      <pane ySplit="5" topLeftCell="A191" activePane="bottomLeft" state="frozen"/>
      <selection activeCell="K199" sqref="K199"/>
      <selection pane="bottomLeft" activeCell="A205" sqref="A205:F211"/>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3"/>
    <col width="9.1640625" customWidth="1" style="70" min="44"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sheetData>
  <conditionalFormatting sqref="C66:C211">
    <cfRule type="colorScale" priority="4">
      <colorScale>
        <cfvo type="min"/>
        <cfvo type="percentile" val="50"/>
        <cfvo type="max"/>
        <color rgb="FFF8696B"/>
        <color rgb="FFFCFCFF"/>
        <color rgb="FF5A8AC6"/>
      </colorScale>
    </cfRule>
  </conditionalFormatting>
  <conditionalFormatting sqref="E66:E211">
    <cfRule type="colorScale" priority="3">
      <colorScale>
        <cfvo type="min"/>
        <cfvo type="percentile" val="50"/>
        <cfvo type="max"/>
        <color rgb="FFF8696B"/>
        <color rgb="FFFCFCFF"/>
        <color rgb="FF5A8AC6"/>
      </colorScale>
    </cfRule>
  </conditionalFormatting>
  <conditionalFormatting sqref="B66:B211">
    <cfRule type="colorScale" priority="2">
      <colorScale>
        <cfvo type="min"/>
        <cfvo type="percentile" val="50"/>
        <cfvo type="max"/>
        <color rgb="FFF8696B"/>
        <color rgb="FFFFEB84"/>
        <color rgb="FF63BE7B"/>
      </colorScale>
    </cfRule>
  </conditionalFormatting>
  <conditionalFormatting sqref="D66:D21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3"/>
  <sheetViews>
    <sheetView zoomScale="140" zoomScaleNormal="140" workbookViewId="0">
      <pane ySplit="5" topLeftCell="A203" activePane="bottomLeft" state="frozen"/>
      <selection activeCell="P121" sqref="P121"/>
      <selection pane="bottomLeft" activeCell="A205" sqref="A205:G21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5"/>
  <sheetViews>
    <sheetView zoomScale="150" zoomScaleNormal="150" workbookViewId="0">
      <pane ySplit="5" topLeftCell="A158" activePane="bottomLeft" state="frozen"/>
      <selection activeCell="B327" sqref="B327"/>
      <selection pane="bottomLeft" activeCell="A167" sqref="A167:C175"/>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6"/>
  <sheetViews>
    <sheetView zoomScale="150" zoomScaleNormal="150" workbookViewId="0">
      <pane ySplit="5" topLeftCell="A160" activePane="bottomLeft" state="frozen"/>
      <selection pane="bottomLeft" activeCell="A169" sqref="A169:C176"/>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sheetData>
  <conditionalFormatting sqref="C7:C106">
    <cfRule type="colorScale" priority="1">
      <colorScale>
        <cfvo type="min"/>
        <cfvo type="percentile" val="50"/>
        <cfvo type="max"/>
        <color rgb="FFF8696B"/>
        <color rgb="FFFCFCFF"/>
        <color rgb="FF5A8AC6"/>
      </colorScale>
    </cfRule>
  </conditionalFormatting>
  <conditionalFormatting sqref="B6:B176">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9"/>
  <sheetViews>
    <sheetView zoomScale="140" zoomScaleNormal="140" workbookViewId="0">
      <pane ySplit="5" topLeftCell="A148" activePane="bottomLeft" state="frozen"/>
      <selection pane="bottomLeft" activeCell="A161" sqref="A161:C16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sheetData>
  <conditionalFormatting sqref="C7:C106">
    <cfRule type="colorScale" priority="1">
      <colorScale>
        <cfvo type="min"/>
        <cfvo type="percentile" val="50"/>
        <cfvo type="max"/>
        <color rgb="FFF8696B"/>
        <color rgb="FFFCFCFF"/>
        <color rgb="FF5A8AC6"/>
      </colorScale>
    </cfRule>
  </conditionalFormatting>
  <conditionalFormatting sqref="B6:B169">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3"/>
  <sheetViews>
    <sheetView zoomScale="150" zoomScaleNormal="150" workbookViewId="0">
      <pane ySplit="5" topLeftCell="A199" activePane="bottomLeft" state="frozen"/>
      <selection activeCell="P121" sqref="P121"/>
      <selection pane="bottomLeft" activeCell="K214" sqref="K21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9"/>
  <sheetViews>
    <sheetView zoomScale="160" zoomScaleNormal="160" workbookViewId="0">
      <pane ySplit="5" topLeftCell="A173" activePane="bottomLeft" state="frozen"/>
      <selection pane="bottomLeft" activeCell="N188" sqref="N188"/>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9"/>
  <sheetViews>
    <sheetView zoomScale="150" zoomScaleNormal="150" workbookViewId="0">
      <pane ySplit="5" topLeftCell="A171" activePane="bottomLeft" state="frozen"/>
      <selection pane="bottomLeft" activeCell="A183" sqref="A183:C1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3"/>
  <sheetViews>
    <sheetView zoomScale="150" zoomScaleNormal="150" workbookViewId="0">
      <pane ySplit="5" topLeftCell="A127" activePane="bottomLeft" state="frozen"/>
      <selection pane="bottomLeft" activeCell="A138" sqref="A138: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7"/>
  <sheetViews>
    <sheetView zoomScale="150" zoomScaleNormal="150" workbookViewId="0">
      <pane ySplit="5" topLeftCell="A122"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2"/>
  <sheetViews>
    <sheetView zoomScale="160" zoomScaleNormal="160" workbookViewId="0">
      <pane ySplit="5" topLeftCell="A121" activePane="bottomLeft" state="frozen"/>
      <selection pane="bottomLeft" activeCell="L144" sqref="L1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7"/>
  <sheetViews>
    <sheetView zoomScale="160" zoomScaleNormal="160" workbookViewId="0">
      <pane ySplit="5" topLeftCell="A120" activePane="bottomLeft" state="frozen"/>
      <selection pane="bottomLeft" activeCell="A129" sqref="A129: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sheetData>
  <conditionalFormatting sqref="B6:B137">
    <cfRule type="colorScale" priority="2">
      <colorScale>
        <cfvo type="min"/>
        <cfvo type="percentile" val="50"/>
        <cfvo type="max"/>
        <color rgb="FFF8696B"/>
        <color rgb="FFFFEB84"/>
        <color rgb="FF63BE7B"/>
      </colorScale>
    </cfRule>
  </conditionalFormatting>
  <conditionalFormatting sqref="C7:C13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2"/>
  <sheetViews>
    <sheetView zoomScale="160" zoomScaleNormal="160" workbookViewId="0">
      <pane ySplit="5" topLeftCell="A155" activePane="bottomLeft" state="frozen"/>
      <selection pane="bottomLeft" activeCell="A164" sqref="A164:C1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7"/>
  <sheetViews>
    <sheetView zoomScale="170" zoomScaleNormal="170" workbookViewId="0">
      <pane ySplit="5" topLeftCell="A124"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1"/>
  <sheetViews>
    <sheetView zoomScale="160" zoomScaleNormal="160" workbookViewId="0">
      <pane ySplit="5" topLeftCell="A125" activePane="bottomLeft" state="frozen"/>
      <selection pane="bottomLeft" activeCell="A136" sqref="A136:C141"/>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3"/>
  <sheetViews>
    <sheetView zoomScale="170" zoomScaleNormal="170" workbookViewId="0">
      <pane ySplit="5" topLeftCell="A128"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3"/>
  <sheetViews>
    <sheetView zoomScale="160" zoomScaleNormal="160" workbookViewId="0">
      <pane ySplit="5" topLeftCell="A125" activePane="bottomLeft" state="frozen"/>
      <selection pane="bottomLeft" activeCell="A135" sqref="A135: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3"/>
  <sheetViews>
    <sheetView zoomScale="180" zoomScaleNormal="180" workbookViewId="0">
      <pane ySplit="5" topLeftCell="A122"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3"/>
  <sheetViews>
    <sheetView zoomScale="170" zoomScaleNormal="170" workbookViewId="0">
      <pane ySplit="5" topLeftCell="A118" activePane="bottomLeft" state="frozen"/>
      <selection pane="bottomLeft" activeCell="A134" sqref="A134: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3"/>
  <sheetViews>
    <sheetView zoomScale="160" zoomScaleNormal="160" workbookViewId="0">
      <pane ySplit="5" topLeftCell="A121"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pane="bottomLeft" activeCell="A136" sqref="A136: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4"/>
  <sheetViews>
    <sheetView zoomScale="160" zoomScaleNormal="160" workbookViewId="0">
      <pane ySplit="5" topLeftCell="A329" activePane="bottomLeft" state="frozen"/>
      <selection pane="bottomLeft" activeCell="A338" sqref="A338:C3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sheetData>
  <conditionalFormatting sqref="C198:C344">
    <cfRule type="colorScale" priority="2">
      <colorScale>
        <cfvo type="min"/>
        <cfvo type="percentile" val="50"/>
        <cfvo type="max"/>
        <color rgb="FFF8696B"/>
        <color rgb="FFFCFCFF"/>
        <color rgb="FF5A8AC6"/>
      </colorScale>
    </cfRule>
  </conditionalFormatting>
  <conditionalFormatting sqref="B198:B34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2"/>
  <sheetViews>
    <sheetView zoomScale="160" zoomScaleNormal="160" workbookViewId="0">
      <pane ySplit="5" topLeftCell="A100" activePane="bottomLeft" state="frozen"/>
      <selection activeCell="P121" sqref="P121"/>
      <selection pane="bottomLeft" activeCell="A116" sqref="A116:C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sheetData>
  <conditionalFormatting sqref="B6:B122">
    <cfRule type="colorScale" priority="2">
      <colorScale>
        <cfvo type="min"/>
        <cfvo type="percentile" val="50"/>
        <cfvo type="max"/>
        <color rgb="FFF8696B"/>
        <color rgb="FFFFEB84"/>
        <color rgb="FF63BE7B"/>
      </colorScale>
    </cfRule>
  </conditionalFormatting>
  <conditionalFormatting sqref="C7:C12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3"/>
  <sheetViews>
    <sheetView zoomScale="170" zoomScaleNormal="170" workbookViewId="0">
      <pane ySplit="5" topLeftCell="A58" activePane="bottomLeft" state="frozen"/>
      <selection pane="bottomLeft" activeCell="A66" sqref="A66:C7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sheetData>
  <conditionalFormatting sqref="B6:B73">
    <cfRule type="colorScale" priority="51">
      <colorScale>
        <cfvo type="min"/>
        <cfvo type="percentile" val="50"/>
        <cfvo type="max"/>
        <color rgb="FFF8696B"/>
        <color rgb="FFFFEB84"/>
        <color rgb="FF63BE7B"/>
      </colorScale>
    </cfRule>
  </conditionalFormatting>
  <conditionalFormatting sqref="C7:C73">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2"/>
  <sheetViews>
    <sheetView zoomScale="160" zoomScaleNormal="160" workbookViewId="0">
      <pane ySplit="5" topLeftCell="A253" activePane="bottomLeft" state="frozen"/>
      <selection pane="bottomLeft" activeCell="A263" sqref="A263:C2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sheetData>
  <conditionalFormatting sqref="C126:C272">
    <cfRule type="colorScale" priority="59">
      <colorScale>
        <cfvo type="min"/>
        <cfvo type="percentile" val="50"/>
        <cfvo type="max"/>
        <color rgb="FFF8696B"/>
        <color rgb="FFFCFCFF"/>
        <color rgb="FF5A8AC6"/>
      </colorScale>
    </cfRule>
  </conditionalFormatting>
  <conditionalFormatting sqref="B126:B2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2"/>
  <sheetViews>
    <sheetView zoomScale="160" zoomScaleNormal="160" workbookViewId="0">
      <pane ySplit="5" topLeftCell="A104" activePane="bottomLeft" state="frozen"/>
      <selection pane="bottomLeft" activeCell="H122" sqref="H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sheetData>
  <conditionalFormatting sqref="B6:B12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8"/>
  <sheetViews>
    <sheetView zoomScale="160" zoomScaleNormal="160" workbookViewId="0">
      <pane ySplit="5" topLeftCell="A72" activePane="bottomLeft" state="frozen"/>
      <selection pane="bottomLeft" activeCell="J89" sqref="J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sheetData>
  <conditionalFormatting sqref="B6:B88">
    <cfRule type="colorScale" priority="54">
      <colorScale>
        <cfvo type="min"/>
        <cfvo type="percentile" val="50"/>
        <cfvo type="max"/>
        <color rgb="FFF8696B"/>
        <color rgb="FFFFEB84"/>
        <color rgb="FF63BE7B"/>
      </colorScale>
    </cfRule>
  </conditionalFormatting>
  <conditionalFormatting sqref="C7:C88">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1"/>
  <sheetViews>
    <sheetView zoomScale="160" zoomScaleNormal="160" workbookViewId="0">
      <pane ySplit="5" topLeftCell="A221" activePane="bottomLeft" state="frozen"/>
      <selection activeCell="B327" sqref="B327"/>
      <selection pane="bottomLeft" activeCell="F242" sqref="F24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sheetData>
  <conditionalFormatting sqref="C95:C241">
    <cfRule type="colorScale" priority="2">
      <colorScale>
        <cfvo type="min"/>
        <cfvo type="percentile" val="50"/>
        <cfvo type="max"/>
        <color rgb="FFF8696B"/>
        <color rgb="FFFCFCFF"/>
        <color rgb="FF5A8AC6"/>
      </colorScale>
    </cfRule>
  </conditionalFormatting>
  <conditionalFormatting sqref="B95:B24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2022-04-02T13:54:15Z</dcterms:modified>
  <cp:lastModifiedBy>Mark Mukherjee</cp:lastModifiedBy>
</cp:coreProperties>
</file>