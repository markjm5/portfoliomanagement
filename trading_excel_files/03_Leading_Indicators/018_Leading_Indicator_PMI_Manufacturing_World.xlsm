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46840" yWindow="580" windowWidth="45220" windowHeight="2822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4">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166" fontId="0" fillId="0"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pt idx="136">
                  <formatCode>0.00%</formatCode>
                  <v>0.1193239628970539</v>
                </pt>
                <pt idx="137">
                  <formatCode>0.00%</formatCode>
                  <v>0.06719745981760064</v>
                </pt>
                <pt idx="138">
                  <formatCode>0.00%</formatCode>
                  <v>-0.05886138308117422</v>
                </pt>
                <pt idx="139">
                  <formatCode>0.00%</formatCode>
                  <v>-0.06836770218188491</v>
                </pt>
                <pt idx="140">
                  <formatCode>0.00%</formatCode>
                  <v>-0.1640855620192511</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US!$B$6:$B$147</f>
              <numCache>
                <formatCode>General</formatCode>
                <ptCount val="142"/>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China!$B$6:$B$216</f>
              <numCache>
                <formatCode>General</formatCode>
                <ptCount val="211"/>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China!$D$6:$D$216</f>
              <numCache>
                <formatCode>General</formatCode>
                <ptCount val="211"/>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China!$F$6:$F$216</f>
              <numCache>
                <formatCode>0.0%</formatCode>
                <ptCount val="211"/>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China!$B$6:$B$216</f>
              <numCache>
                <formatCode>General</formatCode>
                <ptCount val="211"/>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China!$B$6:$B$216</f>
              <numCache>
                <formatCode>General</formatCode>
                <ptCount val="211"/>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Area'!$A$18:$A$220</f>
              <numCache>
                <formatCode>m/d/yy</formatCode>
                <ptCount val="203"/>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'Euro Area'!$E$18:$E$220</f>
              <numCache>
                <formatCode>General</formatCode>
                <ptCount val="203"/>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Area'!$A$18:$A$220</f>
              <numCache>
                <formatCode>m/d/yy</formatCode>
                <ptCount val="203"/>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'Euro Area'!$F$18:$F$220</f>
              <numCache>
                <formatCode>0.0%</formatCode>
                <ptCount val="203"/>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pt idx="195">
                  <v>-0.04510848986000766</v>
                </pt>
                <pt idx="196">
                  <v>-0.1541924226243357</v>
                </pt>
                <pt idx="197">
                  <v>-0.1545615131006551</v>
                </pt>
                <pt idx="198">
                  <v>-0.2621898945878414</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'Euro Area'!$G$6:$G$216</f>
              <numCache>
                <formatCode>0.0%</formatCode>
                <ptCount val="211"/>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0.002680248862159694</v>
                </pt>
                <pt idx="206">
                  <v>0</v>
                </pt>
                <pt idx="207">
                  <v>0</v>
                </pt>
                <pt idx="208">
                  <v>0</v>
                </pt>
                <pt idx="209">
                  <v>0</v>
                </pt>
                <pt idx="210">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'Euro Area'!$B$6:$B$216</f>
              <numCache>
                <formatCode>General</formatCode>
                <ptCount val="211"/>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'Euro Area'!$B$6:$B$216</f>
              <numCache>
                <formatCode>General</formatCode>
                <ptCount val="211"/>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Japan!$A$6:$A$178</f>
              <numCache>
                <formatCode>m/d/yy</formatCode>
                <ptCount val="173"/>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numCache>
            </numRef>
          </cat>
          <val>
            <numRef>
              <f>Japan!$B$6:$B$178</f>
              <numCache>
                <formatCode>General</formatCode>
                <ptCount val="173"/>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Germany!$A$6:$A$179</f>
              <numCache>
                <formatCode>m/d/yy</formatCode>
                <ptCount val="174"/>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numCache>
            </numRef>
          </cat>
          <val>
            <numRef>
              <f>Germany!$B$6:$B$179</f>
              <numCache>
                <formatCode>General</formatCode>
                <ptCount val="174"/>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France!$A$6:$A$172</f>
              <numCache>
                <formatCode>m/d/yy</formatCode>
                <ptCount val="167"/>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numCache>
            </numRef>
          </cat>
          <val>
            <numRef>
              <f>France!$B$6:$B$172</f>
              <numCache>
                <formatCode>General</formatCode>
                <ptCount val="167"/>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UK!$A$18:$A$221</f>
              <numCache>
                <formatCode>m/d/yy</formatCode>
                <ptCount val="204"/>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UK!$B$18:$B$221</f>
              <numCache>
                <formatCode>General</formatCode>
                <ptCount val="204"/>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UK!$A$18:$A$221</f>
              <numCache>
                <formatCode>m/d/yy</formatCode>
                <ptCount val="204"/>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UK!$D$18:$D$221</f>
              <numCache>
                <formatCode>0.00</formatCode>
                <ptCount val="204"/>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33.63999938964844</v>
                </pt>
                <pt idx="196">
                  <v>32.29999923706055</v>
                </pt>
                <pt idx="197">
                  <v>33.16999816894531</v>
                </pt>
                <pt idx="198">
                  <v>29.43150901794434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UK!$B$6:$B$216</f>
              <numCache>
                <formatCode>General</formatCode>
                <ptCount val="211"/>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Italy!$A$6:$A$192</f>
              <numCache>
                <formatCode>m/d/yy</formatCode>
                <ptCount val="187"/>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numCache>
            </numRef>
          </cat>
          <val>
            <numRef>
              <f>Italy!$B$6:$B$192</f>
              <numCache>
                <formatCode>General</formatCode>
                <ptCount val="187"/>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Spain!$A$6:$A$192</f>
              <numCache>
                <formatCode>m/d/yy</formatCode>
                <ptCount val="187"/>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numCache>
            </numRef>
          </cat>
          <val>
            <numRef>
              <f>Spain!$B$6:$B$192</f>
              <numCache>
                <formatCode>General</formatCode>
                <ptCount val="187"/>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Brazil!$B$6:$B$146</f>
              <numCache>
                <formatCode>General</formatCode>
                <ptCount val="141"/>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Mexico!$A$6:$A$140</f>
              <numCache>
                <formatCode>m/d/yy</formatCode>
                <ptCount val="135"/>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numCache>
            </numRef>
          </cat>
          <val>
            <numRef>
              <f>Mexico!$B$6:$B$140</f>
              <numCache>
                <formatCode>General</formatCode>
                <ptCount val="135"/>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Russia!$B$6:$B$146</f>
              <numCache>
                <formatCode>General</formatCode>
                <ptCount val="141"/>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India!$B$6:$B$146</f>
              <numCache>
                <formatCode>General</formatCode>
                <ptCount val="141"/>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Canada!$A$6:$A$140</f>
              <numCache>
                <formatCode>m/d/yy</formatCode>
                <ptCount val="135"/>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numCache>
            </numRef>
          </cat>
          <val>
            <numRef>
              <f>Canada!$B$6:$B$140</f>
              <numCache>
                <formatCode>General</formatCode>
                <ptCount val="135"/>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Australia!$A$6:$A$175</f>
              <numCache>
                <formatCode>m/d/yy</formatCode>
                <ptCount val="170"/>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numCache>
            </numRef>
          </cat>
          <val>
            <numRef>
              <f>Australia!$B$6:$B$175</f>
              <numCache>
                <formatCode>General</formatCode>
                <ptCount val="170"/>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Indonesia!$A$6:$A$140</f>
              <numCache>
                <formatCode>m/d/yy</formatCode>
                <ptCount val="135"/>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numCache>
            </numRef>
          </cat>
          <val>
            <numRef>
              <f>Indonesia!$B$6:$B$140</f>
              <numCache>
                <formatCode>General</formatCode>
                <ptCount val="135"/>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SouthKorea!$A$6:$A$144</f>
              <numCache>
                <formatCode>m/d/yy</formatCode>
                <ptCount val="139"/>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numCache>
            </numRef>
          </cat>
          <val>
            <numRef>
              <f>SouthKorea!$B$6:$B$144</f>
              <numCache>
                <formatCode>General</formatCode>
                <ptCount val="139"/>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Taiwan!$B$6:$B$146</f>
              <numCache>
                <formatCode>General</formatCode>
                <ptCount val="141"/>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Greece!$A$6:$A$146</f>
              <numCache>
                <formatCode>m/d/yy</formatCode>
                <ptCount val="141"/>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Greece!$B$6:$B$146</f>
              <numCache>
                <formatCode>General</formatCode>
                <ptCount val="141"/>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Ireland!$B$6:$B$146</f>
              <numCache>
                <formatCode>General</formatCode>
                <ptCount val="141"/>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Turkey!$B$6:$B$146</f>
              <numCache>
                <formatCode>General</formatCode>
                <ptCount val="141"/>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CzechRepublic!$B$6:$B$146</f>
              <numCache>
                <formatCode>General</formatCode>
                <ptCount val="141"/>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Poland!$B$6:$B$146</f>
              <numCache>
                <formatCode>General</formatCode>
                <ptCount val="141"/>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Denmark!$A$6:$A$347</f>
              <numCache>
                <formatCode>m/d/yy</formatCode>
                <ptCount val="342"/>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numCache>
            </numRef>
          </cat>
          <val>
            <numRef>
              <f>Denmark!$B$6:$B$347</f>
              <numCache>
                <formatCode>General</formatCode>
                <ptCount val="342"/>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Vietnam!$A$6:$A$125</f>
              <numCache>
                <formatCode>m/d/yy</formatCode>
                <ptCount val="12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numCache>
            </numRef>
          </cat>
          <val>
            <numRef>
              <f>Vietnam!$B$6:$B$125</f>
              <numCache>
                <formatCode>General</formatCode>
                <ptCount val="120"/>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Thailand!$A$6:$A$77</f>
              <numCache>
                <formatCode>m/d/yy</formatCode>
                <ptCount val="72"/>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numCache>
            </numRef>
          </cat>
          <val>
            <numRef>
              <f>Thailand!$B$6:$B$77</f>
              <numCache>
                <formatCode>General</formatCode>
                <ptCount val="72"/>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Africa'!$A$6:$A$275</f>
              <numCache>
                <formatCode>m/d/yy</formatCode>
                <ptCount val="27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'South Africa'!$B$6:$B$275</f>
              <numCache>
                <formatCode>General</formatCode>
                <ptCount val="270"/>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Kong'!$A$6:$A$126</f>
              <numCache>
                <formatCode>m/d/yy</formatCode>
                <ptCount val="121"/>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numCache>
            </numRef>
          </cat>
          <val>
            <numRef>
              <f>'Hong Kong'!$B$6:$B$126</f>
              <numCache>
                <formatCode>General</formatCode>
                <ptCount val="121"/>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Arabia'!$A$6:$A$92</f>
              <numCache>
                <formatCode>m/d/yy</formatCode>
                <ptCount val="87"/>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numCache>
            </numRef>
          </cat>
          <val>
            <numRef>
              <f>'Saudi Arabia'!$B$6:$B$92</f>
              <numCache>
                <formatCode>General</formatCode>
                <ptCount val="87"/>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NewZealand!$A$6:$A$244</f>
              <numCache>
                <formatCode>m/d/yy</formatCode>
                <ptCount val="239"/>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numCache>
            </numRef>
          </cat>
          <val>
            <numRef>
              <f>NewZealand!$B$6:$B$244</f>
              <numCache>
                <formatCode>0.00</formatCode>
                <ptCount val="239"/>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298449</colOff>
      <row>151</row>
      <rowOff>111126</rowOff>
    </from>
    <to>
      <col>13</col>
      <colOff>396874</colOff>
      <row>176</row>
      <rowOff>93663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241300</colOff>
      <row>127</row>
      <rowOff>134938</rowOff>
    </from>
    <to>
      <col>12</col>
      <colOff>0</colOff>
      <row>148</row>
      <rowOff>26988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481013</colOff>
      <row>326</row>
      <rowOff>0</rowOff>
    </from>
    <to>
      <col>13</col>
      <colOff>531813</colOff>
      <row>348</row>
      <rowOff>182563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75" dataDxfId="273" headerRowBorderDxfId="274" tableBorderDxfId="272" totalsRowBorderDxfId="271">
  <autoFilter ref="A5:F146"/>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6" headerRowCount="1" totalsRowShown="0" headerRowDxfId="264" dataDxfId="262" headerRowBorderDxfId="263" tableBorderDxfId="261" totalsRowBorderDxfId="260">
  <autoFilter ref="A5:D146"/>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5" headerRowCount="1" totalsRowShown="0" headerRowDxfId="255" dataDxfId="253" headerRowBorderDxfId="254" tableBorderDxfId="252" totalsRowBorderDxfId="251">
  <autoFilter ref="A5:F215"/>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6" headerRowCount="1" totalsRowShown="0" headerRowDxfId="244" dataDxfId="242" headerRowBorderDxfId="243" tableBorderDxfId="241" totalsRowBorderDxfId="240">
  <autoFilter ref="A5:G216"/>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8" headerRowCount="1" totalsRowShown="0" headerRowDxfId="232" dataDxfId="230" headerRowBorderDxfId="231" tableBorderDxfId="229" totalsRowBorderDxfId="228">
  <autoFilter ref="A5:C178"/>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9" headerRowCount="1" totalsRowShown="0" headerRowDxfId="224" dataDxfId="222" headerRowBorderDxfId="223" tableBorderDxfId="221" totalsRowBorderDxfId="220">
  <autoFilter ref="A5:C179"/>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2" headerRowCount="1" totalsRowShown="0" headerRowDxfId="216" dataDxfId="214" headerRowBorderDxfId="215" tableBorderDxfId="213" totalsRowBorderDxfId="212">
  <autoFilter ref="A5:C172"/>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6" headerRowCount="1" totalsRowShown="0" headerRowDxfId="208" dataDxfId="206" headerRowBorderDxfId="207" tableBorderDxfId="205" totalsRowBorderDxfId="204">
  <autoFilter ref="A5:F216"/>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2" headerRowCount="1" totalsRowShown="0" headerRowDxfId="197" dataDxfId="195" headerRowBorderDxfId="196" tableBorderDxfId="194" totalsRowBorderDxfId="193">
  <autoFilter ref="A5:C192"/>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2" headerRowCount="1" totalsRowShown="0" headerRowDxfId="189" dataDxfId="187" headerRowBorderDxfId="188" tableBorderDxfId="186" totalsRowBorderDxfId="185">
  <autoFilter ref="A5:C192"/>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6" headerRowCount="1" totalsRowShown="0" headerRowDxfId="181" dataDxfId="179" headerRowBorderDxfId="180" tableBorderDxfId="178" totalsRowBorderDxfId="177">
  <autoFilter ref="A5:C146"/>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0" headerRowCount="1" totalsRowShown="0" headerRowDxfId="173" dataDxfId="171" headerRowBorderDxfId="172" tableBorderDxfId="170" totalsRowBorderDxfId="169">
  <autoFilter ref="A5:C140"/>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6" headerRowCount="1" totalsRowShown="0" headerRowDxfId="165" dataDxfId="163" headerRowBorderDxfId="164" tableBorderDxfId="162" totalsRowBorderDxfId="161">
  <autoFilter ref="A5:C146"/>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6" headerRowCount="1" totalsRowShown="0" headerRowDxfId="157" dataDxfId="155" headerRowBorderDxfId="156" tableBorderDxfId="154" totalsRowBorderDxfId="153">
  <autoFilter ref="A5:C146"/>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0" headerRowCount="1" totalsRowShown="0" headerRowDxfId="149" dataDxfId="147" headerRowBorderDxfId="148" tableBorderDxfId="146" totalsRowBorderDxfId="145">
  <autoFilter ref="A5:C140"/>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5" headerRowCount="1" totalsRowShown="0" headerRowDxfId="141" dataDxfId="139" headerRowBorderDxfId="140" tableBorderDxfId="138" totalsRowBorderDxfId="137">
  <autoFilter ref="A5:C175"/>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0" headerRowCount="1" totalsRowShown="0" headerRowDxfId="133" dataDxfId="131" headerRowBorderDxfId="132" tableBorderDxfId="130" totalsRowBorderDxfId="129">
  <autoFilter ref="A5:C140"/>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4" headerRowCount="1" totalsRowShown="0" headerRowDxfId="125" dataDxfId="123" headerRowBorderDxfId="124" tableBorderDxfId="122" totalsRowBorderDxfId="121">
  <autoFilter ref="A5:C144"/>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6" headerRowCount="1" totalsRowShown="0" headerRowDxfId="117" dataDxfId="115" headerRowBorderDxfId="116" tableBorderDxfId="114" totalsRowBorderDxfId="113">
  <autoFilter ref="A5:C146"/>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6" headerRowCount="1" totalsRowShown="0" headerRowDxfId="109" dataDxfId="107" headerRowBorderDxfId="108" tableBorderDxfId="106" totalsRowBorderDxfId="105">
  <autoFilter ref="A5:C146"/>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6" headerRowCount="1" totalsRowShown="0" headerRowDxfId="101" dataDxfId="99" headerRowBorderDxfId="100" tableBorderDxfId="98" totalsRowBorderDxfId="97">
  <autoFilter ref="A5:C146"/>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6" headerRowCount="1" totalsRowShown="0" headerRowDxfId="93" dataDxfId="91" headerRowBorderDxfId="92" tableBorderDxfId="90" totalsRowBorderDxfId="89">
  <autoFilter ref="A5:C146"/>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6" headerRowCount="1" totalsRowShown="0" headerRowDxfId="85" dataDxfId="83" headerRowBorderDxfId="84" tableBorderDxfId="82" totalsRowBorderDxfId="81">
  <autoFilter ref="A5:C146"/>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6" headerRowCount="1" totalsRowShown="0" headerRowDxfId="77" dataDxfId="75" headerRowBorderDxfId="76" tableBorderDxfId="74" totalsRowBorderDxfId="73">
  <autoFilter ref="A5:C146"/>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7" headerRowCount="1" totalsRowShown="0" headerRowDxfId="69" dataDxfId="67" headerRowBorderDxfId="68" tableBorderDxfId="66" totalsRowBorderDxfId="65">
  <autoFilter ref="A5:C347"/>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5" headerRowCount="1" totalsRowShown="0" headerRowDxfId="61" dataDxfId="59" headerRowBorderDxfId="60" tableBorderDxfId="58" totalsRowBorderDxfId="57">
  <autoFilter ref="A5:C125"/>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7" headerRowCount="1" totalsRowShown="0" headerRowDxfId="53" dataDxfId="51" headerRowBorderDxfId="52" tableBorderDxfId="50" totalsRowBorderDxfId="49">
  <autoFilter ref="A5:C77"/>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5" headerRowCount="1" totalsRowShown="0" headerRowDxfId="45" dataDxfId="43" headerRowBorderDxfId="44" tableBorderDxfId="42" totalsRowBorderDxfId="41">
  <autoFilter ref="A5:C275"/>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6" headerRowCount="1" totalsRowShown="0" headerRowDxfId="37" dataDxfId="35" headerRowBorderDxfId="36" tableBorderDxfId="34" totalsRowBorderDxfId="33">
  <autoFilter ref="A5:C126"/>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2" headerRowCount="1" totalsRowShown="0" headerRowDxfId="29" dataDxfId="27" headerRowBorderDxfId="28" tableBorderDxfId="26" totalsRowBorderDxfId="25">
  <autoFilter ref="A5:C92"/>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4" headerRowCount="1" totalsRowShown="0" headerRowDxfId="21" dataDxfId="19" headerRowBorderDxfId="20" tableBorderDxfId="18" totalsRowBorderDxfId="17">
  <autoFilter ref="A5:C244"/>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B14" sqref="B14:F14"/>
    </sheetView>
  </sheetViews>
  <sheetFormatPr baseColWidth="10" defaultColWidth="9.1640625" defaultRowHeight="15"/>
  <cols>
    <col width="4" customWidth="1" style="71" min="1" max="1"/>
    <col width="12.83203125" customWidth="1" style="71" min="2" max="5"/>
    <col width="13.6640625" customWidth="1" style="71" min="6" max="6"/>
    <col width="12.83203125" customWidth="1" style="71" min="7" max="10"/>
    <col width="2" customWidth="1" style="71" min="11" max="13"/>
    <col width="9.1640625" customWidth="1" style="71" min="14" max="14"/>
    <col width="15.5" customWidth="1" style="71" min="15" max="15"/>
    <col width="12.6640625" customWidth="1" style="71" min="16" max="18"/>
    <col width="11.6640625" customWidth="1" style="71" min="19" max="19"/>
    <col width="9.1640625" customWidth="1" style="71" min="20" max="60"/>
    <col width="9.1640625" customWidth="1" style="71" min="61" max="16384"/>
  </cols>
  <sheetData>
    <row r="1">
      <c r="B1" s="75" t="n"/>
    </row>
    <row r="2" ht="16" customHeight="1" s="61" thickBot="1">
      <c r="B2" s="76" t="n"/>
      <c r="C2" s="76" t="n"/>
      <c r="D2" s="76" t="n"/>
      <c r="E2" s="76" t="n"/>
      <c r="F2" s="76" t="n"/>
      <c r="G2" s="76" t="n"/>
      <c r="H2" s="76" t="n"/>
      <c r="I2" s="76" t="n"/>
      <c r="J2" s="76" t="n"/>
    </row>
    <row r="3" ht="16" customHeight="1" s="61" thickBot="1">
      <c r="B3" s="77" t="inlineStr">
        <is>
          <t>PMI Manufacturing</t>
        </is>
      </c>
      <c r="C3" s="73" t="n"/>
      <c r="D3" s="73" t="n"/>
      <c r="E3" s="73" t="n"/>
      <c r="F3" s="73" t="n"/>
      <c r="G3" s="73" t="n"/>
      <c r="H3" s="73" t="n"/>
      <c r="I3" s="73" t="n"/>
      <c r="J3" s="74" t="n"/>
    </row>
    <row r="5">
      <c r="B5" s="68" t="inlineStr">
        <is>
          <t>Definition</t>
        </is>
      </c>
      <c r="C5" s="78" t="n"/>
      <c r="D5" s="78" t="n"/>
      <c r="E5" s="78" t="n"/>
      <c r="F5" s="78" t="n"/>
      <c r="G5" s="78" t="n"/>
      <c r="H5" s="78" t="n"/>
      <c r="I5" s="78" t="n"/>
      <c r="J5" s="69" t="n"/>
    </row>
    <row r="7" ht="225.75" customHeight="1" s="61">
      <c r="B7" s="79"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70" t="n"/>
      <c r="D8" s="70" t="n"/>
      <c r="E8" s="70" t="n"/>
      <c r="F8" s="70" t="n"/>
      <c r="G8" s="70" t="n"/>
      <c r="H8" s="70" t="n"/>
      <c r="I8" s="70" t="n"/>
      <c r="J8" s="70" t="n"/>
    </row>
    <row r="9" ht="16" customHeight="1" s="61" thickBot="1">
      <c r="B9" s="2" t="n"/>
      <c r="C9" s="3" t="n"/>
      <c r="D9" s="3" t="n"/>
      <c r="E9" s="3" t="n"/>
    </row>
    <row r="10" ht="16" customHeight="1" s="61" thickBot="1">
      <c r="B10" s="68" t="inlineStr">
        <is>
          <t>Process / TO DO LIST</t>
        </is>
      </c>
      <c r="C10" s="78" t="n"/>
      <c r="D10" s="78" t="n"/>
      <c r="E10" s="78" t="n"/>
      <c r="F10" s="78" t="n"/>
      <c r="G10" s="78" t="n"/>
      <c r="H10" s="78" t="n"/>
      <c r="I10" s="78" t="n"/>
      <c r="J10" s="69" t="n"/>
      <c r="N10" s="72" t="inlineStr">
        <is>
          <t>Summary</t>
        </is>
      </c>
      <c r="O10" s="73" t="n"/>
      <c r="P10" s="73" t="n"/>
      <c r="Q10" s="73" t="n"/>
      <c r="R10" s="73" t="n"/>
      <c r="S10" s="74" t="n"/>
    </row>
    <row r="11">
      <c r="N11" s="4" t="inlineStr">
        <is>
          <t>* input new month</t>
        </is>
      </c>
    </row>
    <row r="12" ht="16" customHeight="1" s="61" thickBot="1">
      <c r="B12" s="68" t="inlineStr">
        <is>
          <t>TO DO LIST</t>
        </is>
      </c>
      <c r="C12" s="78" t="n"/>
      <c r="D12" s="78" t="n"/>
      <c r="E12" s="78" t="n"/>
      <c r="F12" s="69" t="n"/>
      <c r="G12" s="68" t="inlineStr">
        <is>
          <t>Comments</t>
        </is>
      </c>
      <c r="H12" s="78" t="n"/>
      <c r="I12" s="78" t="n"/>
      <c r="J12" s="69" t="n"/>
    </row>
    <row r="13">
      <c r="P13" s="5" t="n">
        <v>44593</v>
      </c>
      <c r="Q13" s="6">
        <f>DATE(YEAR(P13),MONTH(P13)-1,DAY(P13))</f>
        <v/>
      </c>
      <c r="R13" s="7" t="n"/>
      <c r="S13" s="59" t="inlineStr">
        <is>
          <t>%</t>
        </is>
      </c>
    </row>
    <row r="14" ht="16" customHeight="1" s="61" thickBot="1">
      <c r="B14" s="71" t="inlineStr">
        <is>
          <t>https://www.markiteconomics.com/Public/Release/PressReleases?language=en</t>
        </is>
      </c>
      <c r="G14" s="71" t="inlineStr">
        <is>
          <t>Global PMI Calendar. Update Global Index Number in Tab</t>
        </is>
      </c>
      <c r="O14" s="71" t="inlineStr">
        <is>
          <t>Country</t>
        </is>
      </c>
      <c r="P14" s="8" t="inlineStr">
        <is>
          <t>ISM</t>
        </is>
      </c>
      <c r="Q14" s="8" t="inlineStr">
        <is>
          <t>ISM</t>
        </is>
      </c>
      <c r="R14" s="9" t="inlineStr">
        <is>
          <t>Change %</t>
        </is>
      </c>
      <c r="S14" s="60" t="inlineStr">
        <is>
          <t>World GDP</t>
        </is>
      </c>
    </row>
    <row r="15" ht="30.75" customHeight="1" s="61">
      <c r="G15" s="70" t="inlineStr">
        <is>
          <t>JPMorgan Global Manufacturing PMI</t>
        </is>
      </c>
      <c r="N15" s="68" t="inlineStr">
        <is>
          <t>Global</t>
        </is>
      </c>
      <c r="O15" s="69" t="n"/>
      <c r="P15" s="24">
        <f>VLOOKUP($P$13,Summary!$B:$AB,MATCH(Note!N15,Summary!$B$2:$AB$2,),)</f>
        <v/>
      </c>
      <c r="Q15" s="24">
        <f>VLOOKUP($Q$13,Summary!$B:$AB,MATCH(Note!N15,Summary!$B$2:$AB$2,),)</f>
        <v/>
      </c>
      <c r="R15" s="56">
        <f>P15-Q15</f>
        <v/>
      </c>
      <c r="S15" s="58" t="n"/>
    </row>
    <row r="16">
      <c r="B16" s="70" t="inlineStr">
        <is>
          <t>https://tradingeconomics.com/country-list/manufacturing-pmi</t>
        </is>
      </c>
      <c r="G16" s="71" t="inlineStr">
        <is>
          <t>Database</t>
        </is>
      </c>
      <c r="N16" s="68" t="inlineStr">
        <is>
          <t>US</t>
        </is>
      </c>
      <c r="O16" s="69" t="n"/>
      <c r="P16" s="24">
        <f>VLOOKUP($P$13,Summary!$B:$AB,MATCH(Note!N16,Summary!$B$2:$AB$2,),)</f>
        <v/>
      </c>
      <c r="Q16" s="24">
        <f>VLOOKUP($Q$13,Summary!$B:$AB,MATCH(Note!N16,Summary!$B$2:$AB$2,),)</f>
        <v/>
      </c>
      <c r="R16" s="56">
        <f>P16-Q16</f>
        <v/>
      </c>
      <c r="S16" s="57" t="n">
        <v>0.241</v>
      </c>
    </row>
    <row r="17">
      <c r="B17" s="71" t="n"/>
      <c r="G17" s="71" t="inlineStr">
        <is>
          <t>Update each month for each country</t>
        </is>
      </c>
      <c r="N17" s="68" t="inlineStr">
        <is>
          <t xml:space="preserve">China </t>
        </is>
      </c>
      <c r="O17" s="69" t="n"/>
      <c r="P17" s="24">
        <f>VLOOKUP($P$13,Summary!$B:$AB,MATCH(Note!N17,Summary!$B$2:$AB$2,),)</f>
        <v/>
      </c>
      <c r="Q17" s="24">
        <f>VLOOKUP($Q$13,Summary!$B:$AB,MATCH(Note!N17,Summary!$B$2:$AB$2,),)</f>
        <v/>
      </c>
      <c r="R17" s="56">
        <f>P17-Q17</f>
        <v/>
      </c>
      <c r="S17" s="57" t="n">
        <v>0.152</v>
      </c>
    </row>
    <row r="18">
      <c r="B18" s="71" t="n"/>
      <c r="N18" s="68" t="inlineStr">
        <is>
          <t>Eurozone</t>
        </is>
      </c>
      <c r="O18" s="69" t="n"/>
      <c r="P18" s="24">
        <f>VLOOKUP($P$13,Summary!$B:$AB,MATCH(Note!N18,Summary!$B$2:$AB$2,),)</f>
        <v/>
      </c>
      <c r="Q18" s="24">
        <f>VLOOKUP($Q$13,Summary!$B:$AB,MATCH(Note!N18,Summary!$B$2:$AB$2,),)</f>
        <v/>
      </c>
      <c r="R18" s="56">
        <f>P18-Q18</f>
        <v/>
      </c>
      <c r="S18" s="57" t="n">
        <v>0.156</v>
      </c>
    </row>
    <row r="19">
      <c r="N19" s="68" t="inlineStr">
        <is>
          <t xml:space="preserve">Japan </t>
        </is>
      </c>
      <c r="O19" s="69" t="n"/>
      <c r="P19" s="24">
        <f>VLOOKUP($P$13,Summary!$B:$AB,MATCH(Note!N19,Summary!$B$2:$AB$2,),)</f>
        <v/>
      </c>
      <c r="Q19" s="24">
        <f>VLOOKUP($Q$13,Summary!$B:$AB,MATCH(Note!N19,Summary!$B$2:$AB$2,),)</f>
        <v/>
      </c>
      <c r="R19" s="56">
        <f>P19-Q19</f>
        <v/>
      </c>
      <c r="S19" s="57" t="n">
        <v>0.06</v>
      </c>
    </row>
    <row r="20">
      <c r="B20" s="71" t="n"/>
      <c r="G20" s="71" t="n"/>
      <c r="N20" s="68" t="inlineStr">
        <is>
          <t>Germany</t>
        </is>
      </c>
      <c r="O20" s="69" t="n"/>
      <c r="P20" s="24">
        <f>VLOOKUP($P$13,Summary!$B:$AB,MATCH(Note!N20,Summary!$B$2:$AB$2,),)</f>
        <v/>
      </c>
      <c r="Q20" s="24">
        <f>VLOOKUP($Q$13,Summary!$B:$AB,MATCH(Note!N20,Summary!$B$2:$AB$2,),)</f>
        <v/>
      </c>
      <c r="R20" s="56">
        <f>P20-Q20</f>
        <v/>
      </c>
      <c r="S20" s="57" t="n">
        <v>0.04564243244249699</v>
      </c>
    </row>
    <row r="21">
      <c r="B21" s="71" t="n"/>
      <c r="G21" s="71" t="n"/>
      <c r="N21" s="68" t="inlineStr">
        <is>
          <t>France</t>
        </is>
      </c>
      <c r="O21" s="69" t="n"/>
      <c r="P21" s="24">
        <f>VLOOKUP($P$13,Summary!$B:$AB,MATCH(Note!N21,Summary!$B$2:$AB$2,),)</f>
        <v/>
      </c>
      <c r="Q21" s="24">
        <f>VLOOKUP($Q$13,Summary!$B:$AB,MATCH(Note!N21,Summary!$B$2:$AB$2,),)</f>
        <v/>
      </c>
      <c r="R21" s="56">
        <f>P21-Q21</f>
        <v/>
      </c>
      <c r="S21" s="57" t="n">
        <v>0.03206266059259443</v>
      </c>
    </row>
    <row r="22">
      <c r="B22" s="71" t="n"/>
      <c r="G22" s="71" t="n"/>
      <c r="N22" s="68" t="inlineStr">
        <is>
          <t>UK</t>
        </is>
      </c>
      <c r="O22" s="69" t="n"/>
      <c r="P22" s="24">
        <f>VLOOKUP($P$13,Summary!$B:$AB,MATCH(Note!N22,Summary!$B$2:$AB$2,),)</f>
        <v/>
      </c>
      <c r="Q22" s="24">
        <f>VLOOKUP($Q$13,Summary!$B:$AB,MATCH(Note!N22,Summary!$B$2:$AB$2,),)</f>
        <v/>
      </c>
      <c r="R22" s="56">
        <f>P22-Q22</f>
        <v/>
      </c>
      <c r="S22" s="57" t="n">
        <v>0.033</v>
      </c>
    </row>
    <row r="23">
      <c r="B23" s="71" t="n"/>
      <c r="N23" s="68" t="inlineStr">
        <is>
          <t xml:space="preserve">Italy </t>
        </is>
      </c>
      <c r="O23" s="69" t="n"/>
      <c r="P23" s="24">
        <f>VLOOKUP($P$13,Summary!$B:$AB,MATCH(Note!N23,Summary!$B$2:$AB$2,),)</f>
        <v/>
      </c>
      <c r="Q23" s="24">
        <f>VLOOKUP($Q$13,Summary!$B:$AB,MATCH(Note!N23,Summary!$B$2:$AB$2,),)</f>
        <v/>
      </c>
      <c r="R23" s="56">
        <f>P23-Q23</f>
        <v/>
      </c>
      <c r="S23" s="57" t="n">
        <v>0.024</v>
      </c>
    </row>
    <row r="24">
      <c r="B24" s="71" t="n"/>
      <c r="N24" s="68" t="inlineStr">
        <is>
          <t>Spain</t>
        </is>
      </c>
      <c r="O24" s="69" t="n"/>
      <c r="P24" s="24">
        <f>VLOOKUP($P$13,Summary!$B:$AB,MATCH(Note!N24,Summary!$B$2:$AB$2,),)</f>
        <v/>
      </c>
      <c r="Q24" s="24">
        <f>VLOOKUP($Q$13,Summary!$B:$AB,MATCH(Note!N24,Summary!$B$2:$AB$2,),)</f>
        <v/>
      </c>
      <c r="R24" s="56">
        <f>P24-Q24</f>
        <v/>
      </c>
      <c r="S24" s="57" t="n">
        <v>0.01627338290239694</v>
      </c>
    </row>
    <row r="25">
      <c r="N25" s="68" t="inlineStr">
        <is>
          <t>Brazil</t>
        </is>
      </c>
      <c r="O25" s="69" t="n"/>
      <c r="P25" s="24">
        <f>VLOOKUP($P$13,Summary!$B:$AB,MATCH(Note!N25,Summary!$B$2:$AB$2,),)</f>
        <v/>
      </c>
      <c r="Q25" s="24">
        <f>VLOOKUP($Q$13,Summary!$B:$AB,MATCH(Note!N25,Summary!$B$2:$AB$2,),)</f>
        <v/>
      </c>
      <c r="R25" s="56">
        <f>P25-Q25</f>
        <v/>
      </c>
      <c r="S25" s="57" t="n">
        <v>0.02552103375082236</v>
      </c>
    </row>
    <row r="26">
      <c r="N26" s="68" t="inlineStr">
        <is>
          <t>Mexico</t>
        </is>
      </c>
      <c r="O26" s="69" t="n"/>
      <c r="P26" s="24">
        <f>VLOOKUP($P$13,Summary!$B:$AB,MATCH(Note!N26,Summary!$B$2:$AB$2,),)</f>
        <v/>
      </c>
      <c r="Q26" s="24">
        <f>VLOOKUP($Q$13,Summary!$B:$AB,MATCH(Note!N26,Summary!$B$2:$AB$2,),)</f>
        <v/>
      </c>
      <c r="R26" s="56">
        <f>P26-Q26</f>
        <v/>
      </c>
      <c r="S26" s="57" t="n">
        <v>0.0142873102369633</v>
      </c>
    </row>
    <row r="27">
      <c r="N27" s="68" t="inlineStr">
        <is>
          <t>Russia</t>
        </is>
      </c>
      <c r="O27" s="69" t="n"/>
      <c r="P27" s="24">
        <f>VLOOKUP($P$13,Summary!$B:$AB,MATCH(Note!N27,Summary!$B$2:$AB$2,),)</f>
        <v/>
      </c>
      <c r="Q27" s="24">
        <f>VLOOKUP($Q$13,Summary!$B:$AB,MATCH(Note!N27,Summary!$B$2:$AB$2,),)</f>
        <v/>
      </c>
      <c r="R27" s="56">
        <f>P27-Q27</f>
        <v/>
      </c>
      <c r="S27" s="57" t="n">
        <v>0.01958764166283934</v>
      </c>
    </row>
    <row r="28">
      <c r="N28" s="68" t="inlineStr">
        <is>
          <t>India</t>
        </is>
      </c>
      <c r="O28" s="69" t="n"/>
      <c r="P28" s="24">
        <f>VLOOKUP($P$13,Summary!$B:$AB,MATCH(Note!N28,Summary!$B$2:$AB$2,),)</f>
        <v/>
      </c>
      <c r="Q28" s="24">
        <f>VLOOKUP($Q$13,Summary!$B:$AB,MATCH(Note!N28,Summary!$B$2:$AB$2,),)</f>
        <v/>
      </c>
      <c r="R28" s="56">
        <f>P28-Q28</f>
        <v/>
      </c>
      <c r="S28" s="57" t="n">
        <v>0.03228609376745572</v>
      </c>
    </row>
    <row r="29">
      <c r="N29" s="68" t="inlineStr">
        <is>
          <t>Canada</t>
        </is>
      </c>
      <c r="O29" s="69" t="n"/>
      <c r="P29" s="24">
        <f>VLOOKUP($P$13,Summary!$B:$AB,MATCH(Note!N29,Summary!$B$2:$AB$2,),)</f>
        <v/>
      </c>
      <c r="Q29" s="24">
        <f>VLOOKUP($Q$13,Summary!$B:$AB,MATCH(Note!N29,Summary!$B$2:$AB$2,),)</f>
        <v/>
      </c>
      <c r="R29" s="56">
        <f>P29-Q29</f>
        <v/>
      </c>
      <c r="S29" s="57" t="n">
        <v>0.02051861322476136</v>
      </c>
    </row>
    <row r="30">
      <c r="N30" s="68" t="inlineStr">
        <is>
          <t>Australia</t>
        </is>
      </c>
      <c r="O30" s="69" t="n"/>
      <c r="P30" s="24">
        <f>VLOOKUP($P$13,Summary!$B:$AB,MATCH(Note!N30,Summary!$B$2:$AB$2,),)</f>
        <v/>
      </c>
      <c r="Q30" s="24">
        <f>VLOOKUP($Q$13,Summary!$B:$AB,MATCH(Note!N30,Summary!$B$2:$AB$2,),)</f>
        <v/>
      </c>
      <c r="R30" s="56">
        <f>P30-Q30</f>
        <v/>
      </c>
      <c r="S30" s="57" t="n">
        <v>0.01642233835230446</v>
      </c>
    </row>
    <row r="31">
      <c r="N31" s="68" t="inlineStr">
        <is>
          <t>Indonesia</t>
        </is>
      </c>
      <c r="O31" s="69" t="n"/>
      <c r="P31" s="24">
        <f>VLOOKUP($P$13,Summary!$B:$AB,MATCH(Note!N31,Summary!$B$2:$AB$2,),)</f>
        <v/>
      </c>
      <c r="Q31" s="24">
        <f>VLOOKUP($Q$13,Summary!$B:$AB,MATCH(Note!N31,Summary!$B$2:$AB$2,),)</f>
        <v/>
      </c>
      <c r="R31" s="56">
        <f>P31-Q31</f>
        <v/>
      </c>
      <c r="S31" s="57" t="n">
        <v>0.01261156142550366</v>
      </c>
    </row>
    <row r="32">
      <c r="N32" s="68" t="inlineStr">
        <is>
          <t xml:space="preserve">S Korea </t>
        </is>
      </c>
      <c r="O32" s="69" t="n"/>
      <c r="P32" s="24">
        <f>VLOOKUP($P$13,Summary!$B:$AB,MATCH(Note!N32,Summary!$B$2:$AB$2,),)</f>
        <v/>
      </c>
      <c r="Q32" s="24">
        <f>VLOOKUP($Q$13,Summary!$B:$AB,MATCH(Note!N32,Summary!$B$2:$AB$2,),)</f>
        <v/>
      </c>
      <c r="R32" s="56">
        <f>P32-Q32</f>
        <v/>
      </c>
      <c r="S32" s="57" t="n">
        <v>0.019</v>
      </c>
    </row>
    <row r="33">
      <c r="N33" s="68" t="inlineStr">
        <is>
          <t>Taiwan</t>
        </is>
      </c>
      <c r="O33" s="69" t="n"/>
      <c r="P33" s="24">
        <f>VLOOKUP($P$13,Summary!$B:$AB,MATCH(Note!N33,Summary!$B$2:$AB$2,),)</f>
        <v/>
      </c>
      <c r="Q33" s="24">
        <f>VLOOKUP($Q$13,Summary!$B:$AB,MATCH(Note!N33,Summary!$B$2:$AB$2,),)</f>
        <v/>
      </c>
      <c r="R33" s="56">
        <f>P33-Q33</f>
        <v/>
      </c>
      <c r="S33" s="57" t="n">
        <v>0.007112622733084247</v>
      </c>
    </row>
    <row r="34">
      <c r="N34" s="68" t="inlineStr">
        <is>
          <t>Greece</t>
        </is>
      </c>
      <c r="O34" s="69" t="n"/>
      <c r="P34" s="24">
        <f>VLOOKUP($P$13,Summary!$B:$AB,MATCH(Note!N34,Summary!$B$2:$AB$2,),)</f>
        <v/>
      </c>
      <c r="Q34" s="24">
        <f>VLOOKUP($Q$13,Summary!$B:$AB,MATCH(Note!N34,Summary!$B$2:$AB$2,),)</f>
        <v/>
      </c>
      <c r="R34" s="56">
        <f>P34-Q34</f>
        <v/>
      </c>
      <c r="S34" s="57" t="n">
        <v>0.002482590831792058</v>
      </c>
    </row>
    <row r="35">
      <c r="N35" s="68" t="inlineStr">
        <is>
          <t>Ireland</t>
        </is>
      </c>
      <c r="O35" s="69" t="n"/>
      <c r="P35" s="24">
        <f>VLOOKUP($P$13,Summary!$B:$AB,MATCH(Note!N35,Summary!$B$2:$AB$2,),)</f>
        <v/>
      </c>
      <c r="Q35" s="24">
        <f>VLOOKUP($Q$13,Summary!$B:$AB,MATCH(Note!N35,Summary!$B$2:$AB$2,),)</f>
        <v/>
      </c>
      <c r="R35" s="56">
        <f>P35-Q35</f>
        <v/>
      </c>
      <c r="S35" s="57" t="n">
        <v>0.004145926689092737</v>
      </c>
    </row>
    <row r="36">
      <c r="N36" s="68" t="inlineStr">
        <is>
          <t>Turkey</t>
        </is>
      </c>
      <c r="O36" s="69" t="n"/>
      <c r="P36" s="24">
        <f>VLOOKUP($P$13,Summary!$B:$AB,MATCH(Note!N36,Summary!$B$2:$AB$2,),)</f>
        <v/>
      </c>
      <c r="Q36" s="24">
        <f>VLOOKUP($Q$13,Summary!$B:$AB,MATCH(Note!N36,Summary!$B$2:$AB$2,),)</f>
        <v/>
      </c>
      <c r="R36" s="56">
        <f>P36-Q36</f>
        <v/>
      </c>
      <c r="S36" s="57" t="n">
        <v>0.01056342398927521</v>
      </c>
    </row>
    <row r="37">
      <c r="N37" s="68" t="inlineStr">
        <is>
          <t xml:space="preserve">Czech </t>
        </is>
      </c>
      <c r="O37" s="69" t="n"/>
      <c r="P37" s="24">
        <f>VLOOKUP($P$13,Summary!$B:$AB,MATCH(Note!N37,Summary!$B$2:$AB$2,),)</f>
        <v/>
      </c>
      <c r="Q37" s="24">
        <f>VLOOKUP($Q$13,Summary!$B:$AB,MATCH(Note!N37,Summary!$B$2:$AB$2,),)</f>
        <v/>
      </c>
      <c r="R37" s="56">
        <f>P37-Q37</f>
        <v/>
      </c>
      <c r="S37" s="57" t="n">
        <v>0.003</v>
      </c>
    </row>
    <row r="38">
      <c r="N38" s="68" t="inlineStr">
        <is>
          <t>Poland</t>
        </is>
      </c>
      <c r="O38" s="69" t="n"/>
      <c r="P38" s="24">
        <f>VLOOKUP($P$13,Summary!$B:$AB,MATCH(Note!N38,Summary!$B$2:$AB$2,),)</f>
        <v/>
      </c>
      <c r="Q38" s="24">
        <f>VLOOKUP($Q$13,Summary!$B:$AB,MATCH(Note!N38,Summary!$B$2:$AB$2,),)</f>
        <v/>
      </c>
      <c r="R38" s="56">
        <f>P38-Q38</f>
        <v/>
      </c>
      <c r="S38" s="57" t="n">
        <v>0.006516800933454153</v>
      </c>
    </row>
    <row r="39">
      <c r="N39" s="68" t="inlineStr">
        <is>
          <t>Denmark</t>
        </is>
      </c>
      <c r="O39" s="69" t="n"/>
      <c r="P39" s="24">
        <f>VLOOKUP($P$13,Summary!$B:$AB,MATCH(Note!N39,Summary!$B$2:$AB$2,),)</f>
        <v/>
      </c>
      <c r="Q39" s="24">
        <f>VLOOKUP($Q$13,Summary!$B:$AB,MATCH(Note!N39,Summary!$B$2:$AB$2,),)</f>
        <v/>
      </c>
      <c r="R39" s="56">
        <f>P39-Q39</f>
        <v/>
      </c>
      <c r="S39" s="57" t="n">
        <v>0.004034210101662094</v>
      </c>
    </row>
    <row r="41" ht="30" customHeight="1" s="61"/>
    <row r="44">
      <c r="B44" s="80" t="n"/>
    </row>
    <row r="45">
      <c r="B45" s="70" t="n"/>
    </row>
    <row r="46">
      <c r="B46" s="81"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7"/>
  <sheetViews>
    <sheetView zoomScale="160" zoomScaleNormal="160" workbookViewId="0">
      <pane ySplit="1" topLeftCell="A316" activePane="bottomLeft" state="frozen"/>
      <selection pane="bottomLeft" activeCell="X324" sqref="X324"/>
    </sheetView>
  </sheetViews>
  <sheetFormatPr baseColWidth="10" defaultRowHeight="15"/>
  <cols>
    <col width="10.83203125" customWidth="1" style="61" min="1" max="32"/>
    <col width="10.83203125" customWidth="1" style="61" min="33"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3" t="n">
        <v>34335</v>
      </c>
      <c r="I2" t="n">
        <v>62.8</v>
      </c>
    </row>
    <row r="3">
      <c r="A3" s="83" t="n">
        <v>34366</v>
      </c>
      <c r="I3" t="n">
        <v>67.53</v>
      </c>
    </row>
    <row r="4">
      <c r="A4" s="83" t="n">
        <v>34394</v>
      </c>
      <c r="I4" t="n">
        <v>61.89</v>
      </c>
    </row>
    <row r="5">
      <c r="A5" s="83" t="n">
        <v>34425</v>
      </c>
      <c r="I5" t="n">
        <v>60.57</v>
      </c>
    </row>
    <row r="6">
      <c r="A6" s="83" t="n">
        <v>34455</v>
      </c>
      <c r="I6" t="n">
        <v>63.1</v>
      </c>
    </row>
    <row r="7">
      <c r="A7" s="83" t="n">
        <v>34486</v>
      </c>
      <c r="I7" t="n">
        <v>62.94</v>
      </c>
    </row>
    <row r="8">
      <c r="A8" s="83" t="n">
        <v>34516</v>
      </c>
      <c r="I8" t="n">
        <v>63.1</v>
      </c>
    </row>
    <row r="9">
      <c r="A9" s="83" t="n">
        <v>34547</v>
      </c>
      <c r="I9" t="n">
        <v>59.49</v>
      </c>
    </row>
    <row r="10">
      <c r="A10" s="83" t="n">
        <v>34578</v>
      </c>
      <c r="I10" t="n">
        <v>59.36</v>
      </c>
    </row>
    <row r="11">
      <c r="A11" s="83" t="n">
        <v>34608</v>
      </c>
      <c r="I11" t="n">
        <v>61.33</v>
      </c>
    </row>
    <row r="12">
      <c r="A12" s="83" t="n">
        <v>34639</v>
      </c>
      <c r="I12" t="n">
        <v>60.53</v>
      </c>
    </row>
    <row r="13">
      <c r="A13" s="83" t="n">
        <v>34669</v>
      </c>
      <c r="I13" t="n">
        <v>62.29</v>
      </c>
    </row>
    <row r="14">
      <c r="A14" s="83" t="n">
        <v>34700</v>
      </c>
      <c r="I14" t="n">
        <v>62.95</v>
      </c>
    </row>
    <row r="15">
      <c r="A15" s="83" t="n">
        <v>34731</v>
      </c>
      <c r="I15" t="n">
        <v>63.78</v>
      </c>
    </row>
    <row r="16">
      <c r="A16" s="83" t="n">
        <v>34759</v>
      </c>
      <c r="I16" t="n">
        <v>61.91</v>
      </c>
    </row>
    <row r="17">
      <c r="A17" s="83" t="n">
        <v>34790</v>
      </c>
      <c r="I17" t="n">
        <v>59.68</v>
      </c>
    </row>
    <row r="18">
      <c r="A18" s="83" t="n">
        <v>34820</v>
      </c>
      <c r="I18" t="n">
        <v>58.91</v>
      </c>
    </row>
    <row r="19">
      <c r="A19" s="83" t="n">
        <v>34851</v>
      </c>
      <c r="I19" t="n">
        <v>58.16</v>
      </c>
    </row>
    <row r="20">
      <c r="A20" s="83" t="n">
        <v>34881</v>
      </c>
      <c r="I20" t="n">
        <v>65.40000000000001</v>
      </c>
    </row>
    <row r="21">
      <c r="A21" s="83" t="n">
        <v>34912</v>
      </c>
      <c r="I21" t="n">
        <v>56.52</v>
      </c>
    </row>
    <row r="22">
      <c r="A22" s="83" t="n">
        <v>34943</v>
      </c>
      <c r="I22" t="n">
        <v>55.66</v>
      </c>
    </row>
    <row r="23">
      <c r="A23" s="83" t="n">
        <v>34973</v>
      </c>
      <c r="I23" t="n">
        <v>53.13</v>
      </c>
    </row>
    <row r="24">
      <c r="A24" s="83" t="n">
        <v>35004</v>
      </c>
      <c r="I24" t="n">
        <v>55.08</v>
      </c>
    </row>
    <row r="25">
      <c r="A25" s="83" t="n">
        <v>35034</v>
      </c>
      <c r="I25" t="n">
        <v>54.03</v>
      </c>
    </row>
    <row r="26">
      <c r="A26" s="83" t="n">
        <v>35065</v>
      </c>
      <c r="I26" t="n">
        <v>50.16</v>
      </c>
    </row>
    <row r="27">
      <c r="A27" s="83" t="n">
        <v>35096</v>
      </c>
      <c r="I27" t="n">
        <v>46.38</v>
      </c>
    </row>
    <row r="28">
      <c r="A28" s="83" t="n">
        <v>35125</v>
      </c>
      <c r="I28" t="n">
        <v>52.65</v>
      </c>
    </row>
    <row r="29">
      <c r="A29" s="83" t="n">
        <v>35156</v>
      </c>
      <c r="I29" t="n">
        <v>54.64</v>
      </c>
    </row>
    <row r="30">
      <c r="A30" s="83" t="n">
        <v>35186</v>
      </c>
      <c r="I30" t="n">
        <v>48.99</v>
      </c>
    </row>
    <row r="31">
      <c r="A31" s="83" t="n">
        <v>35217</v>
      </c>
      <c r="I31" t="n">
        <v>50.64</v>
      </c>
    </row>
    <row r="32">
      <c r="A32" s="83" t="n">
        <v>35247</v>
      </c>
      <c r="I32" t="n">
        <v>54.72</v>
      </c>
    </row>
    <row r="33">
      <c r="A33" s="83" t="n">
        <v>35278</v>
      </c>
      <c r="I33" t="n">
        <v>56.46</v>
      </c>
    </row>
    <row r="34">
      <c r="A34" s="83" t="n">
        <v>35309</v>
      </c>
      <c r="I34" t="n">
        <v>59.28</v>
      </c>
    </row>
    <row r="35">
      <c r="A35" s="83" t="n">
        <v>35339</v>
      </c>
      <c r="I35" t="n">
        <v>57.49</v>
      </c>
    </row>
    <row r="36">
      <c r="A36" s="83" t="n">
        <v>35370</v>
      </c>
      <c r="I36" t="n">
        <v>61.57</v>
      </c>
    </row>
    <row r="37">
      <c r="A37" s="83" t="n">
        <v>35400</v>
      </c>
      <c r="I37" t="n">
        <v>60.71</v>
      </c>
    </row>
    <row r="38">
      <c r="A38" s="83" t="n">
        <v>35431</v>
      </c>
      <c r="I38" t="n">
        <v>62.72</v>
      </c>
    </row>
    <row r="39">
      <c r="A39" s="83" t="n">
        <v>35462</v>
      </c>
      <c r="I39" t="n">
        <v>57.65</v>
      </c>
    </row>
    <row r="40">
      <c r="A40" s="83" t="n">
        <v>35490</v>
      </c>
      <c r="I40" t="n">
        <v>60.39</v>
      </c>
    </row>
    <row r="41">
      <c r="A41" s="83" t="n">
        <v>35521</v>
      </c>
      <c r="I41" t="n">
        <v>60.87</v>
      </c>
    </row>
    <row r="42">
      <c r="A42" s="83" t="n">
        <v>35551</v>
      </c>
      <c r="I42" t="n">
        <v>64.19</v>
      </c>
    </row>
    <row r="43">
      <c r="A43" s="83" t="n">
        <v>35582</v>
      </c>
      <c r="I43" t="n">
        <v>63.39</v>
      </c>
    </row>
    <row r="44">
      <c r="A44" s="83" t="n">
        <v>35612</v>
      </c>
      <c r="I44" t="n">
        <v>54.92</v>
      </c>
    </row>
    <row r="45">
      <c r="A45" s="83" t="n">
        <v>35643</v>
      </c>
      <c r="I45" t="n">
        <v>61.25</v>
      </c>
    </row>
    <row r="46">
      <c r="A46" s="83" t="n">
        <v>35674</v>
      </c>
      <c r="I46" t="n">
        <v>61.84</v>
      </c>
    </row>
    <row r="47">
      <c r="A47" s="83" t="n">
        <v>35704</v>
      </c>
      <c r="I47" t="n">
        <v>58.84</v>
      </c>
    </row>
    <row r="48">
      <c r="A48" s="83" t="n">
        <v>35735</v>
      </c>
      <c r="I48" t="n">
        <v>56.3</v>
      </c>
    </row>
    <row r="49">
      <c r="A49" s="83" t="n">
        <v>35765</v>
      </c>
      <c r="I49" t="n">
        <v>56.74</v>
      </c>
    </row>
    <row r="50">
      <c r="A50" s="83" t="n">
        <v>35796</v>
      </c>
      <c r="I50" t="n">
        <v>55.77</v>
      </c>
    </row>
    <row r="51">
      <c r="A51" s="83" t="n">
        <v>35827</v>
      </c>
      <c r="I51" t="n">
        <v>55.65</v>
      </c>
    </row>
    <row r="52">
      <c r="A52" s="83" t="n">
        <v>35855</v>
      </c>
      <c r="I52" t="n">
        <v>58.86</v>
      </c>
    </row>
    <row r="53">
      <c r="A53" s="83" t="n">
        <v>35886</v>
      </c>
      <c r="I53" t="n">
        <v>58.81</v>
      </c>
    </row>
    <row r="54">
      <c r="A54" s="83" t="n">
        <v>35916</v>
      </c>
      <c r="I54" t="n">
        <v>60.33</v>
      </c>
    </row>
    <row r="55">
      <c r="A55" s="83" t="n">
        <v>35947</v>
      </c>
      <c r="I55" t="n">
        <v>57.46</v>
      </c>
    </row>
    <row r="56">
      <c r="A56" s="83" t="n">
        <v>35977</v>
      </c>
      <c r="I56" t="n">
        <v>50.71</v>
      </c>
    </row>
    <row r="57">
      <c r="A57" s="83" t="n">
        <v>36008</v>
      </c>
      <c r="I57" t="n">
        <v>62.84</v>
      </c>
    </row>
    <row r="58">
      <c r="A58" s="83" t="n">
        <v>36039</v>
      </c>
      <c r="I58" t="n">
        <v>51.54</v>
      </c>
    </row>
    <row r="59">
      <c r="A59" s="83" t="n">
        <v>36069</v>
      </c>
      <c r="I59" t="n">
        <v>54.96</v>
      </c>
    </row>
    <row r="60">
      <c r="A60" s="83" t="n">
        <v>36100</v>
      </c>
      <c r="I60" t="n">
        <v>48.18</v>
      </c>
    </row>
    <row r="61">
      <c r="A61" s="83" t="n">
        <v>36130</v>
      </c>
      <c r="I61" t="n">
        <v>49.94</v>
      </c>
    </row>
    <row r="62">
      <c r="A62" s="83" t="n">
        <v>36161</v>
      </c>
      <c r="I62" t="n">
        <v>53.69</v>
      </c>
    </row>
    <row r="63">
      <c r="A63" s="83" t="n">
        <v>36192</v>
      </c>
      <c r="I63" t="n">
        <v>55.51</v>
      </c>
    </row>
    <row r="64">
      <c r="A64" s="83" t="n">
        <v>36220</v>
      </c>
      <c r="I64" t="n">
        <v>45.32</v>
      </c>
    </row>
    <row r="65">
      <c r="A65" s="83" t="n">
        <v>36251</v>
      </c>
      <c r="I65" t="n">
        <v>50.98</v>
      </c>
    </row>
    <row r="66">
      <c r="A66" s="83" t="n">
        <v>36281</v>
      </c>
      <c r="I66" t="n">
        <v>48.33</v>
      </c>
    </row>
    <row r="67">
      <c r="A67" s="83" t="n">
        <v>36312</v>
      </c>
      <c r="I67" t="n">
        <v>51.51</v>
      </c>
    </row>
    <row r="68">
      <c r="A68" s="83" t="n">
        <v>36342</v>
      </c>
      <c r="I68" t="n">
        <v>53.07</v>
      </c>
    </row>
    <row r="69">
      <c r="A69" s="83" t="n">
        <v>36373</v>
      </c>
      <c r="I69" t="n">
        <v>49.58</v>
      </c>
    </row>
    <row r="70">
      <c r="A70" s="83" t="n">
        <v>36404</v>
      </c>
      <c r="I70" t="n">
        <v>52.05</v>
      </c>
    </row>
    <row r="71">
      <c r="A71" s="83" t="n">
        <v>36434</v>
      </c>
      <c r="I71" t="n">
        <v>69.79000000000001</v>
      </c>
    </row>
    <row r="72">
      <c r="A72" s="83" t="n">
        <v>36465</v>
      </c>
      <c r="I72" t="n">
        <v>64.63</v>
      </c>
    </row>
    <row r="73">
      <c r="A73" s="83" t="n">
        <v>36495</v>
      </c>
      <c r="I73" t="n">
        <v>46.56</v>
      </c>
    </row>
    <row r="74">
      <c r="A74" s="83" t="n">
        <v>36526</v>
      </c>
      <c r="I74" t="n">
        <v>56.5</v>
      </c>
      <c r="AN74" t="n">
        <v>56.66</v>
      </c>
    </row>
    <row r="75">
      <c r="A75" s="83" t="n">
        <v>36557</v>
      </c>
      <c r="I75" t="n">
        <v>60.09</v>
      </c>
      <c r="AN75" t="n">
        <v>57.26</v>
      </c>
    </row>
    <row r="76">
      <c r="A76" s="83" t="n">
        <v>36586</v>
      </c>
      <c r="I76" t="n">
        <v>58.03</v>
      </c>
      <c r="AN76" t="n">
        <v>49.83</v>
      </c>
    </row>
    <row r="77">
      <c r="A77" s="83" t="n">
        <v>36617</v>
      </c>
      <c r="I77" t="n">
        <v>54.9</v>
      </c>
      <c r="AN77" t="n">
        <v>52.72</v>
      </c>
    </row>
    <row r="78">
      <c r="A78" s="83" t="n">
        <v>36647</v>
      </c>
      <c r="I78" t="n">
        <v>55.18</v>
      </c>
      <c r="AN78" t="n">
        <v>50.05</v>
      </c>
    </row>
    <row r="79">
      <c r="A79" s="83" t="n">
        <v>36678</v>
      </c>
      <c r="I79" t="n">
        <v>53.67</v>
      </c>
      <c r="AN79" t="n">
        <v>49.65</v>
      </c>
    </row>
    <row r="80">
      <c r="A80" s="83" t="n">
        <v>36708</v>
      </c>
      <c r="I80" t="n">
        <v>64.06999999999999</v>
      </c>
      <c r="AN80" t="n">
        <v>49.18</v>
      </c>
    </row>
    <row r="81">
      <c r="A81" s="83" t="n">
        <v>36739</v>
      </c>
      <c r="I81" t="n">
        <v>56.81</v>
      </c>
      <c r="AN81" t="n">
        <v>51.48</v>
      </c>
    </row>
    <row r="82">
      <c r="A82" s="83" t="n">
        <v>36770</v>
      </c>
      <c r="I82" t="n">
        <v>56.21</v>
      </c>
      <c r="AN82" t="n">
        <v>53.75</v>
      </c>
    </row>
    <row r="83">
      <c r="A83" s="83" t="n">
        <v>36800</v>
      </c>
      <c r="I83" t="n">
        <v>59.71</v>
      </c>
      <c r="AN83" t="n">
        <v>56.34</v>
      </c>
    </row>
    <row r="84">
      <c r="A84" s="83" t="n">
        <v>36831</v>
      </c>
      <c r="I84" t="n">
        <v>54.29</v>
      </c>
      <c r="AN84" t="n">
        <v>51.73</v>
      </c>
    </row>
    <row r="85">
      <c r="A85" s="83" t="n">
        <v>36861</v>
      </c>
      <c r="I85" t="n">
        <v>55.54</v>
      </c>
      <c r="AN85" t="n">
        <v>50.48</v>
      </c>
    </row>
    <row r="86">
      <c r="A86" s="83" t="n">
        <v>36892</v>
      </c>
      <c r="I86" t="n">
        <v>52.88</v>
      </c>
      <c r="AN86" t="n">
        <v>49.29</v>
      </c>
    </row>
    <row r="87">
      <c r="A87" s="83" t="n">
        <v>36923</v>
      </c>
      <c r="I87" t="n">
        <v>51.59</v>
      </c>
      <c r="AN87" t="n">
        <v>53.48</v>
      </c>
    </row>
    <row r="88">
      <c r="A88" s="83" t="n">
        <v>36951</v>
      </c>
      <c r="I88" t="n">
        <v>52.49</v>
      </c>
      <c r="AN88" t="n">
        <v>53.61</v>
      </c>
    </row>
    <row r="89">
      <c r="A89" s="83" t="n">
        <v>36982</v>
      </c>
      <c r="I89" t="n">
        <v>49.61</v>
      </c>
      <c r="AN89" t="n">
        <v>52.38</v>
      </c>
    </row>
    <row r="90">
      <c r="A90" s="83" t="n">
        <v>37012</v>
      </c>
      <c r="I90" t="n">
        <v>52.89</v>
      </c>
      <c r="AN90" t="n">
        <v>55.01</v>
      </c>
    </row>
    <row r="91">
      <c r="A91" s="83" t="n">
        <v>37043</v>
      </c>
      <c r="I91" t="n">
        <v>53.97</v>
      </c>
      <c r="AN91" t="n">
        <v>56.17</v>
      </c>
    </row>
    <row r="92">
      <c r="A92" s="83" t="n">
        <v>37073</v>
      </c>
      <c r="I92" t="n">
        <v>50.42</v>
      </c>
      <c r="AN92" t="n">
        <v>51.34</v>
      </c>
    </row>
    <row r="93">
      <c r="A93" s="83" t="n">
        <v>37104</v>
      </c>
      <c r="I93" t="n">
        <v>53.21</v>
      </c>
      <c r="AN93" t="n">
        <v>51.22</v>
      </c>
    </row>
    <row r="94">
      <c r="A94" s="83" t="n">
        <v>37135</v>
      </c>
      <c r="I94" t="n">
        <v>47.75</v>
      </c>
      <c r="AN94" t="n">
        <v>48.76</v>
      </c>
    </row>
    <row r="95">
      <c r="A95" s="83" t="n">
        <v>37165</v>
      </c>
      <c r="I95" t="n">
        <v>46.09</v>
      </c>
      <c r="AN95" t="n">
        <v>50.25</v>
      </c>
    </row>
    <row r="96">
      <c r="A96" s="83" t="n">
        <v>37196</v>
      </c>
      <c r="I96" t="n">
        <v>50.81</v>
      </c>
      <c r="AN96" t="n">
        <v>54.35</v>
      </c>
    </row>
    <row r="97">
      <c r="A97" s="83" t="n">
        <v>37226</v>
      </c>
      <c r="I97" t="n">
        <v>46.1</v>
      </c>
      <c r="AN97" t="n">
        <v>55.35</v>
      </c>
    </row>
    <row r="98">
      <c r="A98" s="83" t="n">
        <v>37257</v>
      </c>
      <c r="I98" t="n">
        <v>52.42</v>
      </c>
      <c r="AN98" t="n">
        <v>55.53</v>
      </c>
    </row>
    <row r="99">
      <c r="A99" s="83" t="n">
        <v>37288</v>
      </c>
      <c r="I99" t="n">
        <v>53.28</v>
      </c>
      <c r="AN99" t="n">
        <v>53.87</v>
      </c>
    </row>
    <row r="100">
      <c r="A100" s="83" t="n">
        <v>37316</v>
      </c>
      <c r="I100" t="n">
        <v>53.02</v>
      </c>
      <c r="AN100" t="n">
        <v>53.63</v>
      </c>
    </row>
    <row r="101">
      <c r="A101" s="83" t="n">
        <v>37347</v>
      </c>
      <c r="I101" t="n">
        <v>55.71</v>
      </c>
      <c r="AN101" t="n">
        <v>60.87</v>
      </c>
    </row>
    <row r="102">
      <c r="A102" s="83" t="n">
        <v>37377</v>
      </c>
      <c r="I102" t="n">
        <v>52.26</v>
      </c>
      <c r="AN102" t="n">
        <v>58.74</v>
      </c>
    </row>
    <row r="103">
      <c r="A103" s="83" t="n">
        <v>37408</v>
      </c>
      <c r="I103" t="n">
        <v>53.98</v>
      </c>
      <c r="AN103" t="n">
        <v>56.43</v>
      </c>
    </row>
    <row r="104">
      <c r="A104" s="83" t="n">
        <v>37438</v>
      </c>
      <c r="I104" t="n">
        <v>54.33</v>
      </c>
      <c r="AN104" t="n">
        <v>54.63</v>
      </c>
    </row>
    <row r="105">
      <c r="A105" s="83" t="n">
        <v>37469</v>
      </c>
      <c r="I105" t="n">
        <v>53.11</v>
      </c>
      <c r="AD105" t="n">
        <v>56.907262129678</v>
      </c>
      <c r="AN105" t="n">
        <v>55.58</v>
      </c>
    </row>
    <row r="106">
      <c r="A106" s="83" t="n">
        <v>37500</v>
      </c>
      <c r="I106" t="n">
        <v>52.08</v>
      </c>
      <c r="AD106" t="n">
        <v>58.5589449632434</v>
      </c>
      <c r="AN106" t="n">
        <v>57.74</v>
      </c>
    </row>
    <row r="107">
      <c r="A107" s="83" t="n">
        <v>37530</v>
      </c>
      <c r="I107" t="n">
        <v>47.57</v>
      </c>
      <c r="AD107" t="n">
        <v>57.9466923988663</v>
      </c>
      <c r="AN107" t="n">
        <v>56.38</v>
      </c>
    </row>
    <row r="108">
      <c r="A108" s="83" t="n">
        <v>37561</v>
      </c>
      <c r="I108" t="n">
        <v>47.96</v>
      </c>
      <c r="AD108" t="n">
        <v>57.0457520757297</v>
      </c>
      <c r="AN108" t="n">
        <v>54.54</v>
      </c>
    </row>
    <row r="109">
      <c r="A109" s="83" t="n">
        <v>37591</v>
      </c>
      <c r="I109" t="n">
        <v>48.71</v>
      </c>
      <c r="AD109" t="n">
        <v>57.1628551423891</v>
      </c>
      <c r="AN109" t="n">
        <v>55.28</v>
      </c>
    </row>
    <row r="110">
      <c r="A110" s="83" t="n">
        <v>37622</v>
      </c>
      <c r="I110" t="n">
        <v>46.3</v>
      </c>
      <c r="AD110" t="n">
        <v>56.0373126472842</v>
      </c>
      <c r="AN110" t="n">
        <v>56.84</v>
      </c>
    </row>
    <row r="111">
      <c r="A111" s="83" t="n">
        <v>37653</v>
      </c>
      <c r="I111" t="n">
        <v>46.27</v>
      </c>
      <c r="AD111" t="n">
        <v>54.4537214107044</v>
      </c>
      <c r="AN111" t="n">
        <v>52.39</v>
      </c>
    </row>
    <row r="112">
      <c r="A112" s="83" t="n">
        <v>37681</v>
      </c>
      <c r="I112" t="n">
        <v>49.92</v>
      </c>
      <c r="AD112" t="n">
        <v>52.8036302096001</v>
      </c>
      <c r="AN112" t="n">
        <v>49.15</v>
      </c>
    </row>
    <row r="113">
      <c r="A113" s="83" t="n">
        <v>37712</v>
      </c>
      <c r="I113" t="n">
        <v>52.91</v>
      </c>
      <c r="AD113" t="n">
        <v>53.3207423548318</v>
      </c>
      <c r="AN113" t="n">
        <v>48.99</v>
      </c>
    </row>
    <row r="114">
      <c r="A114" s="83" t="n">
        <v>37742</v>
      </c>
      <c r="I114" t="n">
        <v>50.11</v>
      </c>
      <c r="AD114" t="n">
        <v>51.8564124097293</v>
      </c>
      <c r="AN114" t="n">
        <v>46.13</v>
      </c>
    </row>
    <row r="115">
      <c r="A115" s="83" t="n">
        <v>37773</v>
      </c>
      <c r="I115" t="n">
        <v>47.14</v>
      </c>
      <c r="AD115" t="n">
        <v>53.4376487626112</v>
      </c>
      <c r="AN115" t="n">
        <v>45.22</v>
      </c>
    </row>
    <row r="116">
      <c r="A116" s="83" t="n">
        <v>37803</v>
      </c>
      <c r="I116" t="n">
        <v>49.65</v>
      </c>
      <c r="AD116" t="n">
        <v>53.0699070792162</v>
      </c>
      <c r="AN116" t="n">
        <v>47.89</v>
      </c>
    </row>
    <row r="117">
      <c r="A117" s="83" t="n">
        <v>37834</v>
      </c>
      <c r="I117" t="n">
        <v>49.78</v>
      </c>
      <c r="AD117" t="n">
        <v>50.5682358998851</v>
      </c>
      <c r="AN117" t="n">
        <v>48.44</v>
      </c>
    </row>
    <row r="118">
      <c r="A118" s="83" t="n">
        <v>37865</v>
      </c>
      <c r="I118" t="n">
        <v>59.65</v>
      </c>
      <c r="AD118" t="n">
        <v>57.8430291760094</v>
      </c>
      <c r="AN118" t="n">
        <v>45.46</v>
      </c>
    </row>
    <row r="119">
      <c r="A119" s="83" t="n">
        <v>37895</v>
      </c>
      <c r="I119" t="n">
        <v>54.14</v>
      </c>
      <c r="AD119" t="n">
        <v>60.8664062994677</v>
      </c>
      <c r="AN119" t="n">
        <v>47.73</v>
      </c>
    </row>
    <row r="120">
      <c r="A120" s="83" t="n">
        <v>37926</v>
      </c>
      <c r="I120" t="n">
        <v>57.7</v>
      </c>
      <c r="AD120" t="n">
        <v>56.3868823573509</v>
      </c>
      <c r="AN120" t="n">
        <v>53.1</v>
      </c>
    </row>
    <row r="121">
      <c r="A121" s="83" t="n">
        <v>37956</v>
      </c>
      <c r="I121" t="n">
        <v>60.4</v>
      </c>
      <c r="AD121" t="n">
        <v>54.8457516440857</v>
      </c>
      <c r="AN121" t="n">
        <v>51.55</v>
      </c>
    </row>
    <row r="122">
      <c r="A122" s="83" t="n">
        <v>37987</v>
      </c>
      <c r="I122" t="n">
        <v>46.37</v>
      </c>
      <c r="AD122" t="n">
        <v>55.7939197179694</v>
      </c>
      <c r="AN122" t="n">
        <v>54.61</v>
      </c>
    </row>
    <row r="123">
      <c r="A123" s="83" t="n">
        <v>38018</v>
      </c>
      <c r="I123" t="n">
        <v>56.97</v>
      </c>
      <c r="AD123" t="n">
        <v>56.8004721684877</v>
      </c>
      <c r="AN123" t="n">
        <v>54.29</v>
      </c>
    </row>
    <row r="124">
      <c r="A124" s="83" t="n">
        <v>38047</v>
      </c>
      <c r="I124" t="n">
        <v>58.99</v>
      </c>
      <c r="AD124" t="n">
        <v>59.0129037737941</v>
      </c>
      <c r="AN124" t="n">
        <v>55.84</v>
      </c>
    </row>
    <row r="125">
      <c r="A125" s="83" t="n">
        <v>38078</v>
      </c>
      <c r="I125" t="n">
        <v>59.16</v>
      </c>
      <c r="AD125" t="n">
        <v>58.7416869677263</v>
      </c>
      <c r="AN125" t="n">
        <v>56.95</v>
      </c>
    </row>
    <row r="126">
      <c r="A126" s="83" t="n">
        <v>38108</v>
      </c>
      <c r="I126" t="n">
        <v>61.27</v>
      </c>
      <c r="AD126" t="n">
        <v>56.1940744843941</v>
      </c>
      <c r="AN126" t="n">
        <v>56.6</v>
      </c>
    </row>
    <row r="127">
      <c r="A127" s="83" t="n">
        <v>38139</v>
      </c>
      <c r="I127" t="n">
        <v>51.93</v>
      </c>
      <c r="AD127" t="n">
        <v>62.7727740280589</v>
      </c>
      <c r="AN127" t="n">
        <v>56.83</v>
      </c>
    </row>
    <row r="128">
      <c r="A128" s="83" t="n">
        <v>38169</v>
      </c>
      <c r="I128" t="n">
        <v>56.18</v>
      </c>
      <c r="AD128" t="n">
        <v>58.7710208740845</v>
      </c>
      <c r="AN128" t="n">
        <v>55.54</v>
      </c>
    </row>
    <row r="129">
      <c r="A129" s="83" t="n">
        <v>38200</v>
      </c>
      <c r="I129" t="n">
        <v>62.38</v>
      </c>
      <c r="AD129" t="n">
        <v>57.4270852912371</v>
      </c>
      <c r="AN129" t="n">
        <v>57.5</v>
      </c>
    </row>
    <row r="130">
      <c r="A130" s="83" t="n">
        <v>38231</v>
      </c>
      <c r="I130" t="n">
        <v>57.36</v>
      </c>
      <c r="AD130" t="n">
        <v>55.0493220788692</v>
      </c>
      <c r="AN130" t="n">
        <v>57.5</v>
      </c>
    </row>
    <row r="131">
      <c r="A131" s="83" t="n">
        <v>38261</v>
      </c>
      <c r="I131" t="n">
        <v>56.87</v>
      </c>
      <c r="AD131" t="n">
        <v>52.9171551177009</v>
      </c>
      <c r="AN131" t="n">
        <v>55.37</v>
      </c>
    </row>
    <row r="132">
      <c r="A132" s="83" t="n">
        <v>38292</v>
      </c>
      <c r="I132" t="n">
        <v>54.39</v>
      </c>
      <c r="AD132" t="n">
        <v>57.8669354166724</v>
      </c>
      <c r="AN132" t="n">
        <v>54.08</v>
      </c>
    </row>
    <row r="133">
      <c r="A133" s="83" t="n">
        <v>38322</v>
      </c>
      <c r="I133" t="n">
        <v>57.58</v>
      </c>
      <c r="K133" t="n">
        <v>51.4</v>
      </c>
      <c r="AD133" t="n">
        <v>58.9814226071519</v>
      </c>
      <c r="AN133" t="n">
        <v>54.34</v>
      </c>
      <c r="AX133" t="n">
        <v>53.7</v>
      </c>
    </row>
    <row r="134">
      <c r="A134" s="83" t="n">
        <v>38353</v>
      </c>
      <c r="F134" t="n">
        <v>52.1</v>
      </c>
      <c r="I134" t="n">
        <v>59.37</v>
      </c>
      <c r="K134" t="n">
        <v>51.9</v>
      </c>
      <c r="AD134" t="n">
        <v>57.034440617634</v>
      </c>
      <c r="AN134" t="n">
        <v>51.54</v>
      </c>
      <c r="AX134" t="n">
        <v>51.8</v>
      </c>
    </row>
    <row r="135">
      <c r="A135" s="83" t="n">
        <v>38384</v>
      </c>
      <c r="F135" t="n">
        <v>52.9</v>
      </c>
      <c r="I135" t="n">
        <v>55.3</v>
      </c>
      <c r="K135" t="n">
        <v>51.9</v>
      </c>
      <c r="AD135" t="n">
        <v>56.2559835845108</v>
      </c>
      <c r="AN135" t="n">
        <v>55.55</v>
      </c>
      <c r="AX135" t="n">
        <v>51.8</v>
      </c>
    </row>
    <row r="136">
      <c r="A136" s="83" t="n">
        <v>38412</v>
      </c>
      <c r="F136" t="n">
        <v>55.2</v>
      </c>
      <c r="I136" t="n">
        <v>56.66</v>
      </c>
      <c r="K136" t="n">
        <v>50.4</v>
      </c>
      <c r="AD136" t="n">
        <v>51.639603525794</v>
      </c>
      <c r="AN136" t="n">
        <v>57.65</v>
      </c>
      <c r="AX136" t="n">
        <v>52</v>
      </c>
    </row>
    <row r="137">
      <c r="A137" s="83" t="n">
        <v>38443</v>
      </c>
      <c r="F137" t="n">
        <v>54.4</v>
      </c>
      <c r="I137" t="n">
        <v>52.88</v>
      </c>
      <c r="K137" t="n">
        <v>49.2</v>
      </c>
      <c r="AD137" t="n">
        <v>51.5818588801095</v>
      </c>
      <c r="AN137" t="n">
        <v>54.64</v>
      </c>
      <c r="AX137" t="n">
        <v>49.5</v>
      </c>
    </row>
    <row r="138">
      <c r="A138" s="83" t="n">
        <v>38473</v>
      </c>
      <c r="F138" t="n">
        <v>53.3</v>
      </c>
      <c r="I138" t="n">
        <v>53.51</v>
      </c>
      <c r="K138" t="n">
        <v>48.7</v>
      </c>
      <c r="AD138" t="n">
        <v>51.2975424148141</v>
      </c>
      <c r="AN138" t="n">
        <v>53.75</v>
      </c>
      <c r="AX138" t="n">
        <v>47.3</v>
      </c>
    </row>
    <row r="139">
      <c r="A139" s="83" t="n">
        <v>38504</v>
      </c>
      <c r="F139" t="n">
        <v>51</v>
      </c>
      <c r="I139" t="n">
        <v>58.58</v>
      </c>
      <c r="K139" t="n">
        <v>49.9</v>
      </c>
      <c r="AD139" t="n">
        <v>52.9270116328412</v>
      </c>
      <c r="AN139" t="n">
        <v>57.12</v>
      </c>
      <c r="AX139" t="n">
        <v>49.6</v>
      </c>
    </row>
    <row r="140">
      <c r="A140" s="83" t="n">
        <v>38534</v>
      </c>
      <c r="F140" t="n">
        <v>51.5</v>
      </c>
      <c r="I140" t="n">
        <v>56.43</v>
      </c>
      <c r="K140" t="n">
        <v>50.8</v>
      </c>
      <c r="AD140" t="n">
        <v>49.2378624062758</v>
      </c>
      <c r="AN140" t="n">
        <v>57.43</v>
      </c>
      <c r="AX140" t="n">
        <v>49.2</v>
      </c>
    </row>
    <row r="141">
      <c r="A141" s="83" t="n">
        <v>38565</v>
      </c>
      <c r="F141" t="n">
        <v>50.6</v>
      </c>
      <c r="I141" t="n">
        <v>56.34</v>
      </c>
      <c r="K141" t="n">
        <v>50.4</v>
      </c>
      <c r="AD141" t="n">
        <v>51.8116698565872</v>
      </c>
      <c r="AN141" t="n">
        <v>55.2</v>
      </c>
      <c r="AX141" t="n">
        <v>50.1</v>
      </c>
    </row>
    <row r="142">
      <c r="A142" s="83" t="n">
        <v>38596</v>
      </c>
      <c r="F142" t="n">
        <v>50.9</v>
      </c>
      <c r="I142" t="n">
        <v>61.16</v>
      </c>
      <c r="K142" t="n">
        <v>51.7</v>
      </c>
      <c r="AD142" t="n">
        <v>50.5719307328397</v>
      </c>
      <c r="AN142" t="n">
        <v>54.96</v>
      </c>
      <c r="AX142" t="n">
        <v>51.5</v>
      </c>
    </row>
    <row r="143">
      <c r="A143" s="83" t="n">
        <v>38626</v>
      </c>
      <c r="F143" t="n">
        <v>50.1</v>
      </c>
      <c r="I143" t="n">
        <v>68.93000000000001</v>
      </c>
      <c r="K143" t="n">
        <v>52.7</v>
      </c>
      <c r="AD143" t="n">
        <v>45.8954807328845</v>
      </c>
      <c r="AN143" t="n">
        <v>52.77</v>
      </c>
      <c r="AX143" t="n">
        <v>51.7</v>
      </c>
    </row>
    <row r="144">
      <c r="A144" s="83" t="n">
        <v>38657</v>
      </c>
      <c r="F144" t="n">
        <v>49.8</v>
      </c>
      <c r="I144" t="n">
        <v>57.53</v>
      </c>
      <c r="K144" t="n">
        <v>52.8</v>
      </c>
      <c r="AD144" t="n">
        <v>44.2705995249608</v>
      </c>
      <c r="AN144" t="n">
        <v>52.02</v>
      </c>
      <c r="AX144" t="n">
        <v>51</v>
      </c>
    </row>
    <row r="145">
      <c r="A145" s="83" t="n">
        <v>38687</v>
      </c>
      <c r="F145" t="n">
        <v>50.1</v>
      </c>
      <c r="I145" t="n">
        <v>59.8</v>
      </c>
      <c r="K145" t="n">
        <v>53.6</v>
      </c>
      <c r="AD145" t="n">
        <v>48.4790254674981</v>
      </c>
      <c r="AN145" t="n">
        <v>53.31</v>
      </c>
      <c r="AX145" t="n">
        <v>51.1</v>
      </c>
    </row>
    <row r="146">
      <c r="A146" s="83" t="n">
        <v>38718</v>
      </c>
      <c r="F146" t="n">
        <v>50.2</v>
      </c>
      <c r="I146" t="n">
        <v>58.97</v>
      </c>
      <c r="K146" t="n">
        <v>53.5</v>
      </c>
      <c r="AD146" t="n">
        <v>48.5853450687797</v>
      </c>
      <c r="AN146" t="n">
        <v>49.78</v>
      </c>
      <c r="AX146" t="n">
        <v>51.7</v>
      </c>
    </row>
    <row r="147">
      <c r="A147" s="83" t="n">
        <v>38749</v>
      </c>
      <c r="F147" t="n">
        <v>50.7</v>
      </c>
      <c r="I147" t="n">
        <v>60.32</v>
      </c>
      <c r="K147" t="n">
        <v>54.5</v>
      </c>
      <c r="AD147" t="n">
        <v>52.1905524192794</v>
      </c>
      <c r="AN147" t="n">
        <v>50.11</v>
      </c>
      <c r="AX147" t="n">
        <v>51.7</v>
      </c>
    </row>
    <row r="148">
      <c r="A148" s="83" t="n">
        <v>38777</v>
      </c>
      <c r="F148" t="n">
        <v>51</v>
      </c>
      <c r="I148" t="n">
        <v>52.93</v>
      </c>
      <c r="K148" t="n">
        <v>56.1</v>
      </c>
      <c r="AD148" t="n">
        <v>53.5430588149714</v>
      </c>
      <c r="AN148" t="n">
        <v>52.17</v>
      </c>
      <c r="AX148" t="n">
        <v>50.8</v>
      </c>
    </row>
    <row r="149">
      <c r="A149" s="83" t="n">
        <v>38808</v>
      </c>
      <c r="F149" t="n">
        <v>52.7</v>
      </c>
      <c r="I149" t="n">
        <v>55.97</v>
      </c>
      <c r="K149" t="n">
        <v>56.7</v>
      </c>
      <c r="AD149" t="n">
        <v>52.0142512588664</v>
      </c>
      <c r="AN149" t="n">
        <v>54.63</v>
      </c>
      <c r="AX149" t="n">
        <v>54.1</v>
      </c>
    </row>
    <row r="150">
      <c r="A150" s="83" t="n">
        <v>38838</v>
      </c>
      <c r="F150" t="n">
        <v>52.8</v>
      </c>
      <c r="I150" t="n">
        <v>56.87</v>
      </c>
      <c r="K150" t="n">
        <v>57</v>
      </c>
      <c r="AD150" t="n">
        <v>57.2024324538472</v>
      </c>
      <c r="AN150" t="n">
        <v>57</v>
      </c>
      <c r="AX150" t="n">
        <v>53.2</v>
      </c>
    </row>
    <row r="151">
      <c r="A151" s="83" t="n">
        <v>38869</v>
      </c>
      <c r="F151" t="n">
        <v>52.9</v>
      </c>
      <c r="I151" t="n">
        <v>56.69</v>
      </c>
      <c r="K151" t="n">
        <v>57.7</v>
      </c>
      <c r="AD151" t="n">
        <v>53.8447374020008</v>
      </c>
      <c r="AN151" t="n">
        <v>58.8</v>
      </c>
      <c r="AX151" t="n">
        <v>55.1</v>
      </c>
    </row>
    <row r="152">
      <c r="A152" s="83" t="n">
        <v>38899</v>
      </c>
      <c r="F152" t="n">
        <v>53</v>
      </c>
      <c r="I152" t="n">
        <v>58.32</v>
      </c>
      <c r="K152" t="n">
        <v>57.4</v>
      </c>
      <c r="AD152" t="n">
        <v>53.378118046287</v>
      </c>
      <c r="AN152" t="n">
        <v>60.27</v>
      </c>
      <c r="AX152" t="n">
        <v>53.8</v>
      </c>
    </row>
    <row r="153">
      <c r="A153" s="83" t="n">
        <v>38930</v>
      </c>
      <c r="F153" t="n">
        <v>52.6</v>
      </c>
      <c r="I153" t="n">
        <v>63.49</v>
      </c>
      <c r="K153" t="n">
        <v>56.5</v>
      </c>
      <c r="AD153" t="n">
        <v>52.4970992830634</v>
      </c>
      <c r="AN153" t="n">
        <v>58.68</v>
      </c>
      <c r="AX153" t="n">
        <v>53.1</v>
      </c>
    </row>
    <row r="154">
      <c r="A154" s="83" t="n">
        <v>38961</v>
      </c>
      <c r="F154" t="n">
        <v>52.4</v>
      </c>
      <c r="I154" t="n">
        <v>62.87</v>
      </c>
      <c r="K154" t="n">
        <v>56.6</v>
      </c>
      <c r="AD154" t="n">
        <v>51.2626591513288</v>
      </c>
      <c r="AN154" t="n">
        <v>56.6</v>
      </c>
      <c r="AX154" t="n">
        <v>54.4</v>
      </c>
    </row>
    <row r="155">
      <c r="A155" s="83" t="n">
        <v>38991</v>
      </c>
      <c r="F155" t="n">
        <v>52.1</v>
      </c>
      <c r="I155" t="n">
        <v>62.65</v>
      </c>
      <c r="K155" t="n">
        <v>57</v>
      </c>
      <c r="AD155" t="n">
        <v>56.5320799903232</v>
      </c>
      <c r="AN155" t="n">
        <v>56.73</v>
      </c>
      <c r="AX155" t="n">
        <v>53.7</v>
      </c>
    </row>
    <row r="156">
      <c r="A156" s="83" t="n">
        <v>39022</v>
      </c>
      <c r="F156" t="n">
        <v>53</v>
      </c>
      <c r="I156" t="n">
        <v>66.77</v>
      </c>
      <c r="K156" t="n">
        <v>56.6</v>
      </c>
      <c r="AD156" t="n">
        <v>54.8195852581759</v>
      </c>
      <c r="AN156" t="n">
        <v>56.34</v>
      </c>
      <c r="AX156" t="n">
        <v>53.6</v>
      </c>
    </row>
    <row r="157">
      <c r="A157" s="83" t="n">
        <v>39052</v>
      </c>
      <c r="F157" t="n">
        <v>52.4</v>
      </c>
      <c r="I157" t="n">
        <v>62.5</v>
      </c>
      <c r="K157" t="n">
        <v>56.5</v>
      </c>
      <c r="U157" t="n">
        <v>55</v>
      </c>
      <c r="AD157" t="n">
        <v>54.2386669238499</v>
      </c>
      <c r="AN157" t="n">
        <v>55.49</v>
      </c>
      <c r="AP157" t="n">
        <v>57.2</v>
      </c>
      <c r="AX157" t="n">
        <v>51.9</v>
      </c>
    </row>
    <row r="158">
      <c r="A158" s="83" t="n">
        <v>39083</v>
      </c>
      <c r="F158" t="n">
        <v>52</v>
      </c>
      <c r="I158" t="n">
        <v>55.72</v>
      </c>
      <c r="K158" t="n">
        <v>55.5</v>
      </c>
      <c r="U158" t="n">
        <v>53.5</v>
      </c>
      <c r="AD158" t="n">
        <v>56.0360313510977</v>
      </c>
      <c r="AN158" t="n">
        <v>57.79</v>
      </c>
      <c r="AP158" t="n">
        <v>56.2</v>
      </c>
      <c r="AX158" t="n">
        <v>52.8</v>
      </c>
    </row>
    <row r="159">
      <c r="A159" s="83" t="n">
        <v>39114</v>
      </c>
      <c r="F159" t="n">
        <v>53</v>
      </c>
      <c r="I159" t="n">
        <v>60.51</v>
      </c>
      <c r="K159" t="n">
        <v>55.6</v>
      </c>
      <c r="U159" t="n">
        <v>54.2</v>
      </c>
      <c r="AD159" t="n">
        <v>54.7427757055842</v>
      </c>
      <c r="AN159" t="n">
        <v>60.18</v>
      </c>
      <c r="AP159" t="n">
        <v>56.2</v>
      </c>
      <c r="AX159" t="n">
        <v>55.4</v>
      </c>
    </row>
    <row r="160">
      <c r="A160" s="83" t="n">
        <v>39142</v>
      </c>
      <c r="F160" t="n">
        <v>52.3</v>
      </c>
      <c r="I160" t="n">
        <v>65.52</v>
      </c>
      <c r="K160" t="n">
        <v>55.4</v>
      </c>
      <c r="U160" t="n">
        <v>53.8</v>
      </c>
      <c r="AD160" t="n">
        <v>57.5702506990957</v>
      </c>
      <c r="AN160" t="n">
        <v>60.35</v>
      </c>
      <c r="AP160" t="n">
        <v>55.4</v>
      </c>
      <c r="AX160" t="n">
        <v>54.4</v>
      </c>
    </row>
    <row r="161">
      <c r="A161" s="83" t="n">
        <v>39173</v>
      </c>
      <c r="F161" t="n">
        <v>53.3</v>
      </c>
      <c r="I161" t="n">
        <v>63.43</v>
      </c>
      <c r="K161" t="n">
        <v>55.4</v>
      </c>
      <c r="U161" t="n">
        <v>53.9</v>
      </c>
      <c r="AD161" t="n">
        <v>53.2606163112084</v>
      </c>
      <c r="AN161" t="n">
        <v>57.89</v>
      </c>
      <c r="AP161" t="n">
        <v>56</v>
      </c>
      <c r="AX161" t="n">
        <v>53.9</v>
      </c>
    </row>
    <row r="162">
      <c r="A162" s="83" t="n">
        <v>39203</v>
      </c>
      <c r="F162" t="n">
        <v>54.1</v>
      </c>
      <c r="I162" t="n">
        <v>62.81</v>
      </c>
      <c r="K162" t="n">
        <v>55</v>
      </c>
      <c r="U162" t="n">
        <v>55</v>
      </c>
      <c r="AD162" t="n">
        <v>55.407160874264</v>
      </c>
      <c r="AN162" t="n">
        <v>56.91</v>
      </c>
      <c r="AP162" t="n">
        <v>53.3</v>
      </c>
      <c r="AX162" t="n">
        <v>54.9</v>
      </c>
    </row>
    <row r="163">
      <c r="A163" s="83" t="n">
        <v>39234</v>
      </c>
      <c r="F163" t="n">
        <v>55</v>
      </c>
      <c r="I163" t="n">
        <v>59.06</v>
      </c>
      <c r="K163" t="n">
        <v>55.6</v>
      </c>
      <c r="U163" t="n">
        <v>54</v>
      </c>
      <c r="AD163" t="n">
        <v>51.416409801705</v>
      </c>
      <c r="AN163" t="n">
        <v>56.33</v>
      </c>
      <c r="AP163" t="n">
        <v>55.1</v>
      </c>
      <c r="AX163" t="n">
        <v>54.3</v>
      </c>
    </row>
    <row r="164">
      <c r="A164" s="83" t="n">
        <v>39264</v>
      </c>
      <c r="F164" t="n">
        <v>53.2</v>
      </c>
      <c r="I164" t="n">
        <v>63.94</v>
      </c>
      <c r="K164" t="n">
        <v>54.9</v>
      </c>
      <c r="U164" t="n">
        <v>53.3</v>
      </c>
      <c r="AD164" t="n">
        <v>54.021529677242</v>
      </c>
      <c r="AN164" t="n">
        <v>57.52</v>
      </c>
      <c r="AP164" t="n">
        <v>53.2</v>
      </c>
      <c r="AX164" t="n">
        <v>55.7</v>
      </c>
    </row>
    <row r="165">
      <c r="A165" s="83" t="n">
        <v>39295</v>
      </c>
      <c r="F165" t="n">
        <v>53.4</v>
      </c>
      <c r="I165" t="n">
        <v>55.08</v>
      </c>
      <c r="K165" t="n">
        <v>54.3</v>
      </c>
      <c r="U165" t="n">
        <v>53.6</v>
      </c>
      <c r="AD165" t="n">
        <v>56.5988110506082</v>
      </c>
      <c r="AN165" t="n">
        <v>54.42</v>
      </c>
      <c r="AP165" t="n">
        <v>52.2</v>
      </c>
      <c r="AX165" t="n">
        <v>56.3</v>
      </c>
    </row>
    <row r="166">
      <c r="A166" s="83" t="n">
        <v>39326</v>
      </c>
      <c r="F166" t="n">
        <v>55</v>
      </c>
      <c r="I166" t="n">
        <v>57.16</v>
      </c>
      <c r="K166" t="n">
        <v>53.2</v>
      </c>
      <c r="U166" t="n">
        <v>52.4</v>
      </c>
      <c r="AD166" t="n">
        <v>54.2282350566784</v>
      </c>
      <c r="AN166" t="n">
        <v>51.63</v>
      </c>
      <c r="AP166" t="n">
        <v>50.8</v>
      </c>
      <c r="AX166" t="n">
        <v>55.1</v>
      </c>
    </row>
    <row r="167">
      <c r="A167" s="83" t="n">
        <v>39356</v>
      </c>
      <c r="F167" t="n">
        <v>55.2</v>
      </c>
      <c r="I167" t="n">
        <v>59.94</v>
      </c>
      <c r="K167" t="n">
        <v>51.5</v>
      </c>
      <c r="U167" t="n">
        <v>51.3</v>
      </c>
      <c r="AD167" t="n">
        <v>57.4337841735763</v>
      </c>
      <c r="AN167" t="n">
        <v>54.4</v>
      </c>
      <c r="AP167" t="n">
        <v>49.6</v>
      </c>
      <c r="AX167" t="n">
        <v>52.9</v>
      </c>
    </row>
    <row r="168">
      <c r="A168" s="83" t="n">
        <v>39387</v>
      </c>
      <c r="F168" t="n">
        <v>52.8</v>
      </c>
      <c r="I168" t="n">
        <v>57.03</v>
      </c>
      <c r="K168" t="n">
        <v>52.8</v>
      </c>
      <c r="U168" t="n">
        <v>51.3</v>
      </c>
      <c r="AD168" t="n">
        <v>57.1557244653067</v>
      </c>
      <c r="AN168" t="n">
        <v>53.96</v>
      </c>
      <c r="AP168" t="n">
        <v>50.7</v>
      </c>
      <c r="AX168" t="n">
        <v>54.4</v>
      </c>
    </row>
    <row r="169">
      <c r="A169" s="83" t="n">
        <v>39417</v>
      </c>
      <c r="F169" t="n">
        <v>53.3</v>
      </c>
      <c r="I169" t="n">
        <v>55.62</v>
      </c>
      <c r="K169" t="n">
        <v>52.6</v>
      </c>
      <c r="U169" t="n">
        <v>50.7</v>
      </c>
      <c r="AD169" t="n">
        <v>53.1534995907173</v>
      </c>
      <c r="AN169" t="n">
        <v>53.23</v>
      </c>
      <c r="AP169" t="n">
        <v>49.5</v>
      </c>
      <c r="AX169" t="n">
        <v>52.9</v>
      </c>
    </row>
    <row r="170">
      <c r="A170" s="83" t="n">
        <v>39448</v>
      </c>
      <c r="F170" t="n">
        <v>53.2</v>
      </c>
      <c r="I170" t="n">
        <v>56.34</v>
      </c>
      <c r="K170" t="n">
        <v>52.8</v>
      </c>
      <c r="U170" t="n">
        <v>50.8</v>
      </c>
      <c r="AD170" t="n">
        <v>53.0808173064804</v>
      </c>
      <c r="AN170" t="n">
        <v>51.3</v>
      </c>
      <c r="AP170" t="n">
        <v>49.8</v>
      </c>
      <c r="AX170" t="n">
        <v>50.6</v>
      </c>
    </row>
    <row r="171">
      <c r="A171" s="83" t="n">
        <v>39478</v>
      </c>
      <c r="M171" t="n">
        <v>54.4</v>
      </c>
    </row>
    <row r="172">
      <c r="A172" s="83" t="n">
        <v>39479</v>
      </c>
      <c r="F172" t="n">
        <v>52.8</v>
      </c>
      <c r="I172" t="n">
        <v>64.81999999999999</v>
      </c>
      <c r="K172" t="n">
        <v>52.3</v>
      </c>
      <c r="M172" t="n">
        <v>54.3</v>
      </c>
      <c r="U172" t="n">
        <v>50.6</v>
      </c>
      <c r="V172" t="n">
        <v>50.8</v>
      </c>
      <c r="AD172" t="n">
        <v>52.5683619019129</v>
      </c>
      <c r="AN172" t="n">
        <v>45.75</v>
      </c>
      <c r="AP172" t="n">
        <v>46.7</v>
      </c>
      <c r="AX172" t="n">
        <v>51.3</v>
      </c>
    </row>
    <row r="173">
      <c r="A173" s="83" t="n">
        <v>39508</v>
      </c>
      <c r="F173" t="n">
        <v>54.4</v>
      </c>
      <c r="I173" t="n">
        <v>57.03</v>
      </c>
      <c r="K173" t="n">
        <v>52</v>
      </c>
      <c r="M173" t="n">
        <v>54.9</v>
      </c>
      <c r="U173" t="n">
        <v>49.4</v>
      </c>
      <c r="V173" t="n">
        <v>49.5</v>
      </c>
      <c r="AD173" t="n">
        <v>48.1140014100388</v>
      </c>
      <c r="AN173" t="n">
        <v>44.21</v>
      </c>
      <c r="AP173" t="n">
        <v>46.4</v>
      </c>
      <c r="AX173" t="n">
        <v>51.3</v>
      </c>
    </row>
    <row r="174">
      <c r="A174" s="83" t="n">
        <v>39539</v>
      </c>
      <c r="F174" t="n">
        <v>55.4</v>
      </c>
      <c r="I174" t="n">
        <v>44.91</v>
      </c>
      <c r="K174" t="n">
        <v>50.7</v>
      </c>
      <c r="M174" t="n">
        <v>53.6</v>
      </c>
      <c r="U174" t="n">
        <v>48.2</v>
      </c>
      <c r="V174" t="n">
        <v>48.6</v>
      </c>
      <c r="AD174" t="n">
        <v>50.3796200413739</v>
      </c>
      <c r="AN174" t="n">
        <v>53.72</v>
      </c>
      <c r="AP174" t="n">
        <v>45.2</v>
      </c>
      <c r="AX174" t="n">
        <v>51</v>
      </c>
    </row>
    <row r="175">
      <c r="A175" s="83" t="n">
        <v>39569</v>
      </c>
      <c r="B175" t="n">
        <v>51.4</v>
      </c>
      <c r="F175" t="n">
        <v>54.7</v>
      </c>
      <c r="I175" t="n">
        <v>66.78</v>
      </c>
      <c r="K175" t="n">
        <v>50.6</v>
      </c>
      <c r="M175" t="n">
        <v>53.5</v>
      </c>
      <c r="U175" t="n">
        <v>48</v>
      </c>
      <c r="V175" t="n">
        <v>47.7</v>
      </c>
      <c r="AD175" t="n">
        <v>48.2548671052373</v>
      </c>
      <c r="AN175" t="n">
        <v>48.8</v>
      </c>
      <c r="AP175" t="n">
        <v>43.8</v>
      </c>
      <c r="AX175" t="n">
        <v>50</v>
      </c>
    </row>
    <row r="176">
      <c r="A176" s="83" t="n">
        <v>39600</v>
      </c>
      <c r="B176" t="n">
        <v>51.2</v>
      </c>
      <c r="F176" t="n">
        <v>53.3</v>
      </c>
      <c r="I176" t="n">
        <v>62.6</v>
      </c>
      <c r="K176" t="n">
        <v>49.2</v>
      </c>
      <c r="M176" t="n">
        <v>52.3</v>
      </c>
      <c r="U176" t="n">
        <v>46.9</v>
      </c>
      <c r="V176" t="n">
        <v>46.5</v>
      </c>
      <c r="AD176" t="n">
        <v>44.324455950641</v>
      </c>
      <c r="AN176" t="n">
        <v>45.37</v>
      </c>
      <c r="AP176" t="n">
        <v>40.6</v>
      </c>
      <c r="AX176" t="n">
        <v>45.8</v>
      </c>
    </row>
    <row r="177">
      <c r="A177" s="83" t="n">
        <v>39630</v>
      </c>
      <c r="B177" t="n">
        <v>52.7</v>
      </c>
      <c r="F177" t="n">
        <v>53.3</v>
      </c>
      <c r="I177" t="n">
        <v>38.91</v>
      </c>
      <c r="K177" t="n">
        <v>47.4</v>
      </c>
      <c r="M177" t="n">
        <v>50.9</v>
      </c>
      <c r="U177" t="n">
        <v>45.3</v>
      </c>
      <c r="V177" t="n">
        <v>47</v>
      </c>
      <c r="AD177" t="n">
        <v>48.1735627816922</v>
      </c>
      <c r="AN177" t="n">
        <v>44.8</v>
      </c>
      <c r="AP177" t="n">
        <v>39.2</v>
      </c>
      <c r="AX177" t="n">
        <v>44.3</v>
      </c>
    </row>
    <row r="178">
      <c r="A178" s="83"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3"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3"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3"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3"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3"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3"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3"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3"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3"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3" t="n">
        <v>39965</v>
      </c>
      <c r="B188" t="n">
        <v>38.4</v>
      </c>
      <c r="F188" t="n">
        <v>51.8</v>
      </c>
      <c r="I188" t="n">
        <v>42</v>
      </c>
      <c r="K188" t="n">
        <v>42.6</v>
      </c>
      <c r="L188" t="n">
        <v>45.9</v>
      </c>
      <c r="M188" t="n">
        <v>40.9</v>
      </c>
      <c r="U188" t="n">
        <v>42.7</v>
      </c>
      <c r="V188" t="n">
        <v>48.2</v>
      </c>
      <c r="AD188" t="n">
        <v>45.5610293561352</v>
      </c>
      <c r="AN188" t="n">
        <v>39.7</v>
      </c>
      <c r="AP188" t="n">
        <v>42.8</v>
      </c>
      <c r="AX188" t="n">
        <v>47</v>
      </c>
    </row>
    <row r="189">
      <c r="A189" s="83"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3"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3"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3"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3"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3"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3"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3"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3"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3"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3"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3"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3"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3"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3"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3"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3" t="n">
        <v>40482</v>
      </c>
      <c r="N205" t="n">
        <v>43.6</v>
      </c>
    </row>
    <row r="206">
      <c r="A206" s="83"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3"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3"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3"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3"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3"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3"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3"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3"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3"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3"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3"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3"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3"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3"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3"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3"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3"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3"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3"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3"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3"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3"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3"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3"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3"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3"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3"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3"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3"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3"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3"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3"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3"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3"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3"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3"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3"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3"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3"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3"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3"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3"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3"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3"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3"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3"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3"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3"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3"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3"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3"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3"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3"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3"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3"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3"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3"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3"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3"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3"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3"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3"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3"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3"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3"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3"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3"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3"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3"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3"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3"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3"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3"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3"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3"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3"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3"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3"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3"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3"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3"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3"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3"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3"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3"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3"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3"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3"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3"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3"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3"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3"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3"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3"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3"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3"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3"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3"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3"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3"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3"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3"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3"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3"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3"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3"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3"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3"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3"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3"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3"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3"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3"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3"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3"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3"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3"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3"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3"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3"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3"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3"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3"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3"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3"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3"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3"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3"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3"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3"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3"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3"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3"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3"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3"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3"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3"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3"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3"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3"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3" t="n">
        <v>44774</v>
      </c>
      <c r="B347" t="n">
        <v>49.3</v>
      </c>
      <c r="C347" t="n">
        <v>48.8</v>
      </c>
      <c r="D347" t="n">
        <v>51.9</v>
      </c>
      <c r="E347" t="n">
        <v>48.7</v>
      </c>
      <c r="F347" t="n">
        <v>49.5</v>
      </c>
      <c r="G347" t="n">
        <v>52.4</v>
      </c>
      <c r="H347" t="n">
        <v>46.8</v>
      </c>
      <c r="I347" t="n">
        <v>48</v>
      </c>
      <c r="K347" t="n">
        <v>49.6</v>
      </c>
      <c r="L347" t="n">
        <v>50.6</v>
      </c>
      <c r="M347" t="n">
        <v>49.1</v>
      </c>
      <c r="N347" t="n">
        <v>48.8</v>
      </c>
      <c r="P347" t="n">
        <v>57.8</v>
      </c>
      <c r="Q347" t="n">
        <v>56.2</v>
      </c>
      <c r="R347" t="n">
        <v>51.7</v>
      </c>
      <c r="S347" t="n">
        <v>51.1</v>
      </c>
      <c r="U347" t="n">
        <v>48</v>
      </c>
      <c r="V347" t="n">
        <v>51.5</v>
      </c>
      <c r="W347" t="n">
        <v>52</v>
      </c>
      <c r="Z347" t="n">
        <v>50.3</v>
      </c>
      <c r="AA347" t="n">
        <v>48.5</v>
      </c>
      <c r="AB347" t="n">
        <v>46.5</v>
      </c>
      <c r="AC347" t="n">
        <v>52.6</v>
      </c>
      <c r="AF347" t="n">
        <v>52.3</v>
      </c>
      <c r="AG347" t="n">
        <v>51.2</v>
      </c>
      <c r="AH347" t="n">
        <v>40.9</v>
      </c>
      <c r="AK347" t="n">
        <v>51.7</v>
      </c>
      <c r="AM347" t="n">
        <v>50</v>
      </c>
      <c r="AN347" t="n">
        <v>52.1</v>
      </c>
      <c r="AO347" t="n">
        <v>47.6</v>
      </c>
      <c r="AP347" t="n">
        <v>49.9</v>
      </c>
      <c r="AR347" t="n">
        <v>50.6</v>
      </c>
      <c r="AS347" t="n">
        <v>56.4</v>
      </c>
      <c r="AT347" t="n">
        <v>42.7</v>
      </c>
      <c r="AU347" t="n">
        <v>53.7</v>
      </c>
      <c r="AV347" t="n">
        <v>47.4</v>
      </c>
      <c r="AX347" t="n">
        <v>47.3</v>
      </c>
      <c r="AY347" t="n">
        <v>51.5</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3"/>
  <sheetViews>
    <sheetView zoomScale="160" zoomScaleNormal="160" workbookViewId="0">
      <pane ySplit="1" topLeftCell="A311" activePane="bottomLeft" state="frozen"/>
      <selection activeCell="B327" sqref="B327"/>
      <selection pane="bottomLeft" activeCell="I319" sqref="I319"/>
    </sheetView>
  </sheetViews>
  <sheetFormatPr baseColWidth="10" defaultRowHeight="15"/>
  <cols>
    <col width="10.83203125" customWidth="1" style="61" min="1" max="5"/>
    <col width="17.33203125" customWidth="1" style="61" min="6" max="6"/>
    <col width="10.83203125" customWidth="1" style="61" min="7" max="33"/>
    <col width="10.83203125" customWidth="1" style="61" min="34" max="16384"/>
  </cols>
  <sheetData>
    <row r="1">
      <c r="A1" t="inlineStr">
        <is>
          <t>DATE</t>
        </is>
      </c>
      <c r="B1" t="inlineStr">
        <is>
          <t>Global</t>
        </is>
      </c>
      <c r="C1" t="inlineStr">
        <is>
          <t>ACWI</t>
        </is>
      </c>
      <c r="D1" t="inlineStr">
        <is>
          <t>EZU</t>
        </is>
      </c>
      <c r="E1" t="inlineStr">
        <is>
          <t>EWU</t>
        </is>
      </c>
      <c r="F1" t="inlineStr">
        <is>
          <t>EuroGDPQoQ</t>
        </is>
      </c>
    </row>
    <row r="2">
      <c r="A2" s="83" t="n">
        <v>34700</v>
      </c>
      <c r="B2" t="n">
        <v/>
      </c>
      <c r="C2" t="n">
        <v/>
      </c>
      <c r="D2" t="n">
        <v/>
      </c>
      <c r="E2" t="n">
        <v/>
      </c>
      <c r="F2" t="n">
        <v/>
      </c>
    </row>
    <row r="3">
      <c r="A3" s="83" t="n">
        <v>34731</v>
      </c>
      <c r="B3" t="n">
        <v/>
      </c>
      <c r="C3" t="n">
        <v/>
      </c>
      <c r="D3" t="n">
        <v/>
      </c>
      <c r="E3" t="n">
        <v/>
      </c>
      <c r="F3" t="n">
        <v/>
      </c>
    </row>
    <row r="4">
      <c r="A4" s="83" t="n">
        <v>34759</v>
      </c>
      <c r="B4" t="n">
        <v/>
      </c>
      <c r="C4" t="n">
        <v/>
      </c>
      <c r="D4" t="n">
        <v/>
      </c>
      <c r="E4" t="n">
        <v/>
      </c>
      <c r="F4" t="n">
        <v/>
      </c>
    </row>
    <row r="5">
      <c r="A5" s="83" t="n">
        <v>34790</v>
      </c>
      <c r="B5" t="n">
        <v/>
      </c>
      <c r="C5" t="n">
        <v/>
      </c>
      <c r="D5" t="n">
        <v/>
      </c>
      <c r="E5" t="n">
        <v/>
      </c>
      <c r="F5" t="n">
        <v>0.005926020125691042</v>
      </c>
    </row>
    <row r="6">
      <c r="A6" s="83" t="n">
        <v>34820</v>
      </c>
      <c r="B6" t="n">
        <v/>
      </c>
      <c r="C6" t="n">
        <v/>
      </c>
      <c r="D6" t="n">
        <v/>
      </c>
      <c r="E6" t="n">
        <v/>
      </c>
      <c r="F6" t="n">
        <v/>
      </c>
    </row>
    <row r="7">
      <c r="A7" s="83" t="n">
        <v>34851</v>
      </c>
      <c r="B7" t="n">
        <v/>
      </c>
      <c r="C7" t="n">
        <v/>
      </c>
      <c r="D7" t="n">
        <v/>
      </c>
      <c r="E7" t="n">
        <v/>
      </c>
      <c r="F7" t="n">
        <v/>
      </c>
    </row>
    <row r="8">
      <c r="A8" s="83" t="n">
        <v>34881</v>
      </c>
      <c r="B8" t="n">
        <v/>
      </c>
      <c r="C8" t="n">
        <v/>
      </c>
      <c r="D8" t="n">
        <v/>
      </c>
      <c r="E8" t="n">
        <v/>
      </c>
      <c r="F8" t="n">
        <v>0.002483167292762166</v>
      </c>
    </row>
    <row r="9">
      <c r="A9" s="83" t="n">
        <v>34912</v>
      </c>
      <c r="B9" t="n">
        <v/>
      </c>
      <c r="C9" t="n">
        <v/>
      </c>
      <c r="D9" t="n">
        <v/>
      </c>
      <c r="E9" t="n">
        <v/>
      </c>
      <c r="F9" t="n">
        <v/>
      </c>
    </row>
    <row r="10">
      <c r="A10" s="83" t="n">
        <v>34943</v>
      </c>
      <c r="B10" t="n">
        <v/>
      </c>
      <c r="C10" t="n">
        <v/>
      </c>
      <c r="D10" t="n">
        <v/>
      </c>
      <c r="E10" t="n">
        <v/>
      </c>
      <c r="F10" t="n">
        <v/>
      </c>
    </row>
    <row r="11">
      <c r="A11" s="83" t="n">
        <v>34973</v>
      </c>
      <c r="B11" t="n">
        <v/>
      </c>
      <c r="C11" t="n">
        <v/>
      </c>
      <c r="D11" t="n">
        <v/>
      </c>
      <c r="E11" t="n">
        <v/>
      </c>
      <c r="F11" t="n">
        <v>0.003271611622996438</v>
      </c>
    </row>
    <row r="12">
      <c r="A12" s="83" t="n">
        <v>35004</v>
      </c>
      <c r="B12" t="n">
        <v/>
      </c>
      <c r="C12" t="n">
        <v/>
      </c>
      <c r="D12" t="n">
        <v/>
      </c>
      <c r="E12" t="n">
        <v/>
      </c>
      <c r="F12" t="n">
        <v/>
      </c>
    </row>
    <row r="13">
      <c r="A13" s="83" t="n">
        <v>35034</v>
      </c>
      <c r="B13" t="n">
        <v/>
      </c>
      <c r="C13" t="n">
        <v/>
      </c>
      <c r="D13" t="n">
        <v/>
      </c>
      <c r="E13" t="n">
        <v/>
      </c>
      <c r="F13" t="n">
        <v/>
      </c>
    </row>
    <row r="14">
      <c r="A14" s="83" t="n">
        <v>35065</v>
      </c>
      <c r="B14" t="n">
        <v/>
      </c>
      <c r="C14" t="n">
        <v/>
      </c>
      <c r="D14" t="n">
        <v/>
      </c>
      <c r="E14" t="n">
        <v/>
      </c>
      <c r="F14" t="n">
        <v>0.001842341637259944</v>
      </c>
    </row>
    <row r="15">
      <c r="A15" s="83" t="n">
        <v>35096</v>
      </c>
      <c r="B15" t="n">
        <v/>
      </c>
      <c r="C15" t="n">
        <v/>
      </c>
      <c r="D15" t="n">
        <v/>
      </c>
      <c r="E15" t="n">
        <v/>
      </c>
      <c r="F15" t="n">
        <v/>
      </c>
    </row>
    <row r="16">
      <c r="A16" s="83" t="n">
        <v>35125</v>
      </c>
      <c r="B16" t="n">
        <v/>
      </c>
      <c r="C16" t="n">
        <v/>
      </c>
      <c r="D16" t="n">
        <v/>
      </c>
      <c r="E16" t="n">
        <v/>
      </c>
      <c r="F16" t="n">
        <v/>
      </c>
    </row>
    <row r="17">
      <c r="A17" s="83" t="n">
        <v>35156</v>
      </c>
      <c r="B17" t="n">
        <v/>
      </c>
      <c r="C17" t="n">
        <v/>
      </c>
      <c r="D17" t="n">
        <v/>
      </c>
      <c r="E17" t="n">
        <v/>
      </c>
      <c r="F17" t="n">
        <v>0.007051175321208582</v>
      </c>
    </row>
    <row r="18">
      <c r="A18" s="83" t="n">
        <v>35186</v>
      </c>
      <c r="B18" t="n">
        <v/>
      </c>
      <c r="C18" t="n">
        <v/>
      </c>
      <c r="D18" t="n">
        <v/>
      </c>
      <c r="E18" t="n">
        <v/>
      </c>
      <c r="F18" t="n">
        <v/>
      </c>
    </row>
    <row r="19">
      <c r="A19" s="83" t="n">
        <v>35217</v>
      </c>
      <c r="B19" t="n">
        <v/>
      </c>
      <c r="C19" t="n">
        <v/>
      </c>
      <c r="D19" t="n">
        <v/>
      </c>
      <c r="E19" t="n">
        <v/>
      </c>
      <c r="F19" t="n">
        <v/>
      </c>
    </row>
    <row r="20">
      <c r="A20" s="83" t="n">
        <v>35247</v>
      </c>
      <c r="B20" t="n">
        <v/>
      </c>
      <c r="C20" t="n">
        <v/>
      </c>
      <c r="D20" t="n">
        <v/>
      </c>
      <c r="E20" t="n">
        <v/>
      </c>
      <c r="F20" t="n">
        <v>0.005322553187131945</v>
      </c>
    </row>
    <row r="21">
      <c r="A21" s="83" t="n">
        <v>35278</v>
      </c>
      <c r="B21" t="n">
        <v/>
      </c>
      <c r="C21" t="n">
        <v/>
      </c>
      <c r="D21" t="n">
        <v/>
      </c>
      <c r="E21" t="n">
        <v/>
      </c>
      <c r="F21" t="n">
        <v/>
      </c>
    </row>
    <row r="22">
      <c r="A22" s="83" t="n">
        <v>35309</v>
      </c>
      <c r="B22" t="n">
        <v/>
      </c>
      <c r="C22" t="n">
        <v/>
      </c>
      <c r="D22" t="n">
        <v/>
      </c>
      <c r="E22" t="n">
        <v/>
      </c>
      <c r="F22" t="n">
        <v/>
      </c>
    </row>
    <row r="23">
      <c r="A23" s="83" t="n">
        <v>35339</v>
      </c>
      <c r="B23" t="n">
        <v/>
      </c>
      <c r="C23" t="n">
        <v/>
      </c>
      <c r="D23" t="n">
        <v/>
      </c>
      <c r="E23" t="n">
        <v/>
      </c>
      <c r="F23" t="n">
        <v>0.004658664681289829</v>
      </c>
    </row>
    <row r="24">
      <c r="A24" s="83" t="n">
        <v>35370</v>
      </c>
      <c r="B24" t="n">
        <v/>
      </c>
      <c r="C24" t="n">
        <v/>
      </c>
      <c r="D24" t="n">
        <v/>
      </c>
      <c r="E24" t="n">
        <v/>
      </c>
      <c r="F24" t="n">
        <v/>
      </c>
    </row>
    <row r="25">
      <c r="A25" s="83" t="n">
        <v>35400</v>
      </c>
      <c r="B25" t="n">
        <v/>
      </c>
      <c r="C25" t="n">
        <v/>
      </c>
      <c r="D25" t="n">
        <v/>
      </c>
      <c r="E25" t="n">
        <v/>
      </c>
      <c r="F25" t="n">
        <v/>
      </c>
    </row>
    <row r="26">
      <c r="A26" s="83" t="n">
        <v>35431</v>
      </c>
      <c r="B26" t="n">
        <v/>
      </c>
      <c r="C26" t="n">
        <v/>
      </c>
      <c r="D26" t="n">
        <v/>
      </c>
      <c r="E26" t="n">
        <v/>
      </c>
      <c r="F26" t="n">
        <v>0.002416616180783273</v>
      </c>
    </row>
    <row r="27">
      <c r="A27" s="83" t="n">
        <v>35462</v>
      </c>
      <c r="B27" t="n">
        <v/>
      </c>
      <c r="C27" t="n">
        <v/>
      </c>
      <c r="D27" t="n">
        <v/>
      </c>
      <c r="E27" t="n">
        <v/>
      </c>
      <c r="F27" t="n">
        <v/>
      </c>
    </row>
    <row r="28">
      <c r="A28" s="83" t="n">
        <v>35490</v>
      </c>
      <c r="B28" t="n">
        <v/>
      </c>
      <c r="C28" t="n">
        <v/>
      </c>
      <c r="D28" t="n">
        <v/>
      </c>
      <c r="E28" t="n">
        <v/>
      </c>
      <c r="F28" t="n">
        <v/>
      </c>
    </row>
    <row r="29">
      <c r="A29" s="83" t="n">
        <v>35521</v>
      </c>
      <c r="B29" t="n">
        <v/>
      </c>
      <c r="C29" t="n">
        <v/>
      </c>
      <c r="D29" t="n">
        <v/>
      </c>
      <c r="E29" t="n">
        <v/>
      </c>
      <c r="F29" t="n">
        <v>0.0121389727721091</v>
      </c>
    </row>
    <row r="30">
      <c r="A30" s="83" t="n">
        <v>35551</v>
      </c>
      <c r="B30" t="n">
        <v/>
      </c>
      <c r="C30" t="n">
        <v/>
      </c>
      <c r="D30" t="n">
        <v/>
      </c>
      <c r="E30" t="n">
        <v/>
      </c>
      <c r="F30" t="n">
        <v/>
      </c>
    </row>
    <row r="31">
      <c r="A31" s="83" t="n">
        <v>35582</v>
      </c>
      <c r="B31" t="n">
        <v/>
      </c>
      <c r="C31" t="n">
        <v/>
      </c>
      <c r="D31" t="n">
        <v/>
      </c>
      <c r="E31" t="n">
        <v/>
      </c>
      <c r="F31" t="n">
        <v/>
      </c>
    </row>
    <row r="32">
      <c r="A32" s="83" t="n">
        <v>35612</v>
      </c>
      <c r="B32" t="n">
        <v/>
      </c>
      <c r="C32" t="n">
        <v/>
      </c>
      <c r="D32" t="n">
        <v/>
      </c>
      <c r="E32" t="n">
        <v/>
      </c>
      <c r="F32" t="n">
        <v>0.008312497225307526</v>
      </c>
    </row>
    <row r="33">
      <c r="A33" s="83" t="n">
        <v>35643</v>
      </c>
      <c r="B33" t="n">
        <v/>
      </c>
      <c r="C33" t="n">
        <v/>
      </c>
      <c r="D33" t="n">
        <v/>
      </c>
      <c r="E33" t="n">
        <v/>
      </c>
      <c r="F33" t="n">
        <v/>
      </c>
    </row>
    <row r="34">
      <c r="A34" s="83" t="n">
        <v>35674</v>
      </c>
      <c r="B34" t="n">
        <v/>
      </c>
      <c r="C34" t="n">
        <v/>
      </c>
      <c r="D34" t="n">
        <v/>
      </c>
      <c r="E34" t="n">
        <v/>
      </c>
      <c r="F34" t="n">
        <v/>
      </c>
    </row>
    <row r="35">
      <c r="A35" s="83" t="n">
        <v>35704</v>
      </c>
      <c r="B35" t="n">
        <v/>
      </c>
      <c r="C35" t="n">
        <v/>
      </c>
      <c r="D35" t="n">
        <v/>
      </c>
      <c r="E35" t="n">
        <v/>
      </c>
      <c r="F35" t="n">
        <v>0.01115443132897227</v>
      </c>
    </row>
    <row r="36">
      <c r="A36" s="83" t="n">
        <v>35735</v>
      </c>
      <c r="B36" t="n">
        <v/>
      </c>
      <c r="C36" t="n">
        <v/>
      </c>
      <c r="D36" t="n">
        <v/>
      </c>
      <c r="E36" t="n">
        <v/>
      </c>
      <c r="F36" t="n">
        <v/>
      </c>
    </row>
    <row r="37">
      <c r="A37" s="83" t="n">
        <v>35765</v>
      </c>
      <c r="B37" t="n">
        <v/>
      </c>
      <c r="C37" t="n">
        <v/>
      </c>
      <c r="D37" t="n">
        <v/>
      </c>
      <c r="E37" t="n">
        <v/>
      </c>
      <c r="F37" t="n">
        <v/>
      </c>
    </row>
    <row r="38">
      <c r="A38" s="83" t="n">
        <v>35796</v>
      </c>
      <c r="B38" t="n">
        <v/>
      </c>
      <c r="C38" t="n">
        <v/>
      </c>
      <c r="D38" t="n">
        <v/>
      </c>
      <c r="E38" t="n">
        <v/>
      </c>
      <c r="F38" t="n">
        <v>0.006403021757859286</v>
      </c>
    </row>
    <row r="39">
      <c r="A39" s="83" t="n">
        <v>35827</v>
      </c>
      <c r="B39" t="n">
        <v/>
      </c>
      <c r="C39" t="n">
        <v/>
      </c>
      <c r="D39" t="n">
        <v/>
      </c>
      <c r="E39" t="n">
        <v/>
      </c>
      <c r="F39" t="n">
        <v/>
      </c>
    </row>
    <row r="40">
      <c r="A40" s="83" t="n">
        <v>35855</v>
      </c>
      <c r="B40" t="n">
        <v/>
      </c>
      <c r="C40" t="n">
        <v/>
      </c>
      <c r="D40" t="n">
        <v/>
      </c>
      <c r="E40" t="n">
        <v/>
      </c>
      <c r="F40" t="n">
        <v/>
      </c>
    </row>
    <row r="41">
      <c r="A41" s="83" t="n">
        <v>35886</v>
      </c>
      <c r="B41" t="n">
        <v/>
      </c>
      <c r="C41" t="n">
        <v/>
      </c>
      <c r="D41" t="n">
        <v/>
      </c>
      <c r="E41" t="n">
        <v/>
      </c>
      <c r="F41" t="n">
        <v>0.004446391063900846</v>
      </c>
    </row>
    <row r="42">
      <c r="A42" s="83" t="n">
        <v>35916</v>
      </c>
      <c r="B42" t="n">
        <v/>
      </c>
      <c r="C42" t="n">
        <v/>
      </c>
      <c r="D42" t="n">
        <v/>
      </c>
      <c r="E42" t="n">
        <v/>
      </c>
      <c r="F42" t="n">
        <v/>
      </c>
    </row>
    <row r="43">
      <c r="A43" s="83" t="n">
        <v>35947</v>
      </c>
      <c r="B43" t="n">
        <v/>
      </c>
      <c r="C43" t="n">
        <v/>
      </c>
      <c r="D43" t="n">
        <v/>
      </c>
      <c r="E43" t="n">
        <v/>
      </c>
      <c r="F43" t="n">
        <v/>
      </c>
    </row>
    <row r="44">
      <c r="A44" s="83" t="n">
        <v>35977</v>
      </c>
      <c r="B44" t="n">
        <v/>
      </c>
      <c r="C44" t="n">
        <v/>
      </c>
      <c r="D44" t="n">
        <v/>
      </c>
      <c r="E44" t="n">
        <v/>
      </c>
      <c r="F44" t="n">
        <v>0.006087235051331962</v>
      </c>
    </row>
    <row r="45">
      <c r="A45" s="83" t="n">
        <v>36008</v>
      </c>
      <c r="B45" t="n">
        <v/>
      </c>
      <c r="C45" t="n">
        <v/>
      </c>
      <c r="D45" t="n">
        <v/>
      </c>
      <c r="E45" t="n">
        <v/>
      </c>
      <c r="F45" t="n">
        <v/>
      </c>
    </row>
    <row r="46">
      <c r="A46" s="83" t="n">
        <v>36039</v>
      </c>
      <c r="B46" t="n">
        <v/>
      </c>
      <c r="C46" t="n">
        <v/>
      </c>
      <c r="D46" t="n">
        <v/>
      </c>
      <c r="E46" t="n">
        <v/>
      </c>
      <c r="F46" t="n">
        <v/>
      </c>
    </row>
    <row r="47">
      <c r="A47" s="83" t="n">
        <v>36069</v>
      </c>
      <c r="B47" t="n">
        <v/>
      </c>
      <c r="C47" t="n">
        <v/>
      </c>
      <c r="D47" t="n">
        <v/>
      </c>
      <c r="E47" t="n">
        <v/>
      </c>
      <c r="F47" t="n">
        <v>0.001185245713623126</v>
      </c>
    </row>
    <row r="48">
      <c r="A48" s="83" t="n">
        <v>36100</v>
      </c>
      <c r="B48" t="n">
        <v/>
      </c>
      <c r="C48" t="n">
        <v/>
      </c>
      <c r="D48" t="n">
        <v/>
      </c>
      <c r="E48" t="n">
        <v/>
      </c>
      <c r="F48" t="n">
        <v/>
      </c>
    </row>
    <row r="49">
      <c r="A49" s="83" t="n">
        <v>36130</v>
      </c>
      <c r="B49" t="n">
        <v/>
      </c>
      <c r="C49" t="n">
        <v/>
      </c>
      <c r="D49" t="n">
        <v/>
      </c>
      <c r="E49" t="n">
        <v/>
      </c>
      <c r="F49" t="n">
        <v/>
      </c>
    </row>
    <row r="50">
      <c r="A50" s="83" t="n">
        <v>36161</v>
      </c>
      <c r="B50" t="n">
        <v/>
      </c>
      <c r="C50" t="n">
        <v/>
      </c>
      <c r="D50" t="n">
        <v/>
      </c>
      <c r="E50" t="n">
        <v/>
      </c>
      <c r="F50" t="n">
        <v>0.01108161670562599</v>
      </c>
    </row>
    <row r="51">
      <c r="A51" s="83" t="n">
        <v>36192</v>
      </c>
      <c r="B51" t="n">
        <v/>
      </c>
      <c r="C51" t="n">
        <v/>
      </c>
      <c r="D51" t="n">
        <v/>
      </c>
      <c r="E51" t="n">
        <v/>
      </c>
      <c r="F51" t="n">
        <v/>
      </c>
    </row>
    <row r="52">
      <c r="A52" s="83" t="n">
        <v>36220</v>
      </c>
      <c r="B52" t="n">
        <v/>
      </c>
      <c r="C52" t="n">
        <v/>
      </c>
      <c r="D52" t="n">
        <v/>
      </c>
      <c r="E52" t="n">
        <v/>
      </c>
      <c r="F52" t="n">
        <v/>
      </c>
    </row>
    <row r="53">
      <c r="A53" s="83" t="n">
        <v>36251</v>
      </c>
      <c r="B53" t="n">
        <v/>
      </c>
      <c r="C53" t="n">
        <v/>
      </c>
      <c r="D53" t="n">
        <v/>
      </c>
      <c r="E53" t="n">
        <v/>
      </c>
      <c r="F53" t="n">
        <v>0.004479433287056877</v>
      </c>
    </row>
    <row r="54">
      <c r="A54" s="83" t="n">
        <v>36281</v>
      </c>
      <c r="B54" t="n">
        <v/>
      </c>
      <c r="C54" t="n">
        <v/>
      </c>
      <c r="D54" t="n">
        <v/>
      </c>
      <c r="E54" t="n">
        <v/>
      </c>
      <c r="F54" t="n">
        <v/>
      </c>
    </row>
    <row r="55">
      <c r="A55" s="83" t="n">
        <v>36312</v>
      </c>
      <c r="B55" t="n">
        <v/>
      </c>
      <c r="C55" t="n">
        <v/>
      </c>
      <c r="D55" t="n">
        <v/>
      </c>
      <c r="E55" t="n">
        <v/>
      </c>
      <c r="F55" t="n">
        <v/>
      </c>
    </row>
    <row r="56">
      <c r="A56" s="83" t="n">
        <v>36342</v>
      </c>
      <c r="B56" t="n">
        <v/>
      </c>
      <c r="C56" t="n">
        <v/>
      </c>
      <c r="D56" t="n">
        <v/>
      </c>
      <c r="E56" t="n">
        <v/>
      </c>
      <c r="F56" t="n">
        <v>0.01136270408554646</v>
      </c>
    </row>
    <row r="57">
      <c r="A57" s="83" t="n">
        <v>36373</v>
      </c>
      <c r="B57" t="n">
        <v/>
      </c>
      <c r="C57" t="n">
        <v/>
      </c>
      <c r="D57" t="n">
        <v/>
      </c>
      <c r="E57" t="n">
        <v/>
      </c>
      <c r="F57" t="n">
        <v/>
      </c>
    </row>
    <row r="58">
      <c r="A58" s="83" t="n">
        <v>36404</v>
      </c>
      <c r="B58" t="n">
        <v/>
      </c>
      <c r="C58" t="n">
        <v/>
      </c>
      <c r="D58" t="n">
        <v/>
      </c>
      <c r="E58" t="n">
        <v/>
      </c>
      <c r="F58" t="n">
        <v/>
      </c>
    </row>
    <row r="59">
      <c r="A59" s="83" t="n">
        <v>36434</v>
      </c>
      <c r="B59" t="n">
        <v/>
      </c>
      <c r="C59" t="n">
        <v/>
      </c>
      <c r="D59" t="n">
        <v/>
      </c>
      <c r="E59" t="n">
        <v/>
      </c>
      <c r="F59" t="n">
        <v>0.01164790970615055</v>
      </c>
    </row>
    <row r="60">
      <c r="A60" s="83" t="n">
        <v>36465</v>
      </c>
      <c r="B60" t="n">
        <v/>
      </c>
      <c r="C60" t="n">
        <v/>
      </c>
      <c r="D60" t="n">
        <v/>
      </c>
      <c r="E60" t="n">
        <v/>
      </c>
      <c r="F60" t="n">
        <v/>
      </c>
    </row>
    <row r="61">
      <c r="A61" s="83" t="n">
        <v>36495</v>
      </c>
      <c r="B61" t="n">
        <v/>
      </c>
      <c r="C61" t="n">
        <v/>
      </c>
      <c r="D61" t="n">
        <v/>
      </c>
      <c r="E61" t="n">
        <v/>
      </c>
      <c r="F61" t="n">
        <v/>
      </c>
    </row>
    <row r="62">
      <c r="A62" s="83" t="n">
        <v>36526</v>
      </c>
      <c r="B62" t="n">
        <v/>
      </c>
      <c r="C62" t="n">
        <v/>
      </c>
      <c r="D62" t="n">
        <v/>
      </c>
      <c r="E62" t="n">
        <v/>
      </c>
      <c r="F62" t="n">
        <v>0.01230160604475348</v>
      </c>
    </row>
    <row r="63">
      <c r="A63" s="83" t="n">
        <v>36557</v>
      </c>
      <c r="B63" t="n">
        <v/>
      </c>
      <c r="C63" t="n">
        <v/>
      </c>
      <c r="D63" t="n">
        <v/>
      </c>
      <c r="E63" t="n">
        <v/>
      </c>
      <c r="F63" t="n">
        <v/>
      </c>
    </row>
    <row r="64">
      <c r="A64" s="83" t="n">
        <v>36586</v>
      </c>
      <c r="B64" t="n">
        <v/>
      </c>
      <c r="C64" t="n">
        <v/>
      </c>
      <c r="D64" t="n">
        <v/>
      </c>
      <c r="E64" t="n">
        <v/>
      </c>
      <c r="F64" t="n">
        <v/>
      </c>
    </row>
    <row r="65">
      <c r="A65" s="83" t="n">
        <v>36617</v>
      </c>
      <c r="B65" t="n">
        <v/>
      </c>
      <c r="C65" t="n">
        <v/>
      </c>
      <c r="D65" t="n">
        <v/>
      </c>
      <c r="E65" t="n">
        <v/>
      </c>
      <c r="F65" t="n">
        <v>0.009219998295690786</v>
      </c>
    </row>
    <row r="66">
      <c r="A66" s="83" t="n">
        <v>36647</v>
      </c>
      <c r="B66" t="n">
        <v/>
      </c>
      <c r="C66" t="n">
        <v/>
      </c>
      <c r="D66" t="n">
        <v/>
      </c>
      <c r="E66" t="n">
        <v/>
      </c>
      <c r="F66" t="n">
        <v/>
      </c>
    </row>
    <row r="67">
      <c r="A67" s="83" t="n">
        <v>36678</v>
      </c>
      <c r="B67" t="n">
        <v/>
      </c>
      <c r="C67" t="n">
        <v/>
      </c>
      <c r="D67" t="n">
        <v/>
      </c>
      <c r="E67" t="n">
        <v/>
      </c>
      <c r="F67" t="n">
        <v/>
      </c>
    </row>
    <row r="68">
      <c r="A68" s="83" t="n">
        <v>36708</v>
      </c>
      <c r="B68" t="n">
        <v/>
      </c>
      <c r="C68" t="n">
        <v/>
      </c>
      <c r="D68" t="n">
        <v/>
      </c>
      <c r="E68" t="n">
        <v/>
      </c>
      <c r="F68" t="n">
        <v>0.00556518851470447</v>
      </c>
    </row>
    <row r="69">
      <c r="A69" s="83" t="n">
        <v>36739</v>
      </c>
      <c r="B69" t="n">
        <v/>
      </c>
      <c r="C69" t="n">
        <v/>
      </c>
      <c r="D69" t="n">
        <v/>
      </c>
      <c r="E69" t="n">
        <v/>
      </c>
      <c r="F69" t="n">
        <v/>
      </c>
    </row>
    <row r="70">
      <c r="A70" s="83" t="n">
        <v>36770</v>
      </c>
      <c r="B70" t="n">
        <v/>
      </c>
      <c r="C70" t="n">
        <v/>
      </c>
      <c r="D70" t="n">
        <v/>
      </c>
      <c r="E70" t="n">
        <v/>
      </c>
      <c r="F70" t="n">
        <v/>
      </c>
    </row>
    <row r="71">
      <c r="A71" s="83" t="n">
        <v>36800</v>
      </c>
      <c r="B71" t="n">
        <v/>
      </c>
      <c r="C71" t="n">
        <v/>
      </c>
      <c r="D71" t="n">
        <v/>
      </c>
      <c r="E71" t="n">
        <v/>
      </c>
      <c r="F71" t="n">
        <v>0.006796281422105824</v>
      </c>
    </row>
    <row r="72">
      <c r="A72" s="83" t="n">
        <v>36831</v>
      </c>
      <c r="B72" t="n">
        <v/>
      </c>
      <c r="C72" t="n">
        <v/>
      </c>
      <c r="D72" t="n">
        <v/>
      </c>
      <c r="E72" t="n">
        <v/>
      </c>
      <c r="F72" t="n">
        <v/>
      </c>
    </row>
    <row r="73">
      <c r="A73" s="83" t="n">
        <v>36861</v>
      </c>
      <c r="B73" t="n">
        <v/>
      </c>
      <c r="C73" t="n">
        <v/>
      </c>
      <c r="D73" t="n">
        <v/>
      </c>
      <c r="E73" t="n">
        <v/>
      </c>
      <c r="F73" t="n">
        <v/>
      </c>
    </row>
    <row r="74">
      <c r="A74" s="83" t="n">
        <v>36892</v>
      </c>
      <c r="B74" t="n">
        <v/>
      </c>
      <c r="C74" t="n">
        <v/>
      </c>
      <c r="D74" t="n">
        <v/>
      </c>
      <c r="E74" t="n">
        <v/>
      </c>
      <c r="F74" t="n">
        <v>0.01002429083700192</v>
      </c>
    </row>
    <row r="75">
      <c r="A75" s="83" t="n">
        <v>36923</v>
      </c>
      <c r="B75" t="n">
        <v/>
      </c>
      <c r="C75" t="n">
        <v/>
      </c>
      <c r="D75" t="n">
        <v/>
      </c>
      <c r="E75" t="n">
        <v/>
      </c>
      <c r="F75" t="n">
        <v/>
      </c>
    </row>
    <row r="76">
      <c r="A76" s="83" t="n">
        <v>36951</v>
      </c>
      <c r="B76" t="n">
        <v/>
      </c>
      <c r="C76" t="n">
        <v/>
      </c>
      <c r="D76" t="n">
        <v/>
      </c>
      <c r="E76" t="n">
        <v/>
      </c>
      <c r="F76" t="n">
        <v/>
      </c>
    </row>
    <row r="77">
      <c r="A77" s="83" t="n">
        <v>36982</v>
      </c>
      <c r="B77" t="n">
        <v/>
      </c>
      <c r="C77" t="n">
        <v/>
      </c>
      <c r="D77" t="n">
        <v/>
      </c>
      <c r="E77" t="n">
        <v/>
      </c>
      <c r="F77" t="n">
        <v>0.0007293206626490239</v>
      </c>
    </row>
    <row r="78">
      <c r="A78" s="83" t="n">
        <v>37012</v>
      </c>
      <c r="B78" t="n">
        <v/>
      </c>
      <c r="C78" t="n">
        <v/>
      </c>
      <c r="D78" t="n">
        <v/>
      </c>
      <c r="E78" t="n">
        <v/>
      </c>
      <c r="F78" t="n">
        <v/>
      </c>
    </row>
    <row r="79">
      <c r="A79" s="83" t="n">
        <v>37043</v>
      </c>
      <c r="B79" t="n">
        <v/>
      </c>
      <c r="C79" t="n">
        <v/>
      </c>
      <c r="D79" t="n">
        <v/>
      </c>
      <c r="E79" t="n">
        <v/>
      </c>
      <c r="F79" t="n">
        <v/>
      </c>
    </row>
    <row r="80">
      <c r="A80" s="83" t="n">
        <v>37073</v>
      </c>
      <c r="B80" t="n">
        <v/>
      </c>
      <c r="C80" t="n">
        <v/>
      </c>
      <c r="D80" t="n">
        <v/>
      </c>
      <c r="E80" t="n">
        <v/>
      </c>
      <c r="F80" t="n">
        <v>0.001011822564026217</v>
      </c>
    </row>
    <row r="81">
      <c r="A81" s="83" t="n">
        <v>37104</v>
      </c>
      <c r="B81" t="n">
        <v/>
      </c>
      <c r="C81" t="n">
        <v/>
      </c>
      <c r="D81" t="n">
        <v/>
      </c>
      <c r="E81" t="n">
        <v/>
      </c>
      <c r="F81" t="n">
        <v/>
      </c>
    </row>
    <row r="82">
      <c r="A82" s="83" t="n">
        <v>37135</v>
      </c>
      <c r="B82" t="n">
        <v/>
      </c>
      <c r="C82" t="n">
        <v/>
      </c>
      <c r="D82" t="n">
        <v/>
      </c>
      <c r="E82" t="n">
        <v/>
      </c>
      <c r="F82" t="n">
        <v/>
      </c>
    </row>
    <row r="83">
      <c r="A83" s="83" t="n">
        <v>37165</v>
      </c>
      <c r="B83" t="n">
        <v/>
      </c>
      <c r="C83" t="n">
        <v/>
      </c>
      <c r="D83" t="n">
        <v/>
      </c>
      <c r="E83" t="n">
        <v/>
      </c>
      <c r="F83" t="n">
        <v>0.001035833533418807</v>
      </c>
    </row>
    <row r="84">
      <c r="A84" s="83" t="n">
        <v>37196</v>
      </c>
      <c r="B84" t="n">
        <v/>
      </c>
      <c r="C84" t="n">
        <v/>
      </c>
      <c r="D84" t="n">
        <v/>
      </c>
      <c r="E84" t="n">
        <v/>
      </c>
      <c r="F84" t="n">
        <v/>
      </c>
    </row>
    <row r="85">
      <c r="A85" s="83" t="n">
        <v>37226</v>
      </c>
      <c r="B85" t="n">
        <v/>
      </c>
      <c r="C85" t="n">
        <v/>
      </c>
      <c r="D85" t="n">
        <v/>
      </c>
      <c r="E85" t="n">
        <v/>
      </c>
      <c r="F85" t="n">
        <v/>
      </c>
    </row>
    <row r="86">
      <c r="A86" s="83" t="n">
        <v>37257</v>
      </c>
      <c r="B86" t="n">
        <v/>
      </c>
      <c r="C86" t="n">
        <v/>
      </c>
      <c r="D86" t="n">
        <v/>
      </c>
      <c r="E86" t="n">
        <v/>
      </c>
      <c r="F86" t="n">
        <v>0.001236850632692955</v>
      </c>
    </row>
    <row r="87">
      <c r="A87" s="83" t="n">
        <v>37288</v>
      </c>
      <c r="B87" t="n">
        <v/>
      </c>
      <c r="C87" t="n">
        <v/>
      </c>
      <c r="D87" t="n">
        <v/>
      </c>
      <c r="E87" t="n">
        <v/>
      </c>
      <c r="F87" t="n">
        <v/>
      </c>
    </row>
    <row r="88">
      <c r="A88" s="83" t="n">
        <v>37316</v>
      </c>
      <c r="B88" t="n">
        <v/>
      </c>
      <c r="C88" t="n">
        <v/>
      </c>
      <c r="D88" t="n">
        <v/>
      </c>
      <c r="E88" t="n">
        <v/>
      </c>
      <c r="F88" t="n">
        <v/>
      </c>
    </row>
    <row r="89">
      <c r="A89" s="83" t="n">
        <v>37347</v>
      </c>
      <c r="B89" t="n">
        <v/>
      </c>
      <c r="C89" t="n">
        <v/>
      </c>
      <c r="D89" t="n">
        <v/>
      </c>
      <c r="E89" t="n">
        <v/>
      </c>
      <c r="F89" t="n">
        <v>0.00525927517798021</v>
      </c>
    </row>
    <row r="90">
      <c r="A90" s="83" t="n">
        <v>37377</v>
      </c>
      <c r="B90" t="n">
        <v/>
      </c>
      <c r="C90" t="n">
        <v/>
      </c>
      <c r="D90" t="n">
        <v/>
      </c>
      <c r="E90" t="n">
        <v/>
      </c>
      <c r="F90" t="n">
        <v/>
      </c>
    </row>
    <row r="91">
      <c r="A91" s="83" t="n">
        <v>37408</v>
      </c>
      <c r="B91" t="n">
        <v/>
      </c>
      <c r="C91" t="n">
        <v/>
      </c>
      <c r="D91" t="n">
        <v/>
      </c>
      <c r="E91" t="n">
        <v/>
      </c>
      <c r="F91" t="n">
        <v/>
      </c>
    </row>
    <row r="92">
      <c r="A92" s="83" t="n">
        <v>37438</v>
      </c>
      <c r="B92" t="n">
        <v/>
      </c>
      <c r="C92" t="n">
        <v/>
      </c>
      <c r="D92" t="n">
        <v/>
      </c>
      <c r="E92" t="n">
        <v/>
      </c>
      <c r="F92" t="n">
        <v>0.003774525090021897</v>
      </c>
    </row>
    <row r="93">
      <c r="A93" s="83" t="n">
        <v>37469</v>
      </c>
      <c r="B93" t="n">
        <v/>
      </c>
      <c r="C93" t="n">
        <v/>
      </c>
      <c r="D93" t="n">
        <v/>
      </c>
      <c r="E93" t="n">
        <v/>
      </c>
      <c r="F93" t="n">
        <v/>
      </c>
    </row>
    <row r="94">
      <c r="A94" s="83" t="n">
        <v>37500</v>
      </c>
      <c r="B94" t="n">
        <v/>
      </c>
      <c r="C94" t="n">
        <v/>
      </c>
      <c r="D94" t="n">
        <v/>
      </c>
      <c r="E94" t="n">
        <v/>
      </c>
      <c r="F94" t="n">
        <v/>
      </c>
    </row>
    <row r="95">
      <c r="A95" s="83" t="n">
        <v>37530</v>
      </c>
      <c r="B95" t="n">
        <v/>
      </c>
      <c r="C95" t="n">
        <v/>
      </c>
      <c r="D95" t="n">
        <v/>
      </c>
      <c r="E95" t="n">
        <v/>
      </c>
      <c r="F95" t="n">
        <v>0.002273658145330133</v>
      </c>
    </row>
    <row r="96">
      <c r="A96" s="83" t="n">
        <v>37561</v>
      </c>
      <c r="B96" t="n">
        <v/>
      </c>
      <c r="C96" t="n">
        <v/>
      </c>
      <c r="D96" t="n">
        <v/>
      </c>
      <c r="E96" t="n">
        <v/>
      </c>
      <c r="F96" t="n">
        <v/>
      </c>
    </row>
    <row r="97">
      <c r="A97" s="83" t="n">
        <v>37591</v>
      </c>
      <c r="B97" t="n">
        <v/>
      </c>
      <c r="C97" t="n">
        <v/>
      </c>
      <c r="D97" t="n">
        <v/>
      </c>
      <c r="E97" t="n">
        <v/>
      </c>
      <c r="F97" t="n">
        <v/>
      </c>
    </row>
    <row r="98">
      <c r="A98" s="83" t="n">
        <v>37622</v>
      </c>
      <c r="B98" t="n">
        <v/>
      </c>
      <c r="C98" t="n">
        <v/>
      </c>
      <c r="D98" t="n">
        <v/>
      </c>
      <c r="E98" t="n">
        <v/>
      </c>
      <c r="F98" t="n">
        <v>-0.003181594824379076</v>
      </c>
    </row>
    <row r="99">
      <c r="A99" s="83" t="n">
        <v>37653</v>
      </c>
      <c r="B99" t="n">
        <v/>
      </c>
      <c r="C99" t="n">
        <v/>
      </c>
      <c r="D99" t="n">
        <v/>
      </c>
      <c r="E99" t="n">
        <v/>
      </c>
      <c r="F99" t="n">
        <v/>
      </c>
    </row>
    <row r="100">
      <c r="A100" s="83" t="n">
        <v>37681</v>
      </c>
      <c r="B100" t="n">
        <v/>
      </c>
      <c r="C100" t="n">
        <v/>
      </c>
      <c r="D100" t="n">
        <v/>
      </c>
      <c r="E100" t="n">
        <v/>
      </c>
      <c r="F100" t="n">
        <v/>
      </c>
    </row>
    <row r="101">
      <c r="A101" s="83" t="n">
        <v>37712</v>
      </c>
      <c r="B101" t="n">
        <v/>
      </c>
      <c r="C101" t="n">
        <v/>
      </c>
      <c r="D101" t="n">
        <v/>
      </c>
      <c r="E101" t="n">
        <v/>
      </c>
      <c r="F101" t="n">
        <v>0.0008100171836069274</v>
      </c>
    </row>
    <row r="102">
      <c r="A102" s="83" t="n">
        <v>37742</v>
      </c>
      <c r="B102" t="n">
        <v/>
      </c>
      <c r="C102" t="n">
        <v/>
      </c>
      <c r="D102" t="n">
        <v/>
      </c>
      <c r="E102" t="n">
        <v/>
      </c>
      <c r="F102" t="n">
        <v/>
      </c>
    </row>
    <row r="103">
      <c r="A103" s="83" t="n">
        <v>37773</v>
      </c>
      <c r="B103" t="n">
        <v/>
      </c>
      <c r="C103" t="n">
        <v/>
      </c>
      <c r="D103" t="n">
        <v/>
      </c>
      <c r="E103" t="n">
        <v/>
      </c>
      <c r="F103" t="n">
        <v/>
      </c>
    </row>
    <row r="104">
      <c r="A104" s="83" t="n">
        <v>37803</v>
      </c>
      <c r="B104" t="n">
        <v/>
      </c>
      <c r="C104" t="n">
        <v/>
      </c>
      <c r="D104" t="n">
        <v/>
      </c>
      <c r="E104" t="n">
        <v/>
      </c>
      <c r="F104" t="n">
        <v>0.005237530962537046</v>
      </c>
    </row>
    <row r="105">
      <c r="A105" s="83" t="n">
        <v>37834</v>
      </c>
      <c r="B105" t="n">
        <v/>
      </c>
      <c r="C105" t="n">
        <v/>
      </c>
      <c r="D105" t="n">
        <v/>
      </c>
      <c r="E105" t="n">
        <v/>
      </c>
      <c r="F105" t="n">
        <v/>
      </c>
    </row>
    <row r="106">
      <c r="A106" s="83" t="n">
        <v>37865</v>
      </c>
      <c r="B106" t="n">
        <v/>
      </c>
      <c r="C106" t="n">
        <v/>
      </c>
      <c r="D106" t="n">
        <v/>
      </c>
      <c r="E106" t="n">
        <v/>
      </c>
      <c r="F106" t="n">
        <v/>
      </c>
    </row>
    <row r="107">
      <c r="A107" s="83" t="n">
        <v>37895</v>
      </c>
      <c r="B107" t="n">
        <v/>
      </c>
      <c r="C107" t="n">
        <v/>
      </c>
      <c r="D107" t="n">
        <v/>
      </c>
      <c r="E107" t="n">
        <v/>
      </c>
      <c r="F107" t="n">
        <v>0.007447803131642029</v>
      </c>
    </row>
    <row r="108">
      <c r="A108" s="83" t="n">
        <v>37926</v>
      </c>
      <c r="B108" t="n">
        <v/>
      </c>
      <c r="C108" t="n">
        <v/>
      </c>
      <c r="D108" t="n">
        <v/>
      </c>
      <c r="E108" t="n">
        <v/>
      </c>
      <c r="F108" t="n">
        <v/>
      </c>
    </row>
    <row r="109">
      <c r="A109" s="83" t="n">
        <v>37956</v>
      </c>
      <c r="B109" t="n">
        <v/>
      </c>
      <c r="C109" t="n">
        <v/>
      </c>
      <c r="D109" t="n">
        <v/>
      </c>
      <c r="E109" t="n">
        <v/>
      </c>
      <c r="F109" t="n">
        <v/>
      </c>
    </row>
    <row r="110">
      <c r="A110" s="83" t="n">
        <v>37987</v>
      </c>
      <c r="B110" t="n">
        <v/>
      </c>
      <c r="C110" t="n">
        <v/>
      </c>
      <c r="D110" t="n">
        <v/>
      </c>
      <c r="E110" t="n">
        <v/>
      </c>
      <c r="F110" t="n">
        <v>0.004977384426485079</v>
      </c>
    </row>
    <row r="111">
      <c r="A111" s="83" t="n">
        <v>38018</v>
      </c>
      <c r="B111" t="n">
        <v/>
      </c>
      <c r="C111" t="n">
        <v/>
      </c>
      <c r="D111" t="n">
        <v/>
      </c>
      <c r="E111" t="n">
        <v/>
      </c>
      <c r="F111" t="n">
        <v/>
      </c>
    </row>
    <row r="112">
      <c r="A112" s="83" t="n">
        <v>38047</v>
      </c>
      <c r="B112" t="n">
        <v/>
      </c>
      <c r="C112" t="n">
        <v/>
      </c>
      <c r="D112" t="n">
        <v/>
      </c>
      <c r="E112" t="n">
        <v/>
      </c>
      <c r="F112" t="n">
        <v/>
      </c>
    </row>
    <row r="113">
      <c r="A113" s="83" t="n">
        <v>38078</v>
      </c>
      <c r="B113" t="n">
        <v/>
      </c>
      <c r="C113" t="n">
        <v/>
      </c>
      <c r="D113" t="n">
        <v/>
      </c>
      <c r="E113" t="n">
        <v/>
      </c>
      <c r="F113" t="n">
        <v>0.006128853384085811</v>
      </c>
    </row>
    <row r="114">
      <c r="A114" s="83" t="n">
        <v>38108</v>
      </c>
      <c r="B114" t="n">
        <v/>
      </c>
      <c r="C114" t="n">
        <v/>
      </c>
      <c r="D114" t="n">
        <v/>
      </c>
      <c r="E114" t="n">
        <v/>
      </c>
      <c r="F114" t="n">
        <v/>
      </c>
    </row>
    <row r="115">
      <c r="A115" s="83" t="n">
        <v>38139</v>
      </c>
      <c r="B115" t="n">
        <v/>
      </c>
      <c r="C115" t="n">
        <v/>
      </c>
      <c r="D115" t="n">
        <v/>
      </c>
      <c r="E115" t="n">
        <v/>
      </c>
      <c r="F115" t="n">
        <v/>
      </c>
    </row>
    <row r="116">
      <c r="A116" s="83" t="n">
        <v>38169</v>
      </c>
      <c r="B116" t="n">
        <v/>
      </c>
      <c r="C116" t="n">
        <v/>
      </c>
      <c r="D116" t="n">
        <v/>
      </c>
      <c r="E116" t="n">
        <v/>
      </c>
      <c r="F116" t="n">
        <v>0.002394187666006766</v>
      </c>
    </row>
    <row r="117">
      <c r="A117" s="83" t="n">
        <v>38200</v>
      </c>
      <c r="B117" t="n">
        <v/>
      </c>
      <c r="C117" t="n">
        <v/>
      </c>
      <c r="D117" t="n">
        <v/>
      </c>
      <c r="E117" t="n">
        <v/>
      </c>
      <c r="F117" t="n">
        <v/>
      </c>
    </row>
    <row r="118">
      <c r="A118" s="83" t="n">
        <v>38231</v>
      </c>
      <c r="B118" t="n">
        <v/>
      </c>
      <c r="C118" t="n">
        <v/>
      </c>
      <c r="D118" t="n">
        <v/>
      </c>
      <c r="E118" t="n">
        <v/>
      </c>
      <c r="F118" t="n">
        <v/>
      </c>
    </row>
    <row r="119">
      <c r="A119" s="83" t="n">
        <v>38261</v>
      </c>
      <c r="B119" t="n">
        <v/>
      </c>
      <c r="C119" t="n">
        <v/>
      </c>
      <c r="D119" t="n">
        <v/>
      </c>
      <c r="E119" t="n">
        <v/>
      </c>
      <c r="F119" t="n">
        <v>0.003827875473593174</v>
      </c>
    </row>
    <row r="120">
      <c r="A120" s="83" t="n">
        <v>38292</v>
      </c>
      <c r="B120" t="n">
        <v/>
      </c>
      <c r="C120" t="n">
        <v/>
      </c>
      <c r="D120" t="n">
        <v/>
      </c>
      <c r="E120" t="n">
        <v/>
      </c>
      <c r="F120" t="n">
        <v/>
      </c>
    </row>
    <row r="121">
      <c r="A121" s="83" t="n">
        <v>38322</v>
      </c>
      <c r="B121" t="n">
        <v/>
      </c>
      <c r="C121" t="n">
        <v/>
      </c>
      <c r="D121" t="n">
        <v>21.67432403564453</v>
      </c>
      <c r="E121" t="n">
        <v>36.18000030517578</v>
      </c>
      <c r="F121" t="n">
        <v/>
      </c>
    </row>
    <row r="122">
      <c r="A122" s="83" t="n">
        <v>38353</v>
      </c>
      <c r="B122" t="n">
        <v/>
      </c>
      <c r="C122" t="n">
        <v/>
      </c>
      <c r="D122" t="n">
        <v>21.58342552185059</v>
      </c>
      <c r="E122" t="n">
        <v>35.29999923706055</v>
      </c>
      <c r="F122" t="n">
        <v>0.00221043091722011</v>
      </c>
    </row>
    <row r="123">
      <c r="A123" s="83" t="n">
        <v>38384</v>
      </c>
      <c r="B123" t="n">
        <v/>
      </c>
      <c r="C123" t="n">
        <v/>
      </c>
      <c r="D123" t="n">
        <v>22.52275848388672</v>
      </c>
      <c r="E123" t="n">
        <v>37.15999984741211</v>
      </c>
      <c r="F123" t="n">
        <v/>
      </c>
    </row>
    <row r="124">
      <c r="A124" s="83" t="n">
        <v>38412</v>
      </c>
      <c r="B124" t="n">
        <v/>
      </c>
      <c r="C124" t="n">
        <v/>
      </c>
      <c r="D124" t="n">
        <v>21.97861289978027</v>
      </c>
      <c r="E124" t="n">
        <v>36.2599983215332</v>
      </c>
      <c r="F124" t="n">
        <v/>
      </c>
    </row>
    <row r="125">
      <c r="A125" s="83" t="n">
        <v>38443</v>
      </c>
      <c r="B125" t="n">
        <v/>
      </c>
      <c r="C125" t="n">
        <v/>
      </c>
      <c r="D125" t="n">
        <v>21.2186279296875</v>
      </c>
      <c r="E125" t="n">
        <v>35.81999969482422</v>
      </c>
      <c r="F125" t="n">
        <v>0.005952457423367185</v>
      </c>
    </row>
    <row r="126">
      <c r="A126" s="83" t="n">
        <v>38473</v>
      </c>
      <c r="B126" t="n">
        <v/>
      </c>
      <c r="C126" t="n">
        <v/>
      </c>
      <c r="D126" t="n">
        <v>21.3128662109375</v>
      </c>
      <c r="E126" t="n">
        <v>35.54000091552734</v>
      </c>
      <c r="F126" t="n">
        <v/>
      </c>
    </row>
    <row r="127">
      <c r="A127" s="83" t="n">
        <v>38504</v>
      </c>
      <c r="B127" t="n">
        <v/>
      </c>
      <c r="C127" t="n">
        <v/>
      </c>
      <c r="D127" t="n">
        <v>21.62598419189453</v>
      </c>
      <c r="E127" t="n">
        <v>35.93999862670898</v>
      </c>
      <c r="F127" t="n">
        <v/>
      </c>
    </row>
    <row r="128">
      <c r="A128" s="83" t="n">
        <v>38534</v>
      </c>
      <c r="B128" t="n">
        <v/>
      </c>
      <c r="C128" t="n">
        <v/>
      </c>
      <c r="D128" t="n">
        <v>22.61091804504395</v>
      </c>
      <c r="E128" t="n">
        <v>36.20000076293945</v>
      </c>
      <c r="F128" t="n">
        <v>0.007339436254405703</v>
      </c>
    </row>
    <row r="129">
      <c r="A129" s="83" t="n">
        <v>38565</v>
      </c>
      <c r="B129" t="n">
        <v/>
      </c>
      <c r="C129" t="n">
        <v/>
      </c>
      <c r="D129" t="n">
        <v>22.98178482055664</v>
      </c>
      <c r="E129" t="n">
        <v>37.63999938964844</v>
      </c>
      <c r="F129" t="n">
        <v/>
      </c>
    </row>
    <row r="130">
      <c r="A130" s="83" t="n">
        <v>38596</v>
      </c>
      <c r="B130" t="n">
        <v/>
      </c>
      <c r="C130" t="n">
        <v/>
      </c>
      <c r="D130" t="n">
        <v>23.3830509185791</v>
      </c>
      <c r="E130" t="n">
        <v>37.91999816894531</v>
      </c>
      <c r="F130" t="n">
        <v/>
      </c>
    </row>
    <row r="131">
      <c r="A131" s="83" t="n">
        <v>38626</v>
      </c>
      <c r="B131" t="n">
        <v/>
      </c>
      <c r="C131" t="n">
        <v/>
      </c>
      <c r="D131" t="n">
        <v>22.5014762878418</v>
      </c>
      <c r="E131" t="n">
        <v>37</v>
      </c>
      <c r="F131" t="n">
        <v>0.006425683389720147</v>
      </c>
    </row>
    <row r="132">
      <c r="A132" s="83" t="n">
        <v>38657</v>
      </c>
      <c r="B132" t="n">
        <v/>
      </c>
      <c r="C132" t="n">
        <v/>
      </c>
      <c r="D132" t="n">
        <v>22.9149055480957</v>
      </c>
      <c r="E132" t="n">
        <v>37.06000137329102</v>
      </c>
      <c r="F132" t="n">
        <v/>
      </c>
    </row>
    <row r="133">
      <c r="A133" s="83" t="n">
        <v>38687</v>
      </c>
      <c r="B133" t="n">
        <v/>
      </c>
      <c r="C133" t="n">
        <v/>
      </c>
      <c r="D133" t="n">
        <v>23.60497093200684</v>
      </c>
      <c r="E133" t="n">
        <v>37.15999984741211</v>
      </c>
      <c r="F133" t="n">
        <v/>
      </c>
    </row>
    <row r="134">
      <c r="A134" s="83" t="n">
        <v>38718</v>
      </c>
      <c r="B134" t="n">
        <v/>
      </c>
      <c r="C134" t="n">
        <v/>
      </c>
      <c r="D134" t="n">
        <v>25.62154960632324</v>
      </c>
      <c r="E134" t="n">
        <v>39.41999816894531</v>
      </c>
      <c r="F134" t="n">
        <v>0.008850098443611818</v>
      </c>
    </row>
    <row r="135">
      <c r="A135" s="83" t="n">
        <v>38749</v>
      </c>
      <c r="B135" t="n">
        <v/>
      </c>
      <c r="C135" t="n">
        <v/>
      </c>
      <c r="D135" t="n">
        <v>25.80702972412109</v>
      </c>
      <c r="E135" t="n">
        <v>39.20000076293945</v>
      </c>
      <c r="F135" t="n">
        <v/>
      </c>
    </row>
    <row r="136">
      <c r="A136" s="83" t="n">
        <v>38777</v>
      </c>
      <c r="B136" t="n">
        <v/>
      </c>
      <c r="C136" t="n">
        <v/>
      </c>
      <c r="D136" t="n">
        <v>26.94157218933105</v>
      </c>
      <c r="E136" t="n">
        <v>40.31999969482422</v>
      </c>
      <c r="F136" t="n">
        <v/>
      </c>
    </row>
    <row r="137">
      <c r="A137" s="83" t="n">
        <v>38808</v>
      </c>
      <c r="B137" t="n">
        <v/>
      </c>
      <c r="C137" t="n">
        <v/>
      </c>
      <c r="D137" t="n">
        <v>28.1472225189209</v>
      </c>
      <c r="E137" t="n">
        <v>42.90000152587891</v>
      </c>
      <c r="F137" t="n">
        <v>0.01101841941394829</v>
      </c>
    </row>
    <row r="138">
      <c r="A138" s="83" t="n">
        <v>38838</v>
      </c>
      <c r="B138" t="n">
        <v/>
      </c>
      <c r="C138" t="n">
        <v/>
      </c>
      <c r="D138" t="n">
        <v>27.14561080932617</v>
      </c>
      <c r="E138" t="n">
        <v>41.7599983215332</v>
      </c>
      <c r="F138" t="n">
        <v/>
      </c>
    </row>
    <row r="139">
      <c r="A139" s="83" t="n">
        <v>38869</v>
      </c>
      <c r="B139" t="n">
        <v/>
      </c>
      <c r="C139" t="n">
        <v/>
      </c>
      <c r="D139" t="n">
        <v>27.22290420532227</v>
      </c>
      <c r="E139" t="n">
        <v>42.09999847412109</v>
      </c>
      <c r="F139" t="n">
        <v/>
      </c>
    </row>
    <row r="140">
      <c r="A140" s="83" t="n">
        <v>38899</v>
      </c>
      <c r="B140" t="n">
        <v/>
      </c>
      <c r="C140" t="n">
        <v/>
      </c>
      <c r="D140" t="n">
        <v>27.5474967956543</v>
      </c>
      <c r="E140" t="n">
        <v>43.20000076293945</v>
      </c>
      <c r="F140" t="n">
        <v>0.005773295373520445</v>
      </c>
    </row>
    <row r="141">
      <c r="A141" s="83" t="n">
        <v>38930</v>
      </c>
      <c r="B141" t="n">
        <v/>
      </c>
      <c r="C141" t="n">
        <v/>
      </c>
      <c r="D141" t="n">
        <v>28.61712265014648</v>
      </c>
      <c r="E141" t="n">
        <v>44.13999938964844</v>
      </c>
      <c r="F141" t="n">
        <v/>
      </c>
    </row>
    <row r="142">
      <c r="A142" s="83" t="n">
        <v>38961</v>
      </c>
      <c r="B142" t="n">
        <v/>
      </c>
      <c r="C142" t="n">
        <v/>
      </c>
      <c r="D142" t="n">
        <v>29.11792373657227</v>
      </c>
      <c r="E142" t="n">
        <v>43.77999877929688</v>
      </c>
      <c r="F142" t="n">
        <v/>
      </c>
    </row>
    <row r="143">
      <c r="A143" s="83" t="n">
        <v>38991</v>
      </c>
      <c r="B143" t="n">
        <v/>
      </c>
      <c r="C143" t="n">
        <v/>
      </c>
      <c r="D143" t="n">
        <v>30.11026573181152</v>
      </c>
      <c r="E143" t="n">
        <v>45.79999923706055</v>
      </c>
      <c r="F143" t="n">
        <v>0.01176105500812759</v>
      </c>
    </row>
    <row r="144">
      <c r="A144" s="83" t="n">
        <v>39022</v>
      </c>
      <c r="B144" t="n">
        <v/>
      </c>
      <c r="C144" t="n">
        <v/>
      </c>
      <c r="D144" t="n">
        <v>31.50140190124512</v>
      </c>
      <c r="E144" t="n">
        <v>47.09999847412109</v>
      </c>
      <c r="F144" t="n">
        <v/>
      </c>
    </row>
    <row r="145">
      <c r="A145" s="83" t="n">
        <v>39052</v>
      </c>
      <c r="B145" t="n">
        <v/>
      </c>
      <c r="C145" t="n">
        <v/>
      </c>
      <c r="D145" t="n">
        <v>31.94964408874512</v>
      </c>
      <c r="E145" t="n">
        <v>46.81999969482422</v>
      </c>
      <c r="F145" t="n">
        <v/>
      </c>
    </row>
    <row r="146">
      <c r="A146" s="83" t="n">
        <v>39083</v>
      </c>
      <c r="B146" t="n">
        <v/>
      </c>
      <c r="C146" t="n">
        <v/>
      </c>
      <c r="D146" t="n">
        <v>32.99742889404297</v>
      </c>
      <c r="E146" t="n">
        <v>47.13999938964844</v>
      </c>
      <c r="F146" t="n">
        <v>0.006193981606990178</v>
      </c>
    </row>
    <row r="147">
      <c r="A147" s="83" t="n">
        <v>39114</v>
      </c>
      <c r="B147" t="n">
        <v/>
      </c>
      <c r="C147" t="n">
        <v/>
      </c>
      <c r="D147" t="n">
        <v>32.69845581054688</v>
      </c>
      <c r="E147" t="n">
        <v>46.43999862670898</v>
      </c>
      <c r="F147" t="n">
        <v/>
      </c>
    </row>
    <row r="148">
      <c r="A148" s="83" t="n">
        <v>39142</v>
      </c>
      <c r="B148" t="n">
        <v/>
      </c>
      <c r="C148" t="n">
        <v/>
      </c>
      <c r="D148" t="n">
        <v>34.05801773071289</v>
      </c>
      <c r="E148" t="n">
        <v>48.13999938964844</v>
      </c>
      <c r="F148" t="n">
        <v/>
      </c>
    </row>
    <row r="149">
      <c r="A149" s="83" t="n">
        <v>39173</v>
      </c>
      <c r="B149" t="n">
        <v/>
      </c>
      <c r="C149" t="n">
        <v/>
      </c>
      <c r="D149" t="n">
        <v>36.19175338745117</v>
      </c>
      <c r="E149" t="n">
        <v>49.70000076293945</v>
      </c>
      <c r="F149" t="n">
        <v>0.007049447855151071</v>
      </c>
    </row>
    <row r="150">
      <c r="A150" s="83" t="n">
        <v>39203</v>
      </c>
      <c r="B150" t="n">
        <v/>
      </c>
      <c r="C150" t="n">
        <v/>
      </c>
      <c r="D150" t="n">
        <v>37.56073760986328</v>
      </c>
      <c r="E150" t="n">
        <v>50.7599983215332</v>
      </c>
      <c r="F150" t="n">
        <v/>
      </c>
    </row>
    <row r="151">
      <c r="A151" s="83" t="n">
        <v>39234</v>
      </c>
      <c r="B151" t="n">
        <v/>
      </c>
      <c r="C151" t="n">
        <v/>
      </c>
      <c r="D151" t="n">
        <v>37.1358757019043</v>
      </c>
      <c r="E151" t="n">
        <v>51.09999847412109</v>
      </c>
      <c r="F151" t="n">
        <v/>
      </c>
    </row>
    <row r="152">
      <c r="A152" s="83" t="n">
        <v>39264</v>
      </c>
      <c r="B152" t="n">
        <v/>
      </c>
      <c r="C152" t="n">
        <v/>
      </c>
      <c r="D152" t="n">
        <v>35.96831130981445</v>
      </c>
      <c r="E152" t="n">
        <v>49.38000106811523</v>
      </c>
      <c r="F152" t="n">
        <v>0.004546517611509739</v>
      </c>
    </row>
    <row r="153">
      <c r="A153" s="83" t="n">
        <v>39295</v>
      </c>
      <c r="B153" t="n">
        <v/>
      </c>
      <c r="C153" t="n">
        <v/>
      </c>
      <c r="D153" t="n">
        <v>35.95886993408203</v>
      </c>
      <c r="E153" t="n">
        <v>49.47999954223633</v>
      </c>
      <c r="F153" t="n">
        <v/>
      </c>
    </row>
    <row r="154">
      <c r="A154" s="83" t="n">
        <v>39326</v>
      </c>
      <c r="B154" t="n">
        <v/>
      </c>
      <c r="C154" t="n">
        <v/>
      </c>
      <c r="D154" t="n">
        <v>38.04854202270508</v>
      </c>
      <c r="E154" t="n">
        <v>51.45999908447266</v>
      </c>
      <c r="F154" t="n">
        <v/>
      </c>
    </row>
    <row r="155">
      <c r="A155" s="83" t="n">
        <v>39356</v>
      </c>
      <c r="B155" t="n">
        <v/>
      </c>
      <c r="C155" t="n">
        <v/>
      </c>
      <c r="D155" t="n">
        <v>39.93365859985352</v>
      </c>
      <c r="E155" t="n">
        <v>54.43999862670898</v>
      </c>
      <c r="F155" t="n">
        <v>0.005179439615667413</v>
      </c>
    </row>
    <row r="156">
      <c r="A156" s="83" t="n">
        <v>39387</v>
      </c>
      <c r="B156" t="n">
        <v/>
      </c>
      <c r="C156" t="n">
        <v/>
      </c>
      <c r="D156" t="n">
        <v>38.82587432861328</v>
      </c>
      <c r="E156" t="n">
        <v>51.2400016784668</v>
      </c>
      <c r="F156" t="n">
        <v/>
      </c>
    </row>
    <row r="157">
      <c r="A157" s="83" t="n">
        <v>39417</v>
      </c>
      <c r="B157" t="n">
        <v/>
      </c>
      <c r="C157" t="n">
        <v/>
      </c>
      <c r="D157" t="n">
        <v>37.55130004882812</v>
      </c>
      <c r="E157" t="n">
        <v>48.15999984741211</v>
      </c>
      <c r="F157" t="n">
        <v/>
      </c>
    </row>
    <row r="158">
      <c r="A158" s="83" t="n">
        <v>39448</v>
      </c>
      <c r="B158" t="n">
        <v/>
      </c>
      <c r="C158" t="n">
        <v/>
      </c>
      <c r="D158" t="n">
        <v>34.53705596923828</v>
      </c>
      <c r="E158" t="n">
        <v>44.31999969482422</v>
      </c>
      <c r="F158" t="n">
        <v>0.004991492112956603</v>
      </c>
    </row>
    <row r="159">
      <c r="A159" s="83" t="n">
        <v>39479</v>
      </c>
      <c r="B159" t="n">
        <v/>
      </c>
      <c r="C159" t="n">
        <v/>
      </c>
      <c r="D159" t="n">
        <v>34.25300979614258</v>
      </c>
      <c r="E159" t="n">
        <v>43.79999923706055</v>
      </c>
      <c r="F159" t="n">
        <v/>
      </c>
    </row>
    <row r="160">
      <c r="A160" s="83" t="n">
        <v>39508</v>
      </c>
      <c r="B160" t="n">
        <v/>
      </c>
      <c r="C160" t="n">
        <v/>
      </c>
      <c r="D160" t="n">
        <v>35.11803817749023</v>
      </c>
      <c r="E160" t="n">
        <v>43.11999893188477</v>
      </c>
      <c r="F160" t="n">
        <v/>
      </c>
    </row>
    <row r="161">
      <c r="A161" s="83" t="n">
        <v>39539</v>
      </c>
      <c r="B161" t="n">
        <v/>
      </c>
      <c r="C161" t="n">
        <v/>
      </c>
      <c r="D161" t="n">
        <v>36.51890182495117</v>
      </c>
      <c r="E161" t="n">
        <v>45.68000030517578</v>
      </c>
      <c r="F161" t="n">
        <v>-0.003328169412722092</v>
      </c>
    </row>
    <row r="162">
      <c r="A162" s="83" t="n">
        <v>39569</v>
      </c>
      <c r="B162" t="n">
        <v/>
      </c>
      <c r="C162" t="n">
        <v/>
      </c>
      <c r="D162" t="n">
        <v>36.951416015625</v>
      </c>
      <c r="E162" t="n">
        <v>45.58000183105469</v>
      </c>
      <c r="F162" t="n">
        <v/>
      </c>
    </row>
    <row r="163">
      <c r="A163" s="83" t="n">
        <v>39600</v>
      </c>
      <c r="B163" t="n">
        <v/>
      </c>
      <c r="C163" t="n">
        <v/>
      </c>
      <c r="D163" t="n">
        <v>31.62883758544922</v>
      </c>
      <c r="E163" t="n">
        <v>41.43999862670898</v>
      </c>
      <c r="F163" t="n">
        <v/>
      </c>
    </row>
    <row r="164">
      <c r="A164" s="83" t="n">
        <v>39630</v>
      </c>
      <c r="B164" t="n">
        <v/>
      </c>
      <c r="C164" t="n">
        <v/>
      </c>
      <c r="D164" t="n">
        <v>31.99061012268066</v>
      </c>
      <c r="E164" t="n">
        <v>39.7400016784668</v>
      </c>
      <c r="F164" t="n">
        <v>-0.005244351982757887</v>
      </c>
    </row>
    <row r="165">
      <c r="A165" s="83" t="n">
        <v>39661</v>
      </c>
      <c r="B165" t="n">
        <v/>
      </c>
      <c r="C165" t="n">
        <v/>
      </c>
      <c r="D165" t="n">
        <v>30.73240089416504</v>
      </c>
      <c r="E165" t="n">
        <v>38.40000152587891</v>
      </c>
      <c r="F165" t="n">
        <v/>
      </c>
    </row>
    <row r="166">
      <c r="A166" s="83" t="n">
        <v>39692</v>
      </c>
      <c r="B166" t="n">
        <v/>
      </c>
      <c r="C166" t="n">
        <v/>
      </c>
      <c r="D166" t="n">
        <v>26.58298301696777</v>
      </c>
      <c r="E166" t="n">
        <v>33.29999923706055</v>
      </c>
      <c r="F166" t="n">
        <v/>
      </c>
    </row>
    <row r="167">
      <c r="A167" s="83" t="n">
        <v>39722</v>
      </c>
      <c r="B167" t="n">
        <v/>
      </c>
      <c r="C167" t="n">
        <v/>
      </c>
      <c r="D167" t="n">
        <v>20.05101776123047</v>
      </c>
      <c r="E167" t="n">
        <v>26.71999931335449</v>
      </c>
      <c r="F167" t="n">
        <v>-0.01799993732478456</v>
      </c>
    </row>
    <row r="168">
      <c r="A168" s="83" t="n">
        <v>39753</v>
      </c>
      <c r="B168" t="n">
        <v/>
      </c>
      <c r="C168" t="n">
        <v/>
      </c>
      <c r="D168" t="n">
        <v>18.55856895446777</v>
      </c>
      <c r="E168" t="n">
        <v>25</v>
      </c>
      <c r="F168" t="n">
        <v/>
      </c>
    </row>
    <row r="169">
      <c r="A169" s="83" t="n">
        <v>39783</v>
      </c>
      <c r="B169" t="n">
        <v/>
      </c>
      <c r="C169" t="n">
        <v/>
      </c>
      <c r="D169" t="n">
        <v>20.48604011535645</v>
      </c>
      <c r="E169" t="n">
        <v>24.5</v>
      </c>
      <c r="F169" t="n">
        <v/>
      </c>
    </row>
    <row r="170">
      <c r="A170" s="83" t="n">
        <v>39814</v>
      </c>
      <c r="B170" t="n">
        <v/>
      </c>
      <c r="C170" t="n">
        <v/>
      </c>
      <c r="D170" t="n">
        <v>17.27926254272461</v>
      </c>
      <c r="E170" t="n">
        <v>22.20000076293945</v>
      </c>
      <c r="F170" t="n">
        <v>-0.03125365962362216</v>
      </c>
    </row>
    <row r="171">
      <c r="A171" s="83" t="n">
        <v>39845</v>
      </c>
      <c r="B171" t="n">
        <v/>
      </c>
      <c r="C171" t="n">
        <v/>
      </c>
      <c r="D171" t="n">
        <v>15.1934814453125</v>
      </c>
      <c r="E171" t="n">
        <v>20.04000091552734</v>
      </c>
      <c r="F171" t="n">
        <v/>
      </c>
    </row>
    <row r="172">
      <c r="A172" s="83" t="n">
        <v>39873</v>
      </c>
      <c r="B172" t="n">
        <v/>
      </c>
      <c r="C172" t="n">
        <v/>
      </c>
      <c r="D172" t="n">
        <v>16.69987869262695</v>
      </c>
      <c r="E172" t="n">
        <v>20.95999908447266</v>
      </c>
      <c r="F172" t="n">
        <v/>
      </c>
    </row>
    <row r="173">
      <c r="A173" s="83" t="n">
        <v>39904</v>
      </c>
      <c r="B173" t="n">
        <v/>
      </c>
      <c r="C173" t="n">
        <v/>
      </c>
      <c r="D173" t="n">
        <v>19.14692306518555</v>
      </c>
      <c r="E173" t="n">
        <v>23.45999908447266</v>
      </c>
      <c r="F173" t="n">
        <v>5.341178300044888e-05</v>
      </c>
    </row>
    <row r="174">
      <c r="A174" s="83" t="n">
        <v>39934</v>
      </c>
      <c r="B174" t="n">
        <v/>
      </c>
      <c r="C174" t="n">
        <v/>
      </c>
      <c r="D174" t="n">
        <v>21.67576026916504</v>
      </c>
      <c r="E174" t="n">
        <v>27.45999908447266</v>
      </c>
      <c r="F174" t="n">
        <v/>
      </c>
    </row>
    <row r="175">
      <c r="A175" s="83" t="n">
        <v>39965</v>
      </c>
      <c r="B175" t="n">
        <v/>
      </c>
      <c r="C175" t="n">
        <v/>
      </c>
      <c r="D175" t="n">
        <v>20.66013717651367</v>
      </c>
      <c r="E175" t="n">
        <v>26.42000007629395</v>
      </c>
      <c r="F175" t="n">
        <v/>
      </c>
    </row>
    <row r="176">
      <c r="A176" s="83" t="n">
        <v>39995</v>
      </c>
      <c r="B176" t="n">
        <v/>
      </c>
      <c r="C176" t="n">
        <v/>
      </c>
      <c r="D176" t="n">
        <v>23.47220611572266</v>
      </c>
      <c r="E176" t="n">
        <v>28.65999984741211</v>
      </c>
      <c r="F176" t="n">
        <v>0.00395509900046192</v>
      </c>
    </row>
    <row r="177">
      <c r="A177" s="83" t="n">
        <v>40026</v>
      </c>
      <c r="B177" t="n">
        <v/>
      </c>
      <c r="C177" t="n">
        <v/>
      </c>
      <c r="D177" t="n">
        <v>24.94053649902344</v>
      </c>
      <c r="E177" t="n">
        <v>29.89999961853027</v>
      </c>
      <c r="F177" t="n">
        <v/>
      </c>
    </row>
    <row r="178">
      <c r="A178" s="83" t="n">
        <v>40057</v>
      </c>
      <c r="B178" t="n">
        <v/>
      </c>
      <c r="C178" t="n">
        <v/>
      </c>
      <c r="D178" t="n">
        <v>26.57666015625</v>
      </c>
      <c r="E178" t="n">
        <v>31.02000045776367</v>
      </c>
      <c r="F178" t="n">
        <v/>
      </c>
    </row>
    <row r="179">
      <c r="A179" s="83" t="n">
        <v>40087</v>
      </c>
      <c r="B179" t="n">
        <v/>
      </c>
      <c r="C179" t="n">
        <v/>
      </c>
      <c r="D179" t="n">
        <v>25.36005210876465</v>
      </c>
      <c r="E179" t="n">
        <v>30.97999954223633</v>
      </c>
      <c r="F179" t="n">
        <v>0.004188762758222647</v>
      </c>
    </row>
    <row r="180">
      <c r="A180" s="83" t="n">
        <v>40118</v>
      </c>
      <c r="B180" t="n">
        <v/>
      </c>
      <c r="C180" t="n">
        <v/>
      </c>
      <c r="D180" t="n">
        <v>26.5976390838623</v>
      </c>
      <c r="E180" t="n">
        <v>32.54000091552734</v>
      </c>
      <c r="F180" t="n">
        <v/>
      </c>
    </row>
    <row r="181">
      <c r="A181" s="83" t="n">
        <v>40148</v>
      </c>
      <c r="B181" t="n">
        <v/>
      </c>
      <c r="C181" t="n">
        <v/>
      </c>
      <c r="D181" t="n">
        <v>26.19909858703613</v>
      </c>
      <c r="E181" t="n">
        <v>32.40000152587891</v>
      </c>
      <c r="F181" t="n">
        <v/>
      </c>
    </row>
    <row r="182">
      <c r="A182" s="83" t="n">
        <v>40179</v>
      </c>
      <c r="B182" t="n">
        <v/>
      </c>
      <c r="C182" t="n">
        <v/>
      </c>
      <c r="D182" t="n">
        <v>24.30830192565918</v>
      </c>
      <c r="E182" t="n">
        <v>30.86000061035156</v>
      </c>
      <c r="F182" t="n">
        <v>0.00424060342159847</v>
      </c>
    </row>
    <row r="183">
      <c r="A183" s="83" t="n">
        <v>40210</v>
      </c>
      <c r="B183" t="n">
        <v/>
      </c>
      <c r="C183" t="n">
        <v/>
      </c>
      <c r="D183" t="n">
        <v>23.58236312866211</v>
      </c>
      <c r="E183" t="n">
        <v>30.60000038146973</v>
      </c>
      <c r="F183" t="n">
        <v/>
      </c>
    </row>
    <row r="184">
      <c r="A184" s="83" t="n">
        <v>40238</v>
      </c>
      <c r="B184" t="n">
        <v/>
      </c>
      <c r="C184" t="n">
        <v/>
      </c>
      <c r="D184" t="n">
        <v>25.32320404052734</v>
      </c>
      <c r="E184" t="n">
        <v>32.54000091552734</v>
      </c>
      <c r="F184" t="n">
        <v/>
      </c>
    </row>
    <row r="185">
      <c r="A185" s="83" t="n">
        <v>40269</v>
      </c>
      <c r="B185" t="n">
        <v/>
      </c>
      <c r="C185" t="n">
        <v/>
      </c>
      <c r="D185" t="n">
        <v>24.06867218017578</v>
      </c>
      <c r="E185" t="n">
        <v>31.84000015258789</v>
      </c>
      <c r="F185" t="n">
        <v>0.00974947759961344</v>
      </c>
    </row>
    <row r="186">
      <c r="A186" s="83" t="n">
        <v>40299</v>
      </c>
      <c r="B186" t="n">
        <v/>
      </c>
      <c r="C186" t="n">
        <v/>
      </c>
      <c r="D186" t="n">
        <v>21.0310173034668</v>
      </c>
      <c r="E186" t="n">
        <v>28.34000015258789</v>
      </c>
      <c r="F186" t="n">
        <v/>
      </c>
    </row>
    <row r="187">
      <c r="A187" s="83" t="n">
        <v>40330</v>
      </c>
      <c r="B187" t="n">
        <v/>
      </c>
      <c r="C187" t="n">
        <v/>
      </c>
      <c r="D187" t="n">
        <v>20.1218318939209</v>
      </c>
      <c r="E187" t="n">
        <v>26.8799991607666</v>
      </c>
      <c r="F187" t="n">
        <v/>
      </c>
    </row>
    <row r="188">
      <c r="A188" s="83" t="n">
        <v>40360</v>
      </c>
      <c r="B188" t="n">
        <v/>
      </c>
      <c r="C188" t="n">
        <v/>
      </c>
      <c r="D188" t="n">
        <v>23.62701416015625</v>
      </c>
      <c r="E188" t="n">
        <v>30.78000068664551</v>
      </c>
      <c r="F188" t="n">
        <v>0.00429078685121109</v>
      </c>
    </row>
    <row r="189">
      <c r="A189" s="83" t="n">
        <v>40391</v>
      </c>
      <c r="B189" t="n">
        <v/>
      </c>
      <c r="C189" t="n">
        <v/>
      </c>
      <c r="D189" t="n">
        <v>21.97944641113281</v>
      </c>
      <c r="E189" t="n">
        <v>29.92000007629395</v>
      </c>
      <c r="F189" t="n">
        <v/>
      </c>
    </row>
    <row r="190">
      <c r="A190" s="83" t="n">
        <v>40422</v>
      </c>
      <c r="B190" t="n">
        <v/>
      </c>
      <c r="C190" t="n">
        <v/>
      </c>
      <c r="D190" t="n">
        <v>24.91484260559082</v>
      </c>
      <c r="E190" t="n">
        <v>32.72000122070312</v>
      </c>
      <c r="F190" t="n">
        <v/>
      </c>
    </row>
    <row r="191">
      <c r="A191" s="83" t="n">
        <v>40452</v>
      </c>
      <c r="B191" t="n">
        <v>53.7</v>
      </c>
      <c r="C191" t="n">
        <v>34.73037338256836</v>
      </c>
      <c r="D191" t="n">
        <v>26.42570114135742</v>
      </c>
      <c r="E191" t="n">
        <v>34.09999847412109</v>
      </c>
      <c r="F191" t="n">
        <v>0.005971158103858889</v>
      </c>
    </row>
    <row r="192">
      <c r="A192" s="83" t="n">
        <v>40483</v>
      </c>
      <c r="B192" t="n">
        <v>54</v>
      </c>
      <c r="C192" t="n">
        <v>33.97114562988281</v>
      </c>
      <c r="D192" t="n">
        <v>23.49750709533691</v>
      </c>
      <c r="E192" t="n">
        <v>32.31999969482422</v>
      </c>
      <c r="F192" t="n">
        <v/>
      </c>
    </row>
    <row r="193">
      <c r="A193" s="83" t="n">
        <v>40513</v>
      </c>
      <c r="B193" t="n">
        <v>54.9</v>
      </c>
      <c r="C193" t="n">
        <v>36.26429748535156</v>
      </c>
      <c r="D193" t="n">
        <v>25.37528991699219</v>
      </c>
      <c r="E193" t="n">
        <v>34.7400016784668</v>
      </c>
      <c r="F193" t="n">
        <v/>
      </c>
    </row>
    <row r="194">
      <c r="A194" s="83" t="n">
        <v>40544</v>
      </c>
      <c r="B194" t="n">
        <v>57.2</v>
      </c>
      <c r="C194" t="n">
        <v>37.00937271118164</v>
      </c>
      <c r="D194" t="n">
        <v>27.2068920135498</v>
      </c>
      <c r="E194" t="n">
        <v>35.11999893188477</v>
      </c>
      <c r="F194" t="n">
        <v>0.008992860346131965</v>
      </c>
    </row>
    <row r="195">
      <c r="A195" s="83" t="n">
        <v>40575</v>
      </c>
      <c r="B195" t="n">
        <v>58.2</v>
      </c>
      <c r="C195" t="n">
        <v>38.15931701660156</v>
      </c>
      <c r="D195" t="n">
        <v>28.0047492980957</v>
      </c>
      <c r="E195" t="n">
        <v>36.72000122070312</v>
      </c>
      <c r="F195" t="n">
        <v/>
      </c>
    </row>
    <row r="196">
      <c r="A196" s="83" t="n">
        <v>40603</v>
      </c>
      <c r="B196" t="n">
        <v>56</v>
      </c>
      <c r="C196" t="n">
        <v>37.83076477050781</v>
      </c>
      <c r="D196" t="n">
        <v>28.09903717041016</v>
      </c>
      <c r="E196" t="n">
        <v>35.81999969482422</v>
      </c>
      <c r="F196" t="n">
        <v/>
      </c>
    </row>
    <row r="197">
      <c r="A197" s="83" t="n">
        <v>40634</v>
      </c>
      <c r="B197" t="n">
        <v>55.5</v>
      </c>
      <c r="C197" t="n">
        <v>39.65346527099609</v>
      </c>
      <c r="D197" t="n">
        <v>30.34029579162598</v>
      </c>
      <c r="E197" t="n">
        <v>38.22000122070312</v>
      </c>
      <c r="F197" t="n">
        <v>-0.0003085770216993498</v>
      </c>
    </row>
    <row r="198">
      <c r="A198" s="83" t="n">
        <v>40664</v>
      </c>
      <c r="B198" t="n">
        <v>53.1</v>
      </c>
      <c r="C198" t="n">
        <v>38.87900924682617</v>
      </c>
      <c r="D198" t="n">
        <v>28.89689064025879</v>
      </c>
      <c r="E198" t="n">
        <v>37.31999969482422</v>
      </c>
      <c r="F198" t="n">
        <v/>
      </c>
    </row>
    <row r="199">
      <c r="A199" s="83" t="n">
        <v>40695</v>
      </c>
      <c r="B199" t="n">
        <v>52.8</v>
      </c>
      <c r="C199" t="n">
        <v>37.74471664428711</v>
      </c>
      <c r="D199" t="n">
        <v>28.16431617736816</v>
      </c>
      <c r="E199" t="n">
        <v>35.61999893188477</v>
      </c>
      <c r="F199" t="n">
        <v/>
      </c>
    </row>
    <row r="200">
      <c r="A200" s="83" t="n">
        <v>40725</v>
      </c>
      <c r="B200" t="n">
        <v>50.9</v>
      </c>
      <c r="C200" t="n">
        <v>37.32358932495117</v>
      </c>
      <c r="D200" t="n">
        <v>26.62810325622559</v>
      </c>
      <c r="E200" t="n">
        <v>35.47999954223633</v>
      </c>
      <c r="F200" t="n">
        <v>0.001521608173450129</v>
      </c>
    </row>
    <row r="201">
      <c r="A201" s="83" t="n">
        <v>40756</v>
      </c>
      <c r="B201" t="n">
        <v>50.4</v>
      </c>
      <c r="C201" t="n">
        <v>34.57675933837891</v>
      </c>
      <c r="D201" t="n">
        <v>23.37932777404785</v>
      </c>
      <c r="E201" t="n">
        <v>32.7599983215332</v>
      </c>
      <c r="F201" t="n">
        <v/>
      </c>
    </row>
    <row r="202">
      <c r="A202" s="83" t="n">
        <v>40787</v>
      </c>
      <c r="B202" t="n">
        <v>50.1</v>
      </c>
      <c r="C202" t="n">
        <v>30.96709251403809</v>
      </c>
      <c r="D202" t="n">
        <v>20.26406288146973</v>
      </c>
      <c r="E202" t="n">
        <v>29.54000091552734</v>
      </c>
      <c r="F202" t="n">
        <v/>
      </c>
    </row>
    <row r="203">
      <c r="A203" s="83" t="n">
        <v>40817</v>
      </c>
      <c r="B203" t="n">
        <v>49.5</v>
      </c>
      <c r="C203" t="n">
        <v>34.47385406494141</v>
      </c>
      <c r="D203" t="n">
        <v>22.82302856445312</v>
      </c>
      <c r="E203" t="n">
        <v>33.36000061035156</v>
      </c>
      <c r="F203" t="n">
        <v>-0.004149163311277379</v>
      </c>
    </row>
    <row r="204">
      <c r="A204" s="83" t="n">
        <v>40848</v>
      </c>
      <c r="B204" t="n">
        <v>49.6</v>
      </c>
      <c r="C204" t="n">
        <v>34.07806396484375</v>
      </c>
      <c r="D204" t="n">
        <v>21.85878372192383</v>
      </c>
      <c r="E204" t="n">
        <v>32.81999969482422</v>
      </c>
      <c r="F204" t="n">
        <v/>
      </c>
    </row>
    <row r="205">
      <c r="A205" s="83" t="n">
        <v>40878</v>
      </c>
      <c r="B205" t="n">
        <v>50.4</v>
      </c>
      <c r="C205" t="n">
        <v>33.38145065307617</v>
      </c>
      <c r="D205" t="n">
        <v>20.69427108764648</v>
      </c>
      <c r="E205" t="n">
        <v>32.31999969482422</v>
      </c>
      <c r="F205" t="n">
        <v/>
      </c>
    </row>
    <row r="206">
      <c r="A206" s="83" t="n">
        <v>40909</v>
      </c>
      <c r="B206" t="n">
        <v>51</v>
      </c>
      <c r="C206" t="n">
        <v>35.60319900512695</v>
      </c>
      <c r="D206" t="n">
        <v>22.41403388977051</v>
      </c>
      <c r="E206" t="n">
        <v>33.36000061035156</v>
      </c>
      <c r="F206" t="n">
        <v>-0.002069443629937232</v>
      </c>
    </row>
    <row r="207">
      <c r="A207" s="83" t="n">
        <v>40940</v>
      </c>
      <c r="B207" t="n">
        <v>51.2</v>
      </c>
      <c r="C207" t="n">
        <v>37.36415481567383</v>
      </c>
      <c r="D207" t="n">
        <v>23.6446647644043</v>
      </c>
      <c r="E207" t="n">
        <v>35.06000137329102</v>
      </c>
      <c r="F207" t="n">
        <v/>
      </c>
    </row>
    <row r="208">
      <c r="A208" s="83" t="n">
        <v>40969</v>
      </c>
      <c r="B208" t="n">
        <v>51.6</v>
      </c>
      <c r="C208" t="n">
        <v>37.78038024902344</v>
      </c>
      <c r="D208" t="n">
        <v>23.67468452453613</v>
      </c>
      <c r="E208" t="n">
        <v>34.59999847412109</v>
      </c>
      <c r="F208" t="n">
        <v/>
      </c>
    </row>
    <row r="209">
      <c r="A209" s="83" t="n">
        <v>41000</v>
      </c>
      <c r="B209" t="n">
        <v>51.3</v>
      </c>
      <c r="C209" t="n">
        <v>37.34814834594727</v>
      </c>
      <c r="D209" t="n">
        <v>22.34650421142578</v>
      </c>
      <c r="E209" t="n">
        <v>35.09999847412109</v>
      </c>
      <c r="F209" t="n">
        <v>-0.002810240153148669</v>
      </c>
    </row>
    <row r="210">
      <c r="A210" s="83" t="n">
        <v>41030</v>
      </c>
      <c r="B210" t="n">
        <v>50.3</v>
      </c>
      <c r="C210" t="n">
        <v>33.88227462768555</v>
      </c>
      <c r="D210" t="n">
        <v>19.46501541137695</v>
      </c>
      <c r="E210" t="n">
        <v>31.10000038146973</v>
      </c>
      <c r="F210" t="n">
        <v/>
      </c>
    </row>
    <row r="211">
      <c r="A211" s="83" t="n">
        <v>41061</v>
      </c>
      <c r="B211" t="n">
        <v>49.7</v>
      </c>
      <c r="C211" t="n">
        <v>35.11492538452148</v>
      </c>
      <c r="D211" t="n">
        <v>20.59809875488281</v>
      </c>
      <c r="E211" t="n">
        <v>32.58000183105469</v>
      </c>
      <c r="F211" t="n">
        <v/>
      </c>
    </row>
    <row r="212">
      <c r="A212" s="83" t="n">
        <v>41091</v>
      </c>
      <c r="B212" t="n">
        <v>48.8</v>
      </c>
      <c r="C212" t="n">
        <v>35.89302825927734</v>
      </c>
      <c r="D212" t="n">
        <v>20.9953670501709</v>
      </c>
      <c r="E212" t="n">
        <v>32.86000061035156</v>
      </c>
      <c r="F212" t="n">
        <v>-0.0008922523186748598</v>
      </c>
    </row>
    <row r="213">
      <c r="A213" s="83" t="n">
        <v>41122</v>
      </c>
      <c r="B213" t="n">
        <v>48.7</v>
      </c>
      <c r="C213" t="n">
        <v>36.89118194580078</v>
      </c>
      <c r="D213" t="n">
        <v>22.38578033447266</v>
      </c>
      <c r="E213" t="n">
        <v>33.93999862670898</v>
      </c>
      <c r="F213" t="n">
        <v/>
      </c>
    </row>
    <row r="214">
      <c r="A214" s="83" t="n">
        <v>41153</v>
      </c>
      <c r="B214" t="n">
        <v>48.7</v>
      </c>
      <c r="C214" t="n">
        <v>37.88933944702148</v>
      </c>
      <c r="D214" t="n">
        <v>23.21231079101562</v>
      </c>
      <c r="E214" t="n">
        <v>34.79999923706055</v>
      </c>
      <c r="F214" t="n">
        <v/>
      </c>
    </row>
    <row r="215">
      <c r="A215" s="83" t="n">
        <v>41183</v>
      </c>
      <c r="B215" t="n">
        <v>48.9</v>
      </c>
      <c r="C215" t="n">
        <v>37.69457626342773</v>
      </c>
      <c r="D215" t="n">
        <v>23.80710411071777</v>
      </c>
      <c r="E215" t="n">
        <v>34.95999908447266</v>
      </c>
      <c r="F215" t="n">
        <v>-0.004516196225050344</v>
      </c>
    </row>
    <row r="216">
      <c r="A216" s="83" t="n">
        <v>41214</v>
      </c>
      <c r="B216" t="n">
        <v>49.6</v>
      </c>
      <c r="C216" t="n">
        <v>38.29509353637695</v>
      </c>
      <c r="D216" t="n">
        <v>24.61818504333496</v>
      </c>
      <c r="E216" t="n">
        <v>35.36000061035156</v>
      </c>
      <c r="F216" t="n">
        <v/>
      </c>
    </row>
    <row r="217">
      <c r="A217" s="83" t="n">
        <v>41244</v>
      </c>
      <c r="B217" t="n">
        <v>50</v>
      </c>
      <c r="C217" t="n">
        <v>39.0173454284668</v>
      </c>
      <c r="D217" t="n">
        <v>25.84638786315918</v>
      </c>
      <c r="E217" t="n">
        <v>35.88000106811523</v>
      </c>
      <c r="F217" t="n">
        <v/>
      </c>
    </row>
    <row r="218">
      <c r="A218" s="83" t="n">
        <v>41275</v>
      </c>
      <c r="B218" t="n">
        <v>51.5</v>
      </c>
      <c r="C218" t="n">
        <v>40.89073944091797</v>
      </c>
      <c r="D218" t="n">
        <v>26.91960716247559</v>
      </c>
      <c r="E218" t="n">
        <v>36.93999862670898</v>
      </c>
      <c r="F218" t="n">
        <v>-0.003341359040126505</v>
      </c>
    </row>
    <row r="219">
      <c r="A219" s="83" t="n">
        <v>41306</v>
      </c>
      <c r="B219" t="n">
        <v>50.9</v>
      </c>
      <c r="C219" t="n">
        <v>40.84975433349609</v>
      </c>
      <c r="D219" t="n">
        <v>25.67906761169434</v>
      </c>
      <c r="E219" t="n">
        <v>35.93999862670898</v>
      </c>
      <c r="F219" t="n">
        <v/>
      </c>
    </row>
    <row r="220">
      <c r="A220" s="83" t="n">
        <v>41334</v>
      </c>
      <c r="B220" t="n">
        <v>51.2</v>
      </c>
      <c r="C220" t="n">
        <v>41.59561920166016</v>
      </c>
      <c r="D220" t="n">
        <v>25.31465911865234</v>
      </c>
      <c r="E220" t="n">
        <v>36.54000091552734</v>
      </c>
      <c r="F220" t="n">
        <v/>
      </c>
    </row>
    <row r="221">
      <c r="A221" s="83" t="n">
        <v>41365</v>
      </c>
      <c r="B221" t="n">
        <v>50.4</v>
      </c>
      <c r="C221" t="n">
        <v>42.77585983276367</v>
      </c>
      <c r="D221" t="n">
        <v>26.77229118347168</v>
      </c>
      <c r="E221" t="n">
        <v>37.58000183105469</v>
      </c>
      <c r="F221" t="n">
        <v>0.005171237888354539</v>
      </c>
    </row>
    <row r="222">
      <c r="A222" s="83" t="n">
        <v>41395</v>
      </c>
      <c r="B222" t="n">
        <v>50.6</v>
      </c>
      <c r="C222" t="n">
        <v>42.61193084716797</v>
      </c>
      <c r="D222" t="n">
        <v>27.12118339538574</v>
      </c>
      <c r="E222" t="n">
        <v>37.54000091552734</v>
      </c>
      <c r="F222" t="n">
        <v/>
      </c>
    </row>
    <row r="223">
      <c r="A223" s="83" t="n">
        <v>41426</v>
      </c>
      <c r="B223" t="n">
        <v>50.6</v>
      </c>
      <c r="C223" t="n">
        <v>40.98089599609375</v>
      </c>
      <c r="D223" t="n">
        <v>25.18285179138184</v>
      </c>
      <c r="E223" t="n">
        <v>35.31999969482422</v>
      </c>
      <c r="F223" t="n">
        <v/>
      </c>
    </row>
    <row r="224">
      <c r="A224" s="83" t="n">
        <v>41456</v>
      </c>
      <c r="B224" t="n">
        <v>50.8</v>
      </c>
      <c r="C224" t="n">
        <v>43.40414810180664</v>
      </c>
      <c r="D224" t="n">
        <v>28.05585098266602</v>
      </c>
      <c r="E224" t="n">
        <v>37.58000183105469</v>
      </c>
      <c r="F224" t="n">
        <v>0.003096605717098391</v>
      </c>
    </row>
    <row r="225">
      <c r="A225" s="83" t="n">
        <v>41487</v>
      </c>
      <c r="B225" t="n">
        <v>51.6</v>
      </c>
      <c r="C225" t="n">
        <v>42.4080696105957</v>
      </c>
      <c r="D225" t="n">
        <v>27.5474739074707</v>
      </c>
      <c r="E225" t="n">
        <v>37.29999923706055</v>
      </c>
      <c r="F225" t="n">
        <v/>
      </c>
    </row>
    <row r="226">
      <c r="A226" s="83" t="n">
        <v>41518</v>
      </c>
      <c r="B226" t="n">
        <v>51.8</v>
      </c>
      <c r="C226" t="n">
        <v>44.75715637207031</v>
      </c>
      <c r="D226" t="n">
        <v>29.97019195556641</v>
      </c>
      <c r="E226" t="n">
        <v>39.2400016784668</v>
      </c>
      <c r="F226" t="n">
        <v/>
      </c>
    </row>
    <row r="227">
      <c r="A227" s="83" t="n">
        <v>41548</v>
      </c>
      <c r="B227" t="n">
        <v>52.1</v>
      </c>
      <c r="C227" t="n">
        <v>46.52519226074219</v>
      </c>
      <c r="D227" t="n">
        <v>31.59857559204102</v>
      </c>
      <c r="E227" t="n">
        <v>40.70000076293945</v>
      </c>
      <c r="F227" t="n">
        <v>0.002852113090696769</v>
      </c>
    </row>
    <row r="228">
      <c r="A228" s="83" t="n">
        <v>41579</v>
      </c>
      <c r="B228" t="n">
        <v>53.1</v>
      </c>
      <c r="C228" t="n">
        <v>47.24736022949219</v>
      </c>
      <c r="D228" t="n">
        <v>32.05928039550781</v>
      </c>
      <c r="E228" t="n">
        <v>41.02000045776367</v>
      </c>
      <c r="F228" t="n">
        <v/>
      </c>
    </row>
    <row r="229">
      <c r="A229" s="83" t="n">
        <v>41609</v>
      </c>
      <c r="B229" t="n">
        <v>53.3</v>
      </c>
      <c r="C229" t="n">
        <v>47.82840347290039</v>
      </c>
      <c r="D229" t="n">
        <v>32.8695182800293</v>
      </c>
      <c r="E229" t="n">
        <v>41.7599983215332</v>
      </c>
      <c r="F229" t="n">
        <v/>
      </c>
    </row>
    <row r="230">
      <c r="A230" s="83" t="n">
        <v>41640</v>
      </c>
      <c r="B230" t="n">
        <v>52.9</v>
      </c>
      <c r="C230" t="n">
        <v>45.99034881591797</v>
      </c>
      <c r="D230" t="n">
        <v>31.29399299621582</v>
      </c>
      <c r="E230" t="n">
        <v>39.81999969482422</v>
      </c>
      <c r="F230" t="n">
        <v>0.004024538502711517</v>
      </c>
    </row>
    <row r="231">
      <c r="A231" s="83" t="n">
        <v>41671</v>
      </c>
      <c r="B231" t="n">
        <v>53.3</v>
      </c>
      <c r="C231" t="n">
        <v>48.38402938842773</v>
      </c>
      <c r="D231" t="n">
        <v>33.47748565673828</v>
      </c>
      <c r="E231" t="n">
        <v>42.52000045776367</v>
      </c>
      <c r="F231" t="n">
        <v/>
      </c>
    </row>
    <row r="232">
      <c r="A232" s="83" t="n">
        <v>41699</v>
      </c>
      <c r="B232" t="n">
        <v>52.4</v>
      </c>
      <c r="C232" t="n">
        <v>48.66022872924805</v>
      </c>
      <c r="D232" t="n">
        <v>33.6846809387207</v>
      </c>
      <c r="E232" t="n">
        <v>41.18000030517578</v>
      </c>
      <c r="F232" t="n">
        <v/>
      </c>
    </row>
    <row r="233">
      <c r="A233" s="83" t="n">
        <v>41730</v>
      </c>
      <c r="B233" t="n">
        <v>51.9</v>
      </c>
      <c r="C233" t="n">
        <v>49.23771667480469</v>
      </c>
      <c r="D233" t="n">
        <v>34.3062629699707</v>
      </c>
      <c r="E233" t="n">
        <v>43.04000091552734</v>
      </c>
      <c r="F233" t="n">
        <v>0.001991784822605514</v>
      </c>
    </row>
    <row r="234">
      <c r="A234" s="83" t="n">
        <v>41760</v>
      </c>
      <c r="B234" t="n">
        <v>52.2</v>
      </c>
      <c r="C234" t="n">
        <v>50.22531509399414</v>
      </c>
      <c r="D234" t="n">
        <v>34.59314346313477</v>
      </c>
      <c r="E234" t="n">
        <v>43.45999908447266</v>
      </c>
      <c r="F234" t="n">
        <v/>
      </c>
    </row>
    <row r="235">
      <c r="A235" s="83" t="n">
        <v>41791</v>
      </c>
      <c r="B235" t="n">
        <v>52.6</v>
      </c>
      <c r="C235" t="n">
        <v>50.43455505371094</v>
      </c>
      <c r="D235" t="n">
        <v>33.72452926635742</v>
      </c>
      <c r="E235" t="n">
        <v>41.7599983215332</v>
      </c>
      <c r="F235" t="n">
        <v/>
      </c>
    </row>
    <row r="236">
      <c r="A236" s="83" t="n">
        <v>41821</v>
      </c>
      <c r="B236" t="n">
        <v>52.5</v>
      </c>
      <c r="C236" t="n">
        <v>50.40021514892578</v>
      </c>
      <c r="D236" t="n">
        <v>32.32644271850586</v>
      </c>
      <c r="E236" t="n">
        <v>40.7599983215332</v>
      </c>
      <c r="F236" t="n">
        <v>0.004939600163193156</v>
      </c>
    </row>
    <row r="237">
      <c r="A237" s="83" t="n">
        <v>41852</v>
      </c>
      <c r="B237" t="n">
        <v>52.6</v>
      </c>
      <c r="C237" t="n">
        <v>51.69861602783203</v>
      </c>
      <c r="D237" t="n">
        <v>32.38330078125</v>
      </c>
      <c r="E237" t="n">
        <v>41.08000183105469</v>
      </c>
      <c r="F237" t="n">
        <v/>
      </c>
    </row>
    <row r="238">
      <c r="A238" s="83" t="n">
        <v>41883</v>
      </c>
      <c r="B238" t="n">
        <v>52.2</v>
      </c>
      <c r="C238" t="n">
        <v>49.98439025878906</v>
      </c>
      <c r="D238" t="n">
        <v>31.27055358886719</v>
      </c>
      <c r="E238" t="n">
        <v>38.7599983215332</v>
      </c>
      <c r="F238" t="n">
        <v/>
      </c>
    </row>
    <row r="239">
      <c r="A239" s="83" t="n">
        <v>41913</v>
      </c>
      <c r="B239" t="n">
        <v>52.2</v>
      </c>
      <c r="C239" t="n">
        <v>50.5869026184082</v>
      </c>
      <c r="D239" t="n">
        <v>30.37710762023926</v>
      </c>
      <c r="E239" t="n">
        <v>38.02000045776367</v>
      </c>
      <c r="F239" t="n">
        <v>0.00368392526953091</v>
      </c>
    </row>
    <row r="240">
      <c r="A240" s="83" t="n">
        <v>41944</v>
      </c>
      <c r="B240" t="n">
        <v>51.8</v>
      </c>
      <c r="C240" t="n">
        <v>51.28279113769531</v>
      </c>
      <c r="D240" t="n">
        <v>31.55483245849609</v>
      </c>
      <c r="E240" t="n">
        <v>38.06000137329102</v>
      </c>
      <c r="F240" t="n">
        <v/>
      </c>
    </row>
    <row r="241">
      <c r="A241" s="83" t="n">
        <v>41974</v>
      </c>
      <c r="B241" t="n">
        <v>51.6</v>
      </c>
      <c r="C241" t="n">
        <v>49.64492797851562</v>
      </c>
      <c r="D241" t="n">
        <v>29.50803375244141</v>
      </c>
      <c r="E241" t="n">
        <v>36.06000137329102</v>
      </c>
      <c r="F241" t="n">
        <v/>
      </c>
    </row>
    <row r="242">
      <c r="A242" s="83" t="n">
        <v>42005</v>
      </c>
      <c r="B242" t="n">
        <v>51.7</v>
      </c>
      <c r="C242" t="n">
        <v>49.41461563110352</v>
      </c>
      <c r="D242" t="n">
        <v>30.0085391998291</v>
      </c>
      <c r="E242" t="n">
        <v>36.08000183105469</v>
      </c>
      <c r="F242" t="n">
        <v>0.006224090822477576</v>
      </c>
    </row>
    <row r="243">
      <c r="A243" s="83" t="n">
        <v>42036</v>
      </c>
      <c r="B243" t="n">
        <v>52</v>
      </c>
      <c r="C243" t="n">
        <v>52.13656997680664</v>
      </c>
      <c r="D243" t="n">
        <v>31.87385368347168</v>
      </c>
      <c r="E243" t="n">
        <v>38.20000076293945</v>
      </c>
      <c r="F243" t="n">
        <v/>
      </c>
    </row>
    <row r="244">
      <c r="A244" s="83" t="n">
        <v>42064</v>
      </c>
      <c r="B244" t="n">
        <v>51.8</v>
      </c>
      <c r="C244" t="n">
        <v>51.37477111816406</v>
      </c>
      <c r="D244" t="n">
        <v>31.56296539306641</v>
      </c>
      <c r="E244" t="n">
        <v>36.02000045776367</v>
      </c>
      <c r="F244" t="n">
        <v/>
      </c>
    </row>
    <row r="245">
      <c r="A245" s="83" t="n">
        <v>42095</v>
      </c>
      <c r="B245" t="n">
        <v>51</v>
      </c>
      <c r="C245" t="n">
        <v>52.84702301025391</v>
      </c>
      <c r="D245" t="n">
        <v>32.26654815673828</v>
      </c>
      <c r="E245" t="n">
        <v>38.41999816894531</v>
      </c>
      <c r="F245" t="n">
        <v>0.004558873405924271</v>
      </c>
    </row>
    <row r="246">
      <c r="A246" s="83" t="n">
        <v>42125</v>
      </c>
      <c r="B246" t="n">
        <v>51.2</v>
      </c>
      <c r="C246" t="n">
        <v>52.84702301025391</v>
      </c>
      <c r="D246" t="n">
        <v>32.06201171875</v>
      </c>
      <c r="E246" t="n">
        <v>38.65999984741211</v>
      </c>
      <c r="F246" t="n">
        <v/>
      </c>
    </row>
    <row r="247">
      <c r="A247" s="83" t="n">
        <v>42156</v>
      </c>
      <c r="B247" t="n">
        <v>51</v>
      </c>
      <c r="C247" t="n">
        <v>50.88686370849609</v>
      </c>
      <c r="D247" t="n">
        <v>30.71212387084961</v>
      </c>
      <c r="E247" t="n">
        <v>36.5</v>
      </c>
      <c r="F247" t="n">
        <v/>
      </c>
    </row>
    <row r="248">
      <c r="A248" s="83" t="n">
        <v>42186</v>
      </c>
      <c r="B248" t="n">
        <v>51</v>
      </c>
      <c r="C248" t="n">
        <v>51.90879058837891</v>
      </c>
      <c r="D248" t="n">
        <v>32.20860290527344</v>
      </c>
      <c r="E248" t="n">
        <v>37.08000183105469</v>
      </c>
      <c r="F248" t="n">
        <v>0.004394535635046981</v>
      </c>
    </row>
    <row r="249">
      <c r="A249" s="83" t="n">
        <v>42217</v>
      </c>
      <c r="B249" t="n">
        <v>50.7</v>
      </c>
      <c r="C249" t="n">
        <v>48.37545776367188</v>
      </c>
      <c r="D249" t="n">
        <v>29.98589515686035</v>
      </c>
      <c r="E249" t="n">
        <v>34.11999893188477</v>
      </c>
      <c r="F249" t="n">
        <v/>
      </c>
    </row>
    <row r="250">
      <c r="A250" s="83" t="n">
        <v>42248</v>
      </c>
      <c r="B250" t="n">
        <v>50.6</v>
      </c>
      <c r="C250" t="n">
        <v>46.71271896362305</v>
      </c>
      <c r="D250" t="n">
        <v>28.58732604980469</v>
      </c>
      <c r="E250" t="n">
        <v>32.77999877929688</v>
      </c>
      <c r="F250" t="n">
        <v/>
      </c>
    </row>
    <row r="251">
      <c r="A251" s="83" t="n">
        <v>42278</v>
      </c>
      <c r="B251" t="n">
        <v>51.4</v>
      </c>
      <c r="C251" t="n">
        <v>50.28934478759766</v>
      </c>
      <c r="D251" t="n">
        <v>30.67685317993164</v>
      </c>
      <c r="E251" t="n">
        <v>34.93999862670898</v>
      </c>
      <c r="F251" t="n">
        <v>0.004590825333200707</v>
      </c>
    </row>
    <row r="252">
      <c r="A252" s="83" t="n">
        <v>42309</v>
      </c>
      <c r="B252" t="n">
        <v>51.2</v>
      </c>
      <c r="C252" t="n">
        <v>50.02087020874023</v>
      </c>
      <c r="D252" t="n">
        <v>30.43543815612793</v>
      </c>
      <c r="E252" t="n">
        <v>34.36000061035156</v>
      </c>
      <c r="F252" t="n">
        <v/>
      </c>
    </row>
    <row r="253">
      <c r="A253" s="83" t="n">
        <v>42339</v>
      </c>
      <c r="B253" t="n">
        <v>50.9</v>
      </c>
      <c r="C253" t="n">
        <v>48.34081649780273</v>
      </c>
      <c r="D253" t="n">
        <v>29.17006874084473</v>
      </c>
      <c r="E253" t="n">
        <v>32.27999877929688</v>
      </c>
      <c r="F253" t="n">
        <v/>
      </c>
    </row>
    <row r="254">
      <c r="A254" s="83" t="n">
        <v>42370</v>
      </c>
      <c r="B254" t="n">
        <v>50.9</v>
      </c>
      <c r="C254" t="n">
        <v>46.37093353271484</v>
      </c>
      <c r="D254" t="n">
        <v>27.69922637939453</v>
      </c>
      <c r="E254" t="n">
        <v>30.71999931335449</v>
      </c>
      <c r="F254" t="n">
        <v>0.005412459429406754</v>
      </c>
    </row>
    <row r="255">
      <c r="A255" s="83" t="n">
        <v>42401</v>
      </c>
      <c r="B255" t="n">
        <v>50</v>
      </c>
      <c r="C255" t="n">
        <v>45.79194259643555</v>
      </c>
      <c r="D255" t="n">
        <v>26.53117942810059</v>
      </c>
      <c r="E255" t="n">
        <v>29.76000022888184</v>
      </c>
      <c r="F255" t="n">
        <v/>
      </c>
    </row>
    <row r="256">
      <c r="A256" s="83" t="n">
        <v>42430</v>
      </c>
      <c r="B256" t="n">
        <v>50.5</v>
      </c>
      <c r="C256" t="n">
        <v>49.17810440063477</v>
      </c>
      <c r="D256" t="n">
        <v>28.69205665588379</v>
      </c>
      <c r="E256" t="n">
        <v>31.36000061035156</v>
      </c>
      <c r="F256" t="n">
        <v/>
      </c>
    </row>
    <row r="257">
      <c r="A257" s="83" t="n">
        <v>42461</v>
      </c>
      <c r="B257" t="n">
        <v>50.1</v>
      </c>
      <c r="C257" t="n">
        <v>49.83602523803711</v>
      </c>
      <c r="D257" t="n">
        <v>29.42625427246094</v>
      </c>
      <c r="E257" t="n">
        <v>32.61999893188477</v>
      </c>
      <c r="F257" t="n">
        <v>0.002203038595822876</v>
      </c>
    </row>
    <row r="258">
      <c r="A258" s="83" t="n">
        <v>42491</v>
      </c>
      <c r="B258" t="n">
        <v>50</v>
      </c>
      <c r="C258" t="n">
        <v>50.00269317626953</v>
      </c>
      <c r="D258" t="n">
        <v>28.35832977294922</v>
      </c>
      <c r="E258" t="n">
        <v>32.2400016784668</v>
      </c>
      <c r="F258" t="n">
        <v/>
      </c>
    </row>
    <row r="259">
      <c r="A259" s="83" t="n">
        <v>42522</v>
      </c>
      <c r="B259" t="n">
        <v>50.9</v>
      </c>
      <c r="C259" t="n">
        <v>49.32723236083984</v>
      </c>
      <c r="D259" t="n">
        <v>26.92331123352051</v>
      </c>
      <c r="E259" t="n">
        <v>30.73999977111816</v>
      </c>
      <c r="F259" t="n">
        <v/>
      </c>
    </row>
    <row r="260">
      <c r="A260" s="83" t="n">
        <v>42552</v>
      </c>
      <c r="B260" t="n">
        <v>51</v>
      </c>
      <c r="C260" t="n">
        <v>51.86213302612305</v>
      </c>
      <c r="D260" t="n">
        <v>28.9273509979248</v>
      </c>
      <c r="E260" t="n">
        <v>31.20000076293945</v>
      </c>
      <c r="F260" t="n">
        <v>0.005119587752825651</v>
      </c>
    </row>
    <row r="261">
      <c r="A261" s="83" t="n">
        <v>42583</v>
      </c>
      <c r="B261" t="n">
        <v>50.9</v>
      </c>
      <c r="C261" t="n">
        <v>52.03990173339844</v>
      </c>
      <c r="D261" t="n">
        <v>29.25228118896484</v>
      </c>
      <c r="E261" t="n">
        <v>31.54000091552734</v>
      </c>
      <c r="F261" t="n">
        <v/>
      </c>
    </row>
    <row r="262">
      <c r="A262" s="83" t="n">
        <v>42614</v>
      </c>
      <c r="B262" t="n">
        <v>51</v>
      </c>
      <c r="C262" t="n">
        <v>52.52874374389648</v>
      </c>
      <c r="D262" t="n">
        <v>29.4917049407959</v>
      </c>
      <c r="E262" t="n">
        <v>31.68000030517578</v>
      </c>
      <c r="F262" t="n">
        <v/>
      </c>
    </row>
    <row r="263">
      <c r="A263" s="83" t="n">
        <v>42644</v>
      </c>
      <c r="B263" t="n">
        <v>52</v>
      </c>
      <c r="C263" t="n">
        <v>51.52438735961914</v>
      </c>
      <c r="D263" t="n">
        <v>29.19243049621582</v>
      </c>
      <c r="E263" t="n">
        <v>30</v>
      </c>
      <c r="F263" t="n">
        <v>0.007314554255631152</v>
      </c>
    </row>
    <row r="264">
      <c r="A264" s="83" t="n">
        <v>42675</v>
      </c>
      <c r="B264" t="n">
        <v>52.1</v>
      </c>
      <c r="C264" t="n">
        <v>52.05768203735352</v>
      </c>
      <c r="D264" t="n">
        <v>28.02951431274414</v>
      </c>
      <c r="E264" t="n">
        <v>30.05999946594238</v>
      </c>
      <c r="F264" t="n">
        <v/>
      </c>
    </row>
    <row r="265">
      <c r="A265" s="83" t="n">
        <v>42705</v>
      </c>
      <c r="B265" t="n">
        <v>52.7</v>
      </c>
      <c r="C265" t="n">
        <v>52.59095764160156</v>
      </c>
      <c r="D265" t="n">
        <v>29.58576583862305</v>
      </c>
      <c r="E265" t="n">
        <v>30.69000053405762</v>
      </c>
      <c r="F265" t="n">
        <v/>
      </c>
    </row>
    <row r="266">
      <c r="A266" s="83" t="n">
        <v>42736</v>
      </c>
      <c r="B266" t="n">
        <v>52.7</v>
      </c>
      <c r="C266" t="n">
        <v>54.62213897705078</v>
      </c>
      <c r="D266" t="n">
        <v>30.41598892211914</v>
      </c>
      <c r="E266" t="n">
        <v>31.45000076293945</v>
      </c>
      <c r="F266" t="n">
        <v>0.00700431064125943</v>
      </c>
    </row>
    <row r="267">
      <c r="A267" s="83" t="n">
        <v>42767</v>
      </c>
      <c r="B267" t="n">
        <v>53</v>
      </c>
      <c r="C267" t="n">
        <v>55.99464797973633</v>
      </c>
      <c r="D267" t="n">
        <v>30.47622680664062</v>
      </c>
      <c r="E267" t="n">
        <v>31.90999984741211</v>
      </c>
      <c r="F267" t="n">
        <v/>
      </c>
    </row>
    <row r="268">
      <c r="A268" s="83" t="n">
        <v>42795</v>
      </c>
      <c r="B268" t="n">
        <v>53</v>
      </c>
      <c r="C268" t="n">
        <v>56.74818801879883</v>
      </c>
      <c r="D268" t="n">
        <v>32.3610954284668</v>
      </c>
      <c r="E268" t="n">
        <v>32.54999923706055</v>
      </c>
      <c r="F268" t="n">
        <v/>
      </c>
    </row>
    <row r="269">
      <c r="A269" s="83" t="n">
        <v>42826</v>
      </c>
      <c r="B269" t="n">
        <v>52.7</v>
      </c>
      <c r="C269" t="n">
        <v>57.66318893432617</v>
      </c>
      <c r="D269" t="n">
        <v>33.77258682250977</v>
      </c>
      <c r="E269" t="n">
        <v>33.09999847412109</v>
      </c>
      <c r="F269" t="n">
        <v>0.007626744400412115</v>
      </c>
    </row>
    <row r="270">
      <c r="A270" s="83" t="n">
        <v>42856</v>
      </c>
      <c r="B270" t="n">
        <v>52.6</v>
      </c>
      <c r="C270" t="n">
        <v>58.93701934814453</v>
      </c>
      <c r="D270" t="n">
        <v>35.44227981567383</v>
      </c>
      <c r="E270" t="n">
        <v>34.61000061035156</v>
      </c>
      <c r="F270" t="n">
        <v/>
      </c>
    </row>
    <row r="271">
      <c r="A271" s="83" t="n">
        <v>42887</v>
      </c>
      <c r="B271" t="n">
        <v>52.6</v>
      </c>
      <c r="C271" t="n">
        <v>58.74863433837891</v>
      </c>
      <c r="D271" t="n">
        <v>34.71070861816406</v>
      </c>
      <c r="E271" t="n">
        <v>33.33000183105469</v>
      </c>
      <c r="F271" t="n">
        <v/>
      </c>
    </row>
    <row r="272">
      <c r="A272" s="83" t="n">
        <v>42917</v>
      </c>
      <c r="B272" t="n">
        <v>52.8</v>
      </c>
      <c r="C272" t="n">
        <v>61.02449035644531</v>
      </c>
      <c r="D272" t="n">
        <v>36.38887023925781</v>
      </c>
      <c r="E272" t="n">
        <v>34.11999893188477</v>
      </c>
      <c r="F272" t="n">
        <v>0.008090551214647676</v>
      </c>
    </row>
    <row r="273">
      <c r="A273" s="83" t="n">
        <v>42948</v>
      </c>
      <c r="B273" t="n">
        <v>53.2</v>
      </c>
      <c r="C273" t="n">
        <v>61.26939010620117</v>
      </c>
      <c r="D273" t="n">
        <v>36.56368637084961</v>
      </c>
      <c r="E273" t="n">
        <v>33.84000015258789</v>
      </c>
      <c r="F273" t="n">
        <v/>
      </c>
    </row>
    <row r="274">
      <c r="A274" s="83" t="n">
        <v>42979</v>
      </c>
      <c r="B274" t="n">
        <v>53.3</v>
      </c>
      <c r="C274" t="n">
        <v>62.42129898071289</v>
      </c>
      <c r="D274" t="n">
        <v>37.86610412597656</v>
      </c>
      <c r="E274" t="n">
        <v>34.84999847412109</v>
      </c>
      <c r="F274" t="n">
        <v/>
      </c>
    </row>
    <row r="275">
      <c r="A275" s="83" t="n">
        <v>43009</v>
      </c>
      <c r="B275" t="n">
        <v>53.5</v>
      </c>
      <c r="C275" t="n">
        <v>63.76370620727539</v>
      </c>
      <c r="D275" t="n">
        <v>38.31189727783203</v>
      </c>
      <c r="E275" t="n">
        <v>35.06000137329102</v>
      </c>
      <c r="F275" t="n">
        <v>0.007873941935450657</v>
      </c>
    </row>
    <row r="276">
      <c r="A276" s="83" t="n">
        <v>43040</v>
      </c>
      <c r="B276" t="n">
        <v>54.1</v>
      </c>
      <c r="C276" t="n">
        <v>65.05166625976562</v>
      </c>
      <c r="D276" t="n">
        <v>38.21574020385742</v>
      </c>
      <c r="E276" t="n">
        <v>35.02000045776367</v>
      </c>
      <c r="F276" t="n">
        <v/>
      </c>
    </row>
    <row r="277">
      <c r="A277" s="83" t="n">
        <v>43070</v>
      </c>
      <c r="B277" t="n">
        <v>54.5</v>
      </c>
      <c r="C277" t="n">
        <v>65.38728332519531</v>
      </c>
      <c r="D277" t="n">
        <v>37.91855239868164</v>
      </c>
      <c r="E277" t="n">
        <v>35.81999969482422</v>
      </c>
      <c r="F277" t="n">
        <v/>
      </c>
    </row>
    <row r="278">
      <c r="A278" s="83" t="n">
        <v>43101</v>
      </c>
      <c r="B278" t="n">
        <v>54.4</v>
      </c>
      <c r="C278" t="n">
        <v>69.75768280029297</v>
      </c>
      <c r="D278" t="n">
        <v>40.75344848632812</v>
      </c>
      <c r="E278" t="n">
        <v>37.15999984741211</v>
      </c>
      <c r="F278" t="n">
        <v>0.0005338523778673076</v>
      </c>
    </row>
    <row r="279">
      <c r="A279" s="83" t="n">
        <v>43132</v>
      </c>
      <c r="B279" t="n">
        <v>54.1</v>
      </c>
      <c r="C279" t="n">
        <v>66.63597106933594</v>
      </c>
      <c r="D279" t="n">
        <v>38.31280517578125</v>
      </c>
      <c r="E279" t="n">
        <v>34.66999816894531</v>
      </c>
      <c r="F279" t="n">
        <v/>
      </c>
    </row>
    <row r="280">
      <c r="A280" s="83" t="n">
        <v>43160</v>
      </c>
      <c r="B280" t="n">
        <v>53.3</v>
      </c>
      <c r="C280" t="n">
        <v>65.63812255859375</v>
      </c>
      <c r="D280" t="n">
        <v>38.05821228027344</v>
      </c>
      <c r="E280" t="n">
        <v>34.75</v>
      </c>
      <c r="F280" t="n">
        <v/>
      </c>
    </row>
    <row r="281">
      <c r="A281" s="83" t="n">
        <v>43191</v>
      </c>
      <c r="B281" t="n">
        <v>53.5</v>
      </c>
      <c r="C281" t="n">
        <v>65.90360260009766</v>
      </c>
      <c r="D281" t="n">
        <v>38.9185791015625</v>
      </c>
      <c r="E281" t="n">
        <v>36.25</v>
      </c>
      <c r="F281" t="n">
        <v>0.004977474535151539</v>
      </c>
    </row>
    <row r="282">
      <c r="A282" s="83" t="n">
        <v>43221</v>
      </c>
      <c r="B282" t="n">
        <v>53.1</v>
      </c>
      <c r="C282" t="n">
        <v>66.21487426757812</v>
      </c>
      <c r="D282" t="n">
        <v>37.52267456054688</v>
      </c>
      <c r="E282" t="n">
        <v>36.02999877929688</v>
      </c>
      <c r="F282" t="n">
        <v/>
      </c>
    </row>
    <row r="283">
      <c r="A283" s="83" t="n">
        <v>43252</v>
      </c>
      <c r="B283" t="n">
        <v>53</v>
      </c>
      <c r="C283" t="n">
        <v>65.10717010498047</v>
      </c>
      <c r="D283" t="n">
        <v>36.00385665893555</v>
      </c>
      <c r="E283" t="n">
        <v>34.77999877929688</v>
      </c>
      <c r="F283" t="n">
        <v/>
      </c>
    </row>
    <row r="284">
      <c r="A284" s="83" t="n">
        <v>43282</v>
      </c>
      <c r="B284" t="n">
        <v>52.8</v>
      </c>
      <c r="C284" t="n">
        <v>67.84506988525391</v>
      </c>
      <c r="D284" t="n">
        <v>38.28566741943359</v>
      </c>
      <c r="E284" t="n">
        <v>35.11000061035156</v>
      </c>
      <c r="F284" t="n">
        <v>0.001080615017603164</v>
      </c>
    </row>
    <row r="285">
      <c r="A285" s="83" t="n">
        <v>43313</v>
      </c>
      <c r="B285" t="n">
        <v>52.6</v>
      </c>
      <c r="C285" t="n">
        <v>68.31713104248047</v>
      </c>
      <c r="D285" t="n">
        <v>37.071533203125</v>
      </c>
      <c r="E285" t="n">
        <v>33.56999969482422</v>
      </c>
      <c r="F285" t="n">
        <v/>
      </c>
    </row>
    <row r="286">
      <c r="A286" s="83" t="n">
        <v>43344</v>
      </c>
      <c r="B286" t="n">
        <v>52.2</v>
      </c>
      <c r="C286" t="n">
        <v>68.73363494873047</v>
      </c>
      <c r="D286" t="n">
        <v>36.88267135620117</v>
      </c>
      <c r="E286" t="n">
        <v>34.11999893188477</v>
      </c>
      <c r="F286" t="n">
        <v/>
      </c>
    </row>
    <row r="287">
      <c r="A287" s="83" t="n">
        <v>43374</v>
      </c>
      <c r="B287" t="n">
        <v>52</v>
      </c>
      <c r="C287" t="n">
        <v>63.62440872192383</v>
      </c>
      <c r="D287" t="n">
        <v>33.60900115966797</v>
      </c>
      <c r="E287" t="n">
        <v>31.80999946594238</v>
      </c>
      <c r="F287" t="n">
        <v>0.005180822874175569</v>
      </c>
    </row>
    <row r="288">
      <c r="A288" s="83" t="n">
        <v>43405</v>
      </c>
      <c r="B288" t="n">
        <v>52</v>
      </c>
      <c r="C288" t="n">
        <v>64.63331604003906</v>
      </c>
      <c r="D288" t="n">
        <v>33.49208831787109</v>
      </c>
      <c r="E288" t="n">
        <v>31.43000030517578</v>
      </c>
      <c r="F288" t="n">
        <v/>
      </c>
    </row>
    <row r="289">
      <c r="A289" s="83" t="n">
        <v>43435</v>
      </c>
      <c r="B289" t="n">
        <v>51.5</v>
      </c>
      <c r="C289" t="n">
        <v>59.3852653503418</v>
      </c>
      <c r="D289" t="n">
        <v>31.5314884185791</v>
      </c>
      <c r="E289" t="n">
        <v>29.35000038146973</v>
      </c>
      <c r="F289" t="n">
        <v/>
      </c>
    </row>
    <row r="290">
      <c r="A290" s="83" t="n">
        <v>43466</v>
      </c>
      <c r="B290" t="n">
        <v>50.7</v>
      </c>
      <c r="C290" t="n">
        <v>64.79642486572266</v>
      </c>
      <c r="D290" t="n">
        <v>33.77357864379883</v>
      </c>
      <c r="E290" t="n">
        <v>31.48999977111816</v>
      </c>
      <c r="F290" t="n">
        <v>0.00745073842445826</v>
      </c>
    </row>
    <row r="291">
      <c r="A291" s="83" t="n">
        <v>43497</v>
      </c>
      <c r="B291" t="n">
        <v>50.6</v>
      </c>
      <c r="C291" t="n">
        <v>66.39485168457031</v>
      </c>
      <c r="D291" t="n">
        <v>34.83154678344727</v>
      </c>
      <c r="E291" t="n">
        <v>32.56999969482422</v>
      </c>
      <c r="F291" t="n">
        <v/>
      </c>
    </row>
    <row r="292">
      <c r="A292" s="83" t="n">
        <v>43525</v>
      </c>
      <c r="B292" t="n">
        <v>50.5</v>
      </c>
      <c r="C292" t="n">
        <v>67.44176483154297</v>
      </c>
      <c r="D292" t="n">
        <v>34.90388870239258</v>
      </c>
      <c r="E292" t="n">
        <v>33.0099983215332</v>
      </c>
      <c r="F292" t="n">
        <v/>
      </c>
    </row>
    <row r="293">
      <c r="A293" s="83" t="n">
        <v>43556</v>
      </c>
      <c r="B293" t="n">
        <v>50.4</v>
      </c>
      <c r="C293" t="n">
        <v>69.75058746337891</v>
      </c>
      <c r="D293" t="n">
        <v>36.64908218383789</v>
      </c>
      <c r="E293" t="n">
        <v>33.7599983215332</v>
      </c>
      <c r="F293" t="n">
        <v>0.002307604602165987</v>
      </c>
    </row>
    <row r="294">
      <c r="A294" s="83" t="n">
        <v>43586</v>
      </c>
      <c r="B294" t="n">
        <v>49.8</v>
      </c>
      <c r="C294" t="n">
        <v>65.51618957519531</v>
      </c>
      <c r="D294" t="n">
        <v>34.28899002075195</v>
      </c>
      <c r="E294" t="n">
        <v>31.69000053405762</v>
      </c>
      <c r="F294" t="n">
        <v/>
      </c>
    </row>
    <row r="295">
      <c r="A295" s="83" t="n">
        <v>43617</v>
      </c>
      <c r="B295" t="n">
        <v>49.4</v>
      </c>
      <c r="C295" t="n">
        <v>68.89995574951172</v>
      </c>
      <c r="D295" t="n">
        <v>35.77196502685547</v>
      </c>
      <c r="E295" t="n">
        <v>32.31999969482422</v>
      </c>
      <c r="F295" t="n">
        <v/>
      </c>
    </row>
    <row r="296">
      <c r="A296" s="83" t="n">
        <v>43647</v>
      </c>
      <c r="B296" t="n">
        <v>49.3</v>
      </c>
      <c r="C296" t="n">
        <v>69.81580352783203</v>
      </c>
      <c r="D296" t="n">
        <v>35.73566436767578</v>
      </c>
      <c r="E296" t="n">
        <v>31.54000091552734</v>
      </c>
      <c r="F296" t="n">
        <v>0.002806670165739273</v>
      </c>
    </row>
    <row r="297">
      <c r="A297" s="83" t="n">
        <v>43678</v>
      </c>
      <c r="B297" t="n">
        <v>49.5</v>
      </c>
      <c r="C297" t="n">
        <v>68.27295684814453</v>
      </c>
      <c r="D297" t="n">
        <v>35.19717407226562</v>
      </c>
      <c r="E297" t="n">
        <v>30.34000015258789</v>
      </c>
      <c r="F297" t="n">
        <v/>
      </c>
    </row>
    <row r="298">
      <c r="A298" s="83" t="n">
        <v>43709</v>
      </c>
      <c r="B298" t="n">
        <v>49.7</v>
      </c>
      <c r="C298" t="n">
        <v>69.80634307861328</v>
      </c>
      <c r="D298" t="n">
        <v>36.10703659057617</v>
      </c>
      <c r="E298" t="n">
        <v>31.43000030517578</v>
      </c>
      <c r="F298" t="n">
        <v/>
      </c>
    </row>
    <row r="299">
      <c r="A299" s="83" t="n">
        <v>43739</v>
      </c>
      <c r="B299" t="n">
        <v>49.8</v>
      </c>
      <c r="C299" t="n">
        <v>71.71830749511719</v>
      </c>
      <c r="D299" t="n">
        <v>37.52754974365234</v>
      </c>
      <c r="E299" t="n">
        <v>32.52999877929688</v>
      </c>
      <c r="F299" t="n">
        <v>-0.0008035412664089443</v>
      </c>
    </row>
    <row r="300">
      <c r="A300" s="83" t="n">
        <v>43770</v>
      </c>
      <c r="B300" t="n">
        <v>50.3</v>
      </c>
      <c r="C300" t="n">
        <v>73.39366912841797</v>
      </c>
      <c r="D300" t="n">
        <v>37.87107467651367</v>
      </c>
      <c r="E300" t="n">
        <v>32.93000030517578</v>
      </c>
      <c r="F300" t="n">
        <v/>
      </c>
    </row>
    <row r="301">
      <c r="A301" s="83" t="n">
        <v>43800</v>
      </c>
      <c r="B301" t="n">
        <v>50.1</v>
      </c>
      <c r="C301" t="n">
        <v>75.01222991943359</v>
      </c>
      <c r="D301" t="n">
        <v>38.92020797729492</v>
      </c>
      <c r="E301" t="n">
        <v>34.09999847412109</v>
      </c>
      <c r="F301" t="n">
        <v/>
      </c>
    </row>
    <row r="302">
      <c r="A302" s="83" t="n">
        <v>43831</v>
      </c>
      <c r="B302" t="n">
        <v>50.4</v>
      </c>
      <c r="C302" t="n">
        <v>74.82774353027344</v>
      </c>
      <c r="D302" t="n">
        <v>37.73777008056641</v>
      </c>
      <c r="E302" t="n">
        <v>32.63999938964844</v>
      </c>
      <c r="F302" t="n">
        <v>-0.03513217188477525</v>
      </c>
    </row>
    <row r="303">
      <c r="A303" s="83" t="n">
        <v>43862</v>
      </c>
      <c r="B303" t="n">
        <v>47.1</v>
      </c>
      <c r="C303" t="n">
        <v>69.22356414794922</v>
      </c>
      <c r="D303" t="n">
        <v>34.9503288269043</v>
      </c>
      <c r="E303" t="n">
        <v>29.29999923706055</v>
      </c>
      <c r="F303" t="n">
        <v/>
      </c>
    </row>
    <row r="304">
      <c r="A304" s="83" t="n">
        <v>43891</v>
      </c>
      <c r="B304" t="n">
        <v>47.3</v>
      </c>
      <c r="C304" t="n">
        <v>59.94075012207031</v>
      </c>
      <c r="D304" t="n">
        <v>28.44316864013672</v>
      </c>
      <c r="E304" t="n">
        <v>23.8799991607666</v>
      </c>
      <c r="F304" t="n">
        <v/>
      </c>
    </row>
    <row r="305">
      <c r="A305" s="83" t="n">
        <v>43922</v>
      </c>
      <c r="B305" t="n">
        <v>39.6</v>
      </c>
      <c r="C305" t="n">
        <v>65.83232116699219</v>
      </c>
      <c r="D305" t="n">
        <v>30.19581031799316</v>
      </c>
      <c r="E305" t="n">
        <v>25.25</v>
      </c>
      <c r="F305" t="n">
        <v>-0.1171453125759743</v>
      </c>
    </row>
    <row r="306">
      <c r="A306" s="83" t="n">
        <v>43952</v>
      </c>
      <c r="B306" t="n">
        <v>42.4</v>
      </c>
      <c r="C306" t="n">
        <v>69.18524169921875</v>
      </c>
      <c r="D306" t="n">
        <v>32.42390441894531</v>
      </c>
      <c r="E306" t="n">
        <v>25.72999954223633</v>
      </c>
      <c r="F306" t="n">
        <v/>
      </c>
    </row>
    <row r="307">
      <c r="A307" s="83" t="n">
        <v>43983</v>
      </c>
      <c r="B307" t="n">
        <v>47.8</v>
      </c>
      <c r="C307" t="n">
        <v>70.62220764160156</v>
      </c>
      <c r="D307" t="n">
        <v>34.00874710083008</v>
      </c>
      <c r="E307" t="n">
        <v>25.76000022888184</v>
      </c>
      <c r="F307" t="n">
        <v/>
      </c>
    </row>
    <row r="308">
      <c r="A308" s="83" t="n">
        <v>44013</v>
      </c>
      <c r="B308" t="n">
        <v>50.6</v>
      </c>
      <c r="C308" t="n">
        <v>75.03570556640625</v>
      </c>
      <c r="D308" t="n">
        <v>35.43022918701172</v>
      </c>
      <c r="E308" t="n">
        <v>25.93000030517578</v>
      </c>
      <c r="F308" t="n">
        <v>0.1280910547624244</v>
      </c>
    </row>
    <row r="309">
      <c r="A309" s="83" t="n">
        <v>44044</v>
      </c>
      <c r="B309" t="n">
        <v>51.8</v>
      </c>
      <c r="C309" t="n">
        <v>79.55698394775391</v>
      </c>
      <c r="D309" t="n">
        <v>37.04796600341797</v>
      </c>
      <c r="E309" t="n">
        <v>26.63999938964844</v>
      </c>
      <c r="F309" t="n">
        <v/>
      </c>
    </row>
    <row r="310">
      <c r="A310" s="83" t="n">
        <v>44075</v>
      </c>
      <c r="B310" t="n">
        <v>52.4</v>
      </c>
      <c r="C310" t="n">
        <v>77.20939636230469</v>
      </c>
      <c r="D310" t="n">
        <v>35.66535949707031</v>
      </c>
      <c r="E310" t="n">
        <v>25.48999977111816</v>
      </c>
      <c r="F310" t="n">
        <v/>
      </c>
    </row>
    <row r="311">
      <c r="A311" s="83" t="n">
        <v>44105</v>
      </c>
      <c r="B311" t="n">
        <v>53</v>
      </c>
      <c r="C311" t="n">
        <v>75.48976898193359</v>
      </c>
      <c r="D311" t="n">
        <v>33.74666213989258</v>
      </c>
      <c r="E311" t="n">
        <v>24.34000015258789</v>
      </c>
      <c r="F311" t="n">
        <v>-0.004119235975688952</v>
      </c>
    </row>
    <row r="312">
      <c r="A312" s="83" t="n">
        <v>44136</v>
      </c>
      <c r="B312" t="n">
        <v>53.8</v>
      </c>
      <c r="C312" t="n">
        <v>84.36808013916016</v>
      </c>
      <c r="D312" t="n">
        <v>40.38689041137695</v>
      </c>
      <c r="E312" t="n">
        <v>28.26000022888184</v>
      </c>
      <c r="F312" t="n">
        <v/>
      </c>
    </row>
    <row r="313">
      <c r="A313" s="83" t="n">
        <v>44166</v>
      </c>
      <c r="B313" t="n">
        <v>53.8</v>
      </c>
      <c r="C313" t="n">
        <v>87.64311218261719</v>
      </c>
      <c r="D313" t="n">
        <v>41.45911026000977</v>
      </c>
      <c r="E313" t="n">
        <v>29.29000091552734</v>
      </c>
      <c r="F313" t="n">
        <v/>
      </c>
    </row>
    <row r="314">
      <c r="A314" s="83" t="n">
        <v>44197</v>
      </c>
      <c r="B314" t="n">
        <v>53.6</v>
      </c>
      <c r="C314" t="n">
        <v>88.05005645751953</v>
      </c>
      <c r="D314" t="n">
        <v>41.32225036621094</v>
      </c>
      <c r="E314" t="n">
        <v>29.21999931335449</v>
      </c>
      <c r="F314" t="n">
        <v>-0.0009675948142924936</v>
      </c>
    </row>
    <row r="315">
      <c r="A315" s="83" t="n">
        <v>44228</v>
      </c>
      <c r="B315" t="n">
        <v>53.9</v>
      </c>
      <c r="C315" t="n">
        <v>90.06536865234375</v>
      </c>
      <c r="D315" t="n">
        <v>42.72477340698242</v>
      </c>
      <c r="E315" t="n">
        <v>30.3700008392334</v>
      </c>
      <c r="F315" t="n">
        <v/>
      </c>
    </row>
    <row r="316">
      <c r="A316" s="83" t="n">
        <v>44256</v>
      </c>
      <c r="B316" t="n">
        <v>55</v>
      </c>
      <c r="C316" t="n">
        <v>92.63559722900391</v>
      </c>
      <c r="D316" t="n">
        <v>44.29904556274414</v>
      </c>
      <c r="E316" t="n">
        <v>31.30999946594238</v>
      </c>
      <c r="F316" t="n">
        <v/>
      </c>
    </row>
    <row r="317">
      <c r="A317" s="83" t="n">
        <v>44287</v>
      </c>
      <c r="B317" t="n">
        <v>55.9</v>
      </c>
      <c r="C317" t="n">
        <v>96.56884002685547</v>
      </c>
      <c r="D317" t="n">
        <v>46.35991287231445</v>
      </c>
      <c r="E317" t="n">
        <v>32.52999877929688</v>
      </c>
      <c r="F317" t="n">
        <v>0.02062355013756476</v>
      </c>
    </row>
    <row r="318">
      <c r="A318" s="83" t="n">
        <v>44317</v>
      </c>
      <c r="B318" t="n">
        <v>56</v>
      </c>
      <c r="C318" t="n">
        <v>97.99024963378906</v>
      </c>
      <c r="D318" t="n">
        <v>48.39215469360352</v>
      </c>
      <c r="E318" t="n">
        <v>33.79000091552734</v>
      </c>
      <c r="F318" t="n">
        <v/>
      </c>
    </row>
    <row r="319">
      <c r="A319" s="83" t="n">
        <v>44348</v>
      </c>
      <c r="B319" t="n">
        <v>55.5</v>
      </c>
      <c r="C319" t="n">
        <v>98.51598358154297</v>
      </c>
      <c r="D319" t="n">
        <v>47.08502578735352</v>
      </c>
      <c r="E319" t="n">
        <v>32.70000076293945</v>
      </c>
      <c r="F319" t="n">
        <v/>
      </c>
    </row>
    <row r="320">
      <c r="A320" s="83" t="n">
        <v>44378</v>
      </c>
      <c r="B320" t="n">
        <v>55.4</v>
      </c>
      <c r="C320" t="n">
        <v>100.1279373168945</v>
      </c>
      <c r="D320" t="n">
        <v>48.01527404785156</v>
      </c>
      <c r="E320" t="n">
        <v>32.79000091552734</v>
      </c>
      <c r="F320" t="n">
        <v>0.02348450517496454</v>
      </c>
    </row>
    <row r="321">
      <c r="A321" s="83" t="n">
        <v>44409</v>
      </c>
      <c r="B321" t="n">
        <v>54.1</v>
      </c>
      <c r="C321" t="n">
        <v>102.3048400878906</v>
      </c>
      <c r="D321" t="n">
        <v>48.95920181274414</v>
      </c>
      <c r="E321" t="n">
        <v>33.0099983215332</v>
      </c>
      <c r="F321" t="n">
        <v/>
      </c>
    </row>
    <row r="322">
      <c r="A322" s="83" t="n">
        <v>44440</v>
      </c>
      <c r="B322" t="n">
        <v>54.1</v>
      </c>
      <c r="C322" t="n">
        <v>97.98044586181641</v>
      </c>
      <c r="D322" t="n">
        <v>46.34894561767578</v>
      </c>
      <c r="E322" t="n">
        <v>32.25</v>
      </c>
      <c r="F322" t="n">
        <v/>
      </c>
    </row>
    <row r="323">
      <c r="A323" s="83" t="n">
        <v>44470</v>
      </c>
      <c r="B323" t="n">
        <v>54.2</v>
      </c>
      <c r="C323" t="n">
        <v>103.2658157348633</v>
      </c>
      <c r="D323" t="n">
        <v>48.46797180175781</v>
      </c>
      <c r="E323" t="n">
        <v>33.68000030517578</v>
      </c>
      <c r="F323" t="n">
        <v>0.003906158540577391</v>
      </c>
    </row>
    <row r="324">
      <c r="A324" s="83" t="n">
        <v>44501</v>
      </c>
      <c r="B324" t="n">
        <v>54.2</v>
      </c>
      <c r="C324" t="n">
        <v>100.8829803466797</v>
      </c>
      <c r="D324" t="n">
        <v>45.84808349609375</v>
      </c>
      <c r="E324" t="n">
        <v>32.04000091552734</v>
      </c>
      <c r="F324" t="n">
        <v/>
      </c>
    </row>
    <row r="325">
      <c r="A325" s="83" t="n">
        <v>44531</v>
      </c>
      <c r="B325" t="n">
        <v>54.3</v>
      </c>
      <c r="C325" t="n">
        <v>103.7266998291016</v>
      </c>
      <c r="D325" t="n">
        <v>47.20618438720703</v>
      </c>
      <c r="E325" t="n">
        <v>33.13999938964844</v>
      </c>
      <c r="F325" t="n">
        <v/>
      </c>
    </row>
    <row r="326">
      <c r="A326" s="83" t="n">
        <v>44562</v>
      </c>
      <c r="B326" t="n">
        <v>53.2</v>
      </c>
      <c r="C326" t="n">
        <v>100.0395050048828</v>
      </c>
      <c r="D326" t="n">
        <v>46.3187255859375</v>
      </c>
      <c r="E326" t="n">
        <v>33.88999938964844</v>
      </c>
      <c r="F326" t="n">
        <v>0.004980507320315897</v>
      </c>
    </row>
    <row r="327">
      <c r="A327" s="83" t="n">
        <v>44593</v>
      </c>
      <c r="B327" t="n">
        <v>53.6</v>
      </c>
      <c r="C327" t="n">
        <v>96.97798156738281</v>
      </c>
      <c r="D327" t="n">
        <v>42.89712142944336</v>
      </c>
      <c r="E327" t="n">
        <v>33.4900016784668</v>
      </c>
      <c r="F327" t="n">
        <v/>
      </c>
    </row>
    <row r="328">
      <c r="A328" s="83" t="n">
        <v>44621</v>
      </c>
      <c r="B328" t="n">
        <v>52.9</v>
      </c>
      <c r="C328" t="n">
        <v>98.8604736328125</v>
      </c>
      <c r="D328" t="n">
        <v>42.30078506469727</v>
      </c>
      <c r="E328" t="n">
        <v>33.63999938964844</v>
      </c>
      <c r="F328" t="n">
        <v/>
      </c>
    </row>
    <row r="329">
      <c r="A329" s="83" t="n">
        <v>44652</v>
      </c>
      <c r="B329" t="n">
        <v>52.2</v>
      </c>
      <c r="C329" t="n">
        <v>90.88465881347656</v>
      </c>
      <c r="D329" t="n">
        <v>39.21156692504883</v>
      </c>
      <c r="E329" t="n">
        <v>32.29999923706055</v>
      </c>
      <c r="F329" t="n">
        <v>0.00627958051924693</v>
      </c>
    </row>
    <row r="330">
      <c r="A330" s="83" t="n">
        <v>44682</v>
      </c>
      <c r="B330" t="n">
        <v>52.3</v>
      </c>
      <c r="C330" t="n">
        <v>91.29087829589844</v>
      </c>
      <c r="D330" t="n">
        <v>40.91259002685547</v>
      </c>
      <c r="E330" t="n">
        <v>33.16999816894531</v>
      </c>
      <c r="F330" t="n">
        <v/>
      </c>
    </row>
    <row r="331">
      <c r="A331" s="83" t="n">
        <v>44713</v>
      </c>
      <c r="B331" t="n">
        <v>52.2</v>
      </c>
      <c r="C331" t="n">
        <v>83.11690521240234</v>
      </c>
      <c r="D331" t="n">
        <v>35.53578567504883</v>
      </c>
      <c r="E331" t="n">
        <v>29.95999908447266</v>
      </c>
      <c r="F331" t="n">
        <v/>
      </c>
    </row>
    <row r="332">
      <c r="A332" s="83" t="n">
        <v>44743</v>
      </c>
      <c r="B332" t="n">
        <v/>
      </c>
      <c r="C332" t="n">
        <v>89.81999969482422</v>
      </c>
      <c r="D332" t="n">
        <v>38.15999984741211</v>
      </c>
      <c r="E332" t="n">
        <v>30.90999984741211</v>
      </c>
      <c r="F332" t="n">
        <v/>
      </c>
    </row>
    <row r="333">
      <c r="A333" s="83" t="n">
        <v>44774</v>
      </c>
      <c r="B333" t="n">
        <v/>
      </c>
      <c r="C333" t="n">
        <v>85.90000152587891</v>
      </c>
      <c r="D333" t="n">
        <v>35.33000183105469</v>
      </c>
      <c r="E333" t="n">
        <v>28.90999984741211</v>
      </c>
      <c r="F333"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5"/>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8"/>
    <col width="10.83203125" customWidth="1" style="61" min="29" max="16384"/>
  </cols>
  <sheetData>
    <row r="1">
      <c r="A1" t="inlineStr">
        <is>
          <t>DATE</t>
        </is>
      </c>
      <c r="B1" t="inlineStr">
        <is>
          <t>China Business Confidence</t>
        </is>
      </c>
      <c r="C1" t="inlineStr">
        <is>
          <t>China GDP</t>
        </is>
      </c>
    </row>
    <row r="2">
      <c r="A2" s="83" t="n">
        <v>38353</v>
      </c>
      <c r="B2" t="n">
        <v>55.7</v>
      </c>
    </row>
    <row r="3">
      <c r="A3" s="83" t="n">
        <v>38384</v>
      </c>
      <c r="B3" t="n">
        <v>54.4</v>
      </c>
    </row>
    <row r="4">
      <c r="A4" s="83" t="n">
        <v>38412</v>
      </c>
      <c r="B4" t="n">
        <v>63.4</v>
      </c>
    </row>
    <row r="5">
      <c r="A5" s="83" t="n">
        <v>38443</v>
      </c>
      <c r="B5" t="n">
        <v>56.9</v>
      </c>
      <c r="C5" t="n">
        <v>0.111</v>
      </c>
    </row>
    <row r="6">
      <c r="A6" s="83" t="n">
        <v>38473</v>
      </c>
      <c r="B6" t="n">
        <v>52.1</v>
      </c>
    </row>
    <row r="7">
      <c r="A7" s="83" t="n">
        <v>38504</v>
      </c>
      <c r="B7" t="n">
        <v>52.1</v>
      </c>
    </row>
    <row r="8">
      <c r="A8" s="83" t="n">
        <v>38534</v>
      </c>
      <c r="B8" t="n">
        <v>51.2</v>
      </c>
      <c r="C8" t="n">
        <v>0.111</v>
      </c>
    </row>
    <row r="9">
      <c r="A9" s="83" t="n">
        <v>38565</v>
      </c>
      <c r="B9" t="n">
        <v>54.1</v>
      </c>
    </row>
    <row r="10">
      <c r="A10" s="83" t="n">
        <v>38596</v>
      </c>
      <c r="B10" t="n">
        <v>56.9</v>
      </c>
    </row>
    <row r="11">
      <c r="A11" s="83" t="n">
        <v>38626</v>
      </c>
      <c r="B11" t="n">
        <v>54.1</v>
      </c>
      <c r="C11" t="n">
        <v>0.108</v>
      </c>
    </row>
    <row r="12">
      <c r="A12" s="83" t="n">
        <v>38657</v>
      </c>
      <c r="B12" t="n">
        <v>54.1</v>
      </c>
    </row>
    <row r="13">
      <c r="A13" s="83" t="n">
        <v>38687</v>
      </c>
      <c r="B13" t="n">
        <v>54.3</v>
      </c>
    </row>
    <row r="14">
      <c r="A14" s="83" t="n">
        <v>38718</v>
      </c>
      <c r="B14" t="n">
        <v>52.1</v>
      </c>
      <c r="C14" t="n">
        <v>0.124</v>
      </c>
    </row>
    <row r="15">
      <c r="A15" s="83" t="n">
        <v>38749</v>
      </c>
      <c r="B15" t="n">
        <v>52.1</v>
      </c>
    </row>
    <row r="16">
      <c r="A16" s="83" t="n">
        <v>38777</v>
      </c>
      <c r="B16" t="n">
        <v>55.3</v>
      </c>
    </row>
    <row r="17">
      <c r="A17" s="83" t="n">
        <v>38808</v>
      </c>
      <c r="B17" t="n">
        <v>58.1</v>
      </c>
      <c r="C17" t="n">
        <v>0.125</v>
      </c>
    </row>
    <row r="18">
      <c r="A18" s="83" t="n">
        <v>38838</v>
      </c>
      <c r="B18" t="n">
        <v>54.8</v>
      </c>
    </row>
    <row r="19">
      <c r="A19" s="83" t="n">
        <v>38869</v>
      </c>
      <c r="B19" t="n">
        <v>54.1</v>
      </c>
    </row>
    <row r="20">
      <c r="A20" s="83" t="n">
        <v>38899</v>
      </c>
      <c r="B20" t="n">
        <v>52.4</v>
      </c>
      <c r="C20" t="n">
        <v>0.137</v>
      </c>
    </row>
    <row r="21">
      <c r="A21" s="83" t="n">
        <v>38930</v>
      </c>
      <c r="B21" t="n">
        <v>53.1</v>
      </c>
    </row>
    <row r="22">
      <c r="A22" s="83" t="n">
        <v>38961</v>
      </c>
      <c r="B22" t="n">
        <v>57</v>
      </c>
    </row>
    <row r="23">
      <c r="A23" s="83" t="n">
        <v>38991</v>
      </c>
      <c r="B23" t="n">
        <v>54.7</v>
      </c>
      <c r="C23" t="n">
        <v>0.122</v>
      </c>
    </row>
    <row r="24">
      <c r="A24" s="83" t="n">
        <v>39022</v>
      </c>
      <c r="B24" t="n">
        <v>55.3</v>
      </c>
    </row>
    <row r="25">
      <c r="A25" s="83" t="n">
        <v>39052</v>
      </c>
      <c r="B25" t="n">
        <v>54.8</v>
      </c>
    </row>
    <row r="26">
      <c r="A26" s="83" t="n">
        <v>39083</v>
      </c>
      <c r="B26" t="n">
        <v>55.1</v>
      </c>
      <c r="C26" t="n">
        <v>0.125</v>
      </c>
    </row>
    <row r="27">
      <c r="A27" s="83" t="n">
        <v>39114</v>
      </c>
      <c r="B27" t="n">
        <v>53.1</v>
      </c>
    </row>
    <row r="28">
      <c r="A28" s="83" t="n">
        <v>39142</v>
      </c>
      <c r="B28" t="n">
        <v>56.1</v>
      </c>
    </row>
    <row r="29">
      <c r="A29" s="83" t="n">
        <v>39173</v>
      </c>
      <c r="B29" t="n">
        <v>58.6</v>
      </c>
      <c r="C29" t="n">
        <v>0.138</v>
      </c>
    </row>
    <row r="30">
      <c r="A30" s="83" t="n">
        <v>39203</v>
      </c>
      <c r="B30" t="n">
        <v>55.7</v>
      </c>
    </row>
    <row r="31">
      <c r="A31" s="83" t="n">
        <v>39234</v>
      </c>
      <c r="B31" t="n">
        <v>54.5</v>
      </c>
    </row>
    <row r="32">
      <c r="A32" s="83" t="n">
        <v>39264</v>
      </c>
      <c r="B32" t="n">
        <v>53.3</v>
      </c>
      <c r="C32" t="n">
        <v>0.15</v>
      </c>
    </row>
    <row r="33">
      <c r="A33" s="83" t="n">
        <v>39295</v>
      </c>
      <c r="B33" t="n">
        <v>54</v>
      </c>
    </row>
    <row r="34">
      <c r="A34" s="83" t="n">
        <v>39326</v>
      </c>
      <c r="B34" t="n">
        <v>56.1</v>
      </c>
    </row>
    <row r="35">
      <c r="A35" s="83" t="n">
        <v>39356</v>
      </c>
      <c r="B35" t="n">
        <v>53.2</v>
      </c>
      <c r="C35" t="n">
        <v>0.143</v>
      </c>
    </row>
    <row r="36">
      <c r="A36" s="83" t="n">
        <v>39387</v>
      </c>
      <c r="B36" t="n">
        <v>55.4</v>
      </c>
    </row>
    <row r="37">
      <c r="A37" s="83" t="n">
        <v>39417</v>
      </c>
      <c r="B37" t="n">
        <v>55.3</v>
      </c>
    </row>
    <row r="38">
      <c r="A38" s="83" t="n">
        <v>39448</v>
      </c>
      <c r="B38" t="n">
        <v>53</v>
      </c>
      <c r="C38" t="n">
        <v>0.139</v>
      </c>
    </row>
    <row r="39">
      <c r="A39" s="83" t="n">
        <v>39479</v>
      </c>
      <c r="B39" t="n">
        <v>53.4</v>
      </c>
    </row>
    <row r="40">
      <c r="A40" s="83" t="n">
        <v>39508</v>
      </c>
      <c r="B40" t="n">
        <v>58.4</v>
      </c>
    </row>
    <row r="41">
      <c r="A41" s="83" t="n">
        <v>39539</v>
      </c>
      <c r="B41" t="n">
        <v>59.2</v>
      </c>
      <c r="C41" t="n">
        <v>0.115</v>
      </c>
    </row>
    <row r="42">
      <c r="A42" s="83" t="n">
        <v>39569</v>
      </c>
      <c r="B42" t="n">
        <v>53.3</v>
      </c>
    </row>
    <row r="43">
      <c r="A43" s="83" t="n">
        <v>39600</v>
      </c>
      <c r="B43" t="n">
        <v>52</v>
      </c>
    </row>
    <row r="44">
      <c r="A44" s="83" t="n">
        <v>39630</v>
      </c>
      <c r="B44" t="n">
        <v>48.4</v>
      </c>
      <c r="C44" t="n">
        <v>0.109</v>
      </c>
    </row>
    <row r="45">
      <c r="A45" s="83" t="n">
        <v>39661</v>
      </c>
      <c r="B45" t="n">
        <v>48.4</v>
      </c>
    </row>
    <row r="46">
      <c r="A46" s="83" t="n">
        <v>39692</v>
      </c>
      <c r="B46" t="n">
        <v>51.2</v>
      </c>
    </row>
    <row r="47">
      <c r="A47" s="83" t="n">
        <v>39722</v>
      </c>
      <c r="B47" t="n">
        <v>44.6</v>
      </c>
      <c r="C47" t="n">
        <v>0.095</v>
      </c>
    </row>
    <row r="48">
      <c r="A48" s="83" t="n">
        <v>39753</v>
      </c>
      <c r="B48" t="n">
        <v>38.8</v>
      </c>
    </row>
    <row r="49">
      <c r="A49" s="83" t="n">
        <v>39783</v>
      </c>
      <c r="B49" t="n">
        <v>41.2</v>
      </c>
    </row>
    <row r="50">
      <c r="A50" s="83" t="n">
        <v>39814</v>
      </c>
      <c r="B50" t="n">
        <v>45.3</v>
      </c>
      <c r="C50" t="n">
        <v>0.07099999999999999</v>
      </c>
    </row>
    <row r="51">
      <c r="A51" s="83" t="n">
        <v>39845</v>
      </c>
      <c r="B51" t="n">
        <v>49</v>
      </c>
    </row>
    <row r="52">
      <c r="A52" s="83" t="n">
        <v>39873</v>
      </c>
      <c r="B52" t="n">
        <v>52.4</v>
      </c>
    </row>
    <row r="53">
      <c r="A53" s="83" t="n">
        <v>39904</v>
      </c>
      <c r="B53" t="n">
        <v>53.5</v>
      </c>
      <c r="C53" t="n">
        <v>0.064</v>
      </c>
    </row>
    <row r="54">
      <c r="A54" s="83" t="n">
        <v>39934</v>
      </c>
      <c r="B54" t="n">
        <v>53.1</v>
      </c>
    </row>
    <row r="55">
      <c r="A55" s="83" t="n">
        <v>39965</v>
      </c>
      <c r="B55" t="n">
        <v>53.2</v>
      </c>
    </row>
    <row r="56">
      <c r="A56" s="83" t="n">
        <v>39995</v>
      </c>
      <c r="B56" t="n">
        <v>53.3</v>
      </c>
      <c r="C56" t="n">
        <v>0.08199999999999999</v>
      </c>
    </row>
    <row r="57">
      <c r="A57" s="83" t="n">
        <v>40026</v>
      </c>
      <c r="B57" t="n">
        <v>54</v>
      </c>
    </row>
    <row r="58">
      <c r="A58" s="83" t="n">
        <v>40057</v>
      </c>
      <c r="B58" t="n">
        <v>54.3</v>
      </c>
    </row>
    <row r="59">
      <c r="A59" s="83" t="n">
        <v>40087</v>
      </c>
      <c r="B59" t="n">
        <v>55.2</v>
      </c>
      <c r="C59" t="n">
        <v>0.106</v>
      </c>
    </row>
    <row r="60">
      <c r="A60" s="83" t="n">
        <v>40118</v>
      </c>
      <c r="B60" t="n">
        <v>55.2</v>
      </c>
    </row>
    <row r="61">
      <c r="A61" s="83" t="n">
        <v>40148</v>
      </c>
      <c r="B61" t="n">
        <v>56.6</v>
      </c>
    </row>
    <row r="62">
      <c r="A62" s="83" t="n">
        <v>40179</v>
      </c>
      <c r="B62" t="n">
        <v>55.8</v>
      </c>
      <c r="C62" t="n">
        <v>0.119</v>
      </c>
    </row>
    <row r="63">
      <c r="A63" s="83" t="n">
        <v>40210</v>
      </c>
      <c r="B63" t="n">
        <v>52</v>
      </c>
    </row>
    <row r="64">
      <c r="A64" s="83" t="n">
        <v>40238</v>
      </c>
      <c r="B64" t="n">
        <v>55.1</v>
      </c>
    </row>
    <row r="65">
      <c r="A65" s="83" t="n">
        <v>40269</v>
      </c>
      <c r="B65" t="n">
        <v>55.7</v>
      </c>
      <c r="C65" t="n">
        <v>0.122</v>
      </c>
    </row>
    <row r="66">
      <c r="A66" s="83" t="n">
        <v>40299</v>
      </c>
      <c r="B66" t="n">
        <v>53.9</v>
      </c>
    </row>
    <row r="67">
      <c r="A67" s="83" t="n">
        <v>40330</v>
      </c>
      <c r="B67" t="n">
        <v>52.1</v>
      </c>
    </row>
    <row r="68">
      <c r="A68" s="83" t="n">
        <v>40360</v>
      </c>
      <c r="B68" t="n">
        <v>51.2</v>
      </c>
      <c r="C68" t="n">
        <v>0.108</v>
      </c>
    </row>
    <row r="69">
      <c r="A69" s="83" t="n">
        <v>40391</v>
      </c>
      <c r="B69" t="n">
        <v>51.7</v>
      </c>
    </row>
    <row r="70">
      <c r="A70" s="83" t="n">
        <v>40422</v>
      </c>
      <c r="B70" t="n">
        <v>53.8</v>
      </c>
    </row>
    <row r="71">
      <c r="A71" s="83" t="n">
        <v>40452</v>
      </c>
      <c r="B71" t="n">
        <v>54.7</v>
      </c>
      <c r="C71" t="n">
        <v>0.099</v>
      </c>
    </row>
    <row r="72">
      <c r="A72" s="83" t="n">
        <v>40483</v>
      </c>
      <c r="B72" t="n">
        <v>55.2</v>
      </c>
    </row>
    <row r="73">
      <c r="A73" s="83" t="n">
        <v>40513</v>
      </c>
      <c r="B73" t="n">
        <v>53.9</v>
      </c>
    </row>
    <row r="74">
      <c r="A74" s="83" t="n">
        <v>40544</v>
      </c>
      <c r="B74" t="n">
        <v>52.9</v>
      </c>
      <c r="C74" t="n">
        <v>0.099</v>
      </c>
    </row>
    <row r="75">
      <c r="A75" s="83" t="n">
        <v>40575</v>
      </c>
      <c r="B75" t="n">
        <v>52.2</v>
      </c>
    </row>
    <row r="76">
      <c r="A76" s="83" t="n">
        <v>40603</v>
      </c>
      <c r="B76" t="n">
        <v>53.4</v>
      </c>
    </row>
    <row r="77">
      <c r="A77" s="83" t="n">
        <v>40634</v>
      </c>
      <c r="B77" t="n">
        <v>52.9</v>
      </c>
      <c r="C77" t="n">
        <v>0.102</v>
      </c>
    </row>
    <row r="78">
      <c r="A78" s="83" t="n">
        <v>40664</v>
      </c>
      <c r="B78" t="n">
        <v>52</v>
      </c>
    </row>
    <row r="79">
      <c r="A79" s="83" t="n">
        <v>40695</v>
      </c>
      <c r="B79" t="n">
        <v>50.9</v>
      </c>
    </row>
    <row r="80">
      <c r="A80" s="83" t="n">
        <v>40725</v>
      </c>
      <c r="B80" t="n">
        <v>50.7</v>
      </c>
      <c r="C80" t="n">
        <v>0.1</v>
      </c>
    </row>
    <row r="81">
      <c r="A81" s="83" t="n">
        <v>40756</v>
      </c>
      <c r="B81" t="n">
        <v>50.9</v>
      </c>
    </row>
    <row r="82">
      <c r="A82" s="83" t="n">
        <v>40787</v>
      </c>
      <c r="B82" t="n">
        <v>51.2</v>
      </c>
    </row>
    <row r="83">
      <c r="A83" s="83" t="n">
        <v>40817</v>
      </c>
      <c r="B83" t="n">
        <v>50.4</v>
      </c>
      <c r="C83" t="n">
        <v>0.094</v>
      </c>
    </row>
    <row r="84">
      <c r="A84" s="83" t="n">
        <v>40848</v>
      </c>
      <c r="B84" t="n">
        <v>49</v>
      </c>
    </row>
    <row r="85">
      <c r="A85" s="83" t="n">
        <v>40878</v>
      </c>
      <c r="B85" t="n">
        <v>50.3</v>
      </c>
    </row>
    <row r="86">
      <c r="A86" s="83" t="n">
        <v>40909</v>
      </c>
      <c r="B86" t="n">
        <v>50.5</v>
      </c>
      <c r="C86" t="n">
        <v>0.08800000000000001</v>
      </c>
    </row>
    <row r="87">
      <c r="A87" s="83" t="n">
        <v>40940</v>
      </c>
      <c r="B87" t="n">
        <v>51</v>
      </c>
    </row>
    <row r="88">
      <c r="A88" s="83" t="n">
        <v>40969</v>
      </c>
      <c r="B88" t="n">
        <v>53.1</v>
      </c>
    </row>
    <row r="89">
      <c r="A89" s="83" t="n">
        <v>41000</v>
      </c>
      <c r="B89" t="n">
        <v>53.3</v>
      </c>
      <c r="C89" t="n">
        <v>0.081</v>
      </c>
    </row>
    <row r="90">
      <c r="A90" s="83" t="n">
        <v>41030</v>
      </c>
      <c r="B90" t="n">
        <v>50.4</v>
      </c>
    </row>
    <row r="91">
      <c r="A91" s="83" t="n">
        <v>41061</v>
      </c>
      <c r="B91" t="n">
        <v>50.2</v>
      </c>
    </row>
    <row r="92">
      <c r="A92" s="83" t="n">
        <v>41091</v>
      </c>
      <c r="B92" t="n">
        <v>50.1</v>
      </c>
      <c r="C92" t="n">
        <v>0.077</v>
      </c>
    </row>
    <row r="93">
      <c r="A93" s="83" t="n">
        <v>41122</v>
      </c>
      <c r="B93" t="n">
        <v>49.2</v>
      </c>
    </row>
    <row r="94">
      <c r="A94" s="83" t="n">
        <v>41153</v>
      </c>
      <c r="B94" t="n">
        <v>49.8</v>
      </c>
    </row>
    <row r="95">
      <c r="A95" s="83" t="n">
        <v>41183</v>
      </c>
      <c r="B95" t="n">
        <v>50.2</v>
      </c>
      <c r="C95" t="n">
        <v>0.075</v>
      </c>
    </row>
    <row r="96">
      <c r="A96" s="83" t="n">
        <v>41214</v>
      </c>
      <c r="B96" t="n">
        <v>50.6</v>
      </c>
    </row>
    <row r="97">
      <c r="A97" s="83" t="n">
        <v>41244</v>
      </c>
      <c r="B97" t="n">
        <v>50.6</v>
      </c>
    </row>
    <row r="98">
      <c r="A98" s="83" t="n">
        <v>41275</v>
      </c>
      <c r="B98" t="n">
        <v>50.4</v>
      </c>
      <c r="C98" t="n">
        <v>0.081</v>
      </c>
    </row>
    <row r="99">
      <c r="A99" s="83" t="n">
        <v>41306</v>
      </c>
      <c r="B99" t="n">
        <v>50.1</v>
      </c>
    </row>
    <row r="100">
      <c r="A100" s="83" t="n">
        <v>41334</v>
      </c>
      <c r="B100" t="n">
        <v>50.9</v>
      </c>
    </row>
    <row r="101">
      <c r="A101" s="83" t="n">
        <v>41365</v>
      </c>
      <c r="B101" t="n">
        <v>50.6</v>
      </c>
      <c r="C101" t="n">
        <v>0.079</v>
      </c>
    </row>
    <row r="102">
      <c r="A102" s="83" t="n">
        <v>41395</v>
      </c>
      <c r="B102" t="n">
        <v>50.8</v>
      </c>
    </row>
    <row r="103">
      <c r="A103" s="83" t="n">
        <v>41426</v>
      </c>
      <c r="B103" t="n">
        <v>50.1</v>
      </c>
    </row>
    <row r="104">
      <c r="A104" s="83" t="n">
        <v>41456</v>
      </c>
      <c r="B104" t="n">
        <v>50.3</v>
      </c>
      <c r="C104" t="n">
        <v>0.076</v>
      </c>
    </row>
    <row r="105">
      <c r="A105" s="83" t="n">
        <v>41487</v>
      </c>
      <c r="B105" t="n">
        <v>51</v>
      </c>
    </row>
    <row r="106">
      <c r="A106" s="83" t="n">
        <v>41518</v>
      </c>
      <c r="B106" t="n">
        <v>51.1</v>
      </c>
    </row>
    <row r="107">
      <c r="A107" s="83" t="n">
        <v>41548</v>
      </c>
      <c r="B107" t="n">
        <v>51.4</v>
      </c>
      <c r="C107" t="n">
        <v>0.079</v>
      </c>
    </row>
    <row r="108">
      <c r="A108" s="83" t="n">
        <v>41579</v>
      </c>
      <c r="B108" t="n">
        <v>51.4</v>
      </c>
    </row>
    <row r="109">
      <c r="A109" s="83" t="n">
        <v>41609</v>
      </c>
      <c r="B109" t="n">
        <v>51</v>
      </c>
    </row>
    <row r="110">
      <c r="A110" s="83" t="n">
        <v>41640</v>
      </c>
      <c r="B110" t="n">
        <v>50.5</v>
      </c>
      <c r="C110" t="n">
        <v>0.077</v>
      </c>
    </row>
    <row r="111">
      <c r="A111" s="83" t="n">
        <v>41671</v>
      </c>
      <c r="B111" t="n">
        <v>50.2</v>
      </c>
    </row>
    <row r="112">
      <c r="A112" s="83" t="n">
        <v>41699</v>
      </c>
      <c r="B112" t="n">
        <v>50.3</v>
      </c>
    </row>
    <row r="113">
      <c r="A113" s="83" t="n">
        <v>41730</v>
      </c>
      <c r="B113" t="n">
        <v>50.4</v>
      </c>
      <c r="C113" t="n">
        <v>0.075</v>
      </c>
    </row>
    <row r="114">
      <c r="A114" s="83" t="n">
        <v>41760</v>
      </c>
      <c r="B114" t="n">
        <v>50.8</v>
      </c>
    </row>
    <row r="115">
      <c r="A115" s="83" t="n">
        <v>41791</v>
      </c>
      <c r="B115" t="n">
        <v>51</v>
      </c>
    </row>
    <row r="116">
      <c r="A116" s="83" t="n">
        <v>41821</v>
      </c>
      <c r="B116" t="n">
        <v>51.7</v>
      </c>
      <c r="C116" t="n">
        <v>0.076</v>
      </c>
    </row>
    <row r="117">
      <c r="A117" s="83" t="n">
        <v>41852</v>
      </c>
      <c r="B117" t="n">
        <v>51.1</v>
      </c>
    </row>
    <row r="118">
      <c r="A118" s="83" t="n">
        <v>41883</v>
      </c>
      <c r="B118" t="n">
        <v>51.1</v>
      </c>
    </row>
    <row r="119">
      <c r="A119" s="83" t="n">
        <v>41913</v>
      </c>
      <c r="B119" t="n">
        <v>50.8</v>
      </c>
      <c r="C119" t="n">
        <v>0.07200000000000001</v>
      </c>
    </row>
    <row r="120">
      <c r="A120" s="83" t="n">
        <v>41944</v>
      </c>
      <c r="B120" t="n">
        <v>50.3</v>
      </c>
    </row>
    <row r="121">
      <c r="A121" s="83" t="n">
        <v>41974</v>
      </c>
      <c r="B121" t="n">
        <v>50.1</v>
      </c>
    </row>
    <row r="122">
      <c r="A122" s="83" t="n">
        <v>42005</v>
      </c>
      <c r="B122" t="n">
        <v>49.8</v>
      </c>
      <c r="C122" t="n">
        <v>0.073</v>
      </c>
    </row>
    <row r="123">
      <c r="A123" s="83" t="n">
        <v>42036</v>
      </c>
      <c r="B123" t="n">
        <v>49.9</v>
      </c>
    </row>
    <row r="124">
      <c r="A124" s="83" t="n">
        <v>42064</v>
      </c>
      <c r="B124" t="n">
        <v>50.1</v>
      </c>
    </row>
    <row r="125">
      <c r="A125" s="83" t="n">
        <v>42095</v>
      </c>
      <c r="B125" t="n">
        <v>50.1</v>
      </c>
      <c r="C125" t="n">
        <v>0.07099999999999999</v>
      </c>
    </row>
    <row r="126">
      <c r="A126" s="83" t="n">
        <v>42125</v>
      </c>
      <c r="B126" t="n">
        <v>50.2</v>
      </c>
    </row>
    <row r="127">
      <c r="A127" s="83" t="n">
        <v>42156</v>
      </c>
      <c r="B127" t="n">
        <v>50.2</v>
      </c>
    </row>
    <row r="128">
      <c r="A128" s="83" t="n">
        <v>42186</v>
      </c>
      <c r="B128" t="n">
        <v>50</v>
      </c>
      <c r="C128" t="n">
        <v>0.07099999999999999</v>
      </c>
    </row>
    <row r="129">
      <c r="A129" s="83" t="n">
        <v>42217</v>
      </c>
      <c r="B129" t="n">
        <v>49.7</v>
      </c>
    </row>
    <row r="130">
      <c r="A130" s="83" t="n">
        <v>42248</v>
      </c>
      <c r="B130" t="n">
        <v>49.8</v>
      </c>
    </row>
    <row r="131">
      <c r="A131" s="83" t="n">
        <v>42278</v>
      </c>
      <c r="B131" t="n">
        <v>49.8</v>
      </c>
      <c r="C131" t="n">
        <v>0.07000000000000001</v>
      </c>
    </row>
    <row r="132">
      <c r="A132" s="83" t="n">
        <v>42309</v>
      </c>
      <c r="B132" t="n">
        <v>49.6</v>
      </c>
    </row>
    <row r="133">
      <c r="A133" s="83" t="n">
        <v>42339</v>
      </c>
      <c r="B133" t="n">
        <v>49.7</v>
      </c>
    </row>
    <row r="134">
      <c r="A134" s="83" t="n">
        <v>42370</v>
      </c>
      <c r="B134" t="n">
        <v>49.4</v>
      </c>
      <c r="C134" t="n">
        <v>0.06900000000000001</v>
      </c>
    </row>
    <row r="135">
      <c r="A135" s="83" t="n">
        <v>42401</v>
      </c>
      <c r="B135" t="n">
        <v>49</v>
      </c>
    </row>
    <row r="136">
      <c r="A136" s="83" t="n">
        <v>42430</v>
      </c>
      <c r="B136" t="n">
        <v>50.2</v>
      </c>
    </row>
    <row r="137">
      <c r="A137" s="83" t="n">
        <v>42461</v>
      </c>
      <c r="B137" t="n">
        <v>50.1</v>
      </c>
      <c r="C137" t="n">
        <v>0.06900000000000001</v>
      </c>
    </row>
    <row r="138">
      <c r="A138" s="83" t="n">
        <v>42491</v>
      </c>
      <c r="B138" t="n">
        <v>50.1</v>
      </c>
    </row>
    <row r="139">
      <c r="A139" s="83" t="n">
        <v>42522</v>
      </c>
      <c r="B139" t="n">
        <v>50</v>
      </c>
    </row>
    <row r="140">
      <c r="A140" s="83" t="n">
        <v>42552</v>
      </c>
      <c r="B140" t="n">
        <v>49.9</v>
      </c>
      <c r="C140" t="n">
        <v>0.068</v>
      </c>
    </row>
    <row r="141">
      <c r="A141" s="83" t="n">
        <v>42583</v>
      </c>
      <c r="B141" t="n">
        <v>50.4</v>
      </c>
    </row>
    <row r="142">
      <c r="A142" s="83" t="n">
        <v>42614</v>
      </c>
      <c r="B142" t="n">
        <v>50.4</v>
      </c>
    </row>
    <row r="143">
      <c r="A143" s="83" t="n">
        <v>42644</v>
      </c>
      <c r="B143" t="n">
        <v>51.2</v>
      </c>
      <c r="C143" t="n">
        <v>0.068</v>
      </c>
    </row>
    <row r="144">
      <c r="A144" s="83" t="n">
        <v>42675</v>
      </c>
      <c r="B144" t="n">
        <v>51.7</v>
      </c>
    </row>
    <row r="145">
      <c r="A145" s="83" t="n">
        <v>42705</v>
      </c>
      <c r="B145" t="n">
        <v>51.4</v>
      </c>
    </row>
    <row r="146">
      <c r="A146" s="83" t="n">
        <v>42736</v>
      </c>
      <c r="B146" t="n">
        <v>51.3</v>
      </c>
      <c r="C146" t="n">
        <v>0.06900000000000001</v>
      </c>
    </row>
    <row r="147">
      <c r="A147" s="83" t="n">
        <v>42767</v>
      </c>
      <c r="B147" t="n">
        <v>51.6</v>
      </c>
    </row>
    <row r="148">
      <c r="A148" s="83" t="n">
        <v>42795</v>
      </c>
      <c r="B148" t="n">
        <v>51.8</v>
      </c>
    </row>
    <row r="149">
      <c r="A149" s="83" t="n">
        <v>42826</v>
      </c>
      <c r="B149" t="n">
        <v>51.2</v>
      </c>
      <c r="C149" t="n">
        <v>0.07000000000000001</v>
      </c>
    </row>
    <row r="150">
      <c r="A150" s="83" t="n">
        <v>42856</v>
      </c>
      <c r="B150" t="n">
        <v>51.2</v>
      </c>
    </row>
    <row r="151">
      <c r="A151" s="83" t="n">
        <v>42887</v>
      </c>
      <c r="B151" t="n">
        <v>51.7</v>
      </c>
    </row>
    <row r="152">
      <c r="A152" s="83" t="n">
        <v>42917</v>
      </c>
      <c r="B152" t="n">
        <v>51.4</v>
      </c>
      <c r="C152" t="n">
        <v>0.07000000000000001</v>
      </c>
    </row>
    <row r="153">
      <c r="A153" s="83" t="n">
        <v>42948</v>
      </c>
      <c r="B153" t="n">
        <v>51.7</v>
      </c>
    </row>
    <row r="154">
      <c r="A154" s="83" t="n">
        <v>42979</v>
      </c>
      <c r="B154" t="n">
        <v>52.4</v>
      </c>
    </row>
    <row r="155">
      <c r="A155" s="83" t="n">
        <v>43009</v>
      </c>
      <c r="B155" t="n">
        <v>51.6</v>
      </c>
      <c r="C155" t="n">
        <v>0.06900000000000001</v>
      </c>
    </row>
    <row r="156">
      <c r="A156" s="83" t="n">
        <v>43040</v>
      </c>
      <c r="B156" t="n">
        <v>51.8</v>
      </c>
    </row>
    <row r="157">
      <c r="A157" s="83" t="n">
        <v>43070</v>
      </c>
      <c r="B157" t="n">
        <v>51.6</v>
      </c>
    </row>
    <row r="158">
      <c r="A158" s="83" t="n">
        <v>43101</v>
      </c>
      <c r="B158" t="n">
        <v>51.3</v>
      </c>
      <c r="C158" t="n">
        <v>0.068</v>
      </c>
    </row>
    <row r="159">
      <c r="A159" s="83" t="n">
        <v>43132</v>
      </c>
      <c r="B159" t="n">
        <v>50.3</v>
      </c>
    </row>
    <row r="160">
      <c r="A160" s="83" t="n">
        <v>43160</v>
      </c>
      <c r="B160" t="n">
        <v>51.5</v>
      </c>
    </row>
    <row r="161">
      <c r="A161" s="83" t="n">
        <v>43191</v>
      </c>
      <c r="B161" t="n">
        <v>51.4</v>
      </c>
      <c r="C161" t="n">
        <v>0.06900000000000001</v>
      </c>
    </row>
    <row r="162">
      <c r="A162" s="83" t="n">
        <v>43221</v>
      </c>
      <c r="B162" t="n">
        <v>51.9</v>
      </c>
    </row>
    <row r="163">
      <c r="A163" s="83" t="n">
        <v>43252</v>
      </c>
      <c r="B163" t="n">
        <v>51.5</v>
      </c>
    </row>
    <row r="164">
      <c r="A164" s="83" t="n">
        <v>43282</v>
      </c>
      <c r="B164" t="n">
        <v>51.2</v>
      </c>
      <c r="C164" t="n">
        <v>0.06900000000000001</v>
      </c>
    </row>
    <row r="165">
      <c r="A165" s="83" t="n">
        <v>43313</v>
      </c>
      <c r="B165" t="n">
        <v>51.3</v>
      </c>
    </row>
    <row r="166">
      <c r="A166" s="83" t="n">
        <v>43344</v>
      </c>
      <c r="B166" t="n">
        <v>50.8</v>
      </c>
    </row>
    <row r="167">
      <c r="A167" s="83" t="n">
        <v>43374</v>
      </c>
      <c r="B167" t="n">
        <v>50.2</v>
      </c>
      <c r="C167" t="n">
        <v>0.067</v>
      </c>
    </row>
    <row r="168">
      <c r="A168" s="83" t="n">
        <v>43405</v>
      </c>
      <c r="B168" t="n">
        <v>50</v>
      </c>
    </row>
    <row r="169">
      <c r="A169" s="83" t="n">
        <v>43435</v>
      </c>
      <c r="B169" t="n">
        <v>49.4</v>
      </c>
    </row>
    <row r="170">
      <c r="A170" s="83" t="n">
        <v>43466</v>
      </c>
      <c r="B170" t="n">
        <v>49.5</v>
      </c>
      <c r="C170" t="n">
        <v>0.065</v>
      </c>
    </row>
    <row r="171">
      <c r="A171" s="83" t="n">
        <v>43497</v>
      </c>
      <c r="B171" t="n">
        <v>49.2</v>
      </c>
    </row>
    <row r="172">
      <c r="A172" s="83" t="n">
        <v>43525</v>
      </c>
      <c r="B172" t="n">
        <v>50.5</v>
      </c>
    </row>
    <row r="173">
      <c r="A173" s="83" t="n">
        <v>43556</v>
      </c>
      <c r="B173" t="n">
        <v>50.1</v>
      </c>
      <c r="C173" t="n">
        <v>0.063</v>
      </c>
    </row>
    <row r="174">
      <c r="A174" s="83" t="n">
        <v>43586</v>
      </c>
      <c r="B174" t="n">
        <v>49.4</v>
      </c>
    </row>
    <row r="175">
      <c r="A175" s="83" t="n">
        <v>43617</v>
      </c>
      <c r="B175" t="n">
        <v>49.4</v>
      </c>
    </row>
    <row r="176">
      <c r="A176" s="83" t="n">
        <v>43647</v>
      </c>
      <c r="B176" t="n">
        <v>49.7</v>
      </c>
      <c r="C176" t="n">
        <v>0.06</v>
      </c>
    </row>
    <row r="177">
      <c r="A177" s="83" t="n">
        <v>43678</v>
      </c>
      <c r="B177" t="n">
        <v>49.5</v>
      </c>
    </row>
    <row r="178">
      <c r="A178" s="83" t="n">
        <v>43709</v>
      </c>
      <c r="B178" t="n">
        <v>49.8</v>
      </c>
    </row>
    <row r="179">
      <c r="A179" s="83" t="n">
        <v>43739</v>
      </c>
      <c r="B179" t="n">
        <v>49.3</v>
      </c>
      <c r="C179" t="n">
        <v>0.059</v>
      </c>
    </row>
    <row r="180">
      <c r="A180" s="83" t="n">
        <v>43770</v>
      </c>
      <c r="B180" t="n">
        <v>50.2</v>
      </c>
    </row>
    <row r="181">
      <c r="A181" s="83" t="n">
        <v>43800</v>
      </c>
      <c r="B181" t="n">
        <v>50.2</v>
      </c>
    </row>
    <row r="182">
      <c r="A182" s="83" t="n">
        <v>43831</v>
      </c>
      <c r="B182" t="n">
        <v>50</v>
      </c>
      <c r="C182" t="n">
        <v>0.058</v>
      </c>
    </row>
    <row r="183">
      <c r="A183" s="83" t="n">
        <v>43862</v>
      </c>
      <c r="B183" t="n">
        <v>35.7</v>
      </c>
    </row>
    <row r="184">
      <c r="A184" s="83" t="n">
        <v>43891</v>
      </c>
      <c r="B184" t="n">
        <v>52</v>
      </c>
    </row>
    <row r="185">
      <c r="A185" s="83" t="n">
        <v>43922</v>
      </c>
      <c r="B185" t="n">
        <v>50.8</v>
      </c>
      <c r="C185" t="n">
        <v>-0.06900000000000001</v>
      </c>
    </row>
    <row r="186">
      <c r="A186" s="83" t="n">
        <v>43952</v>
      </c>
      <c r="B186" t="n">
        <v>50.6</v>
      </c>
    </row>
    <row r="187">
      <c r="A187" s="83" t="n">
        <v>43983</v>
      </c>
      <c r="B187" t="n">
        <v>50.9</v>
      </c>
    </row>
    <row r="188">
      <c r="A188" s="83" t="n">
        <v>44013</v>
      </c>
      <c r="B188" t="n">
        <v>51.1</v>
      </c>
      <c r="C188" t="n">
        <v>0.031</v>
      </c>
    </row>
    <row r="189">
      <c r="A189" s="83" t="n">
        <v>44044</v>
      </c>
      <c r="B189" t="n">
        <v>51</v>
      </c>
    </row>
    <row r="190">
      <c r="A190" s="83" t="n">
        <v>44075</v>
      </c>
      <c r="B190" t="n">
        <v>51.5</v>
      </c>
    </row>
    <row r="191">
      <c r="A191" s="83" t="n">
        <v>44105</v>
      </c>
      <c r="B191" t="n">
        <v>51.4</v>
      </c>
      <c r="C191" t="n">
        <v>0.048</v>
      </c>
    </row>
    <row r="192">
      <c r="A192" s="83" t="n">
        <v>44136</v>
      </c>
      <c r="B192" t="n">
        <v>52.1</v>
      </c>
    </row>
    <row r="193">
      <c r="A193" s="83" t="n">
        <v>44166</v>
      </c>
      <c r="B193" t="n">
        <v>51.9</v>
      </c>
    </row>
    <row r="194">
      <c r="A194" s="83" t="n">
        <v>44197</v>
      </c>
      <c r="B194" t="n">
        <v>51.3</v>
      </c>
      <c r="C194" t="n">
        <v>0.064</v>
      </c>
    </row>
    <row r="195">
      <c r="A195" s="83" t="n">
        <v>44228</v>
      </c>
      <c r="B195" t="n">
        <v>50.6</v>
      </c>
    </row>
    <row r="196">
      <c r="A196" s="83" t="n">
        <v>44256</v>
      </c>
      <c r="B196" t="n">
        <v>51.9</v>
      </c>
    </row>
    <row r="197">
      <c r="A197" s="83" t="n">
        <v>44287</v>
      </c>
      <c r="B197" t="n">
        <v>51.1</v>
      </c>
      <c r="C197" t="n">
        <v>0.183</v>
      </c>
    </row>
    <row r="198">
      <c r="A198" s="83" t="n">
        <v>44317</v>
      </c>
      <c r="B198" t="n">
        <v>51</v>
      </c>
    </row>
    <row r="199">
      <c r="A199" s="83" t="n">
        <v>44348</v>
      </c>
      <c r="B199" t="n">
        <v>50.9</v>
      </c>
    </row>
    <row r="200">
      <c r="A200" s="83" t="n">
        <v>44378</v>
      </c>
      <c r="B200" t="n">
        <v>50.4</v>
      </c>
      <c r="C200" t="n">
        <v>0.079</v>
      </c>
    </row>
    <row r="201">
      <c r="A201" s="83" t="n">
        <v>44409</v>
      </c>
      <c r="B201" t="n">
        <v>50.1</v>
      </c>
    </row>
    <row r="202">
      <c r="A202" s="83" t="n">
        <v>44440</v>
      </c>
      <c r="B202" t="n">
        <v>49.6</v>
      </c>
    </row>
    <row r="203">
      <c r="A203" s="83" t="n">
        <v>44470</v>
      </c>
      <c r="B203" t="n">
        <v>49.2</v>
      </c>
      <c r="C203" t="n">
        <v>0.049</v>
      </c>
    </row>
    <row r="204">
      <c r="A204" s="83" t="n">
        <v>44501</v>
      </c>
      <c r="B204" t="n">
        <v>50.1</v>
      </c>
    </row>
    <row r="205">
      <c r="A205" s="83" t="n">
        <v>44531</v>
      </c>
      <c r="B205" t="n">
        <v>50.3</v>
      </c>
    </row>
    <row r="206">
      <c r="A206" s="83" t="n">
        <v>44562</v>
      </c>
      <c r="B206" t="n">
        <v>50.1</v>
      </c>
      <c r="C206" t="n">
        <v>0.04</v>
      </c>
    </row>
    <row r="207">
      <c r="A207" s="83" t="n">
        <v>44593</v>
      </c>
      <c r="B207" t="n">
        <v>50.2</v>
      </c>
    </row>
    <row r="208">
      <c r="A208" s="83" t="n">
        <v>44621</v>
      </c>
      <c r="B208" t="n">
        <v>49.5</v>
      </c>
    </row>
    <row r="209">
      <c r="A209" s="83" t="n">
        <v>44652</v>
      </c>
      <c r="B209" t="n">
        <v>47.4</v>
      </c>
      <c r="C209" t="n">
        <v>0.048</v>
      </c>
    </row>
    <row r="210">
      <c r="A210" s="83" t="n">
        <v>44682</v>
      </c>
      <c r="B210" t="n">
        <v>49.6</v>
      </c>
    </row>
    <row r="211">
      <c r="A211" s="83" t="n">
        <v>44713</v>
      </c>
      <c r="B211" t="n">
        <v>50.2</v>
      </c>
    </row>
    <row r="212">
      <c r="A212" s="83" t="n">
        <v>44743</v>
      </c>
      <c r="B212" t="n">
        <v>49</v>
      </c>
      <c r="C212" t="n">
        <v>0.004</v>
      </c>
    </row>
    <row r="213">
      <c r="A213" s="83" t="n">
        <v>44774</v>
      </c>
      <c r="B213" t="n">
        <v>49.4</v>
      </c>
    </row>
    <row r="214">
      <c r="A214" s="83" t="n">
        <v>44835</v>
      </c>
    </row>
    <row r="215">
      <c r="A215" s="83"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4"/>
  <sheetViews>
    <sheetView zoomScale="200" zoomScaleNormal="200" workbookViewId="0">
      <pane ySplit="1" topLeftCell="A127" activePane="bottomLeft" state="frozen"/>
      <selection pane="bottomLeft" activeCell="G20" sqref="G20"/>
    </sheetView>
  </sheetViews>
  <sheetFormatPr baseColWidth="10" defaultRowHeight="15"/>
  <cols>
    <col width="10.83203125" customWidth="1" style="61" min="1" max="28"/>
    <col width="10.83203125" customWidth="1" style="61" min="29" max="16384"/>
  </cols>
  <sheetData>
    <row r="1">
      <c r="A1" t="inlineStr">
        <is>
          <t>DATE</t>
        </is>
      </c>
      <c r="B1" t="inlineStr">
        <is>
          <t>ISM Manufacturing</t>
        </is>
      </c>
    </row>
    <row r="2">
      <c r="A2" s="83" t="n">
        <v>40452</v>
      </c>
      <c r="B2" t="n">
        <v>56.9</v>
      </c>
    </row>
    <row r="3">
      <c r="A3" s="83" t="n">
        <v>40483</v>
      </c>
      <c r="B3" t="n">
        <v>57.3</v>
      </c>
    </row>
    <row r="4">
      <c r="A4" s="83" t="n">
        <v>40513</v>
      </c>
      <c r="B4" t="n">
        <v>56.6</v>
      </c>
    </row>
    <row r="5">
      <c r="A5" s="83" t="n">
        <v>40544</v>
      </c>
      <c r="B5" t="n">
        <v>59.1</v>
      </c>
    </row>
    <row r="6">
      <c r="A6" s="83" t="n">
        <v>40575</v>
      </c>
      <c r="B6" t="n">
        <v>59.2</v>
      </c>
    </row>
    <row r="7">
      <c r="A7" s="83" t="n">
        <v>40603</v>
      </c>
      <c r="B7" t="n">
        <v>58.4</v>
      </c>
    </row>
    <row r="8">
      <c r="A8" s="83" t="n">
        <v>40634</v>
      </c>
      <c r="B8" t="n">
        <v>57.9</v>
      </c>
    </row>
    <row r="9">
      <c r="A9" s="83" t="n">
        <v>40664</v>
      </c>
      <c r="B9" t="n">
        <v>54.8</v>
      </c>
    </row>
    <row r="10">
      <c r="A10" s="83" t="n">
        <v>40695</v>
      </c>
      <c r="B10" t="n">
        <v>55.8</v>
      </c>
    </row>
    <row r="11">
      <c r="A11" s="83" t="n">
        <v>40725</v>
      </c>
      <c r="B11" t="n">
        <v>52.9</v>
      </c>
    </row>
    <row r="12">
      <c r="A12" s="83" t="n">
        <v>40756</v>
      </c>
      <c r="B12" t="n">
        <v>52.6</v>
      </c>
    </row>
    <row r="13">
      <c r="A13" s="83" t="n">
        <v>40787</v>
      </c>
      <c r="B13" t="n">
        <v>53.7</v>
      </c>
    </row>
    <row r="14">
      <c r="A14" s="83" t="n">
        <v>40817</v>
      </c>
      <c r="B14" t="n">
        <v>51.4</v>
      </c>
    </row>
    <row r="15">
      <c r="A15" s="83" t="n">
        <v>40848</v>
      </c>
      <c r="B15" t="n">
        <v>51.8</v>
      </c>
    </row>
    <row r="16">
      <c r="A16" s="83" t="n">
        <v>40878</v>
      </c>
      <c r="B16" t="n">
        <v>53</v>
      </c>
    </row>
    <row r="17">
      <c r="A17" s="83" t="n">
        <v>40909</v>
      </c>
      <c r="B17" t="n">
        <v>52.6</v>
      </c>
    </row>
    <row r="18">
      <c r="A18" s="83" t="n">
        <v>40940</v>
      </c>
      <c r="B18" t="n">
        <v>53.1</v>
      </c>
    </row>
    <row r="19">
      <c r="A19" s="83" t="n">
        <v>40969</v>
      </c>
      <c r="B19" t="n">
        <v>53.5</v>
      </c>
    </row>
    <row r="20">
      <c r="A20" s="83" t="n">
        <v>41000</v>
      </c>
      <c r="B20" t="n">
        <v>53.5</v>
      </c>
    </row>
    <row r="21">
      <c r="A21" s="83" t="n">
        <v>41030</v>
      </c>
      <c r="B21" t="n">
        <v>52.6</v>
      </c>
    </row>
    <row r="22">
      <c r="A22" s="83" t="n">
        <v>41061</v>
      </c>
      <c r="B22" t="n">
        <v>49.7</v>
      </c>
    </row>
    <row r="23">
      <c r="A23" s="83" t="n">
        <v>41091</v>
      </c>
      <c r="B23" t="n">
        <v>50</v>
      </c>
    </row>
    <row r="24">
      <c r="A24" s="83" t="n">
        <v>41122</v>
      </c>
      <c r="B24" t="n">
        <v>50.2</v>
      </c>
    </row>
    <row r="25">
      <c r="A25" s="83" t="n">
        <v>41153</v>
      </c>
      <c r="B25" t="n">
        <v>51.8</v>
      </c>
    </row>
    <row r="26">
      <c r="A26" s="83" t="n">
        <v>41183</v>
      </c>
      <c r="B26" t="n">
        <v>50.7</v>
      </c>
    </row>
    <row r="27">
      <c r="A27" s="83" t="n">
        <v>41214</v>
      </c>
      <c r="B27" t="n">
        <v>48.9</v>
      </c>
    </row>
    <row r="28">
      <c r="A28" s="83" t="n">
        <v>41244</v>
      </c>
      <c r="B28" t="n">
        <v>49.8</v>
      </c>
    </row>
    <row r="29">
      <c r="A29" s="83" t="n">
        <v>41275</v>
      </c>
      <c r="B29" t="n">
        <v>52</v>
      </c>
    </row>
    <row r="30">
      <c r="A30" s="83" t="n">
        <v>41306</v>
      </c>
      <c r="B30" t="n">
        <v>53.6</v>
      </c>
    </row>
    <row r="31">
      <c r="A31" s="83" t="n">
        <v>41334</v>
      </c>
      <c r="B31" t="n">
        <v>52</v>
      </c>
    </row>
    <row r="32">
      <c r="A32" s="83" t="n">
        <v>41365</v>
      </c>
      <c r="B32" t="n">
        <v>49.7</v>
      </c>
    </row>
    <row r="33">
      <c r="A33" s="83" t="n">
        <v>41395</v>
      </c>
      <c r="B33" t="n">
        <v>50.5</v>
      </c>
    </row>
    <row r="34">
      <c r="A34" s="83" t="n">
        <v>41426</v>
      </c>
      <c r="B34" t="n">
        <v>51.5</v>
      </c>
    </row>
    <row r="35">
      <c r="A35" s="83" t="n">
        <v>41456</v>
      </c>
      <c r="B35" t="n">
        <v>53.5</v>
      </c>
    </row>
    <row r="36">
      <c r="A36" s="83" t="n">
        <v>41487</v>
      </c>
      <c r="B36" t="n">
        <v>55.9</v>
      </c>
    </row>
    <row r="37">
      <c r="A37" s="83" t="n">
        <v>41518</v>
      </c>
      <c r="B37" t="n">
        <v>54.8</v>
      </c>
    </row>
    <row r="38">
      <c r="A38" s="83" t="n">
        <v>41548</v>
      </c>
      <c r="B38" t="n">
        <v>55.3</v>
      </c>
    </row>
    <row r="39">
      <c r="A39" s="83" t="n">
        <v>41579</v>
      </c>
      <c r="B39" t="n">
        <v>56.3</v>
      </c>
    </row>
    <row r="40">
      <c r="A40" s="83" t="n">
        <v>41609</v>
      </c>
      <c r="B40" t="n">
        <v>55.9</v>
      </c>
    </row>
    <row r="41">
      <c r="A41" s="83" t="n">
        <v>41640</v>
      </c>
      <c r="B41" t="n">
        <v>51.7</v>
      </c>
    </row>
    <row r="42">
      <c r="A42" s="83" t="n">
        <v>41671</v>
      </c>
      <c r="B42" t="n">
        <v>54.6</v>
      </c>
    </row>
    <row r="43">
      <c r="A43" s="83" t="n">
        <v>41699</v>
      </c>
      <c r="B43" t="n">
        <v>55.3</v>
      </c>
    </row>
    <row r="44">
      <c r="A44" s="83" t="n">
        <v>41730</v>
      </c>
      <c r="B44" t="n">
        <v>55.7</v>
      </c>
    </row>
    <row r="45">
      <c r="A45" s="83" t="n">
        <v>41760</v>
      </c>
      <c r="B45" t="n">
        <v>55.8</v>
      </c>
    </row>
    <row r="46">
      <c r="A46" s="83" t="n">
        <v>41791</v>
      </c>
      <c r="B46" t="n">
        <v>54.9</v>
      </c>
    </row>
    <row r="47">
      <c r="A47" s="83" t="n">
        <v>41821</v>
      </c>
      <c r="B47" t="n">
        <v>55.3</v>
      </c>
    </row>
    <row r="48">
      <c r="A48" s="83" t="n">
        <v>41852</v>
      </c>
      <c r="B48" t="n">
        <v>58.2</v>
      </c>
    </row>
    <row r="49">
      <c r="A49" s="83" t="n">
        <v>41883</v>
      </c>
      <c r="B49" t="n">
        <v>55.5</v>
      </c>
    </row>
    <row r="50">
      <c r="A50" s="83" t="n">
        <v>41913</v>
      </c>
      <c r="B50" t="n">
        <v>56.8</v>
      </c>
    </row>
    <row r="51">
      <c r="A51" s="83" t="n">
        <v>41944</v>
      </c>
      <c r="B51" t="n">
        <v>57</v>
      </c>
    </row>
    <row r="52">
      <c r="A52" s="83" t="n">
        <v>41974</v>
      </c>
      <c r="B52" t="n">
        <v>54.7</v>
      </c>
    </row>
    <row r="53">
      <c r="A53" s="83" t="n">
        <v>42005</v>
      </c>
      <c r="B53" t="n">
        <v>53.9</v>
      </c>
    </row>
    <row r="54">
      <c r="A54" s="83" t="n">
        <v>42036</v>
      </c>
      <c r="B54" t="n">
        <v>53</v>
      </c>
    </row>
    <row r="55">
      <c r="A55" s="83" t="n">
        <v>42064</v>
      </c>
      <c r="B55" t="n">
        <v>51.8</v>
      </c>
    </row>
    <row r="56">
      <c r="A56" s="83" t="n">
        <v>42095</v>
      </c>
      <c r="B56" t="n">
        <v>51.6</v>
      </c>
    </row>
    <row r="57">
      <c r="A57" s="83" t="n">
        <v>42125</v>
      </c>
      <c r="B57" t="n">
        <v>52.9</v>
      </c>
    </row>
    <row r="58">
      <c r="A58" s="83" t="n">
        <v>42156</v>
      </c>
      <c r="B58" t="n">
        <v>52.3</v>
      </c>
    </row>
    <row r="59">
      <c r="A59" s="83" t="n">
        <v>42186</v>
      </c>
      <c r="B59" t="n">
        <v>51.9</v>
      </c>
    </row>
    <row r="60">
      <c r="A60" s="83" t="n">
        <v>42217</v>
      </c>
      <c r="B60" t="n">
        <v>50.8</v>
      </c>
    </row>
    <row r="61">
      <c r="A61" s="83" t="n">
        <v>42248</v>
      </c>
      <c r="B61" t="n">
        <v>50.1</v>
      </c>
    </row>
    <row r="62">
      <c r="A62" s="83" t="n">
        <v>42278</v>
      </c>
      <c r="B62" t="n">
        <v>49.6</v>
      </c>
    </row>
    <row r="63">
      <c r="A63" s="83" t="n">
        <v>42309</v>
      </c>
      <c r="B63" t="n">
        <v>49.1</v>
      </c>
    </row>
    <row r="64">
      <c r="A64" s="83" t="n">
        <v>42339</v>
      </c>
      <c r="B64" t="n">
        <v>48.4</v>
      </c>
    </row>
    <row r="65">
      <c r="A65" s="83" t="n">
        <v>42370</v>
      </c>
      <c r="B65" t="n">
        <v>47.8</v>
      </c>
    </row>
    <row r="66">
      <c r="A66" s="83" t="n">
        <v>42401</v>
      </c>
      <c r="B66" t="n">
        <v>49.4</v>
      </c>
    </row>
    <row r="67">
      <c r="A67" s="83" t="n">
        <v>42430</v>
      </c>
      <c r="B67" t="n">
        <v>51.2</v>
      </c>
    </row>
    <row r="68">
      <c r="A68" s="83" t="n">
        <v>42461</v>
      </c>
      <c r="B68" t="n">
        <v>50.8</v>
      </c>
    </row>
    <row r="69">
      <c r="A69" s="83" t="n">
        <v>42491</v>
      </c>
      <c r="B69" t="n">
        <v>50.9</v>
      </c>
    </row>
    <row r="70">
      <c r="A70" s="83" t="n">
        <v>42522</v>
      </c>
      <c r="B70" t="n">
        <v>52.5</v>
      </c>
    </row>
    <row r="71">
      <c r="A71" s="83" t="n">
        <v>42552</v>
      </c>
      <c r="B71" t="n">
        <v>52.9</v>
      </c>
    </row>
    <row r="72">
      <c r="A72" s="83" t="n">
        <v>42583</v>
      </c>
      <c r="B72" t="n">
        <v>49.9</v>
      </c>
    </row>
    <row r="73">
      <c r="A73" s="83" t="n">
        <v>42614</v>
      </c>
      <c r="B73" t="n">
        <v>51.4</v>
      </c>
    </row>
    <row r="74">
      <c r="A74" s="83" t="n">
        <v>42644</v>
      </c>
      <c r="B74" t="n">
        <v>51.8</v>
      </c>
    </row>
    <row r="75">
      <c r="A75" s="83" t="n">
        <v>42675</v>
      </c>
      <c r="B75" t="n">
        <v>53.4</v>
      </c>
    </row>
    <row r="76">
      <c r="A76" s="83" t="n">
        <v>42705</v>
      </c>
      <c r="B76" t="n">
        <v>54.3</v>
      </c>
    </row>
    <row r="77">
      <c r="A77" s="83" t="n">
        <v>42736</v>
      </c>
      <c r="B77" t="n">
        <v>55.6</v>
      </c>
    </row>
    <row r="78">
      <c r="A78" s="83" t="n">
        <v>42767</v>
      </c>
      <c r="B78" t="n">
        <v>57.6</v>
      </c>
    </row>
    <row r="79">
      <c r="A79" s="83" t="n">
        <v>42795</v>
      </c>
      <c r="B79" t="n">
        <v>56.6</v>
      </c>
    </row>
    <row r="80">
      <c r="A80" s="83" t="n">
        <v>42826</v>
      </c>
      <c r="B80" t="n">
        <v>55.3</v>
      </c>
    </row>
    <row r="81">
      <c r="A81" s="83" t="n">
        <v>42856</v>
      </c>
      <c r="B81" t="n">
        <v>55.5</v>
      </c>
    </row>
    <row r="82">
      <c r="A82" s="83" t="n">
        <v>42887</v>
      </c>
      <c r="B82" t="n">
        <v>56.7</v>
      </c>
    </row>
    <row r="83">
      <c r="A83" s="83" t="n">
        <v>42917</v>
      </c>
      <c r="B83" t="n">
        <v>56.5</v>
      </c>
    </row>
    <row r="84">
      <c r="A84" s="83" t="n">
        <v>42948</v>
      </c>
      <c r="B84" t="n">
        <v>59.3</v>
      </c>
    </row>
    <row r="85">
      <c r="A85" s="83" t="n">
        <v>42979</v>
      </c>
      <c r="B85" t="n">
        <v>60.2</v>
      </c>
    </row>
    <row r="86">
      <c r="A86" s="83" t="n">
        <v>43009</v>
      </c>
      <c r="B86" t="n">
        <v>58.5</v>
      </c>
    </row>
    <row r="87">
      <c r="A87" s="83" t="n">
        <v>43040</v>
      </c>
      <c r="B87" t="n">
        <v>58.2</v>
      </c>
    </row>
    <row r="88">
      <c r="A88" s="83" t="n">
        <v>43070</v>
      </c>
      <c r="B88" t="n">
        <v>59.3</v>
      </c>
    </row>
    <row r="89">
      <c r="A89" s="83" t="n">
        <v>43101</v>
      </c>
      <c r="B89" t="n">
        <v>59.1</v>
      </c>
    </row>
    <row r="90">
      <c r="A90" s="83" t="n">
        <v>43132</v>
      </c>
      <c r="B90" t="n">
        <v>60.8</v>
      </c>
    </row>
    <row r="91">
      <c r="A91" s="83" t="n">
        <v>43160</v>
      </c>
      <c r="B91" t="n">
        <v>59.3</v>
      </c>
    </row>
    <row r="92">
      <c r="A92" s="83" t="n">
        <v>43191</v>
      </c>
      <c r="B92" t="n">
        <v>57.3</v>
      </c>
    </row>
    <row r="93">
      <c r="A93" s="83" t="n">
        <v>43221</v>
      </c>
      <c r="B93" t="n">
        <v>58.7</v>
      </c>
    </row>
    <row r="94">
      <c r="A94" s="83" t="n">
        <v>43252</v>
      </c>
      <c r="B94" t="n">
        <v>60.2</v>
      </c>
    </row>
    <row r="95">
      <c r="A95" s="83" t="n">
        <v>43282</v>
      </c>
      <c r="B95" t="n">
        <v>58.1</v>
      </c>
    </row>
    <row r="96">
      <c r="A96" s="83" t="n">
        <v>43313</v>
      </c>
      <c r="B96" t="n">
        <v>61.3</v>
      </c>
    </row>
    <row r="97">
      <c r="A97" s="83" t="n">
        <v>43344</v>
      </c>
      <c r="B97" t="n">
        <v>59.8</v>
      </c>
    </row>
    <row r="98">
      <c r="A98" s="83" t="n">
        <v>43374</v>
      </c>
      <c r="B98" t="n">
        <v>57.7</v>
      </c>
    </row>
    <row r="99">
      <c r="A99" s="83" t="n">
        <v>43405</v>
      </c>
      <c r="B99" t="n">
        <v>59.3</v>
      </c>
    </row>
    <row r="100">
      <c r="A100" s="83" t="n">
        <v>43435</v>
      </c>
      <c r="B100" t="n">
        <v>54.3</v>
      </c>
    </row>
    <row r="101">
      <c r="A101" s="83" t="n">
        <v>43466</v>
      </c>
      <c r="B101" t="n">
        <v>56.6</v>
      </c>
    </row>
    <row r="102">
      <c r="A102" s="83" t="n">
        <v>43497</v>
      </c>
      <c r="B102" t="n">
        <v>54.3</v>
      </c>
    </row>
    <row r="103">
      <c r="A103" s="83" t="n">
        <v>43525</v>
      </c>
      <c r="B103" t="n">
        <v>54.3</v>
      </c>
    </row>
    <row r="104">
      <c r="A104" s="83" t="n">
        <v>43556</v>
      </c>
      <c r="B104" t="n">
        <v>52.8</v>
      </c>
    </row>
    <row r="105">
      <c r="A105" s="83" t="n">
        <v>43586</v>
      </c>
      <c r="B105" t="n">
        <v>52.1</v>
      </c>
    </row>
    <row r="106">
      <c r="A106" s="83" t="n">
        <v>43617</v>
      </c>
      <c r="B106" t="n">
        <v>51.7</v>
      </c>
    </row>
    <row r="107">
      <c r="A107" s="83" t="n">
        <v>43647</v>
      </c>
      <c r="B107" t="n">
        <v>51.2</v>
      </c>
    </row>
    <row r="108">
      <c r="A108" s="83" t="n">
        <v>43678</v>
      </c>
      <c r="B108" t="n">
        <v>49.1</v>
      </c>
    </row>
    <row r="109">
      <c r="A109" s="83" t="n">
        <v>43709</v>
      </c>
      <c r="B109" t="n">
        <v>47.8</v>
      </c>
    </row>
    <row r="110">
      <c r="A110" s="83" t="n">
        <v>43739</v>
      </c>
      <c r="B110" t="n">
        <v>48.3</v>
      </c>
    </row>
    <row r="111">
      <c r="A111" s="83" t="n">
        <v>43770</v>
      </c>
      <c r="B111" t="n">
        <v>48.1</v>
      </c>
    </row>
    <row r="112">
      <c r="A112" s="83" t="n">
        <v>43800</v>
      </c>
      <c r="B112" t="n">
        <v>47.8</v>
      </c>
    </row>
    <row r="113">
      <c r="A113" s="83" t="n">
        <v>43831</v>
      </c>
      <c r="B113" t="n">
        <v>50.9</v>
      </c>
    </row>
    <row r="114">
      <c r="A114" s="83" t="n">
        <v>43862</v>
      </c>
      <c r="B114" t="n">
        <v>50.1</v>
      </c>
    </row>
    <row r="115">
      <c r="A115" s="83" t="n">
        <v>43891</v>
      </c>
      <c r="B115" t="n">
        <v>49.1</v>
      </c>
    </row>
    <row r="116">
      <c r="A116" s="83" t="n">
        <v>43922</v>
      </c>
      <c r="B116" t="n">
        <v>41.5</v>
      </c>
    </row>
    <row r="117">
      <c r="A117" s="83" t="n">
        <v>43952</v>
      </c>
      <c r="B117" t="n">
        <v>43.1</v>
      </c>
    </row>
    <row r="118">
      <c r="A118" s="83" t="n">
        <v>43983</v>
      </c>
      <c r="B118" t="n">
        <v>52.6</v>
      </c>
    </row>
    <row r="119">
      <c r="A119" s="83" t="n">
        <v>44013</v>
      </c>
      <c r="B119" t="n">
        <v>54.2</v>
      </c>
    </row>
    <row r="120">
      <c r="A120" s="83" t="n">
        <v>44044</v>
      </c>
      <c r="B120" t="n">
        <v>56</v>
      </c>
    </row>
    <row r="121">
      <c r="A121" s="83" t="n">
        <v>44075</v>
      </c>
      <c r="B121" t="n">
        <v>57.8</v>
      </c>
    </row>
    <row r="122">
      <c r="A122" s="83" t="n">
        <v>44105</v>
      </c>
      <c r="B122" t="n">
        <v>59.3</v>
      </c>
    </row>
    <row r="123">
      <c r="A123" s="83" t="n">
        <v>44136</v>
      </c>
      <c r="B123" t="n">
        <v>57.5</v>
      </c>
    </row>
    <row r="124">
      <c r="A124" s="83" t="n">
        <v>44166</v>
      </c>
      <c r="B124" t="n">
        <v>60.5</v>
      </c>
    </row>
    <row r="125">
      <c r="A125" s="83" t="n">
        <v>44197</v>
      </c>
      <c r="B125" t="n">
        <v>58.7</v>
      </c>
    </row>
    <row r="126">
      <c r="A126" s="83" t="n">
        <v>44228</v>
      </c>
      <c r="B126" t="n">
        <v>60.8</v>
      </c>
    </row>
    <row r="127">
      <c r="A127" s="83" t="n">
        <v>44256</v>
      </c>
      <c r="B127" t="n">
        <v>64.7</v>
      </c>
    </row>
    <row r="128">
      <c r="A128" s="83" t="n">
        <v>44287</v>
      </c>
      <c r="B128" t="n">
        <v>60.7</v>
      </c>
    </row>
    <row r="129">
      <c r="A129" s="83" t="n">
        <v>44317</v>
      </c>
      <c r="B129" t="n">
        <v>61.2</v>
      </c>
    </row>
    <row r="130">
      <c r="A130" s="83" t="n">
        <v>44348</v>
      </c>
      <c r="B130" t="n">
        <v>60.6</v>
      </c>
    </row>
    <row r="131">
      <c r="A131" s="83" t="n">
        <v>44378</v>
      </c>
      <c r="B131" t="n">
        <v>59.5</v>
      </c>
    </row>
    <row r="132">
      <c r="A132" s="83" t="n">
        <v>44409</v>
      </c>
      <c r="B132" t="n">
        <v>59.9</v>
      </c>
    </row>
    <row r="133">
      <c r="A133" s="83" t="n">
        <v>44440</v>
      </c>
      <c r="B133" t="n">
        <v>60.3</v>
      </c>
    </row>
    <row r="134">
      <c r="A134" s="83" t="n">
        <v>44470</v>
      </c>
      <c r="B134" t="n">
        <v>60.7</v>
      </c>
    </row>
    <row r="135">
      <c r="A135" s="83" t="n">
        <v>44501</v>
      </c>
      <c r="B135" t="n">
        <v>61.1</v>
      </c>
    </row>
    <row r="136">
      <c r="A136" s="83" t="n">
        <v>44531</v>
      </c>
      <c r="B136" t="n">
        <v>61.5</v>
      </c>
    </row>
    <row r="137">
      <c r="A137" s="83" t="n">
        <v>44562</v>
      </c>
      <c r="B137" t="n">
        <v>57.6</v>
      </c>
    </row>
    <row r="138">
      <c r="A138" s="83" t="n">
        <v>44593</v>
      </c>
      <c r="B138" t="n">
        <v>58.6</v>
      </c>
    </row>
    <row r="139">
      <c r="A139" s="83" t="n">
        <v>44621</v>
      </c>
      <c r="B139" t="n">
        <v>57.1</v>
      </c>
    </row>
    <row r="140">
      <c r="A140" s="83" t="n">
        <v>44652</v>
      </c>
      <c r="B140" t="n">
        <v>55.4</v>
      </c>
    </row>
    <row r="141">
      <c r="A141" s="83" t="n">
        <v>44682</v>
      </c>
      <c r="B141" t="n">
        <v>56.1</v>
      </c>
    </row>
    <row r="142">
      <c r="A142" s="83" t="n">
        <v>44713</v>
      </c>
      <c r="B142" t="n">
        <v>53</v>
      </c>
    </row>
    <row r="143">
      <c r="A143" s="83" t="n">
        <v>44743</v>
      </c>
      <c r="B143" t="n">
        <v>52.8</v>
      </c>
    </row>
    <row r="144">
      <c r="A144" s="83" t="n">
        <v>44774</v>
      </c>
      <c r="B144" t="n">
        <v>52.8</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9"/>
  <sheetViews>
    <sheetView tabSelected="1" zoomScale="150" zoomScaleNormal="150" workbookViewId="0">
      <pane xSplit="2" ySplit="11" topLeftCell="C80" activePane="bottomRight" state="frozen"/>
      <selection activeCell="B327" sqref="B327"/>
      <selection pane="topRight" activeCell="B327" sqref="B327"/>
      <selection pane="bottomLeft" activeCell="B327" sqref="B327"/>
      <selection pane="bottomRight" activeCell="N103" sqref="N103"/>
    </sheetView>
  </sheetViews>
  <sheetFormatPr baseColWidth="10" defaultColWidth="9.1640625" defaultRowHeight="15"/>
  <cols>
    <col width="9.1640625" customWidth="1" style="71" min="1" max="1"/>
    <col width="17.83203125" customWidth="1" style="61" min="2" max="2"/>
    <col width="6.1640625" customWidth="1" style="61" min="3" max="27"/>
    <col width="7.33203125" customWidth="1" style="61" min="28" max="28"/>
    <col width="9.1640625" customWidth="1" style="71" min="29" max="29"/>
    <col width="12.33203125" customWidth="1" style="71" min="30" max="30"/>
    <col width="9.1640625" customWidth="1" style="71" min="31" max="31"/>
    <col width="10.5" customWidth="1" style="71" min="32" max="32"/>
    <col width="10.6640625" bestFit="1" customWidth="1" style="71" min="33" max="33"/>
    <col width="9.1640625" customWidth="1" style="71" min="34" max="74"/>
    <col width="9.1640625" customWidth="1" style="61" min="75" max="115"/>
    <col width="9.1640625" customWidth="1" style="61" min="116" max="16384"/>
  </cols>
  <sheetData>
    <row r="1" ht="16" customFormat="1" customHeight="1" s="71" thickBot="1">
      <c r="AD1" s="31" t="inlineStr">
        <is>
          <t>*to update</t>
        </is>
      </c>
      <c r="AE1" s="71" t="inlineStr">
        <is>
          <t>Last month</t>
        </is>
      </c>
      <c r="AG1" s="63" t="n">
        <v>44713</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1"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1"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1" t="n"/>
      <c r="C11" s="71" t="n"/>
      <c r="D11" s="71" t="n"/>
      <c r="E11" s="71" t="n"/>
      <c r="F11" s="71" t="n"/>
      <c r="G11" s="71" t="n"/>
      <c r="H11" s="71" t="n"/>
      <c r="I11" s="71" t="n"/>
      <c r="J11" s="71" t="n"/>
      <c r="K11" s="71" t="n"/>
      <c r="L11" s="71" t="n"/>
      <c r="M11" s="71" t="n"/>
      <c r="N11" s="71" t="n"/>
      <c r="O11" s="71" t="n"/>
      <c r="P11" s="71" t="n"/>
      <c r="Q11" s="71" t="n"/>
      <c r="R11" s="71" t="n"/>
      <c r="S11" s="71" t="n"/>
      <c r="T11" s="71" t="n"/>
      <c r="U11" s="71" t="n"/>
      <c r="V11" s="71" t="n"/>
      <c r="W11" s="71" t="n"/>
      <c r="X11" s="71" t="n"/>
      <c r="Y11" s="71" t="n"/>
      <c r="Z11" s="71" t="n"/>
      <c r="AA11" s="71" t="n"/>
      <c r="AB11" s="71"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1">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1">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1">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1">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1">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1">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1">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1">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1">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1">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1">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1">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1">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1">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1">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1">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1">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1">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1">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1">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1">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1">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1">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1">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1">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1">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1">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1">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1">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1">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1">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1">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1">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1">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1">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1">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1">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1">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1">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1">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1">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1">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1">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1">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1">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1">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1">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71">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71">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71">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71"/>
    <row r="101" customFormat="1" s="71"/>
    <row r="102" customFormat="1" s="71"/>
    <row r="103" customFormat="1" s="71"/>
    <row r="104" customFormat="1" s="71"/>
    <row r="105" customFormat="1" s="71"/>
    <row r="106" customFormat="1" s="71"/>
    <row r="107" customFormat="1" s="71"/>
    <row r="108" customFormat="1" s="71"/>
    <row r="109" customFormat="1" s="71"/>
    <row r="110" customFormat="1" s="71"/>
    <row r="111" customFormat="1" s="71"/>
    <row r="112" customFormat="1" s="71"/>
    <row r="113" customFormat="1" s="71"/>
    <row r="114" customFormat="1" s="71"/>
    <row r="115" customFormat="1" s="71"/>
    <row r="116" customFormat="1" s="71"/>
    <row r="117" customFormat="1" s="71"/>
    <row r="118" customFormat="1" s="71"/>
    <row r="119" customFormat="1" s="71"/>
    <row r="120" customFormat="1" s="71"/>
    <row r="121" customFormat="1" s="71"/>
    <row r="122" customFormat="1" s="71"/>
    <row r="123" customFormat="1" s="71"/>
    <row r="124" customFormat="1" s="71"/>
    <row r="125" customFormat="1" s="71"/>
    <row r="126" customFormat="1" s="71"/>
    <row r="127" customFormat="1" s="71"/>
    <row r="128" customFormat="1" s="71"/>
    <row r="129" customFormat="1" s="71"/>
    <row r="130" customFormat="1" s="71"/>
    <row r="131" customFormat="1" s="71"/>
    <row r="132" customFormat="1" s="71"/>
    <row r="133" customFormat="1" s="71"/>
    <row r="134" customFormat="1" s="71"/>
    <row r="135" customFormat="1" s="71"/>
    <row r="136" customFormat="1" s="71"/>
    <row r="137" customFormat="1" s="71"/>
    <row r="138" customFormat="1" s="71"/>
    <row r="139" customFormat="1" s="71"/>
    <row r="140" customFormat="1" s="71"/>
    <row r="141" customFormat="1" s="71"/>
    <row r="142" customFormat="1" s="71"/>
    <row r="143" customFormat="1" s="71"/>
    <row r="144" customFormat="1" s="71"/>
    <row r="145" customFormat="1" s="71"/>
    <row r="146" customFormat="1" s="71"/>
    <row r="147" customFormat="1" s="71"/>
    <row r="148" customFormat="1" s="71"/>
    <row r="149" customFormat="1" s="71"/>
    <row r="150" customFormat="1" s="71"/>
    <row r="151" customFormat="1" s="71"/>
    <row r="152" customFormat="1" s="71"/>
    <row r="153" customFormat="1" s="71"/>
    <row r="154" customFormat="1" s="71"/>
    <row r="155" customFormat="1" s="71"/>
    <row r="156" customFormat="1" s="71"/>
    <row r="157" customFormat="1" s="71"/>
    <row r="158" customFormat="1" s="71"/>
    <row r="159" customFormat="1" s="71"/>
    <row r="160" customFormat="1" s="71"/>
    <row r="161" customFormat="1" s="71"/>
    <row r="162" customFormat="1" s="71"/>
    <row r="163" customFormat="1" s="71"/>
    <row r="164" customFormat="1" s="71"/>
    <row r="165" customFormat="1" s="71"/>
    <row r="166" customFormat="1" s="71"/>
    <row r="167" customFormat="1" s="71"/>
    <row r="168" customFormat="1" s="71"/>
    <row r="169" customFormat="1" s="71"/>
    <row r="170" customFormat="1" s="71"/>
    <row r="171" customFormat="1" s="71"/>
    <row r="172" customFormat="1" s="71"/>
    <row r="173" customFormat="1" s="71"/>
    <row r="174" customFormat="1" s="71"/>
    <row r="175" customFormat="1" s="71"/>
    <row r="176" customFormat="1" s="71"/>
    <row r="177" customFormat="1" s="71"/>
    <row r="178" customFormat="1" s="71"/>
    <row r="179" customFormat="1" s="71"/>
    <row r="180" customFormat="1" s="71"/>
    <row r="181" customFormat="1" s="71"/>
    <row r="182" customFormat="1" s="71"/>
    <row r="183" customFormat="1" s="71"/>
    <row r="184" customFormat="1" s="71"/>
    <row r="185" customFormat="1" s="71"/>
    <row r="186" customFormat="1" s="71"/>
    <row r="187" customFormat="1" s="71"/>
    <row r="188" customFormat="1" s="71"/>
    <row r="189" customFormat="1" s="71"/>
    <row r="190" customFormat="1" s="71"/>
    <row r="191" customFormat="1" s="71"/>
    <row r="192" customFormat="1" s="71"/>
    <row r="193" customFormat="1" s="71"/>
    <row r="194" customFormat="1" s="71"/>
    <row r="195" customFormat="1" s="71"/>
    <row r="196" customFormat="1" s="71"/>
    <row r="197" customFormat="1" s="71"/>
    <row r="198" customFormat="1" s="71"/>
    <row r="199" customFormat="1" s="71"/>
    <row r="200" customFormat="1" s="71"/>
    <row r="201" customFormat="1" s="71"/>
    <row r="202" customFormat="1" s="71"/>
    <row r="203" customFormat="1" s="71"/>
    <row r="204" customFormat="1" s="71"/>
    <row r="205" customFormat="1" s="71"/>
    <row r="206" customFormat="1" s="71"/>
    <row r="207" customFormat="1" s="71"/>
    <row r="208" customFormat="1" s="71"/>
    <row r="209" customFormat="1" s="71"/>
    <row r="210" customFormat="1" s="71"/>
    <row r="211" customFormat="1" s="71"/>
    <row r="212" customFormat="1" s="71"/>
    <row r="213" customFormat="1" s="71"/>
    <row r="214" customFormat="1" s="71"/>
    <row r="215" customFormat="1" s="71"/>
    <row r="216" customFormat="1" s="71"/>
    <row r="217" customFormat="1" s="71"/>
    <row r="218" customFormat="1" s="71"/>
    <row r="219" customFormat="1" s="71"/>
    <row r="220" customFormat="1" s="71"/>
    <row r="221" customFormat="1" s="71"/>
    <row r="222" customFormat="1" s="71"/>
    <row r="223" customFormat="1" s="71"/>
    <row r="224" customFormat="1" s="71"/>
    <row r="225" customFormat="1" s="71"/>
    <row r="226" customFormat="1" s="71"/>
    <row r="227" customFormat="1" s="71"/>
    <row r="228" customFormat="1" s="71"/>
    <row r="229" customFormat="1" s="71"/>
    <row r="230" customFormat="1" s="71"/>
    <row r="231" customFormat="1" s="71"/>
    <row r="232" customFormat="1" s="71"/>
    <row r="233" customFormat="1" s="71"/>
    <row r="234" customFormat="1" s="71"/>
    <row r="235" customFormat="1" s="71"/>
    <row r="236" customFormat="1" s="71"/>
    <row r="237" customFormat="1" s="71"/>
    <row r="238" customFormat="1" s="71"/>
    <row r="239" customFormat="1" s="71"/>
    <row r="240" customFormat="1" s="71"/>
    <row r="241" customFormat="1" s="71"/>
    <row r="242" customFormat="1" s="71"/>
    <row r="243" customFormat="1" s="71"/>
    <row r="244" customFormat="1" s="71"/>
    <row r="245" customFormat="1" s="71"/>
    <row r="246" customFormat="1" s="71"/>
    <row r="247" customFormat="1" s="71"/>
    <row r="248" customFormat="1" s="71"/>
    <row r="249" customFormat="1" s="71"/>
    <row r="250" customFormat="1" s="71"/>
    <row r="251" customFormat="1" s="71"/>
    <row r="252" customFormat="1" s="71"/>
    <row r="253" customFormat="1" s="71"/>
    <row r="254" customFormat="1" s="71"/>
    <row r="255" customFormat="1" s="71"/>
    <row r="256" customFormat="1" s="71"/>
    <row r="257" customFormat="1" s="71"/>
    <row r="258" customFormat="1" s="71"/>
    <row r="259" customFormat="1" s="71"/>
    <row r="260" customFormat="1" s="71"/>
    <row r="261" customFormat="1" s="71"/>
    <row r="262" customFormat="1" s="71"/>
    <row r="263" customFormat="1" s="71"/>
    <row r="264" customFormat="1" s="71"/>
    <row r="265" customFormat="1" s="71"/>
    <row r="266" customFormat="1" s="71"/>
    <row r="267" customFormat="1" s="71"/>
    <row r="268" customFormat="1" s="71"/>
    <row r="269" customFormat="1" s="71"/>
    <row r="270" customFormat="1" s="71"/>
    <row r="271" customFormat="1" s="71"/>
    <row r="272" customFormat="1" s="71"/>
    <row r="273" customFormat="1" s="71"/>
    <row r="274" customFormat="1" s="71"/>
    <row r="275" customFormat="1" s="71"/>
    <row r="276" customFormat="1" s="71"/>
    <row r="277" customFormat="1" s="71"/>
    <row r="278" customFormat="1" s="71"/>
    <row r="279" customFormat="1" s="71"/>
    <row r="280" customFormat="1" s="71"/>
    <row r="281" customFormat="1" s="71"/>
    <row r="282" customFormat="1" s="71"/>
    <row r="283" customFormat="1" s="71"/>
    <row r="284" customFormat="1" s="71"/>
    <row r="285" customFormat="1" s="71"/>
    <row r="286" customFormat="1" s="71"/>
    <row r="287" customFormat="1" s="71"/>
    <row r="288" customFormat="1" s="71"/>
    <row r="289" customFormat="1" s="71"/>
    <row r="290" customFormat="1" s="71"/>
    <row r="291" customFormat="1" s="71"/>
    <row r="292" customFormat="1" s="71"/>
    <row r="293" customFormat="1" s="71"/>
    <row r="294" customFormat="1" s="71"/>
    <row r="295" customFormat="1" s="71"/>
    <row r="296" customFormat="1" s="71"/>
    <row r="297" customFormat="1" s="71"/>
    <row r="298" customFormat="1" s="71"/>
    <row r="299" customFormat="1" s="71"/>
    <row r="300" customFormat="1" s="71"/>
    <row r="301" customFormat="1" s="71"/>
    <row r="302" customFormat="1" s="71"/>
    <row r="303" customFormat="1" s="71"/>
    <row r="304" customFormat="1" s="71"/>
    <row r="305" customFormat="1" s="71"/>
    <row r="306" customFormat="1" s="71"/>
    <row r="307" customFormat="1" s="71"/>
    <row r="308" customFormat="1" s="71"/>
    <row r="309" customFormat="1" s="71"/>
    <row r="310" customFormat="1" s="71"/>
    <row r="311" customFormat="1" s="71"/>
    <row r="312" customFormat="1" s="71"/>
    <row r="313" customFormat="1" s="71"/>
    <row r="314" customFormat="1" s="71"/>
    <row r="315" customFormat="1" s="71"/>
    <row r="316" customFormat="1" s="71"/>
    <row r="317" customFormat="1" s="71"/>
    <row r="318" customFormat="1" s="71"/>
    <row r="319" customFormat="1" s="71"/>
    <row r="320" customFormat="1" s="71"/>
    <row r="321" customFormat="1" s="71"/>
    <row r="322" customFormat="1" s="71"/>
    <row r="323" customFormat="1" s="71"/>
    <row r="324" customFormat="1" s="71"/>
    <row r="325" customFormat="1" s="71"/>
    <row r="326" customFormat="1" s="71"/>
    <row r="327" customFormat="1" s="71"/>
    <row r="328" customFormat="1" s="71"/>
    <row r="329" customFormat="1" s="71"/>
    <row r="330" customFormat="1" s="71"/>
    <row r="331" customFormat="1" s="71"/>
    <row r="332" customFormat="1" s="71"/>
    <row r="333" customFormat="1" s="71"/>
    <row r="334" customFormat="1" s="71"/>
    <row r="335" customFormat="1" s="71"/>
    <row r="336" customFormat="1" s="71"/>
    <row r="337" customFormat="1" s="71"/>
    <row r="338" customFormat="1" s="71"/>
    <row r="339" customFormat="1" s="71"/>
    <row r="340" customFormat="1" s="71"/>
    <row r="341" customFormat="1" s="71"/>
    <row r="342" customFormat="1" s="71"/>
    <row r="343" customFormat="1" s="71"/>
    <row r="344" customFormat="1" s="71"/>
    <row r="345" customFormat="1" s="71"/>
    <row r="346" customFormat="1" s="71"/>
    <row r="347" customFormat="1" s="71"/>
  </sheetData>
  <conditionalFormatting sqref="C12:AB99">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50" zoomScaleNormal="150" workbookViewId="0">
      <pane ySplit="5" topLeftCell="A100" activePane="bottomLeft" state="frozen"/>
      <selection activeCell="X324" sqref="X324"/>
      <selection pane="bottomLeft" activeCell="T121" sqref="T121"/>
    </sheetView>
  </sheetViews>
  <sheetFormatPr baseColWidth="10" defaultColWidth="9.1640625" defaultRowHeight="15"/>
  <cols>
    <col width="13.5" customWidth="1" style="71" min="1" max="1"/>
    <col width="11.33203125" customWidth="1" style="71" min="2" max="2"/>
    <col width="9.1640625" customWidth="1" style="71" min="3" max="3"/>
    <col width="13" customWidth="1" style="71" min="4" max="4"/>
    <col width="9.1640625" customWidth="1" style="71" min="5" max="45"/>
    <col width="9.1640625" customWidth="1" style="71" min="46" max="16384"/>
  </cols>
  <sheetData>
    <row r="1">
      <c r="A1" s="71" t="inlineStr">
        <is>
          <t>Global Manufacturing PMI</t>
        </is>
      </c>
    </row>
    <row r="2">
      <c r="K2" s="71">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6"/>
  <sheetViews>
    <sheetView zoomScale="160" zoomScaleNormal="160" workbookViewId="0">
      <pane ySplit="5" topLeftCell="A115" activePane="bottomLeft" state="frozen"/>
      <selection activeCell="O117" sqref="O117"/>
      <selection pane="bottomLeft" activeCell="Q152" sqref="Q152"/>
    </sheetView>
  </sheetViews>
  <sheetFormatPr baseColWidth="10" defaultColWidth="9.1640625" defaultRowHeight="15"/>
  <cols>
    <col width="13.5" customWidth="1" style="71" min="1" max="1"/>
    <col width="11.33203125" customWidth="1" style="71" min="2" max="2"/>
    <col width="9.1640625" customWidth="1" style="71" min="3" max="3"/>
    <col width="19" customWidth="1" style="71" min="4" max="4"/>
    <col width="9.1640625" customWidth="1" style="71" min="5" max="45"/>
    <col width="9.1640625" customWidth="1" style="71" min="46" max="16384"/>
  </cols>
  <sheetData>
    <row r="1">
      <c r="A1" s="71" t="inlineStr">
        <is>
          <t>United States</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sheetData>
  <conditionalFormatting sqref="B6:B146">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5"/>
  <sheetViews>
    <sheetView zoomScale="140" zoomScaleNormal="140" workbookViewId="0">
      <pane ySplit="5" topLeftCell="A176" activePane="bottomLeft" state="frozen"/>
      <selection activeCell="K199" sqref="K199"/>
      <selection pane="bottomLeft" activeCell="N221" sqref="N221"/>
    </sheetView>
  </sheetViews>
  <sheetFormatPr baseColWidth="10" defaultColWidth="9.1640625" defaultRowHeight="15"/>
  <cols>
    <col width="13.5" customWidth="1" style="71" min="1" max="1"/>
    <col width="11.33203125" customWidth="1" style="71" min="2" max="2"/>
    <col width="9.1640625" customWidth="1" style="71" min="3" max="3"/>
    <col width="18.33203125" customWidth="1" style="71" min="4" max="4"/>
    <col width="9.1640625" customWidth="1" style="71" min="5" max="45"/>
    <col width="9.1640625" customWidth="1" style="71" min="46" max="16384"/>
  </cols>
  <sheetData>
    <row r="1">
      <c r="A1" s="71" t="inlineStr">
        <is>
          <t>Caixin China</t>
        </is>
      </c>
      <c r="K1" s="71" t="inlineStr">
        <is>
          <t xml:space="preserve"> Manufacturing PMI</t>
        </is>
      </c>
    </row>
    <row r="2">
      <c r="A2" s="71" t="inlineStr">
        <is>
          <t>China</t>
        </is>
      </c>
      <c r="K2" s="71">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sheetData>
  <conditionalFormatting sqref="C66:C215">
    <cfRule type="colorScale" priority="4">
      <colorScale>
        <cfvo type="min"/>
        <cfvo type="percentile" val="50"/>
        <cfvo type="max"/>
        <color rgb="FFF8696B"/>
        <color rgb="FFFCFCFF"/>
        <color rgb="FF5A8AC6"/>
      </colorScale>
    </cfRule>
  </conditionalFormatting>
  <conditionalFormatting sqref="E66:E215">
    <cfRule type="colorScale" priority="3">
      <colorScale>
        <cfvo type="min"/>
        <cfvo type="percentile" val="50"/>
        <cfvo type="max"/>
        <color rgb="FFF8696B"/>
        <color rgb="FFFCFCFF"/>
        <color rgb="FF5A8AC6"/>
      </colorScale>
    </cfRule>
  </conditionalFormatting>
  <conditionalFormatting sqref="B66:B215">
    <cfRule type="colorScale" priority="2">
      <colorScale>
        <cfvo type="min"/>
        <cfvo type="percentile" val="50"/>
        <cfvo type="max"/>
        <color rgb="FFF8696B"/>
        <color rgb="FFFFEB84"/>
        <color rgb="FF63BE7B"/>
      </colorScale>
    </cfRule>
  </conditionalFormatting>
  <conditionalFormatting sqref="D66:D21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6"/>
  <sheetViews>
    <sheetView zoomScale="140" zoomScaleNormal="140" workbookViewId="0">
      <pane ySplit="5" topLeftCell="A186" activePane="bottomLeft" state="frozen"/>
      <selection activeCell="P121" sqref="P121"/>
      <selection pane="bottomLeft" activeCell="A205" sqref="A205:G21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Euro Area</t>
        </is>
      </c>
      <c r="K1" s="71" t="inlineStr">
        <is>
          <t xml:space="preserve"> Manufacturing PMI</t>
        </is>
      </c>
    </row>
    <row r="2">
      <c r="K2" s="71">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6">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8"/>
  <sheetViews>
    <sheetView zoomScale="150" zoomScaleNormal="150" workbookViewId="0">
      <pane ySplit="5" topLeftCell="A146" activePane="bottomLeft" state="frozen"/>
      <selection activeCell="B327" sqref="B327"/>
      <selection pane="bottomLeft" activeCell="A167" sqref="A167:C178"/>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Japan</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sheetData>
  <conditionalFormatting sqref="C7:C106">
    <cfRule type="colorScale" priority="1">
      <colorScale>
        <cfvo type="min"/>
        <cfvo type="percentile" val="50"/>
        <cfvo type="max"/>
        <color rgb="FFF8696B"/>
        <color rgb="FFFCFCFF"/>
        <color rgb="FF5A8AC6"/>
      </colorScale>
    </cfRule>
  </conditionalFormatting>
  <conditionalFormatting sqref="B6:B17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9"/>
  <sheetViews>
    <sheetView zoomScale="150" zoomScaleNormal="150" workbookViewId="0">
      <pane ySplit="5" topLeftCell="A147" activePane="bottomLeft" state="frozen"/>
      <selection pane="bottomLeft" activeCell="A169" sqref="A169:C179"/>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Germany</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sheetData>
  <conditionalFormatting sqref="C7:C106">
    <cfRule type="colorScale" priority="1">
      <colorScale>
        <cfvo type="min"/>
        <cfvo type="percentile" val="50"/>
        <cfvo type="max"/>
        <color rgb="FFF8696B"/>
        <color rgb="FFFCFCFF"/>
        <color rgb="FF5A8AC6"/>
      </colorScale>
    </cfRule>
  </conditionalFormatting>
  <conditionalFormatting sqref="B6:B179">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2"/>
  <sheetViews>
    <sheetView zoomScale="140" zoomScaleNormal="140" workbookViewId="0">
      <pane ySplit="5" topLeftCell="A136" activePane="bottomLeft" state="frozen"/>
      <selection pane="bottomLeft" activeCell="A161" sqref="A161:C17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France</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6"/>
  <sheetViews>
    <sheetView zoomScale="150" zoomScaleNormal="150" workbookViewId="0">
      <pane ySplit="5" topLeftCell="A187" activePane="bottomLeft" state="frozen"/>
      <selection activeCell="P121" sqref="P121"/>
      <selection pane="bottomLeft" activeCell="A203" sqref="A203:F21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United Kingdom</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sheetData>
  <conditionalFormatting sqref="C7:C106">
    <cfRule type="colorScale" priority="1">
      <colorScale>
        <cfvo type="min"/>
        <cfvo type="percentile" val="50"/>
        <cfvo type="max"/>
        <color rgb="FFF8696B"/>
        <color rgb="FFFCFCFF"/>
        <color rgb="FF5A8AC6"/>
      </colorScale>
    </cfRule>
  </conditionalFormatting>
  <conditionalFormatting sqref="B6:B216">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2"/>
  <sheetViews>
    <sheetView zoomScale="160" zoomScaleNormal="160" workbookViewId="0">
      <pane ySplit="5" topLeftCell="A162" activePane="bottomLeft" state="frozen"/>
      <selection pane="bottomLeft" activeCell="A179" sqref="A179:C19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Italy</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sheetData>
  <conditionalFormatting sqref="C7:C106">
    <cfRule type="colorScale" priority="1">
      <colorScale>
        <cfvo type="min"/>
        <cfvo type="percentile" val="50"/>
        <cfvo type="max"/>
        <color rgb="FFF8696B"/>
        <color rgb="FFFCFCFF"/>
        <color rgb="FF5A8AC6"/>
      </colorScale>
    </cfRule>
  </conditionalFormatting>
  <conditionalFormatting sqref="B6:B19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2"/>
  <sheetViews>
    <sheetView zoomScale="150" zoomScaleNormal="150" workbookViewId="0">
      <pane ySplit="5" topLeftCell="A171" activePane="bottomLeft" state="frozen"/>
      <selection pane="bottomLeft" activeCell="A183" sqref="A183:C19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Spain</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sheetData>
  <conditionalFormatting sqref="C7:C106">
    <cfRule type="colorScale" priority="1">
      <colorScale>
        <cfvo type="min"/>
        <cfvo type="percentile" val="50"/>
        <cfvo type="max"/>
        <color rgb="FFF8696B"/>
        <color rgb="FFFCFCFF"/>
        <color rgb="FF5A8AC6"/>
      </colorScale>
    </cfRule>
  </conditionalFormatting>
  <conditionalFormatting sqref="B6:B19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6"/>
  <sheetViews>
    <sheetView zoomScale="150" zoomScaleNormal="150" workbookViewId="0">
      <pane ySplit="5" topLeftCell="A121" activePane="bottomLeft" state="frozen"/>
      <selection pane="bottomLeft" activeCell="A138" sqref="A138: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Brazil</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0"/>
  <sheetViews>
    <sheetView zoomScale="150" zoomScaleNormal="150" workbookViewId="0">
      <pane ySplit="5" topLeftCell="A114" activePane="bottomLeft" state="frozen"/>
      <selection pane="bottomLeft" activeCell="A130" sqref="A130:C140"/>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Mexico</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sheetData>
  <conditionalFormatting sqref="C7:C140">
    <cfRule type="colorScale" priority="1">
      <colorScale>
        <cfvo type="min"/>
        <cfvo type="percentile" val="50"/>
        <cfvo type="max"/>
        <color rgb="FFF8696B"/>
        <color rgb="FFFCFCFF"/>
        <color rgb="FF5A8AC6"/>
      </colorScale>
    </cfRule>
  </conditionalFormatting>
  <conditionalFormatting sqref="B6:B140">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6"/>
  <sheetViews>
    <sheetView zoomScale="150" zoomScaleNormal="150" workbookViewId="0">
      <pane ySplit="5" topLeftCell="A109" activePane="bottomLeft" state="frozen"/>
      <selection pane="bottomLeft" activeCell="Q135" sqref="Q13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Russia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6"/>
  <sheetViews>
    <sheetView zoomScale="160" zoomScaleNormal="160" workbookViewId="0">
      <pane ySplit="5" topLeftCell="A116" activePane="bottomLeft" state="frozen"/>
      <selection pane="bottomLeft" activeCell="P142" sqref="P14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India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0"/>
  <sheetViews>
    <sheetView zoomScale="160" zoomScaleNormal="160" workbookViewId="0">
      <pane ySplit="5" topLeftCell="A114" activePane="bottomLeft" state="frozen"/>
      <selection pane="bottomLeft" activeCell="R145" sqref="R14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Canada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sheetData>
  <conditionalFormatting sqref="B6:B140">
    <cfRule type="colorScale" priority="2">
      <colorScale>
        <cfvo type="min"/>
        <cfvo type="percentile" val="50"/>
        <cfvo type="max"/>
        <color rgb="FFF8696B"/>
        <color rgb="FFFFEB84"/>
        <color rgb="FF63BE7B"/>
      </colorScale>
    </cfRule>
  </conditionalFormatting>
  <conditionalFormatting sqref="C7:C14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5"/>
  <sheetViews>
    <sheetView zoomScale="160" zoomScaleNormal="160" workbookViewId="0">
      <pane ySplit="5" topLeftCell="A144" activePane="bottomLeft" state="frozen"/>
      <selection pane="bottomLeft" activeCell="S167" sqref="S167"/>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Australia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0"/>
  <sheetViews>
    <sheetView zoomScale="170" zoomScaleNormal="170" workbookViewId="0">
      <pane ySplit="5" topLeftCell="A109" activePane="bottomLeft" state="frozen"/>
      <selection pane="bottomLeft" activeCell="A130" sqref="A130:C140"/>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Indonesia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sheetData>
  <conditionalFormatting sqref="C7:C140">
    <cfRule type="colorScale" priority="1">
      <colorScale>
        <cfvo type="min"/>
        <cfvo type="percentile" val="50"/>
        <cfvo type="max"/>
        <color rgb="FFF8696B"/>
        <color rgb="FFFCFCFF"/>
        <color rgb="FF5A8AC6"/>
      </colorScale>
    </cfRule>
  </conditionalFormatting>
  <conditionalFormatting sqref="B6:B140">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4"/>
  <sheetViews>
    <sheetView zoomScale="160" zoomScaleNormal="160" workbookViewId="0">
      <pane ySplit="5" topLeftCell="A115" activePane="bottomLeft" state="frozen"/>
      <selection pane="bottomLeft" activeCell="A136" sqref="A136:C144"/>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South Korea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sheetData>
  <conditionalFormatting sqref="C7:C106">
    <cfRule type="colorScale" priority="1">
      <colorScale>
        <cfvo type="min"/>
        <cfvo type="percentile" val="50"/>
        <cfvo type="max"/>
        <color rgb="FFF8696B"/>
        <color rgb="FFFCFCFF"/>
        <color rgb="FF5A8AC6"/>
      </colorScale>
    </cfRule>
  </conditionalFormatting>
  <conditionalFormatting sqref="B6:B14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6"/>
  <sheetViews>
    <sheetView zoomScale="170" zoomScaleNormal="170" workbookViewId="0">
      <pane ySplit="5" topLeftCell="A115" activePane="bottomLeft" state="frozen"/>
      <selection pane="bottomLeft" activeCell="A137" sqref="A137: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Taiwan</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6"/>
  <sheetViews>
    <sheetView zoomScale="160" zoomScaleNormal="160" workbookViewId="0">
      <pane ySplit="5" topLeftCell="A124" activePane="bottomLeft" state="frozen"/>
      <selection pane="bottomLeft" activeCell="A135" sqref="A135: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Greece</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6"/>
  <sheetViews>
    <sheetView zoomScale="180" zoomScaleNormal="180" workbookViewId="0">
      <pane ySplit="5" topLeftCell="A122" activePane="bottomLeft" state="frozen"/>
      <selection pane="bottomLeft" activeCell="A137" sqref="A137: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Ireland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6"/>
  <sheetViews>
    <sheetView zoomScale="170" zoomScaleNormal="170" workbookViewId="0">
      <pane ySplit="5" topLeftCell="A118" activePane="bottomLeft" state="frozen"/>
      <selection pane="bottomLeft" activeCell="A134" sqref="A134: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Turkey</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6"/>
  <sheetViews>
    <sheetView zoomScale="160" zoomScaleNormal="160" workbookViewId="0">
      <pane ySplit="5" topLeftCell="A121" activePane="bottomLeft" state="frozen"/>
      <selection pane="bottomLeft" activeCell="Q149" sqref="Q149"/>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Czech Republic</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6"/>
  <sheetViews>
    <sheetView zoomScale="160" zoomScaleNormal="160" workbookViewId="0">
      <pane ySplit="5" topLeftCell="A115" activePane="bottomLeft" state="frozen"/>
      <selection pane="bottomLeft" activeCell="A136" sqref="A136: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Poland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7"/>
  <sheetViews>
    <sheetView zoomScale="160" zoomScaleNormal="160" workbookViewId="0">
      <pane ySplit="5" topLeftCell="A323" activePane="bottomLeft" state="frozen"/>
      <selection pane="bottomLeft" activeCell="A329" sqref="A329:C347"/>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Denmark</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sheetData>
  <conditionalFormatting sqref="C198:C347">
    <cfRule type="colorScale" priority="2">
      <colorScale>
        <cfvo type="min"/>
        <cfvo type="percentile" val="50"/>
        <cfvo type="max"/>
        <color rgb="FFF8696B"/>
        <color rgb="FFFCFCFF"/>
        <color rgb="FF5A8AC6"/>
      </colorScale>
    </cfRule>
  </conditionalFormatting>
  <conditionalFormatting sqref="B198:B34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5"/>
  <sheetViews>
    <sheetView zoomScale="160" zoomScaleNormal="160" workbookViewId="0">
      <pane ySplit="5" topLeftCell="A100" activePane="bottomLeft" state="frozen"/>
      <selection activeCell="P121" sqref="P121"/>
      <selection pane="bottomLeft" activeCell="A116" sqref="A116:C12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Vietnam</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sheetData>
  <conditionalFormatting sqref="B6:B125">
    <cfRule type="colorScale" priority="2">
      <colorScale>
        <cfvo type="min"/>
        <cfvo type="percentile" val="50"/>
        <cfvo type="max"/>
        <color rgb="FFF8696B"/>
        <color rgb="FFFFEB84"/>
        <color rgb="FF63BE7B"/>
      </colorScale>
    </cfRule>
  </conditionalFormatting>
  <conditionalFormatting sqref="C7:C12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7"/>
  <sheetViews>
    <sheetView zoomScale="170" zoomScaleNormal="170" workbookViewId="0">
      <pane ySplit="5" topLeftCell="A47" activePane="bottomLeft" state="frozen"/>
      <selection pane="bottomLeft" activeCell="A66" sqref="A66:C77"/>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Thailand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sheetData>
  <conditionalFormatting sqref="B6:B77">
    <cfRule type="colorScale" priority="51">
      <colorScale>
        <cfvo type="min"/>
        <cfvo type="percentile" val="50"/>
        <cfvo type="max"/>
        <color rgb="FFF8696B"/>
        <color rgb="FFFFEB84"/>
        <color rgb="FF63BE7B"/>
      </colorScale>
    </cfRule>
  </conditionalFormatting>
  <conditionalFormatting sqref="C7:C77">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5"/>
  <sheetViews>
    <sheetView zoomScale="160" zoomScaleNormal="160" workbookViewId="0">
      <pane ySplit="5" topLeftCell="A243" activePane="bottomLeft" state="frozen"/>
      <selection pane="bottomLeft" activeCell="A263" sqref="A263:C27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South Africa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sheetData>
  <conditionalFormatting sqref="C126:C275">
    <cfRule type="colorScale" priority="59">
      <colorScale>
        <cfvo type="min"/>
        <cfvo type="percentile" val="50"/>
        <cfvo type="max"/>
        <color rgb="FFF8696B"/>
        <color rgb="FFFCFCFF"/>
        <color rgb="FF5A8AC6"/>
      </colorScale>
    </cfRule>
  </conditionalFormatting>
  <conditionalFormatting sqref="B126:B27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6"/>
  <sheetViews>
    <sheetView zoomScale="160" zoomScaleNormal="160" workbookViewId="0">
      <pane ySplit="5" topLeftCell="A95" activePane="bottomLeft" state="frozen"/>
      <selection pane="bottomLeft" activeCell="A109" sqref="A109:C12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Hong Kong</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sheetData>
  <conditionalFormatting sqref="B6:B12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2"/>
  <sheetViews>
    <sheetView zoomScale="160" zoomScaleNormal="160" workbookViewId="0">
      <pane ySplit="5" topLeftCell="A62" activePane="bottomLeft" state="frozen"/>
      <selection pane="bottomLeft" activeCell="A82" sqref="A82:C9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Saudi Arabia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sheetData>
  <conditionalFormatting sqref="B6:B92">
    <cfRule type="colorScale" priority="54">
      <colorScale>
        <cfvo type="min"/>
        <cfvo type="percentile" val="50"/>
        <cfvo type="max"/>
        <color rgb="FFF8696B"/>
        <color rgb="FFFFEB84"/>
        <color rgb="FF63BE7B"/>
      </colorScale>
    </cfRule>
  </conditionalFormatting>
  <conditionalFormatting sqref="C7:C92">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4"/>
  <sheetViews>
    <sheetView zoomScale="160" zoomScaleNormal="160" workbookViewId="0">
      <pane ySplit="5" topLeftCell="A213" activePane="bottomLeft" state="frozen"/>
      <selection activeCell="B327" sqref="B327"/>
      <selection pane="bottomLeft" activeCell="R238" sqref="R238"/>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New Zealand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sheetData>
  <conditionalFormatting sqref="C95:C244">
    <cfRule type="colorScale" priority="2">
      <colorScale>
        <cfvo type="min"/>
        <cfvo type="percentile" val="50"/>
        <cfvo type="max"/>
        <color rgb="FFF8696B"/>
        <color rgb="FFFCFCFF"/>
        <color rgb="FF5A8AC6"/>
      </colorScale>
    </cfRule>
  </conditionalFormatting>
  <conditionalFormatting sqref="B95:B2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2022-07-27T12:56:41Z</dcterms:modified>
  <cp:lastModifiedBy>Mark Mukherjee</cp:lastModifiedBy>
</cp:coreProperties>
</file>