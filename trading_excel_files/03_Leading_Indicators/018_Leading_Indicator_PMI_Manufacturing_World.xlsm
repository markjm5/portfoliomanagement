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5951DFF-D265-D64A-A282-CAE6D6AD2DBF}" xr6:coauthVersionLast="47" xr6:coauthVersionMax="47" xr10:uidLastSave="{00000000-0000-0000-0000-000000000000}"/>
  <bookViews>
    <workbookView xWindow="-43680" yWindow="-640" windowWidth="30220" windowHeight="24540" tabRatio="804" xr2:uid="{00000000-000D-0000-FFFF-FFFF00000000}"/>
  </bookViews>
  <sheets>
    <sheet name="Note" sheetId="1" r:id="rId1"/>
    <sheet name="Database" sheetId="2" r:id="rId2"/>
    <sheet name="DB Country PMI" sheetId="3" r:id="rId3"/>
    <sheet name="DB Global PMI" sheetId="4" r:id="rId4"/>
    <sheet name="DB China Official PMI" sheetId="5" r:id="rId5"/>
    <sheet name="DB US ISM Manufacturing" sheetId="6" r:id="rId6"/>
    <sheet name="Summary" sheetId="7" r:id="rId7"/>
    <sheet name="Global" sheetId="8" r:id="rId8"/>
    <sheet name="US" sheetId="9" r:id="rId9"/>
    <sheet name="China" sheetId="10" r:id="rId10"/>
    <sheet name="Euro Area" sheetId="11" r:id="rId11"/>
    <sheet name="Japan" sheetId="12" r:id="rId12"/>
    <sheet name="Germany" sheetId="13" r:id="rId13"/>
    <sheet name="France" sheetId="14" r:id="rId14"/>
    <sheet name="UK" sheetId="15" r:id="rId15"/>
    <sheet name="Italy" sheetId="16" r:id="rId16"/>
    <sheet name="Spain" sheetId="17" r:id="rId17"/>
    <sheet name="Brazil" sheetId="18" r:id="rId18"/>
    <sheet name="Mexico" sheetId="19" r:id="rId19"/>
    <sheet name="Russia" sheetId="20" r:id="rId20"/>
    <sheet name="India" sheetId="21" r:id="rId21"/>
    <sheet name="Canada" sheetId="22" r:id="rId22"/>
    <sheet name="Australia" sheetId="23" r:id="rId23"/>
    <sheet name="Indonesia" sheetId="24" r:id="rId24"/>
    <sheet name="SouthKorea" sheetId="25" r:id="rId25"/>
    <sheet name="Taiwan" sheetId="26" r:id="rId26"/>
    <sheet name="Greece" sheetId="27" r:id="rId27"/>
    <sheet name="Ireland" sheetId="28" r:id="rId28"/>
    <sheet name="Turkey" sheetId="29" r:id="rId29"/>
    <sheet name="CzechRepublic" sheetId="30" r:id="rId30"/>
    <sheet name="Poland" sheetId="31" r:id="rId31"/>
    <sheet name="Denmark" sheetId="32" r:id="rId32"/>
    <sheet name="Vietnam" sheetId="33" r:id="rId33"/>
    <sheet name="Thailand" sheetId="34" r:id="rId34"/>
    <sheet name="South Africa" sheetId="35" r:id="rId35"/>
    <sheet name="Hong Kong" sheetId="36" r:id="rId36"/>
    <sheet name="Saudi Arabia" sheetId="37" r:id="rId37"/>
    <sheet name="NewZealand" sheetId="38" r:id="rId3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8" l="1"/>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40" i="21"/>
  <c r="C139" i="21"/>
  <c r="C138" i="21"/>
  <c r="C137" i="21"/>
  <c r="C136" i="21"/>
  <c r="C135" i="21"/>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F210" i="15"/>
  <c r="E210" i="15"/>
  <c r="C210" i="15"/>
  <c r="F209" i="15"/>
  <c r="E209" i="15"/>
  <c r="C209" i="15"/>
  <c r="F208" i="15"/>
  <c r="E208" i="15"/>
  <c r="C208" i="15"/>
  <c r="F207" i="15"/>
  <c r="E207" i="15"/>
  <c r="C207" i="15"/>
  <c r="F206" i="15"/>
  <c r="E206" i="15"/>
  <c r="C206" i="15"/>
  <c r="F205" i="15"/>
  <c r="E205" i="15"/>
  <c r="C205" i="15"/>
  <c r="F204" i="15"/>
  <c r="E204" i="15"/>
  <c r="C204" i="15"/>
  <c r="F203" i="15"/>
  <c r="E203" i="15"/>
  <c r="C203" i="15"/>
  <c r="F202" i="15"/>
  <c r="E202" i="15"/>
  <c r="C202" i="15"/>
  <c r="F201" i="15"/>
  <c r="E201" i="15"/>
  <c r="C201" i="15"/>
  <c r="F200" i="15"/>
  <c r="E200" i="15"/>
  <c r="C200" i="15"/>
  <c r="F199" i="15"/>
  <c r="E199" i="15"/>
  <c r="C199" i="15"/>
  <c r="F198" i="15"/>
  <c r="E198" i="15"/>
  <c r="C198" i="15"/>
  <c r="F197" i="15"/>
  <c r="E197" i="15"/>
  <c r="C197" i="15"/>
  <c r="F196" i="15"/>
  <c r="E196" i="15"/>
  <c r="C196" i="15"/>
  <c r="F195" i="15"/>
  <c r="E195" i="15"/>
  <c r="C195" i="15"/>
  <c r="F194" i="15"/>
  <c r="E194" i="15"/>
  <c r="C194" i="15"/>
  <c r="F193" i="15"/>
  <c r="E193" i="15"/>
  <c r="C193" i="15"/>
  <c r="F192" i="15"/>
  <c r="E192" i="15"/>
  <c r="C192" i="15"/>
  <c r="F191" i="15"/>
  <c r="E191" i="15"/>
  <c r="C191" i="15"/>
  <c r="F190" i="15"/>
  <c r="E190" i="15"/>
  <c r="C190" i="15"/>
  <c r="F189" i="15"/>
  <c r="E189" i="15"/>
  <c r="C189" i="15"/>
  <c r="F188" i="15"/>
  <c r="E188" i="15"/>
  <c r="C188" i="15"/>
  <c r="F187" i="15"/>
  <c r="E187" i="15"/>
  <c r="C187" i="15"/>
  <c r="F186" i="15"/>
  <c r="E186" i="15"/>
  <c r="C186" i="15"/>
  <c r="F185" i="15"/>
  <c r="E185" i="15"/>
  <c r="C185" i="15"/>
  <c r="F184" i="15"/>
  <c r="E184" i="15"/>
  <c r="C184" i="15"/>
  <c r="F183" i="15"/>
  <c r="E183" i="15"/>
  <c r="C183" i="15"/>
  <c r="F182" i="15"/>
  <c r="E182" i="15"/>
  <c r="C182" i="15"/>
  <c r="F181" i="15"/>
  <c r="E181" i="15"/>
  <c r="C181" i="15"/>
  <c r="F180" i="15"/>
  <c r="E180" i="15"/>
  <c r="C180" i="15"/>
  <c r="F179" i="15"/>
  <c r="E179" i="15"/>
  <c r="C179" i="15"/>
  <c r="F178" i="15"/>
  <c r="E178" i="15"/>
  <c r="C178" i="15"/>
  <c r="F177" i="15"/>
  <c r="E177" i="15"/>
  <c r="C177" i="15"/>
  <c r="F176" i="15"/>
  <c r="E176" i="15"/>
  <c r="C176" i="15"/>
  <c r="F175" i="15"/>
  <c r="E175" i="15"/>
  <c r="C175" i="15"/>
  <c r="F174" i="15"/>
  <c r="E174" i="15"/>
  <c r="C174" i="15"/>
  <c r="F173" i="15"/>
  <c r="E173" i="15"/>
  <c r="C173" i="15"/>
  <c r="F172" i="15"/>
  <c r="E172" i="15"/>
  <c r="C172" i="15"/>
  <c r="F171" i="15"/>
  <c r="E171" i="15"/>
  <c r="C171" i="15"/>
  <c r="F170" i="15"/>
  <c r="E170" i="15"/>
  <c r="C170" i="15"/>
  <c r="F169" i="15"/>
  <c r="E169" i="15"/>
  <c r="C169" i="15"/>
  <c r="F168" i="15"/>
  <c r="E168" i="15"/>
  <c r="C168" i="15"/>
  <c r="F167" i="15"/>
  <c r="E167" i="15"/>
  <c r="C167" i="15"/>
  <c r="F166" i="15"/>
  <c r="E166" i="15"/>
  <c r="C166" i="15"/>
  <c r="F165" i="15"/>
  <c r="E165" i="15"/>
  <c r="C165" i="15"/>
  <c r="F164" i="15"/>
  <c r="E164" i="15"/>
  <c r="C164" i="15"/>
  <c r="F163" i="15"/>
  <c r="E163" i="15"/>
  <c r="C163" i="15"/>
  <c r="F162" i="15"/>
  <c r="E162" i="15"/>
  <c r="C162" i="15"/>
  <c r="F161" i="15"/>
  <c r="E161" i="15"/>
  <c r="C161" i="15"/>
  <c r="F160" i="15"/>
  <c r="E160" i="15"/>
  <c r="C160" i="15"/>
  <c r="F159" i="15"/>
  <c r="E159" i="15"/>
  <c r="C159" i="15"/>
  <c r="F158" i="15"/>
  <c r="E158" i="15"/>
  <c r="C158" i="15"/>
  <c r="F157" i="15"/>
  <c r="E157" i="15"/>
  <c r="C157" i="15"/>
  <c r="F156" i="15"/>
  <c r="E156" i="15"/>
  <c r="C156" i="15"/>
  <c r="F155" i="15"/>
  <c r="E155" i="15"/>
  <c r="C155" i="15"/>
  <c r="F154" i="15"/>
  <c r="E154" i="15"/>
  <c r="C154" i="15"/>
  <c r="F153" i="15"/>
  <c r="E153" i="15"/>
  <c r="C153" i="15"/>
  <c r="F152" i="15"/>
  <c r="E152" i="15"/>
  <c r="C152" i="15"/>
  <c r="F151" i="15"/>
  <c r="E151" i="15"/>
  <c r="C151" i="15"/>
  <c r="F150" i="15"/>
  <c r="E150" i="15"/>
  <c r="C150" i="15"/>
  <c r="F149" i="15"/>
  <c r="E149" i="15"/>
  <c r="C149" i="15"/>
  <c r="F148" i="15"/>
  <c r="E148" i="15"/>
  <c r="C148" i="15"/>
  <c r="F147" i="15"/>
  <c r="E147" i="15"/>
  <c r="C147" i="15"/>
  <c r="F146" i="15"/>
  <c r="E146" i="15"/>
  <c r="C146" i="15"/>
  <c r="F145" i="15"/>
  <c r="E145" i="15"/>
  <c r="C145" i="15"/>
  <c r="F144" i="15"/>
  <c r="E144" i="15"/>
  <c r="C144" i="15"/>
  <c r="F143" i="15"/>
  <c r="E143" i="15"/>
  <c r="C143" i="15"/>
  <c r="F142" i="15"/>
  <c r="E142" i="15"/>
  <c r="C142" i="15"/>
  <c r="F141" i="15"/>
  <c r="E141" i="15"/>
  <c r="C141" i="15"/>
  <c r="F140" i="15"/>
  <c r="E140" i="15"/>
  <c r="C140" i="15"/>
  <c r="F139" i="15"/>
  <c r="E139" i="15"/>
  <c r="C139" i="15"/>
  <c r="F138" i="15"/>
  <c r="E138" i="15"/>
  <c r="C138" i="15"/>
  <c r="F137" i="15"/>
  <c r="E137" i="15"/>
  <c r="C137" i="15"/>
  <c r="F136" i="15"/>
  <c r="E136" i="15"/>
  <c r="C136" i="15"/>
  <c r="F135" i="15"/>
  <c r="E135" i="15"/>
  <c r="C135" i="15"/>
  <c r="F134" i="15"/>
  <c r="E134" i="15"/>
  <c r="C134" i="15"/>
  <c r="F133" i="15"/>
  <c r="E133" i="15"/>
  <c r="C133" i="15"/>
  <c r="F132" i="15"/>
  <c r="E132" i="15"/>
  <c r="C132" i="15"/>
  <c r="F131" i="15"/>
  <c r="E131" i="15"/>
  <c r="C131" i="15"/>
  <c r="F130" i="15"/>
  <c r="E130" i="15"/>
  <c r="C130" i="15"/>
  <c r="F129" i="15"/>
  <c r="E129" i="15"/>
  <c r="C129" i="15"/>
  <c r="F128" i="15"/>
  <c r="E128" i="15"/>
  <c r="C128" i="15"/>
  <c r="F127" i="15"/>
  <c r="E127" i="15"/>
  <c r="C127" i="15"/>
  <c r="F126" i="15"/>
  <c r="E126" i="15"/>
  <c r="C126" i="15"/>
  <c r="F125" i="15"/>
  <c r="E125" i="15"/>
  <c r="C125" i="15"/>
  <c r="F124" i="15"/>
  <c r="E124" i="15"/>
  <c r="C124" i="15"/>
  <c r="F123" i="15"/>
  <c r="E123" i="15"/>
  <c r="C123" i="15"/>
  <c r="F122" i="15"/>
  <c r="E122" i="15"/>
  <c r="C122" i="15"/>
  <c r="F121" i="15"/>
  <c r="E121" i="15"/>
  <c r="C121" i="15"/>
  <c r="F120" i="15"/>
  <c r="E120" i="15"/>
  <c r="C120" i="15"/>
  <c r="F119" i="15"/>
  <c r="E119" i="15"/>
  <c r="C119" i="15"/>
  <c r="F118" i="15"/>
  <c r="E118" i="15"/>
  <c r="C118" i="15"/>
  <c r="F117" i="15"/>
  <c r="E117" i="15"/>
  <c r="C117" i="15"/>
  <c r="F116" i="15"/>
  <c r="E116" i="15"/>
  <c r="C116" i="15"/>
  <c r="F115" i="15"/>
  <c r="E115" i="15"/>
  <c r="C115" i="15"/>
  <c r="F114" i="15"/>
  <c r="E114" i="15"/>
  <c r="C114" i="15"/>
  <c r="F113" i="15"/>
  <c r="E113" i="15"/>
  <c r="C113" i="15"/>
  <c r="F112" i="15"/>
  <c r="E112" i="15"/>
  <c r="C112" i="15"/>
  <c r="F111" i="15"/>
  <c r="E111" i="15"/>
  <c r="C111" i="15"/>
  <c r="F110" i="15"/>
  <c r="E110" i="15"/>
  <c r="C110" i="15"/>
  <c r="F109" i="15"/>
  <c r="E109" i="15"/>
  <c r="C109" i="15"/>
  <c r="F108" i="15"/>
  <c r="E108" i="15"/>
  <c r="C108" i="15"/>
  <c r="F107" i="15"/>
  <c r="E107" i="15"/>
  <c r="C107" i="15"/>
  <c r="F106" i="15"/>
  <c r="E106" i="15"/>
  <c r="C106" i="15"/>
  <c r="F105" i="15"/>
  <c r="E105" i="15"/>
  <c r="C105" i="15"/>
  <c r="F104" i="15"/>
  <c r="E104" i="15"/>
  <c r="C104" i="15"/>
  <c r="F103" i="15"/>
  <c r="E103" i="15"/>
  <c r="C103" i="15"/>
  <c r="F102" i="15"/>
  <c r="E102" i="15"/>
  <c r="C102" i="15"/>
  <c r="F101" i="15"/>
  <c r="E101" i="15"/>
  <c r="C101" i="15"/>
  <c r="F100" i="15"/>
  <c r="E100" i="15"/>
  <c r="C100" i="15"/>
  <c r="F99" i="15"/>
  <c r="E99" i="15"/>
  <c r="C99" i="15"/>
  <c r="F98" i="15"/>
  <c r="E98" i="15"/>
  <c r="C98" i="15"/>
  <c r="F97" i="15"/>
  <c r="E97" i="15"/>
  <c r="C97" i="15"/>
  <c r="F96" i="15"/>
  <c r="E96" i="15"/>
  <c r="C96" i="15"/>
  <c r="F95" i="15"/>
  <c r="E95" i="15"/>
  <c r="C95" i="15"/>
  <c r="F94" i="15"/>
  <c r="E94" i="15"/>
  <c r="C94" i="15"/>
  <c r="F93" i="15"/>
  <c r="E93" i="15"/>
  <c r="C93" i="15"/>
  <c r="F92" i="15"/>
  <c r="E92" i="15"/>
  <c r="C92" i="15"/>
  <c r="F91" i="15"/>
  <c r="E91" i="15"/>
  <c r="C91" i="15"/>
  <c r="F90" i="15"/>
  <c r="E90" i="15"/>
  <c r="C90" i="15"/>
  <c r="F89" i="15"/>
  <c r="E89" i="15"/>
  <c r="C89" i="15"/>
  <c r="F88" i="15"/>
  <c r="E88" i="15"/>
  <c r="C88" i="15"/>
  <c r="F87" i="15"/>
  <c r="E87" i="15"/>
  <c r="C87" i="15"/>
  <c r="F86" i="15"/>
  <c r="E86" i="15"/>
  <c r="C86" i="15"/>
  <c r="F85" i="15"/>
  <c r="E85" i="15"/>
  <c r="C85" i="15"/>
  <c r="F84" i="15"/>
  <c r="E84" i="15"/>
  <c r="C84" i="15"/>
  <c r="F83" i="15"/>
  <c r="E83" i="15"/>
  <c r="C83" i="15"/>
  <c r="F82" i="15"/>
  <c r="E82" i="15"/>
  <c r="C82" i="15"/>
  <c r="F81" i="15"/>
  <c r="E81" i="15"/>
  <c r="C81" i="15"/>
  <c r="F80" i="15"/>
  <c r="E80" i="15"/>
  <c r="C80" i="15"/>
  <c r="F79" i="15"/>
  <c r="E79" i="15"/>
  <c r="C79" i="15"/>
  <c r="F78" i="15"/>
  <c r="E78" i="15"/>
  <c r="C78" i="15"/>
  <c r="F77" i="15"/>
  <c r="E77" i="15"/>
  <c r="C77" i="15"/>
  <c r="F76" i="15"/>
  <c r="E76" i="15"/>
  <c r="C76" i="15"/>
  <c r="F75" i="15"/>
  <c r="E75" i="15"/>
  <c r="C75" i="15"/>
  <c r="F74" i="15"/>
  <c r="E74" i="15"/>
  <c r="C74" i="15"/>
  <c r="F73" i="15"/>
  <c r="E73" i="15"/>
  <c r="C73" i="15"/>
  <c r="F72" i="15"/>
  <c r="E72" i="15"/>
  <c r="C72" i="15"/>
  <c r="F71" i="15"/>
  <c r="E71" i="15"/>
  <c r="C71" i="15"/>
  <c r="F70" i="15"/>
  <c r="E70" i="15"/>
  <c r="C70" i="15"/>
  <c r="F69" i="15"/>
  <c r="E69" i="15"/>
  <c r="C69" i="15"/>
  <c r="F68" i="15"/>
  <c r="E68" i="15"/>
  <c r="C68" i="15"/>
  <c r="F67" i="15"/>
  <c r="E67" i="15"/>
  <c r="C67" i="15"/>
  <c r="F66" i="15"/>
  <c r="E66" i="15"/>
  <c r="C66" i="15"/>
  <c r="F65" i="15"/>
  <c r="E65" i="15"/>
  <c r="C65" i="15"/>
  <c r="F64" i="15"/>
  <c r="E64" i="15"/>
  <c r="C64" i="15"/>
  <c r="F63" i="15"/>
  <c r="E63" i="15"/>
  <c r="C63" i="15"/>
  <c r="F62" i="15"/>
  <c r="E62" i="15"/>
  <c r="C62" i="15"/>
  <c r="F61" i="15"/>
  <c r="E61" i="15"/>
  <c r="C61" i="15"/>
  <c r="F60" i="15"/>
  <c r="E60" i="15"/>
  <c r="C60" i="15"/>
  <c r="F59" i="15"/>
  <c r="E59" i="15"/>
  <c r="C59" i="15"/>
  <c r="F58" i="15"/>
  <c r="E58" i="15"/>
  <c r="C58" i="15"/>
  <c r="F57" i="15"/>
  <c r="E57" i="15"/>
  <c r="C57" i="15"/>
  <c r="F56" i="15"/>
  <c r="E56" i="15"/>
  <c r="C56" i="15"/>
  <c r="F55" i="15"/>
  <c r="E55" i="15"/>
  <c r="C55" i="15"/>
  <c r="F54" i="15"/>
  <c r="E54" i="15"/>
  <c r="C54" i="15"/>
  <c r="F53" i="15"/>
  <c r="E53" i="15"/>
  <c r="C53" i="15"/>
  <c r="F52" i="15"/>
  <c r="E52" i="15"/>
  <c r="C52" i="15"/>
  <c r="F51" i="15"/>
  <c r="E51" i="15"/>
  <c r="C51" i="15"/>
  <c r="F50" i="15"/>
  <c r="E50" i="15"/>
  <c r="C50" i="15"/>
  <c r="F49" i="15"/>
  <c r="E49" i="15"/>
  <c r="C49" i="15"/>
  <c r="F48" i="15"/>
  <c r="E48" i="15"/>
  <c r="C48" i="15"/>
  <c r="F47" i="15"/>
  <c r="E47" i="15"/>
  <c r="C47" i="15"/>
  <c r="F46" i="15"/>
  <c r="E46" i="15"/>
  <c r="C46" i="15"/>
  <c r="F45"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F18" i="15"/>
  <c r="E18" i="15"/>
  <c r="C18" i="15"/>
  <c r="C17" i="15"/>
  <c r="C16" i="15"/>
  <c r="C15" i="15"/>
  <c r="C14" i="15"/>
  <c r="C13" i="15"/>
  <c r="C12" i="15"/>
  <c r="C11" i="15"/>
  <c r="C10" i="15"/>
  <c r="C9" i="15"/>
  <c r="C8" i="15"/>
  <c r="C7" i="15"/>
  <c r="K2" i="15"/>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K2" i="12"/>
  <c r="F210" i="11"/>
  <c r="E210" i="11"/>
  <c r="C210" i="11"/>
  <c r="F209" i="11"/>
  <c r="E209" i="11"/>
  <c r="C209" i="11"/>
  <c r="F208" i="11"/>
  <c r="E208" i="11"/>
  <c r="C208" i="11"/>
  <c r="F207" i="11"/>
  <c r="E207" i="11"/>
  <c r="C207" i="11"/>
  <c r="F206" i="11"/>
  <c r="E206" i="11"/>
  <c r="C206" i="11"/>
  <c r="F205" i="11"/>
  <c r="E205" i="11"/>
  <c r="C205" i="11"/>
  <c r="F204" i="11"/>
  <c r="E204" i="11"/>
  <c r="C204" i="11"/>
  <c r="F203" i="11"/>
  <c r="E203" i="11"/>
  <c r="C203" i="11"/>
  <c r="F202" i="11"/>
  <c r="E202" i="11"/>
  <c r="C202" i="11"/>
  <c r="F201" i="11"/>
  <c r="E201" i="11"/>
  <c r="C201" i="11"/>
  <c r="F200" i="11"/>
  <c r="E200" i="11"/>
  <c r="C200" i="11"/>
  <c r="F199" i="11"/>
  <c r="E199" i="11"/>
  <c r="C199" i="11"/>
  <c r="F198" i="11"/>
  <c r="E198" i="11"/>
  <c r="C198" i="11"/>
  <c r="F197" i="11"/>
  <c r="E197" i="11"/>
  <c r="C197" i="11"/>
  <c r="F196" i="11"/>
  <c r="E196" i="11"/>
  <c r="C196" i="11"/>
  <c r="F195" i="11"/>
  <c r="E195" i="11"/>
  <c r="C195" i="11"/>
  <c r="F194" i="11"/>
  <c r="E194" i="11"/>
  <c r="C194" i="11"/>
  <c r="F193" i="11"/>
  <c r="E193" i="11"/>
  <c r="C193" i="11"/>
  <c r="F192" i="11"/>
  <c r="E192" i="11"/>
  <c r="C192" i="11"/>
  <c r="F191" i="11"/>
  <c r="E191" i="11"/>
  <c r="C191" i="11"/>
  <c r="F190" i="11"/>
  <c r="E190" i="11"/>
  <c r="C190" i="11"/>
  <c r="F189" i="11"/>
  <c r="E189" i="11"/>
  <c r="C189" i="11"/>
  <c r="F188" i="11"/>
  <c r="E188" i="11"/>
  <c r="C188" i="11"/>
  <c r="F187" i="11"/>
  <c r="E187" i="11"/>
  <c r="C187" i="11"/>
  <c r="F186" i="11"/>
  <c r="E186" i="11"/>
  <c r="C186" i="11"/>
  <c r="F185" i="11"/>
  <c r="E185" i="11"/>
  <c r="C185" i="11"/>
  <c r="F184" i="11"/>
  <c r="E184" i="11"/>
  <c r="C184" i="11"/>
  <c r="F183" i="11"/>
  <c r="E183" i="11"/>
  <c r="C183" i="11"/>
  <c r="F182" i="11"/>
  <c r="E182" i="11"/>
  <c r="C182" i="11"/>
  <c r="F181" i="11"/>
  <c r="E181" i="11"/>
  <c r="C181" i="11"/>
  <c r="F180" i="11"/>
  <c r="E180" i="11"/>
  <c r="C180" i="11"/>
  <c r="F179" i="11"/>
  <c r="E179" i="11"/>
  <c r="C179" i="11"/>
  <c r="F178" i="11"/>
  <c r="E178" i="11"/>
  <c r="C178" i="11"/>
  <c r="F177" i="11"/>
  <c r="E177" i="11"/>
  <c r="C177" i="11"/>
  <c r="F176" i="11"/>
  <c r="E176" i="11"/>
  <c r="C176" i="11"/>
  <c r="F175" i="11"/>
  <c r="E175" i="11"/>
  <c r="C175" i="11"/>
  <c r="F174" i="11"/>
  <c r="E174" i="11"/>
  <c r="C174" i="11"/>
  <c r="F173" i="11"/>
  <c r="E173" i="11"/>
  <c r="C173" i="11"/>
  <c r="F172" i="11"/>
  <c r="E172" i="11"/>
  <c r="C172" i="11"/>
  <c r="F171" i="11"/>
  <c r="E171" i="11"/>
  <c r="C171" i="11"/>
  <c r="F170" i="11"/>
  <c r="E170" i="11"/>
  <c r="C170" i="11"/>
  <c r="F169" i="11"/>
  <c r="E169" i="11"/>
  <c r="C169" i="11"/>
  <c r="F168" i="11"/>
  <c r="E168" i="11"/>
  <c r="C168" i="11"/>
  <c r="F167" i="11"/>
  <c r="E167" i="11"/>
  <c r="C167" i="11"/>
  <c r="F166" i="11"/>
  <c r="E166" i="11"/>
  <c r="C166" i="11"/>
  <c r="F165" i="11"/>
  <c r="E165" i="11"/>
  <c r="C165" i="11"/>
  <c r="F164" i="11"/>
  <c r="E164" i="11"/>
  <c r="C164" i="11"/>
  <c r="F163" i="11"/>
  <c r="E163" i="11"/>
  <c r="C163" i="11"/>
  <c r="F162" i="11"/>
  <c r="E162" i="11"/>
  <c r="C162" i="11"/>
  <c r="F161" i="11"/>
  <c r="E161" i="11"/>
  <c r="C161" i="11"/>
  <c r="F160" i="11"/>
  <c r="E160" i="11"/>
  <c r="C160" i="11"/>
  <c r="F159" i="11"/>
  <c r="E159" i="11"/>
  <c r="C159" i="11"/>
  <c r="F158" i="11"/>
  <c r="E158" i="11"/>
  <c r="C158" i="11"/>
  <c r="F157" i="11"/>
  <c r="E157" i="11"/>
  <c r="C157" i="11"/>
  <c r="F156" i="11"/>
  <c r="E156" i="11"/>
  <c r="C156" i="11"/>
  <c r="F155" i="11"/>
  <c r="E155" i="11"/>
  <c r="C155" i="11"/>
  <c r="F154" i="11"/>
  <c r="E154" i="11"/>
  <c r="C154" i="11"/>
  <c r="F153" i="11"/>
  <c r="E153" i="11"/>
  <c r="C153" i="11"/>
  <c r="F152" i="11"/>
  <c r="E152" i="11"/>
  <c r="C152" i="11"/>
  <c r="F151" i="11"/>
  <c r="E151" i="11"/>
  <c r="C151" i="11"/>
  <c r="F150" i="11"/>
  <c r="E150" i="11"/>
  <c r="C150" i="11"/>
  <c r="F149" i="11"/>
  <c r="E149" i="11"/>
  <c r="C149" i="11"/>
  <c r="F148" i="11"/>
  <c r="E148" i="11"/>
  <c r="C148" i="11"/>
  <c r="F147" i="11"/>
  <c r="E147" i="11"/>
  <c r="C147" i="11"/>
  <c r="F146" i="11"/>
  <c r="E146" i="11"/>
  <c r="C146" i="11"/>
  <c r="F145" i="11"/>
  <c r="E145" i="11"/>
  <c r="C145" i="11"/>
  <c r="F144" i="11"/>
  <c r="E144" i="11"/>
  <c r="C144" i="11"/>
  <c r="F143" i="11"/>
  <c r="E143" i="11"/>
  <c r="C143" i="11"/>
  <c r="F142" i="11"/>
  <c r="E142" i="11"/>
  <c r="C142" i="11"/>
  <c r="F141" i="11"/>
  <c r="E141" i="11"/>
  <c r="C141" i="11"/>
  <c r="F140" i="11"/>
  <c r="E140" i="11"/>
  <c r="C140" i="11"/>
  <c r="F139" i="11"/>
  <c r="E139" i="11"/>
  <c r="C139" i="11"/>
  <c r="F138" i="11"/>
  <c r="E138" i="11"/>
  <c r="C138" i="11"/>
  <c r="F137" i="11"/>
  <c r="E137" i="11"/>
  <c r="C137" i="11"/>
  <c r="F136" i="11"/>
  <c r="E136" i="11"/>
  <c r="C136" i="11"/>
  <c r="F135" i="11"/>
  <c r="E135" i="11"/>
  <c r="C135" i="11"/>
  <c r="F134" i="11"/>
  <c r="E134" i="11"/>
  <c r="C134" i="11"/>
  <c r="F133" i="11"/>
  <c r="E133" i="11"/>
  <c r="C133" i="11"/>
  <c r="F132" i="11"/>
  <c r="E132" i="11"/>
  <c r="C132" i="11"/>
  <c r="F131" i="11"/>
  <c r="E131" i="11"/>
  <c r="C131" i="11"/>
  <c r="F130" i="11"/>
  <c r="E130" i="11"/>
  <c r="C130" i="11"/>
  <c r="F129" i="11"/>
  <c r="E129" i="11"/>
  <c r="C129" i="11"/>
  <c r="F128" i="11"/>
  <c r="E128" i="11"/>
  <c r="C128" i="11"/>
  <c r="F127" i="11"/>
  <c r="E127" i="11"/>
  <c r="C127" i="11"/>
  <c r="F126" i="11"/>
  <c r="E126" i="11"/>
  <c r="C126" i="11"/>
  <c r="F125" i="11"/>
  <c r="E125" i="11"/>
  <c r="C125" i="11"/>
  <c r="F124" i="11"/>
  <c r="E124" i="11"/>
  <c r="C124" i="11"/>
  <c r="F123" i="11"/>
  <c r="E123" i="11"/>
  <c r="C123" i="11"/>
  <c r="F122" i="11"/>
  <c r="E122" i="11"/>
  <c r="C122" i="11"/>
  <c r="F121" i="11"/>
  <c r="E121" i="11"/>
  <c r="C121" i="11"/>
  <c r="F120" i="11"/>
  <c r="E120" i="11"/>
  <c r="C120" i="11"/>
  <c r="F119" i="11"/>
  <c r="E119" i="11"/>
  <c r="C119" i="11"/>
  <c r="F118" i="11"/>
  <c r="E118" i="11"/>
  <c r="C118" i="11"/>
  <c r="F117" i="11"/>
  <c r="E117" i="11"/>
  <c r="C117" i="11"/>
  <c r="F116" i="11"/>
  <c r="E116" i="11"/>
  <c r="C116" i="11"/>
  <c r="F115" i="11"/>
  <c r="E115" i="11"/>
  <c r="C115" i="11"/>
  <c r="F114" i="11"/>
  <c r="E114" i="11"/>
  <c r="C114" i="11"/>
  <c r="F113" i="11"/>
  <c r="E113" i="11"/>
  <c r="C113" i="11"/>
  <c r="F112" i="11"/>
  <c r="E112" i="11"/>
  <c r="C112" i="11"/>
  <c r="F111" i="11"/>
  <c r="E111" i="11"/>
  <c r="C111" i="11"/>
  <c r="F110" i="11"/>
  <c r="E110" i="11"/>
  <c r="C110" i="11"/>
  <c r="F109" i="11"/>
  <c r="E109" i="11"/>
  <c r="C109" i="11"/>
  <c r="F108" i="11"/>
  <c r="E108" i="11"/>
  <c r="C108" i="11"/>
  <c r="F107" i="11"/>
  <c r="E107" i="11"/>
  <c r="C107" i="11"/>
  <c r="F106" i="11"/>
  <c r="E106" i="11"/>
  <c r="C106" i="11"/>
  <c r="F105" i="11"/>
  <c r="E105" i="11"/>
  <c r="C105" i="11"/>
  <c r="F104" i="11"/>
  <c r="E104" i="11"/>
  <c r="C104" i="11"/>
  <c r="F103" i="11"/>
  <c r="E103" i="11"/>
  <c r="C103" i="11"/>
  <c r="F102" i="11"/>
  <c r="E102" i="11"/>
  <c r="C102" i="11"/>
  <c r="F101" i="11"/>
  <c r="E101" i="11"/>
  <c r="C101" i="11"/>
  <c r="F100" i="11"/>
  <c r="E100" i="11"/>
  <c r="C100" i="11"/>
  <c r="F99" i="11"/>
  <c r="E99" i="11"/>
  <c r="C99" i="11"/>
  <c r="F98" i="11"/>
  <c r="E98" i="11"/>
  <c r="C98" i="11"/>
  <c r="F97" i="11"/>
  <c r="E97" i="11"/>
  <c r="C97" i="11"/>
  <c r="F96" i="11"/>
  <c r="E96" i="11"/>
  <c r="C96" i="11"/>
  <c r="F95" i="11"/>
  <c r="E95" i="11"/>
  <c r="C95" i="11"/>
  <c r="F94" i="11"/>
  <c r="E94" i="11"/>
  <c r="C94" i="11"/>
  <c r="F93" i="11"/>
  <c r="E93" i="11"/>
  <c r="C93" i="11"/>
  <c r="F92" i="11"/>
  <c r="E92" i="11"/>
  <c r="C92" i="11"/>
  <c r="F91" i="11"/>
  <c r="E91" i="11"/>
  <c r="C91" i="11"/>
  <c r="F90" i="11"/>
  <c r="E90" i="11"/>
  <c r="C90" i="11"/>
  <c r="F89" i="11"/>
  <c r="E89" i="11"/>
  <c r="C89" i="11"/>
  <c r="F88" i="11"/>
  <c r="E88" i="11"/>
  <c r="C88" i="11"/>
  <c r="F87" i="11"/>
  <c r="E87" i="11"/>
  <c r="C87" i="11"/>
  <c r="F86" i="11"/>
  <c r="E86" i="11"/>
  <c r="C86" i="11"/>
  <c r="F85" i="11"/>
  <c r="E85" i="11"/>
  <c r="C85" i="11"/>
  <c r="F84" i="11"/>
  <c r="E84" i="11"/>
  <c r="C84" i="11"/>
  <c r="F83" i="11"/>
  <c r="E83" i="11"/>
  <c r="C83" i="11"/>
  <c r="F82" i="11"/>
  <c r="E82" i="11"/>
  <c r="C82" i="11"/>
  <c r="F81" i="11"/>
  <c r="E81" i="11"/>
  <c r="C81" i="11"/>
  <c r="F80" i="11"/>
  <c r="E80" i="11"/>
  <c r="C80" i="11"/>
  <c r="F79" i="11"/>
  <c r="E79" i="11"/>
  <c r="C79" i="11"/>
  <c r="F78" i="11"/>
  <c r="E78" i="11"/>
  <c r="C78" i="11"/>
  <c r="F77" i="11"/>
  <c r="E77" i="11"/>
  <c r="C77" i="11"/>
  <c r="F76" i="11"/>
  <c r="E76" i="11"/>
  <c r="C76" i="11"/>
  <c r="F75" i="11"/>
  <c r="E75" i="11"/>
  <c r="C75" i="11"/>
  <c r="F74" i="11"/>
  <c r="E74" i="11"/>
  <c r="C74" i="11"/>
  <c r="F73" i="11"/>
  <c r="E73" i="11"/>
  <c r="C73" i="11"/>
  <c r="F72" i="11"/>
  <c r="E72" i="11"/>
  <c r="C72" i="11"/>
  <c r="F71" i="11"/>
  <c r="E71" i="11"/>
  <c r="C71" i="11"/>
  <c r="F70" i="11"/>
  <c r="E70" i="11"/>
  <c r="C70" i="11"/>
  <c r="F69" i="11"/>
  <c r="E69" i="11"/>
  <c r="C69" i="11"/>
  <c r="F68" i="11"/>
  <c r="E68" i="11"/>
  <c r="C68" i="11"/>
  <c r="F67" i="11"/>
  <c r="E67" i="11"/>
  <c r="C67" i="11"/>
  <c r="F66" i="11"/>
  <c r="E66" i="11"/>
  <c r="C66" i="11"/>
  <c r="F65" i="11"/>
  <c r="E65" i="11"/>
  <c r="C65" i="11"/>
  <c r="F64" i="11"/>
  <c r="E64" i="11"/>
  <c r="C64" i="11"/>
  <c r="F63" i="11"/>
  <c r="E63" i="11"/>
  <c r="C63" i="11"/>
  <c r="F62" i="11"/>
  <c r="E62" i="11"/>
  <c r="C62" i="11"/>
  <c r="F61" i="11"/>
  <c r="E61" i="11"/>
  <c r="C61" i="11"/>
  <c r="F60" i="11"/>
  <c r="E60" i="11"/>
  <c r="C60" i="11"/>
  <c r="F59" i="11"/>
  <c r="E59" i="11"/>
  <c r="C59" i="11"/>
  <c r="F58" i="11"/>
  <c r="E58" i="11"/>
  <c r="C58" i="11"/>
  <c r="F57" i="11"/>
  <c r="E57" i="11"/>
  <c r="C57" i="11"/>
  <c r="F56" i="11"/>
  <c r="E56" i="11"/>
  <c r="C56" i="11"/>
  <c r="F55" i="11"/>
  <c r="E55" i="11"/>
  <c r="C55" i="11"/>
  <c r="F54" i="11"/>
  <c r="E54" i="11"/>
  <c r="C54" i="11"/>
  <c r="F53" i="11"/>
  <c r="E53" i="11"/>
  <c r="C53" i="11"/>
  <c r="F52" i="11"/>
  <c r="E52" i="11"/>
  <c r="C52" i="11"/>
  <c r="F51" i="11"/>
  <c r="E51" i="11"/>
  <c r="C51" i="11"/>
  <c r="F50" i="11"/>
  <c r="E50" i="11"/>
  <c r="C50" i="11"/>
  <c r="F49" i="11"/>
  <c r="E49" i="11"/>
  <c r="C49" i="11"/>
  <c r="F48" i="11"/>
  <c r="E48" i="11"/>
  <c r="C48" i="11"/>
  <c r="F47" i="11"/>
  <c r="E47" i="11"/>
  <c r="C47" i="11"/>
  <c r="F46" i="11"/>
  <c r="E46" i="11"/>
  <c r="C46" i="11"/>
  <c r="F45" i="11"/>
  <c r="E45" i="11"/>
  <c r="C45" i="11"/>
  <c r="F44" i="11"/>
  <c r="E44" i="11"/>
  <c r="C44" i="11"/>
  <c r="F43" i="11"/>
  <c r="E43" i="11"/>
  <c r="C43" i="11"/>
  <c r="F42" i="11"/>
  <c r="E42" i="11"/>
  <c r="C42" i="11"/>
  <c r="F41" i="11"/>
  <c r="E41" i="11"/>
  <c r="C41" i="11"/>
  <c r="F40" i="11"/>
  <c r="E40" i="11"/>
  <c r="C40" i="11"/>
  <c r="F39" i="11"/>
  <c r="E39" i="11"/>
  <c r="C39" i="11"/>
  <c r="F38" i="11"/>
  <c r="E38" i="11"/>
  <c r="C38" i="11"/>
  <c r="F37" i="11"/>
  <c r="E37" i="11"/>
  <c r="C37" i="11"/>
  <c r="F36" i="11"/>
  <c r="E36" i="11"/>
  <c r="C36" i="11"/>
  <c r="F35" i="11"/>
  <c r="E35" i="11"/>
  <c r="C35" i="11"/>
  <c r="F34" i="11"/>
  <c r="E34" i="11"/>
  <c r="C34" i="11"/>
  <c r="F33" i="11"/>
  <c r="E33" i="11"/>
  <c r="C33" i="11"/>
  <c r="F32" i="11"/>
  <c r="E32" i="11"/>
  <c r="C32" i="11"/>
  <c r="F31" i="11"/>
  <c r="E31" i="11"/>
  <c r="C31" i="11"/>
  <c r="F30" i="11"/>
  <c r="E30" i="11"/>
  <c r="C30" i="11"/>
  <c r="F29" i="11"/>
  <c r="E29" i="11"/>
  <c r="C29" i="11"/>
  <c r="F28" i="11"/>
  <c r="E28" i="11"/>
  <c r="C28" i="11"/>
  <c r="F27" i="11"/>
  <c r="E27" i="11"/>
  <c r="C27" i="11"/>
  <c r="F26" i="11"/>
  <c r="E26" i="11"/>
  <c r="C26" i="11"/>
  <c r="F25" i="11"/>
  <c r="E25" i="11"/>
  <c r="C25" i="11"/>
  <c r="F24" i="11"/>
  <c r="E24" i="11"/>
  <c r="C24" i="11"/>
  <c r="F23" i="11"/>
  <c r="E23" i="11"/>
  <c r="C23" i="11"/>
  <c r="F22" i="11"/>
  <c r="E22" i="11"/>
  <c r="C22" i="11"/>
  <c r="F21" i="11"/>
  <c r="E21" i="11"/>
  <c r="C21" i="11"/>
  <c r="F20" i="11"/>
  <c r="E20" i="11"/>
  <c r="C20" i="11"/>
  <c r="F19" i="11"/>
  <c r="E19" i="11"/>
  <c r="C19" i="11"/>
  <c r="F18" i="11"/>
  <c r="E18" i="11"/>
  <c r="C18" i="11"/>
  <c r="C17" i="11"/>
  <c r="C16" i="11"/>
  <c r="C15" i="11"/>
  <c r="C14" i="11"/>
  <c r="C13" i="11"/>
  <c r="C12" i="11"/>
  <c r="C11" i="11"/>
  <c r="C10" i="11"/>
  <c r="C9" i="11"/>
  <c r="C8" i="11"/>
  <c r="C7" i="11"/>
  <c r="K2" i="11"/>
  <c r="E209" i="10"/>
  <c r="C209" i="10"/>
  <c r="E208" i="10"/>
  <c r="C208" i="10"/>
  <c r="E207" i="10"/>
  <c r="C207" i="10"/>
  <c r="E206" i="10"/>
  <c r="C206" i="10"/>
  <c r="E205" i="10"/>
  <c r="C205" i="10"/>
  <c r="E204" i="10"/>
  <c r="C204" i="10"/>
  <c r="E203" i="10"/>
  <c r="C203" i="10"/>
  <c r="E202" i="10"/>
  <c r="C202" i="10"/>
  <c r="E201" i="10"/>
  <c r="C201" i="10"/>
  <c r="E200" i="10"/>
  <c r="C200" i="10"/>
  <c r="E199" i="10"/>
  <c r="C199" i="10"/>
  <c r="E198" i="10"/>
  <c r="C198" i="10"/>
  <c r="E197" i="10"/>
  <c r="C197" i="10"/>
  <c r="E196" i="10"/>
  <c r="C196" i="10"/>
  <c r="E195" i="10"/>
  <c r="C195" i="10"/>
  <c r="E194" i="10"/>
  <c r="C194" i="10"/>
  <c r="E193" i="10"/>
  <c r="C193" i="10"/>
  <c r="E192" i="10"/>
  <c r="C192" i="10"/>
  <c r="E191" i="10"/>
  <c r="C191" i="10"/>
  <c r="E190" i="10"/>
  <c r="C190" i="10"/>
  <c r="E189" i="10"/>
  <c r="C189" i="10"/>
  <c r="E188" i="10"/>
  <c r="C188" i="10"/>
  <c r="E187" i="10"/>
  <c r="C187" i="10"/>
  <c r="E186" i="10"/>
  <c r="C186" i="10"/>
  <c r="E185" i="10"/>
  <c r="C185" i="10"/>
  <c r="E184" i="10"/>
  <c r="C184" i="10"/>
  <c r="E183" i="10"/>
  <c r="C183" i="10"/>
  <c r="E182" i="10"/>
  <c r="C182" i="10"/>
  <c r="E181" i="10"/>
  <c r="C181" i="10"/>
  <c r="E180" i="10"/>
  <c r="C180" i="10"/>
  <c r="E179" i="10"/>
  <c r="C179" i="10"/>
  <c r="E178" i="10"/>
  <c r="C178" i="10"/>
  <c r="E177" i="10"/>
  <c r="C177" i="10"/>
  <c r="E176" i="10"/>
  <c r="C176" i="10"/>
  <c r="E175" i="10"/>
  <c r="C175" i="10"/>
  <c r="E174" i="10"/>
  <c r="C174" i="10"/>
  <c r="E173" i="10"/>
  <c r="C173" i="10"/>
  <c r="E172" i="10"/>
  <c r="C172" i="10"/>
  <c r="E171" i="10"/>
  <c r="C171" i="10"/>
  <c r="E170" i="10"/>
  <c r="C170" i="10"/>
  <c r="E169" i="10"/>
  <c r="C169" i="10"/>
  <c r="E168" i="10"/>
  <c r="C168" i="10"/>
  <c r="E167" i="10"/>
  <c r="C167" i="10"/>
  <c r="E166" i="10"/>
  <c r="C166" i="10"/>
  <c r="E165" i="10"/>
  <c r="C165" i="10"/>
  <c r="E164" i="10"/>
  <c r="C164" i="10"/>
  <c r="E163" i="10"/>
  <c r="C163" i="10"/>
  <c r="E162" i="10"/>
  <c r="C162" i="10"/>
  <c r="E161" i="10"/>
  <c r="C161" i="10"/>
  <c r="E160" i="10"/>
  <c r="C160" i="10"/>
  <c r="E159" i="10"/>
  <c r="C159" i="10"/>
  <c r="E158" i="10"/>
  <c r="C158" i="10"/>
  <c r="E157" i="10"/>
  <c r="C157" i="10"/>
  <c r="E156" i="10"/>
  <c r="C156" i="10"/>
  <c r="E155" i="10"/>
  <c r="C155" i="10"/>
  <c r="E154" i="10"/>
  <c r="C154" i="10"/>
  <c r="E153" i="10"/>
  <c r="C153" i="10"/>
  <c r="E152" i="10"/>
  <c r="C152" i="10"/>
  <c r="E151" i="10"/>
  <c r="C151" i="10"/>
  <c r="E150" i="10"/>
  <c r="C150" i="10"/>
  <c r="E149" i="10"/>
  <c r="C149" i="10"/>
  <c r="E148" i="10"/>
  <c r="C148" i="10"/>
  <c r="E147" i="10"/>
  <c r="C147" i="10"/>
  <c r="E146" i="10"/>
  <c r="C146" i="10"/>
  <c r="E145" i="10"/>
  <c r="C145" i="10"/>
  <c r="E144" i="10"/>
  <c r="C144" i="10"/>
  <c r="E143" i="10"/>
  <c r="C143" i="10"/>
  <c r="E142" i="10"/>
  <c r="C142" i="10"/>
  <c r="E141" i="10"/>
  <c r="C141" i="10"/>
  <c r="E140" i="10"/>
  <c r="C140" i="10"/>
  <c r="E139" i="10"/>
  <c r="C139" i="10"/>
  <c r="E138" i="10"/>
  <c r="C138" i="10"/>
  <c r="E137" i="10"/>
  <c r="C137" i="10"/>
  <c r="E136" i="10"/>
  <c r="C136" i="10"/>
  <c r="E135" i="10"/>
  <c r="C135" i="10"/>
  <c r="E134" i="10"/>
  <c r="C134" i="10"/>
  <c r="E133" i="10"/>
  <c r="C133" i="10"/>
  <c r="E132" i="10"/>
  <c r="C132" i="10"/>
  <c r="E131" i="10"/>
  <c r="C131" i="10"/>
  <c r="E130" i="10"/>
  <c r="C130" i="10"/>
  <c r="E129" i="10"/>
  <c r="C129" i="10"/>
  <c r="E128" i="10"/>
  <c r="C128" i="10"/>
  <c r="E127" i="10"/>
  <c r="C127" i="10"/>
  <c r="E126" i="10"/>
  <c r="C126" i="10"/>
  <c r="E125" i="10"/>
  <c r="C125" i="10"/>
  <c r="E124" i="10"/>
  <c r="C124" i="10"/>
  <c r="E123" i="10"/>
  <c r="C123" i="10"/>
  <c r="E122" i="10"/>
  <c r="C122" i="10"/>
  <c r="E121" i="10"/>
  <c r="C121" i="10"/>
  <c r="E120" i="10"/>
  <c r="C120" i="10"/>
  <c r="E119" i="10"/>
  <c r="C119" i="10"/>
  <c r="E118" i="10"/>
  <c r="C118" i="10"/>
  <c r="E117" i="10"/>
  <c r="C117" i="10"/>
  <c r="E116" i="10"/>
  <c r="C116" i="10"/>
  <c r="E115" i="10"/>
  <c r="C115" i="10"/>
  <c r="E114" i="10"/>
  <c r="C114" i="10"/>
  <c r="E113" i="10"/>
  <c r="C113" i="10"/>
  <c r="E112" i="10"/>
  <c r="C112" i="10"/>
  <c r="E111" i="10"/>
  <c r="C111" i="10"/>
  <c r="E110" i="10"/>
  <c r="C110" i="10"/>
  <c r="E109" i="10"/>
  <c r="C109" i="10"/>
  <c r="E108" i="10"/>
  <c r="C108" i="10"/>
  <c r="E107" i="10"/>
  <c r="C107" i="10"/>
  <c r="E106" i="10"/>
  <c r="C106" i="10"/>
  <c r="E105" i="10"/>
  <c r="C105" i="10"/>
  <c r="E104" i="10"/>
  <c r="C104" i="10"/>
  <c r="E103" i="10"/>
  <c r="C103" i="10"/>
  <c r="E102" i="10"/>
  <c r="C102" i="10"/>
  <c r="E101" i="10"/>
  <c r="C101" i="10"/>
  <c r="E100" i="10"/>
  <c r="C100" i="10"/>
  <c r="E99" i="10"/>
  <c r="C99" i="10"/>
  <c r="E98" i="10"/>
  <c r="C98" i="10"/>
  <c r="E97" i="10"/>
  <c r="C97" i="10"/>
  <c r="E96" i="10"/>
  <c r="C96" i="10"/>
  <c r="E95" i="10"/>
  <c r="C95" i="10"/>
  <c r="E94" i="10"/>
  <c r="C94" i="10"/>
  <c r="E93" i="10"/>
  <c r="C93" i="10"/>
  <c r="E92" i="10"/>
  <c r="C92" i="10"/>
  <c r="E91" i="10"/>
  <c r="C91" i="10"/>
  <c r="E90" i="10"/>
  <c r="C90" i="10"/>
  <c r="E89" i="10"/>
  <c r="C89" i="10"/>
  <c r="E88" i="10"/>
  <c r="C88" i="10"/>
  <c r="E87" i="10"/>
  <c r="C87" i="10"/>
  <c r="E86" i="10"/>
  <c r="C86" i="10"/>
  <c r="E85" i="10"/>
  <c r="C85" i="10"/>
  <c r="E84" i="10"/>
  <c r="C84" i="10"/>
  <c r="E83" i="10"/>
  <c r="C83" i="10"/>
  <c r="E82" i="10"/>
  <c r="C82" i="10"/>
  <c r="E81" i="10"/>
  <c r="C81" i="10"/>
  <c r="E80" i="10"/>
  <c r="C80" i="10"/>
  <c r="E79" i="10"/>
  <c r="C79" i="10"/>
  <c r="E78" i="10"/>
  <c r="C78" i="10"/>
  <c r="E77" i="10"/>
  <c r="C77" i="10"/>
  <c r="E76" i="10"/>
  <c r="C76" i="10"/>
  <c r="E75" i="10"/>
  <c r="C75" i="10"/>
  <c r="E74" i="10"/>
  <c r="C74" i="10"/>
  <c r="E73" i="10"/>
  <c r="C73" i="10"/>
  <c r="E72" i="10"/>
  <c r="C72" i="10"/>
  <c r="E71" i="10"/>
  <c r="C71" i="10"/>
  <c r="E70" i="10"/>
  <c r="C70" i="10"/>
  <c r="E69" i="10"/>
  <c r="C69" i="10"/>
  <c r="E68" i="10"/>
  <c r="C68" i="10"/>
  <c r="E67" i="10"/>
  <c r="C67" i="10"/>
  <c r="E66" i="10"/>
  <c r="C66" i="10"/>
  <c r="E65" i="10"/>
  <c r="C65" i="10"/>
  <c r="E64" i="10"/>
  <c r="C64" i="10"/>
  <c r="E63" i="10"/>
  <c r="C63" i="10"/>
  <c r="E62" i="10"/>
  <c r="C62" i="10"/>
  <c r="E61" i="10"/>
  <c r="C61" i="10"/>
  <c r="E60" i="10"/>
  <c r="C60" i="10"/>
  <c r="E59" i="10"/>
  <c r="C59" i="10"/>
  <c r="E58" i="10"/>
  <c r="C58" i="10"/>
  <c r="E57" i="10"/>
  <c r="C57" i="10"/>
  <c r="E56" i="10"/>
  <c r="C56" i="10"/>
  <c r="E55" i="10"/>
  <c r="C55" i="10"/>
  <c r="E54" i="10"/>
  <c r="C54" i="10"/>
  <c r="E53" i="10"/>
  <c r="C53" i="10"/>
  <c r="E52" i="10"/>
  <c r="C52" i="10"/>
  <c r="E51" i="10"/>
  <c r="C51" i="10"/>
  <c r="E50" i="10"/>
  <c r="C50" i="10"/>
  <c r="E49" i="10"/>
  <c r="C49" i="10"/>
  <c r="E48" i="10"/>
  <c r="C48" i="10"/>
  <c r="E47"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C8" i="10"/>
  <c r="E7" i="10"/>
  <c r="C7" i="10"/>
  <c r="K2" i="10"/>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AB93" i="7"/>
  <c r="AB9" i="7" s="1"/>
  <c r="AA93" i="7"/>
  <c r="AA9" i="7" s="1"/>
  <c r="Z93" i="7"/>
  <c r="P37" i="1" s="1"/>
  <c r="Y93" i="7"/>
  <c r="X93" i="7"/>
  <c r="W93" i="7"/>
  <c r="V93" i="7"/>
  <c r="U93" i="7"/>
  <c r="T93" i="7"/>
  <c r="T9" i="7" s="1"/>
  <c r="S93" i="7"/>
  <c r="S9" i="7" s="1"/>
  <c r="R93" i="7"/>
  <c r="P29" i="1" s="1"/>
  <c r="Q93" i="7"/>
  <c r="P93" i="7"/>
  <c r="O93" i="7"/>
  <c r="N93" i="7"/>
  <c r="M93" i="7"/>
  <c r="L93" i="7"/>
  <c r="L9" i="7" s="1"/>
  <c r="K93" i="7"/>
  <c r="K9" i="7" s="1"/>
  <c r="J93" i="7"/>
  <c r="P21" i="1" s="1"/>
  <c r="I93" i="7"/>
  <c r="H93" i="7"/>
  <c r="G93" i="7"/>
  <c r="F93" i="7"/>
  <c r="E93" i="7"/>
  <c r="D93" i="7"/>
  <c r="D9" i="7" s="1"/>
  <c r="C93" i="7"/>
  <c r="C9" i="7" s="1"/>
  <c r="AB92" i="7"/>
  <c r="AA92" i="7"/>
  <c r="Z92" i="7"/>
  <c r="Y92" i="7"/>
  <c r="X92" i="7"/>
  <c r="W92" i="7"/>
  <c r="V92" i="7"/>
  <c r="V8" i="7" s="1"/>
  <c r="V10" i="7" s="1"/>
  <c r="U92" i="7"/>
  <c r="T92" i="7"/>
  <c r="S92" i="7"/>
  <c r="R92" i="7"/>
  <c r="Q92" i="7"/>
  <c r="P92" i="7"/>
  <c r="O92" i="7"/>
  <c r="N92" i="7"/>
  <c r="N8" i="7" s="1"/>
  <c r="N10" i="7" s="1"/>
  <c r="M92" i="7"/>
  <c r="L92" i="7"/>
  <c r="K92" i="7"/>
  <c r="J92" i="7"/>
  <c r="I92" i="7"/>
  <c r="H92" i="7"/>
  <c r="G92" i="7"/>
  <c r="F92" i="7"/>
  <c r="F8" i="7" s="1"/>
  <c r="F10" i="7" s="1"/>
  <c r="E92" i="7"/>
  <c r="D92" i="7"/>
  <c r="C92" i="7"/>
  <c r="AB91" i="7"/>
  <c r="AA91" i="7"/>
  <c r="Z91" i="7"/>
  <c r="Y91" i="7"/>
  <c r="X91" i="7"/>
  <c r="W91" i="7"/>
  <c r="V91" i="7"/>
  <c r="U91" i="7"/>
  <c r="T91" i="7"/>
  <c r="S91" i="7"/>
  <c r="R91" i="7"/>
  <c r="Q91" i="7"/>
  <c r="P91" i="7"/>
  <c r="O91" i="7"/>
  <c r="N91" i="7"/>
  <c r="M91" i="7"/>
  <c r="L91" i="7"/>
  <c r="K91" i="7"/>
  <c r="J91" i="7"/>
  <c r="I91" i="7"/>
  <c r="H91" i="7"/>
  <c r="G91" i="7"/>
  <c r="F91" i="7"/>
  <c r="E91" i="7"/>
  <c r="D91" i="7"/>
  <c r="C91" i="7"/>
  <c r="AB90" i="7"/>
  <c r="AA90" i="7"/>
  <c r="Z90" i="7"/>
  <c r="Y90" i="7"/>
  <c r="X90" i="7"/>
  <c r="W90" i="7"/>
  <c r="V90" i="7"/>
  <c r="U90" i="7"/>
  <c r="T90" i="7"/>
  <c r="S90" i="7"/>
  <c r="R90" i="7"/>
  <c r="Q90" i="7"/>
  <c r="P90" i="7"/>
  <c r="O90" i="7"/>
  <c r="N90" i="7"/>
  <c r="M90" i="7"/>
  <c r="L90" i="7"/>
  <c r="K90" i="7"/>
  <c r="J90" i="7"/>
  <c r="I90" i="7"/>
  <c r="H90" i="7"/>
  <c r="G90" i="7"/>
  <c r="F90" i="7"/>
  <c r="E90" i="7"/>
  <c r="D90" i="7"/>
  <c r="C90" i="7"/>
  <c r="AB89" i="7"/>
  <c r="AA89" i="7"/>
  <c r="Z89" i="7"/>
  <c r="Y89" i="7"/>
  <c r="X89" i="7"/>
  <c r="W89" i="7"/>
  <c r="V89" i="7"/>
  <c r="U89" i="7"/>
  <c r="T89" i="7"/>
  <c r="S89" i="7"/>
  <c r="R89" i="7"/>
  <c r="Q89" i="7"/>
  <c r="P89" i="7"/>
  <c r="O89" i="7"/>
  <c r="N89" i="7"/>
  <c r="M89" i="7"/>
  <c r="L89" i="7"/>
  <c r="K89" i="7"/>
  <c r="J89" i="7"/>
  <c r="I89" i="7"/>
  <c r="H89" i="7"/>
  <c r="G89" i="7"/>
  <c r="F89" i="7"/>
  <c r="E89" i="7"/>
  <c r="D89" i="7"/>
  <c r="C89" i="7"/>
  <c r="AB88" i="7"/>
  <c r="AA88" i="7"/>
  <c r="Z88" i="7"/>
  <c r="Y88" i="7"/>
  <c r="X88" i="7"/>
  <c r="W88" i="7"/>
  <c r="V88" i="7"/>
  <c r="U88" i="7"/>
  <c r="T88" i="7"/>
  <c r="S88" i="7"/>
  <c r="R88" i="7"/>
  <c r="Q88" i="7"/>
  <c r="P88" i="7"/>
  <c r="O88" i="7"/>
  <c r="N88" i="7"/>
  <c r="M88" i="7"/>
  <c r="L88" i="7"/>
  <c r="K88" i="7"/>
  <c r="J88" i="7"/>
  <c r="I88" i="7"/>
  <c r="H88" i="7"/>
  <c r="G88" i="7"/>
  <c r="F88" i="7"/>
  <c r="E88" i="7"/>
  <c r="D88" i="7"/>
  <c r="C88" i="7"/>
  <c r="AB87" i="7"/>
  <c r="AA87" i="7"/>
  <c r="Z87" i="7"/>
  <c r="Y87" i="7"/>
  <c r="X87" i="7"/>
  <c r="W87" i="7"/>
  <c r="V87" i="7"/>
  <c r="U87" i="7"/>
  <c r="T87" i="7"/>
  <c r="S87" i="7"/>
  <c r="R87" i="7"/>
  <c r="Q87" i="7"/>
  <c r="P87" i="7"/>
  <c r="O87" i="7"/>
  <c r="N87" i="7"/>
  <c r="M87" i="7"/>
  <c r="L87" i="7"/>
  <c r="K87" i="7"/>
  <c r="J87" i="7"/>
  <c r="I87" i="7"/>
  <c r="H87" i="7"/>
  <c r="G87" i="7"/>
  <c r="F87" i="7"/>
  <c r="E87" i="7"/>
  <c r="D87" i="7"/>
  <c r="C87" i="7"/>
  <c r="AB86" i="7"/>
  <c r="AA86" i="7"/>
  <c r="Z86" i="7"/>
  <c r="Y86" i="7"/>
  <c r="X86" i="7"/>
  <c r="W86" i="7"/>
  <c r="V86" i="7"/>
  <c r="U86" i="7"/>
  <c r="T86" i="7"/>
  <c r="S86" i="7"/>
  <c r="R86" i="7"/>
  <c r="Q86" i="7"/>
  <c r="P86" i="7"/>
  <c r="O86" i="7"/>
  <c r="N86" i="7"/>
  <c r="M86" i="7"/>
  <c r="L86" i="7"/>
  <c r="K86" i="7"/>
  <c r="J86" i="7"/>
  <c r="I86" i="7"/>
  <c r="H86" i="7"/>
  <c r="G86" i="7"/>
  <c r="F86" i="7"/>
  <c r="E86" i="7"/>
  <c r="D86" i="7"/>
  <c r="C86" i="7"/>
  <c r="AB85" i="7"/>
  <c r="AA85" i="7"/>
  <c r="Z85" i="7"/>
  <c r="Y85" i="7"/>
  <c r="X85" i="7"/>
  <c r="W85" i="7"/>
  <c r="V85" i="7"/>
  <c r="U85" i="7"/>
  <c r="T85" i="7"/>
  <c r="S85" i="7"/>
  <c r="R85" i="7"/>
  <c r="Q85" i="7"/>
  <c r="P85" i="7"/>
  <c r="O85" i="7"/>
  <c r="N85" i="7"/>
  <c r="M85" i="7"/>
  <c r="L85" i="7"/>
  <c r="K85" i="7"/>
  <c r="J85" i="7"/>
  <c r="I85" i="7"/>
  <c r="H85" i="7"/>
  <c r="G85" i="7"/>
  <c r="F85" i="7"/>
  <c r="E85" i="7"/>
  <c r="D85" i="7"/>
  <c r="C85" i="7"/>
  <c r="AB84" i="7"/>
  <c r="AA84" i="7"/>
  <c r="Z84" i="7"/>
  <c r="Y84" i="7"/>
  <c r="X84" i="7"/>
  <c r="W84" i="7"/>
  <c r="V84" i="7"/>
  <c r="U84" i="7"/>
  <c r="T84" i="7"/>
  <c r="S84" i="7"/>
  <c r="R84" i="7"/>
  <c r="Q84" i="7"/>
  <c r="P84" i="7"/>
  <c r="O84" i="7"/>
  <c r="N84" i="7"/>
  <c r="M84" i="7"/>
  <c r="L84" i="7"/>
  <c r="K84" i="7"/>
  <c r="J84" i="7"/>
  <c r="I84" i="7"/>
  <c r="H84" i="7"/>
  <c r="G84" i="7"/>
  <c r="F84" i="7"/>
  <c r="E84" i="7"/>
  <c r="D84" i="7"/>
  <c r="C84" i="7"/>
  <c r="AB83" i="7"/>
  <c r="AA83" i="7"/>
  <c r="Z83" i="7"/>
  <c r="Y83" i="7"/>
  <c r="X83" i="7"/>
  <c r="W83" i="7"/>
  <c r="V83" i="7"/>
  <c r="U83" i="7"/>
  <c r="T83" i="7"/>
  <c r="S83" i="7"/>
  <c r="R83" i="7"/>
  <c r="Q83" i="7"/>
  <c r="P83" i="7"/>
  <c r="O83" i="7"/>
  <c r="N83" i="7"/>
  <c r="M83" i="7"/>
  <c r="L83" i="7"/>
  <c r="K83" i="7"/>
  <c r="J83" i="7"/>
  <c r="I83" i="7"/>
  <c r="H83" i="7"/>
  <c r="G83" i="7"/>
  <c r="F83" i="7"/>
  <c r="E83" i="7"/>
  <c r="D83" i="7"/>
  <c r="C83" i="7"/>
  <c r="AB82" i="7"/>
  <c r="AA82" i="7"/>
  <c r="Z82" i="7"/>
  <c r="Y82" i="7"/>
  <c r="X82" i="7"/>
  <c r="W82" i="7"/>
  <c r="V82" i="7"/>
  <c r="U82" i="7"/>
  <c r="T82" i="7"/>
  <c r="S82" i="7"/>
  <c r="R82" i="7"/>
  <c r="Q82" i="7"/>
  <c r="P82" i="7"/>
  <c r="O82" i="7"/>
  <c r="N82" i="7"/>
  <c r="M82" i="7"/>
  <c r="L82" i="7"/>
  <c r="K82" i="7"/>
  <c r="J82" i="7"/>
  <c r="I82" i="7"/>
  <c r="H82" i="7"/>
  <c r="G82" i="7"/>
  <c r="F82" i="7"/>
  <c r="E82" i="7"/>
  <c r="D82" i="7"/>
  <c r="C82" i="7"/>
  <c r="AB81" i="7"/>
  <c r="AA81" i="7"/>
  <c r="Z81" i="7"/>
  <c r="Y81" i="7"/>
  <c r="X81" i="7"/>
  <c r="W81" i="7"/>
  <c r="V81" i="7"/>
  <c r="U81" i="7"/>
  <c r="T81" i="7"/>
  <c r="S81" i="7"/>
  <c r="R81" i="7"/>
  <c r="Q81" i="7"/>
  <c r="P81" i="7"/>
  <c r="O81" i="7"/>
  <c r="N81" i="7"/>
  <c r="M81" i="7"/>
  <c r="L81" i="7"/>
  <c r="K81" i="7"/>
  <c r="J81" i="7"/>
  <c r="I81" i="7"/>
  <c r="H81" i="7"/>
  <c r="G81" i="7"/>
  <c r="F81" i="7"/>
  <c r="E81" i="7"/>
  <c r="D81" i="7"/>
  <c r="C81" i="7"/>
  <c r="AB80" i="7"/>
  <c r="AA80" i="7"/>
  <c r="Z80" i="7"/>
  <c r="Y80" i="7"/>
  <c r="X80" i="7"/>
  <c r="W80" i="7"/>
  <c r="V80" i="7"/>
  <c r="U80" i="7"/>
  <c r="T80" i="7"/>
  <c r="S80" i="7"/>
  <c r="R80" i="7"/>
  <c r="Q80" i="7"/>
  <c r="P80" i="7"/>
  <c r="O80" i="7"/>
  <c r="N80" i="7"/>
  <c r="M80" i="7"/>
  <c r="L80" i="7"/>
  <c r="K80" i="7"/>
  <c r="J80" i="7"/>
  <c r="I80" i="7"/>
  <c r="H80" i="7"/>
  <c r="G80" i="7"/>
  <c r="F80" i="7"/>
  <c r="E80" i="7"/>
  <c r="D80" i="7"/>
  <c r="C80" i="7"/>
  <c r="AB79" i="7"/>
  <c r="AA79" i="7"/>
  <c r="Z79" i="7"/>
  <c r="Y79" i="7"/>
  <c r="X79" i="7"/>
  <c r="W79" i="7"/>
  <c r="V79" i="7"/>
  <c r="U79" i="7"/>
  <c r="T79" i="7"/>
  <c r="S79" i="7"/>
  <c r="R79" i="7"/>
  <c r="Q79" i="7"/>
  <c r="P79" i="7"/>
  <c r="O79" i="7"/>
  <c r="N79" i="7"/>
  <c r="M79" i="7"/>
  <c r="L79" i="7"/>
  <c r="K79" i="7"/>
  <c r="J79" i="7"/>
  <c r="I79" i="7"/>
  <c r="H79" i="7"/>
  <c r="G79" i="7"/>
  <c r="F79" i="7"/>
  <c r="E79" i="7"/>
  <c r="D79" i="7"/>
  <c r="C79" i="7"/>
  <c r="AB78" i="7"/>
  <c r="AA78" i="7"/>
  <c r="Z78" i="7"/>
  <c r="Y78" i="7"/>
  <c r="X78" i="7"/>
  <c r="W78" i="7"/>
  <c r="V78" i="7"/>
  <c r="U78" i="7"/>
  <c r="T78" i="7"/>
  <c r="S78" i="7"/>
  <c r="R78" i="7"/>
  <c r="Q78" i="7"/>
  <c r="P78" i="7"/>
  <c r="O78" i="7"/>
  <c r="N78" i="7"/>
  <c r="M78" i="7"/>
  <c r="L78" i="7"/>
  <c r="K78" i="7"/>
  <c r="J78" i="7"/>
  <c r="I78" i="7"/>
  <c r="H78" i="7"/>
  <c r="G78" i="7"/>
  <c r="F78" i="7"/>
  <c r="E78" i="7"/>
  <c r="D78" i="7"/>
  <c r="C78" i="7"/>
  <c r="AB77" i="7"/>
  <c r="AA77" i="7"/>
  <c r="Z77" i="7"/>
  <c r="Y77" i="7"/>
  <c r="X77" i="7"/>
  <c r="W77" i="7"/>
  <c r="V77" i="7"/>
  <c r="U77" i="7"/>
  <c r="T77" i="7"/>
  <c r="S77" i="7"/>
  <c r="R77" i="7"/>
  <c r="Q77" i="7"/>
  <c r="P77" i="7"/>
  <c r="O77" i="7"/>
  <c r="N77" i="7"/>
  <c r="M77" i="7"/>
  <c r="L77" i="7"/>
  <c r="K77" i="7"/>
  <c r="J77" i="7"/>
  <c r="I77" i="7"/>
  <c r="H77" i="7"/>
  <c r="G77" i="7"/>
  <c r="F77" i="7"/>
  <c r="E77" i="7"/>
  <c r="D77" i="7"/>
  <c r="C77" i="7"/>
  <c r="AB76" i="7"/>
  <c r="AA76" i="7"/>
  <c r="Z76" i="7"/>
  <c r="Y76" i="7"/>
  <c r="X76" i="7"/>
  <c r="W76" i="7"/>
  <c r="V76" i="7"/>
  <c r="U76" i="7"/>
  <c r="T76" i="7"/>
  <c r="S76" i="7"/>
  <c r="R76" i="7"/>
  <c r="Q76" i="7"/>
  <c r="P76" i="7"/>
  <c r="O76" i="7"/>
  <c r="N76" i="7"/>
  <c r="M76" i="7"/>
  <c r="L76" i="7"/>
  <c r="K76" i="7"/>
  <c r="J76" i="7"/>
  <c r="I76" i="7"/>
  <c r="H76" i="7"/>
  <c r="G76" i="7"/>
  <c r="F76" i="7"/>
  <c r="E76" i="7"/>
  <c r="D76" i="7"/>
  <c r="C76" i="7"/>
  <c r="AB75" i="7"/>
  <c r="AA75" i="7"/>
  <c r="Z75" i="7"/>
  <c r="Y75" i="7"/>
  <c r="X75" i="7"/>
  <c r="W75" i="7"/>
  <c r="V75" i="7"/>
  <c r="U75" i="7"/>
  <c r="T75" i="7"/>
  <c r="S75" i="7"/>
  <c r="R75" i="7"/>
  <c r="Q75" i="7"/>
  <c r="P75" i="7"/>
  <c r="O75" i="7"/>
  <c r="N75" i="7"/>
  <c r="M75" i="7"/>
  <c r="L75" i="7"/>
  <c r="K75" i="7"/>
  <c r="J75" i="7"/>
  <c r="I75" i="7"/>
  <c r="H75" i="7"/>
  <c r="G75" i="7"/>
  <c r="F75" i="7"/>
  <c r="E75" i="7"/>
  <c r="D75" i="7"/>
  <c r="C75" i="7"/>
  <c r="AB74" i="7"/>
  <c r="AA74" i="7"/>
  <c r="Z74" i="7"/>
  <c r="Y74" i="7"/>
  <c r="X74" i="7"/>
  <c r="W74" i="7"/>
  <c r="V74" i="7"/>
  <c r="U74" i="7"/>
  <c r="T74" i="7"/>
  <c r="S74" i="7"/>
  <c r="R74" i="7"/>
  <c r="Q74" i="7"/>
  <c r="P74" i="7"/>
  <c r="O74" i="7"/>
  <c r="N74" i="7"/>
  <c r="M74" i="7"/>
  <c r="L74" i="7"/>
  <c r="K74" i="7"/>
  <c r="J74" i="7"/>
  <c r="I74" i="7"/>
  <c r="H74" i="7"/>
  <c r="G74" i="7"/>
  <c r="F74" i="7"/>
  <c r="E74" i="7"/>
  <c r="D74" i="7"/>
  <c r="C74" i="7"/>
  <c r="AB73" i="7"/>
  <c r="AA73" i="7"/>
  <c r="Z73" i="7"/>
  <c r="Y73" i="7"/>
  <c r="X73" i="7"/>
  <c r="W73" i="7"/>
  <c r="V73" i="7"/>
  <c r="U73" i="7"/>
  <c r="T73" i="7"/>
  <c r="S73" i="7"/>
  <c r="R73" i="7"/>
  <c r="Q73" i="7"/>
  <c r="P73" i="7"/>
  <c r="O73" i="7"/>
  <c r="N73" i="7"/>
  <c r="M73" i="7"/>
  <c r="L73" i="7"/>
  <c r="K73" i="7"/>
  <c r="J73" i="7"/>
  <c r="I73" i="7"/>
  <c r="H73" i="7"/>
  <c r="G73" i="7"/>
  <c r="F73" i="7"/>
  <c r="E73" i="7"/>
  <c r="D73" i="7"/>
  <c r="C73" i="7"/>
  <c r="AB72" i="7"/>
  <c r="AA72" i="7"/>
  <c r="Z72" i="7"/>
  <c r="Y72" i="7"/>
  <c r="X72" i="7"/>
  <c r="W72" i="7"/>
  <c r="V72" i="7"/>
  <c r="U72" i="7"/>
  <c r="T72" i="7"/>
  <c r="S72" i="7"/>
  <c r="R72" i="7"/>
  <c r="Q72" i="7"/>
  <c r="P72" i="7"/>
  <c r="O72" i="7"/>
  <c r="N72" i="7"/>
  <c r="M72" i="7"/>
  <c r="L72" i="7"/>
  <c r="K72" i="7"/>
  <c r="J72" i="7"/>
  <c r="I72" i="7"/>
  <c r="H72" i="7"/>
  <c r="G72" i="7"/>
  <c r="F72" i="7"/>
  <c r="E72" i="7"/>
  <c r="D72" i="7"/>
  <c r="C72" i="7"/>
  <c r="AB71" i="7"/>
  <c r="AA71" i="7"/>
  <c r="Z71" i="7"/>
  <c r="Y71" i="7"/>
  <c r="X71" i="7"/>
  <c r="W71" i="7"/>
  <c r="V71" i="7"/>
  <c r="U71" i="7"/>
  <c r="T71" i="7"/>
  <c r="S71" i="7"/>
  <c r="R71" i="7"/>
  <c r="Q71" i="7"/>
  <c r="P71" i="7"/>
  <c r="O71" i="7"/>
  <c r="N71" i="7"/>
  <c r="M71" i="7"/>
  <c r="L71" i="7"/>
  <c r="K71" i="7"/>
  <c r="J71" i="7"/>
  <c r="I71" i="7"/>
  <c r="H71" i="7"/>
  <c r="G71" i="7"/>
  <c r="F71" i="7"/>
  <c r="E71" i="7"/>
  <c r="D71" i="7"/>
  <c r="C71" i="7"/>
  <c r="AB70" i="7"/>
  <c r="AA70" i="7"/>
  <c r="Z70" i="7"/>
  <c r="Y70" i="7"/>
  <c r="X70" i="7"/>
  <c r="W70" i="7"/>
  <c r="V70" i="7"/>
  <c r="U70" i="7"/>
  <c r="T70" i="7"/>
  <c r="S70" i="7"/>
  <c r="R70" i="7"/>
  <c r="Q70" i="7"/>
  <c r="P70" i="7"/>
  <c r="O70" i="7"/>
  <c r="N70" i="7"/>
  <c r="M70" i="7"/>
  <c r="L70" i="7"/>
  <c r="K70" i="7"/>
  <c r="J70" i="7"/>
  <c r="I70" i="7"/>
  <c r="H70" i="7"/>
  <c r="G70" i="7"/>
  <c r="F70" i="7"/>
  <c r="E70" i="7"/>
  <c r="D70" i="7"/>
  <c r="C70" i="7"/>
  <c r="AB69" i="7"/>
  <c r="AA69" i="7"/>
  <c r="Z69" i="7"/>
  <c r="Y69" i="7"/>
  <c r="X69" i="7"/>
  <c r="W69" i="7"/>
  <c r="V69" i="7"/>
  <c r="U69" i="7"/>
  <c r="T69" i="7"/>
  <c r="S69" i="7"/>
  <c r="R69" i="7"/>
  <c r="Q69" i="7"/>
  <c r="P69" i="7"/>
  <c r="O69" i="7"/>
  <c r="N69" i="7"/>
  <c r="M69" i="7"/>
  <c r="L69" i="7"/>
  <c r="K69" i="7"/>
  <c r="J69" i="7"/>
  <c r="I69" i="7"/>
  <c r="H69" i="7"/>
  <c r="G69" i="7"/>
  <c r="F69" i="7"/>
  <c r="E69" i="7"/>
  <c r="D69" i="7"/>
  <c r="C69" i="7"/>
  <c r="AB68" i="7"/>
  <c r="AA68" i="7"/>
  <c r="Z68" i="7"/>
  <c r="Y68" i="7"/>
  <c r="X68" i="7"/>
  <c r="W68" i="7"/>
  <c r="V68" i="7"/>
  <c r="U68" i="7"/>
  <c r="T68" i="7"/>
  <c r="S68" i="7"/>
  <c r="R68" i="7"/>
  <c r="Q68" i="7"/>
  <c r="P68" i="7"/>
  <c r="O68" i="7"/>
  <c r="N68" i="7"/>
  <c r="M68" i="7"/>
  <c r="L68" i="7"/>
  <c r="K68" i="7"/>
  <c r="J68" i="7"/>
  <c r="I68" i="7"/>
  <c r="H68" i="7"/>
  <c r="G68" i="7"/>
  <c r="F68" i="7"/>
  <c r="E68" i="7"/>
  <c r="D68" i="7"/>
  <c r="C68" i="7"/>
  <c r="AB67" i="7"/>
  <c r="AA67" i="7"/>
  <c r="Z67" i="7"/>
  <c r="Y67" i="7"/>
  <c r="X67" i="7"/>
  <c r="W67" i="7"/>
  <c r="V67" i="7"/>
  <c r="U67" i="7"/>
  <c r="T67" i="7"/>
  <c r="S67" i="7"/>
  <c r="R67" i="7"/>
  <c r="Q67" i="7"/>
  <c r="P67" i="7"/>
  <c r="O67" i="7"/>
  <c r="N67" i="7"/>
  <c r="M67" i="7"/>
  <c r="L67" i="7"/>
  <c r="K67" i="7"/>
  <c r="J67" i="7"/>
  <c r="I67" i="7"/>
  <c r="H67" i="7"/>
  <c r="G67" i="7"/>
  <c r="F67" i="7"/>
  <c r="E67" i="7"/>
  <c r="D67" i="7"/>
  <c r="C67" i="7"/>
  <c r="AB66" i="7"/>
  <c r="AA66" i="7"/>
  <c r="Z66" i="7"/>
  <c r="Y66" i="7"/>
  <c r="X66" i="7"/>
  <c r="W66" i="7"/>
  <c r="V66" i="7"/>
  <c r="U66" i="7"/>
  <c r="T66" i="7"/>
  <c r="S66" i="7"/>
  <c r="R66" i="7"/>
  <c r="Q66" i="7"/>
  <c r="P66" i="7"/>
  <c r="O66" i="7"/>
  <c r="N66" i="7"/>
  <c r="M66" i="7"/>
  <c r="L66" i="7"/>
  <c r="K66" i="7"/>
  <c r="J66" i="7"/>
  <c r="I66" i="7"/>
  <c r="H66" i="7"/>
  <c r="G66" i="7"/>
  <c r="F66" i="7"/>
  <c r="E66" i="7"/>
  <c r="D66" i="7"/>
  <c r="C66" i="7"/>
  <c r="AB65" i="7"/>
  <c r="AA65" i="7"/>
  <c r="Z65" i="7"/>
  <c r="Y65" i="7"/>
  <c r="X65" i="7"/>
  <c r="W65" i="7"/>
  <c r="V65" i="7"/>
  <c r="U65" i="7"/>
  <c r="T65" i="7"/>
  <c r="S65" i="7"/>
  <c r="R65" i="7"/>
  <c r="Q65" i="7"/>
  <c r="P65" i="7"/>
  <c r="O65" i="7"/>
  <c r="N65" i="7"/>
  <c r="M65" i="7"/>
  <c r="L65" i="7"/>
  <c r="K65" i="7"/>
  <c r="J65" i="7"/>
  <c r="I65" i="7"/>
  <c r="H65" i="7"/>
  <c r="G65" i="7"/>
  <c r="F65" i="7"/>
  <c r="E65" i="7"/>
  <c r="D65" i="7"/>
  <c r="C65" i="7"/>
  <c r="AB64" i="7"/>
  <c r="AA64" i="7"/>
  <c r="Z64" i="7"/>
  <c r="Y64" i="7"/>
  <c r="X64" i="7"/>
  <c r="W64" i="7"/>
  <c r="V64" i="7"/>
  <c r="U64" i="7"/>
  <c r="T64" i="7"/>
  <c r="S64" i="7"/>
  <c r="R64" i="7"/>
  <c r="Q64" i="7"/>
  <c r="P64" i="7"/>
  <c r="O64" i="7"/>
  <c r="N64" i="7"/>
  <c r="M64" i="7"/>
  <c r="L64" i="7"/>
  <c r="K64" i="7"/>
  <c r="J64" i="7"/>
  <c r="I64" i="7"/>
  <c r="H64" i="7"/>
  <c r="G64" i="7"/>
  <c r="F64" i="7"/>
  <c r="E64" i="7"/>
  <c r="D64" i="7"/>
  <c r="C64" i="7"/>
  <c r="AB63" i="7"/>
  <c r="AA63" i="7"/>
  <c r="Z63" i="7"/>
  <c r="Y63" i="7"/>
  <c r="X63" i="7"/>
  <c r="W63" i="7"/>
  <c r="V63" i="7"/>
  <c r="U63" i="7"/>
  <c r="T63" i="7"/>
  <c r="S63" i="7"/>
  <c r="R63" i="7"/>
  <c r="Q63" i="7"/>
  <c r="P63" i="7"/>
  <c r="O63" i="7"/>
  <c r="N63" i="7"/>
  <c r="M63" i="7"/>
  <c r="L63" i="7"/>
  <c r="K63" i="7"/>
  <c r="J63" i="7"/>
  <c r="I63" i="7"/>
  <c r="H63" i="7"/>
  <c r="G63" i="7"/>
  <c r="F63" i="7"/>
  <c r="E63" i="7"/>
  <c r="D63" i="7"/>
  <c r="C63" i="7"/>
  <c r="AB62" i="7"/>
  <c r="AA62" i="7"/>
  <c r="Z62" i="7"/>
  <c r="Y62" i="7"/>
  <c r="X62" i="7"/>
  <c r="W62" i="7"/>
  <c r="V62" i="7"/>
  <c r="U62" i="7"/>
  <c r="T62" i="7"/>
  <c r="S62" i="7"/>
  <c r="R62" i="7"/>
  <c r="Q62" i="7"/>
  <c r="P62" i="7"/>
  <c r="O62" i="7"/>
  <c r="N62" i="7"/>
  <c r="M62" i="7"/>
  <c r="L62" i="7"/>
  <c r="K62" i="7"/>
  <c r="J62" i="7"/>
  <c r="I62" i="7"/>
  <c r="H62" i="7"/>
  <c r="G62" i="7"/>
  <c r="F62" i="7"/>
  <c r="E62" i="7"/>
  <c r="D62" i="7"/>
  <c r="C62" i="7"/>
  <c r="AB61" i="7"/>
  <c r="AA61" i="7"/>
  <c r="Z61" i="7"/>
  <c r="Y61" i="7"/>
  <c r="X61" i="7"/>
  <c r="W61" i="7"/>
  <c r="V61" i="7"/>
  <c r="U61" i="7"/>
  <c r="T61" i="7"/>
  <c r="S61" i="7"/>
  <c r="R61" i="7"/>
  <c r="Q61" i="7"/>
  <c r="P61" i="7"/>
  <c r="O61" i="7"/>
  <c r="N61" i="7"/>
  <c r="M61" i="7"/>
  <c r="L61" i="7"/>
  <c r="K61" i="7"/>
  <c r="J61" i="7"/>
  <c r="I61" i="7"/>
  <c r="H61" i="7"/>
  <c r="G61" i="7"/>
  <c r="F61" i="7"/>
  <c r="E61" i="7"/>
  <c r="D61" i="7"/>
  <c r="C61" i="7"/>
  <c r="AB60" i="7"/>
  <c r="AA60" i="7"/>
  <c r="Z60" i="7"/>
  <c r="Y60" i="7"/>
  <c r="X60" i="7"/>
  <c r="W60" i="7"/>
  <c r="V60" i="7"/>
  <c r="U60" i="7"/>
  <c r="T60" i="7"/>
  <c r="S60" i="7"/>
  <c r="R60" i="7"/>
  <c r="Q60" i="7"/>
  <c r="P60" i="7"/>
  <c r="O60" i="7"/>
  <c r="N60" i="7"/>
  <c r="M60" i="7"/>
  <c r="L60" i="7"/>
  <c r="K60" i="7"/>
  <c r="J60" i="7"/>
  <c r="I60" i="7"/>
  <c r="H60" i="7"/>
  <c r="G60" i="7"/>
  <c r="F60" i="7"/>
  <c r="E60" i="7"/>
  <c r="D60" i="7"/>
  <c r="C60" i="7"/>
  <c r="AB59" i="7"/>
  <c r="AA59" i="7"/>
  <c r="Z59" i="7"/>
  <c r="Y59" i="7"/>
  <c r="X59" i="7"/>
  <c r="W59" i="7"/>
  <c r="V59" i="7"/>
  <c r="U59" i="7"/>
  <c r="T59" i="7"/>
  <c r="S59" i="7"/>
  <c r="R59" i="7"/>
  <c r="Q59" i="7"/>
  <c r="P59" i="7"/>
  <c r="O59" i="7"/>
  <c r="N59" i="7"/>
  <c r="M59" i="7"/>
  <c r="L59" i="7"/>
  <c r="K59" i="7"/>
  <c r="J59" i="7"/>
  <c r="I59" i="7"/>
  <c r="H59" i="7"/>
  <c r="G59" i="7"/>
  <c r="F59" i="7"/>
  <c r="E59" i="7"/>
  <c r="D59" i="7"/>
  <c r="C59" i="7"/>
  <c r="AB58" i="7"/>
  <c r="AA58" i="7"/>
  <c r="Z58" i="7"/>
  <c r="Y58" i="7"/>
  <c r="X58" i="7"/>
  <c r="W58" i="7"/>
  <c r="V58" i="7"/>
  <c r="U58" i="7"/>
  <c r="T58" i="7"/>
  <c r="S58" i="7"/>
  <c r="R58" i="7"/>
  <c r="Q58" i="7"/>
  <c r="P58" i="7"/>
  <c r="O58" i="7"/>
  <c r="N58" i="7"/>
  <c r="M58" i="7"/>
  <c r="L58" i="7"/>
  <c r="K58" i="7"/>
  <c r="J58" i="7"/>
  <c r="I58" i="7"/>
  <c r="H58" i="7"/>
  <c r="G58" i="7"/>
  <c r="F58" i="7"/>
  <c r="E58" i="7"/>
  <c r="D58" i="7"/>
  <c r="C58" i="7"/>
  <c r="AB57" i="7"/>
  <c r="AA57" i="7"/>
  <c r="Z57" i="7"/>
  <c r="Y57" i="7"/>
  <c r="X57" i="7"/>
  <c r="W57" i="7"/>
  <c r="V57" i="7"/>
  <c r="U57" i="7"/>
  <c r="T57" i="7"/>
  <c r="S57" i="7"/>
  <c r="R57" i="7"/>
  <c r="Q57" i="7"/>
  <c r="P57" i="7"/>
  <c r="O57" i="7"/>
  <c r="N57" i="7"/>
  <c r="M57" i="7"/>
  <c r="L57" i="7"/>
  <c r="K57" i="7"/>
  <c r="J57" i="7"/>
  <c r="I57" i="7"/>
  <c r="H57" i="7"/>
  <c r="G57" i="7"/>
  <c r="F57" i="7"/>
  <c r="E57" i="7"/>
  <c r="D57" i="7"/>
  <c r="C57" i="7"/>
  <c r="AB56" i="7"/>
  <c r="AA56" i="7"/>
  <c r="Z56" i="7"/>
  <c r="Y56" i="7"/>
  <c r="X56" i="7"/>
  <c r="W56" i="7"/>
  <c r="V56" i="7"/>
  <c r="U56" i="7"/>
  <c r="T56" i="7"/>
  <c r="S56" i="7"/>
  <c r="R56" i="7"/>
  <c r="Q56" i="7"/>
  <c r="P56" i="7"/>
  <c r="O56" i="7"/>
  <c r="N56" i="7"/>
  <c r="M56" i="7"/>
  <c r="L56" i="7"/>
  <c r="K56" i="7"/>
  <c r="J56" i="7"/>
  <c r="I56" i="7"/>
  <c r="H56" i="7"/>
  <c r="G56" i="7"/>
  <c r="F56" i="7"/>
  <c r="E56" i="7"/>
  <c r="D56" i="7"/>
  <c r="C56" i="7"/>
  <c r="AB55" i="7"/>
  <c r="AA55" i="7"/>
  <c r="Z55" i="7"/>
  <c r="Y55" i="7"/>
  <c r="X55" i="7"/>
  <c r="W55" i="7"/>
  <c r="V55" i="7"/>
  <c r="U55" i="7"/>
  <c r="T55" i="7"/>
  <c r="S55" i="7"/>
  <c r="R55" i="7"/>
  <c r="Q55" i="7"/>
  <c r="P55" i="7"/>
  <c r="O55" i="7"/>
  <c r="N55" i="7"/>
  <c r="M55" i="7"/>
  <c r="L55" i="7"/>
  <c r="K55" i="7"/>
  <c r="J55" i="7"/>
  <c r="I55" i="7"/>
  <c r="H55" i="7"/>
  <c r="G55" i="7"/>
  <c r="F55" i="7"/>
  <c r="E55" i="7"/>
  <c r="D55" i="7"/>
  <c r="C55" i="7"/>
  <c r="AB54" i="7"/>
  <c r="AA54" i="7"/>
  <c r="Z54" i="7"/>
  <c r="Y54" i="7"/>
  <c r="X54" i="7"/>
  <c r="W54" i="7"/>
  <c r="V54" i="7"/>
  <c r="U54" i="7"/>
  <c r="T54" i="7"/>
  <c r="S54" i="7"/>
  <c r="R54" i="7"/>
  <c r="Q54" i="7"/>
  <c r="P54" i="7"/>
  <c r="O54" i="7"/>
  <c r="N54" i="7"/>
  <c r="M54" i="7"/>
  <c r="L54" i="7"/>
  <c r="K54" i="7"/>
  <c r="J54" i="7"/>
  <c r="I54" i="7"/>
  <c r="H54" i="7"/>
  <c r="G54" i="7"/>
  <c r="F54" i="7"/>
  <c r="E54" i="7"/>
  <c r="D54" i="7"/>
  <c r="C54" i="7"/>
  <c r="AB53" i="7"/>
  <c r="AA53" i="7"/>
  <c r="Z53" i="7"/>
  <c r="Y53" i="7"/>
  <c r="X53" i="7"/>
  <c r="W53" i="7"/>
  <c r="V53" i="7"/>
  <c r="U53" i="7"/>
  <c r="T53" i="7"/>
  <c r="S53" i="7"/>
  <c r="R53" i="7"/>
  <c r="Q53" i="7"/>
  <c r="P53" i="7"/>
  <c r="O53" i="7"/>
  <c r="N53" i="7"/>
  <c r="M53" i="7"/>
  <c r="L53" i="7"/>
  <c r="K53" i="7"/>
  <c r="J53" i="7"/>
  <c r="I53" i="7"/>
  <c r="H53" i="7"/>
  <c r="G53" i="7"/>
  <c r="F53" i="7"/>
  <c r="E53" i="7"/>
  <c r="D53" i="7"/>
  <c r="C53" i="7"/>
  <c r="AB52" i="7"/>
  <c r="AA52" i="7"/>
  <c r="Z52" i="7"/>
  <c r="Y52" i="7"/>
  <c r="X52" i="7"/>
  <c r="W52" i="7"/>
  <c r="V52" i="7"/>
  <c r="U52" i="7"/>
  <c r="T52" i="7"/>
  <c r="S52" i="7"/>
  <c r="R52" i="7"/>
  <c r="Q52" i="7"/>
  <c r="P52" i="7"/>
  <c r="O52" i="7"/>
  <c r="N52" i="7"/>
  <c r="M52" i="7"/>
  <c r="L52" i="7"/>
  <c r="K52" i="7"/>
  <c r="J52" i="7"/>
  <c r="I52" i="7"/>
  <c r="H52" i="7"/>
  <c r="G52" i="7"/>
  <c r="F52" i="7"/>
  <c r="E52" i="7"/>
  <c r="D52" i="7"/>
  <c r="C52" i="7"/>
  <c r="AB51" i="7"/>
  <c r="AA51" i="7"/>
  <c r="Z51" i="7"/>
  <c r="Y51" i="7"/>
  <c r="X51" i="7"/>
  <c r="W51" i="7"/>
  <c r="V51" i="7"/>
  <c r="U51" i="7"/>
  <c r="T51" i="7"/>
  <c r="S51" i="7"/>
  <c r="R51" i="7"/>
  <c r="Q51" i="7"/>
  <c r="P51" i="7"/>
  <c r="O51" i="7"/>
  <c r="N51" i="7"/>
  <c r="M51" i="7"/>
  <c r="L51" i="7"/>
  <c r="K51" i="7"/>
  <c r="J51" i="7"/>
  <c r="I51" i="7"/>
  <c r="H51" i="7"/>
  <c r="G51" i="7"/>
  <c r="F51" i="7"/>
  <c r="E51" i="7"/>
  <c r="D51" i="7"/>
  <c r="C51" i="7"/>
  <c r="AB50" i="7"/>
  <c r="AA50" i="7"/>
  <c r="Z50" i="7"/>
  <c r="Y50" i="7"/>
  <c r="X50" i="7"/>
  <c r="W50" i="7"/>
  <c r="V50" i="7"/>
  <c r="U50" i="7"/>
  <c r="T50" i="7"/>
  <c r="S50" i="7"/>
  <c r="R50" i="7"/>
  <c r="Q50" i="7"/>
  <c r="P50" i="7"/>
  <c r="O50" i="7"/>
  <c r="N50" i="7"/>
  <c r="M50" i="7"/>
  <c r="L50" i="7"/>
  <c r="K50" i="7"/>
  <c r="J50" i="7"/>
  <c r="I50" i="7"/>
  <c r="H50" i="7"/>
  <c r="G50" i="7"/>
  <c r="F50" i="7"/>
  <c r="E50" i="7"/>
  <c r="D50" i="7"/>
  <c r="C50" i="7"/>
  <c r="AB49" i="7"/>
  <c r="AA49" i="7"/>
  <c r="Z49" i="7"/>
  <c r="Y49" i="7"/>
  <c r="X49" i="7"/>
  <c r="W49" i="7"/>
  <c r="V49" i="7"/>
  <c r="U49" i="7"/>
  <c r="T49" i="7"/>
  <c r="S49" i="7"/>
  <c r="R49" i="7"/>
  <c r="Q49" i="7"/>
  <c r="P49" i="7"/>
  <c r="O49" i="7"/>
  <c r="N49" i="7"/>
  <c r="M49" i="7"/>
  <c r="L49" i="7"/>
  <c r="K49" i="7"/>
  <c r="J49" i="7"/>
  <c r="I49" i="7"/>
  <c r="H49" i="7"/>
  <c r="G49" i="7"/>
  <c r="F49" i="7"/>
  <c r="E49" i="7"/>
  <c r="D49" i="7"/>
  <c r="C49" i="7"/>
  <c r="AB48" i="7"/>
  <c r="AB4" i="7" s="1"/>
  <c r="AA48" i="7"/>
  <c r="AA4" i="7" s="1"/>
  <c r="Z48" i="7"/>
  <c r="Y48" i="7"/>
  <c r="X48" i="7"/>
  <c r="W48" i="7"/>
  <c r="V48" i="7"/>
  <c r="U48" i="7"/>
  <c r="T48" i="7"/>
  <c r="T4" i="7" s="1"/>
  <c r="S48" i="7"/>
  <c r="S4" i="7" s="1"/>
  <c r="R48" i="7"/>
  <c r="Q48" i="7"/>
  <c r="P48" i="7"/>
  <c r="O48" i="7"/>
  <c r="N48" i="7"/>
  <c r="M48" i="7"/>
  <c r="L48" i="7"/>
  <c r="L4" i="7" s="1"/>
  <c r="K48" i="7"/>
  <c r="K4" i="7" s="1"/>
  <c r="J48" i="7"/>
  <c r="I48" i="7"/>
  <c r="H48" i="7"/>
  <c r="G48" i="7"/>
  <c r="F48" i="7"/>
  <c r="E48" i="7"/>
  <c r="D48" i="7"/>
  <c r="D4" i="7" s="1"/>
  <c r="C48" i="7"/>
  <c r="C5" i="7" s="1"/>
  <c r="C6" i="7" s="1"/>
  <c r="AB47" i="7"/>
  <c r="AA47" i="7"/>
  <c r="Z47" i="7"/>
  <c r="Y47" i="7"/>
  <c r="X47" i="7"/>
  <c r="W47" i="7"/>
  <c r="V47" i="7"/>
  <c r="V4" i="7" s="1"/>
  <c r="U47" i="7"/>
  <c r="U5" i="7" s="1"/>
  <c r="U6" i="7" s="1"/>
  <c r="T47" i="7"/>
  <c r="S47" i="7"/>
  <c r="R47" i="7"/>
  <c r="Q47" i="7"/>
  <c r="P47" i="7"/>
  <c r="O47" i="7"/>
  <c r="N47" i="7"/>
  <c r="N4" i="7" s="1"/>
  <c r="M47" i="7"/>
  <c r="M5" i="7" s="1"/>
  <c r="M6" i="7" s="1"/>
  <c r="L47" i="7"/>
  <c r="K47" i="7"/>
  <c r="J47" i="7"/>
  <c r="I47" i="7"/>
  <c r="H47" i="7"/>
  <c r="G47" i="7"/>
  <c r="F47" i="7"/>
  <c r="F4" i="7" s="1"/>
  <c r="E47" i="7"/>
  <c r="E5" i="7" s="1"/>
  <c r="E6" i="7" s="1"/>
  <c r="D47" i="7"/>
  <c r="C47" i="7"/>
  <c r="AB46" i="7"/>
  <c r="AA46" i="7"/>
  <c r="Z46" i="7"/>
  <c r="Y46" i="7"/>
  <c r="X46" i="7"/>
  <c r="X3" i="7" s="1"/>
  <c r="W46" i="7"/>
  <c r="W4" i="7" s="1"/>
  <c r="V46" i="7"/>
  <c r="U46" i="7"/>
  <c r="T46" i="7"/>
  <c r="S46" i="7"/>
  <c r="R46" i="7"/>
  <c r="Q46" i="7"/>
  <c r="P46" i="7"/>
  <c r="P3" i="7" s="1"/>
  <c r="O46" i="7"/>
  <c r="O4" i="7" s="1"/>
  <c r="N46" i="7"/>
  <c r="M46" i="7"/>
  <c r="L46" i="7"/>
  <c r="K46" i="7"/>
  <c r="J46" i="7"/>
  <c r="I46" i="7"/>
  <c r="H46" i="7"/>
  <c r="H3" i="7" s="1"/>
  <c r="G46" i="7"/>
  <c r="G4" i="7" s="1"/>
  <c r="F46" i="7"/>
  <c r="E46" i="7"/>
  <c r="D46" i="7"/>
  <c r="C46" i="7"/>
  <c r="AB45" i="7"/>
  <c r="AB5" i="7" s="1"/>
  <c r="AB6" i="7" s="1"/>
  <c r="AA45" i="7"/>
  <c r="AA5" i="7" s="1"/>
  <c r="AA6" i="7" s="1"/>
  <c r="Z45" i="7"/>
  <c r="Z3" i="7" s="1"/>
  <c r="Y45" i="7"/>
  <c r="Y3" i="7" s="1"/>
  <c r="X45" i="7"/>
  <c r="W45" i="7"/>
  <c r="V45" i="7"/>
  <c r="U45" i="7"/>
  <c r="T45" i="7"/>
  <c r="T5" i="7" s="1"/>
  <c r="T6" i="7" s="1"/>
  <c r="S45" i="7"/>
  <c r="S5" i="7" s="1"/>
  <c r="S6" i="7" s="1"/>
  <c r="R45" i="7"/>
  <c r="R3" i="7" s="1"/>
  <c r="Q45" i="7"/>
  <c r="Q3" i="7" s="1"/>
  <c r="P45" i="7"/>
  <c r="O45" i="7"/>
  <c r="N45" i="7"/>
  <c r="M45" i="7"/>
  <c r="L45" i="7"/>
  <c r="L5" i="7" s="1"/>
  <c r="L6" i="7" s="1"/>
  <c r="K45" i="7"/>
  <c r="K5" i="7" s="1"/>
  <c r="K6" i="7" s="1"/>
  <c r="J45" i="7"/>
  <c r="J3" i="7" s="1"/>
  <c r="I45" i="7"/>
  <c r="I3" i="7" s="1"/>
  <c r="H45" i="7"/>
  <c r="G45" i="7"/>
  <c r="F45" i="7"/>
  <c r="E45" i="7"/>
  <c r="D45" i="7"/>
  <c r="D5" i="7" s="1"/>
  <c r="D6" i="7" s="1"/>
  <c r="C45" i="7"/>
  <c r="AB44" i="7"/>
  <c r="AA44" i="7"/>
  <c r="Z44" i="7"/>
  <c r="Y44" i="7"/>
  <c r="X44" i="7"/>
  <c r="W44" i="7"/>
  <c r="V44" i="7"/>
  <c r="U44" i="7"/>
  <c r="T44" i="7"/>
  <c r="S44" i="7"/>
  <c r="R44" i="7"/>
  <c r="Q44" i="7"/>
  <c r="P44" i="7"/>
  <c r="O44" i="7"/>
  <c r="N44" i="7"/>
  <c r="M44" i="7"/>
  <c r="L44" i="7"/>
  <c r="K44" i="7"/>
  <c r="J44" i="7"/>
  <c r="I44" i="7"/>
  <c r="H44" i="7"/>
  <c r="G44" i="7"/>
  <c r="F44" i="7"/>
  <c r="E44" i="7"/>
  <c r="D44" i="7"/>
  <c r="C44" i="7"/>
  <c r="AB43" i="7"/>
  <c r="AA43" i="7"/>
  <c r="Z43" i="7"/>
  <c r="Y43" i="7"/>
  <c r="X43" i="7"/>
  <c r="W43" i="7"/>
  <c r="V43" i="7"/>
  <c r="U43" i="7"/>
  <c r="T43" i="7"/>
  <c r="S43" i="7"/>
  <c r="R43" i="7"/>
  <c r="Q43" i="7"/>
  <c r="P43" i="7"/>
  <c r="O43" i="7"/>
  <c r="N43" i="7"/>
  <c r="M43" i="7"/>
  <c r="L43" i="7"/>
  <c r="K43" i="7"/>
  <c r="J43" i="7"/>
  <c r="I43" i="7"/>
  <c r="H43" i="7"/>
  <c r="G43" i="7"/>
  <c r="F43" i="7"/>
  <c r="E43" i="7"/>
  <c r="D43" i="7"/>
  <c r="C43" i="7"/>
  <c r="AB42" i="7"/>
  <c r="AA42" i="7"/>
  <c r="Z42" i="7"/>
  <c r="Y42" i="7"/>
  <c r="X42" i="7"/>
  <c r="W42" i="7"/>
  <c r="V42" i="7"/>
  <c r="U42" i="7"/>
  <c r="T42" i="7"/>
  <c r="S42" i="7"/>
  <c r="R42" i="7"/>
  <c r="Q42" i="7"/>
  <c r="P42" i="7"/>
  <c r="O42" i="7"/>
  <c r="N42" i="7"/>
  <c r="M42" i="7"/>
  <c r="L42" i="7"/>
  <c r="K42" i="7"/>
  <c r="J42" i="7"/>
  <c r="I42" i="7"/>
  <c r="H42" i="7"/>
  <c r="G42" i="7"/>
  <c r="F42" i="7"/>
  <c r="E42" i="7"/>
  <c r="D42" i="7"/>
  <c r="C42" i="7"/>
  <c r="AB41" i="7"/>
  <c r="AA41" i="7"/>
  <c r="Z41" i="7"/>
  <c r="Y41" i="7"/>
  <c r="X41" i="7"/>
  <c r="W41" i="7"/>
  <c r="V41" i="7"/>
  <c r="U41" i="7"/>
  <c r="T41" i="7"/>
  <c r="S41" i="7"/>
  <c r="R41" i="7"/>
  <c r="Q41" i="7"/>
  <c r="P41" i="7"/>
  <c r="O41" i="7"/>
  <c r="N41" i="7"/>
  <c r="M41" i="7"/>
  <c r="L41" i="7"/>
  <c r="K41" i="7"/>
  <c r="J41" i="7"/>
  <c r="I41" i="7"/>
  <c r="H41" i="7"/>
  <c r="G41" i="7"/>
  <c r="F41" i="7"/>
  <c r="E41" i="7"/>
  <c r="D41" i="7"/>
  <c r="C41" i="7"/>
  <c r="AB40" i="7"/>
  <c r="AA40" i="7"/>
  <c r="Z40" i="7"/>
  <c r="Y40" i="7"/>
  <c r="X40" i="7"/>
  <c r="W40" i="7"/>
  <c r="V40" i="7"/>
  <c r="U40" i="7"/>
  <c r="T40" i="7"/>
  <c r="S40" i="7"/>
  <c r="R40" i="7"/>
  <c r="Q40" i="7"/>
  <c r="P40" i="7"/>
  <c r="O40" i="7"/>
  <c r="N40" i="7"/>
  <c r="M40" i="7"/>
  <c r="L40" i="7"/>
  <c r="K40" i="7"/>
  <c r="J40" i="7"/>
  <c r="I40" i="7"/>
  <c r="H40" i="7"/>
  <c r="G40" i="7"/>
  <c r="F40" i="7"/>
  <c r="E40" i="7"/>
  <c r="D40" i="7"/>
  <c r="C40" i="7"/>
  <c r="AB39" i="7"/>
  <c r="AA39" i="7"/>
  <c r="Z39" i="7"/>
  <c r="Y39" i="7"/>
  <c r="X39" i="7"/>
  <c r="W39" i="7"/>
  <c r="V39" i="7"/>
  <c r="U39" i="7"/>
  <c r="T39" i="7"/>
  <c r="S39" i="7"/>
  <c r="R39" i="7"/>
  <c r="Q39" i="7"/>
  <c r="P39" i="7"/>
  <c r="O39" i="7"/>
  <c r="N39" i="7"/>
  <c r="M39" i="7"/>
  <c r="L39" i="7"/>
  <c r="K39" i="7"/>
  <c r="J39" i="7"/>
  <c r="I39" i="7"/>
  <c r="H39" i="7"/>
  <c r="G39" i="7"/>
  <c r="F39" i="7"/>
  <c r="E39" i="7"/>
  <c r="D39" i="7"/>
  <c r="C39" i="7"/>
  <c r="AB38" i="7"/>
  <c r="AA38" i="7"/>
  <c r="Z38" i="7"/>
  <c r="Y38" i="7"/>
  <c r="X38" i="7"/>
  <c r="W38" i="7"/>
  <c r="V38" i="7"/>
  <c r="U38" i="7"/>
  <c r="T38" i="7"/>
  <c r="S38" i="7"/>
  <c r="R38" i="7"/>
  <c r="Q38" i="7"/>
  <c r="P38" i="7"/>
  <c r="O38" i="7"/>
  <c r="N38" i="7"/>
  <c r="M38" i="7"/>
  <c r="L38" i="7"/>
  <c r="K38" i="7"/>
  <c r="J38" i="7"/>
  <c r="I38" i="7"/>
  <c r="H38" i="7"/>
  <c r="G38" i="7"/>
  <c r="F38" i="7"/>
  <c r="E38" i="7"/>
  <c r="D38" i="7"/>
  <c r="C38" i="7"/>
  <c r="AB37" i="7"/>
  <c r="AA37" i="7"/>
  <c r="Z37" i="7"/>
  <c r="Y37" i="7"/>
  <c r="X37" i="7"/>
  <c r="W37" i="7"/>
  <c r="V37" i="7"/>
  <c r="U37" i="7"/>
  <c r="T37" i="7"/>
  <c r="S37" i="7"/>
  <c r="R37" i="7"/>
  <c r="Q37" i="7"/>
  <c r="P37" i="7"/>
  <c r="O37" i="7"/>
  <c r="N37" i="7"/>
  <c r="M37" i="7"/>
  <c r="L37" i="7"/>
  <c r="K37" i="7"/>
  <c r="J37" i="7"/>
  <c r="I37" i="7"/>
  <c r="H37" i="7"/>
  <c r="G37" i="7"/>
  <c r="F37" i="7"/>
  <c r="E37" i="7"/>
  <c r="D37" i="7"/>
  <c r="C37" i="7"/>
  <c r="AB36" i="7"/>
  <c r="AA36" i="7"/>
  <c r="Z36" i="7"/>
  <c r="Y36" i="7"/>
  <c r="X36" i="7"/>
  <c r="W36" i="7"/>
  <c r="V36" i="7"/>
  <c r="U36" i="7"/>
  <c r="T36" i="7"/>
  <c r="S36" i="7"/>
  <c r="R36" i="7"/>
  <c r="Q36" i="7"/>
  <c r="P36" i="7"/>
  <c r="O36" i="7"/>
  <c r="N36" i="7"/>
  <c r="M36" i="7"/>
  <c r="L36" i="7"/>
  <c r="K36" i="7"/>
  <c r="J36" i="7"/>
  <c r="I36" i="7"/>
  <c r="H36" i="7"/>
  <c r="G36" i="7"/>
  <c r="F36" i="7"/>
  <c r="E36" i="7"/>
  <c r="D36" i="7"/>
  <c r="C36" i="7"/>
  <c r="AB35" i="7"/>
  <c r="AA35" i="7"/>
  <c r="Z35" i="7"/>
  <c r="Y35" i="7"/>
  <c r="X35" i="7"/>
  <c r="W35" i="7"/>
  <c r="V35" i="7"/>
  <c r="U35" i="7"/>
  <c r="T35" i="7"/>
  <c r="S35" i="7"/>
  <c r="R35" i="7"/>
  <c r="Q35" i="7"/>
  <c r="P35" i="7"/>
  <c r="O35" i="7"/>
  <c r="N35" i="7"/>
  <c r="M35" i="7"/>
  <c r="L35" i="7"/>
  <c r="K35" i="7"/>
  <c r="J35" i="7"/>
  <c r="I35" i="7"/>
  <c r="H35" i="7"/>
  <c r="G35" i="7"/>
  <c r="F35" i="7"/>
  <c r="E35" i="7"/>
  <c r="D35" i="7"/>
  <c r="C35" i="7"/>
  <c r="AB34" i="7"/>
  <c r="AA34" i="7"/>
  <c r="Z34" i="7"/>
  <c r="Y34" i="7"/>
  <c r="X34" i="7"/>
  <c r="W34" i="7"/>
  <c r="V34" i="7"/>
  <c r="U34" i="7"/>
  <c r="T34" i="7"/>
  <c r="S34" i="7"/>
  <c r="R34" i="7"/>
  <c r="Q34" i="7"/>
  <c r="P34" i="7"/>
  <c r="O34" i="7"/>
  <c r="N34" i="7"/>
  <c r="M34" i="7"/>
  <c r="L34" i="7"/>
  <c r="K34" i="7"/>
  <c r="J34" i="7"/>
  <c r="I34" i="7"/>
  <c r="H34" i="7"/>
  <c r="G34" i="7"/>
  <c r="F34" i="7"/>
  <c r="E34" i="7"/>
  <c r="D34" i="7"/>
  <c r="C34" i="7"/>
  <c r="AB33" i="7"/>
  <c r="AA33" i="7"/>
  <c r="Z33" i="7"/>
  <c r="Y33" i="7"/>
  <c r="X33" i="7"/>
  <c r="W33" i="7"/>
  <c r="V33" i="7"/>
  <c r="U33" i="7"/>
  <c r="T33" i="7"/>
  <c r="S33" i="7"/>
  <c r="R33" i="7"/>
  <c r="Q33" i="7"/>
  <c r="P33" i="7"/>
  <c r="O33" i="7"/>
  <c r="N33" i="7"/>
  <c r="M33" i="7"/>
  <c r="L33" i="7"/>
  <c r="K33" i="7"/>
  <c r="J33" i="7"/>
  <c r="I33" i="7"/>
  <c r="H33" i="7"/>
  <c r="G33" i="7"/>
  <c r="F33" i="7"/>
  <c r="E33" i="7"/>
  <c r="D33" i="7"/>
  <c r="C33" i="7"/>
  <c r="AB32" i="7"/>
  <c r="AA32" i="7"/>
  <c r="Z32" i="7"/>
  <c r="Y32" i="7"/>
  <c r="X32" i="7"/>
  <c r="W32" i="7"/>
  <c r="V32" i="7"/>
  <c r="U32" i="7"/>
  <c r="T32" i="7"/>
  <c r="S32" i="7"/>
  <c r="R32" i="7"/>
  <c r="Q32" i="7"/>
  <c r="P32" i="7"/>
  <c r="O32" i="7"/>
  <c r="N32" i="7"/>
  <c r="M32" i="7"/>
  <c r="L32" i="7"/>
  <c r="K32" i="7"/>
  <c r="J32" i="7"/>
  <c r="I32" i="7"/>
  <c r="H32" i="7"/>
  <c r="G32" i="7"/>
  <c r="F32" i="7"/>
  <c r="E32" i="7"/>
  <c r="D32" i="7"/>
  <c r="C32" i="7"/>
  <c r="AB31" i="7"/>
  <c r="AA31" i="7"/>
  <c r="Z31" i="7"/>
  <c r="Y31" i="7"/>
  <c r="X31" i="7"/>
  <c r="W31" i="7"/>
  <c r="V31" i="7"/>
  <c r="U31" i="7"/>
  <c r="T31" i="7"/>
  <c r="S31" i="7"/>
  <c r="R31" i="7"/>
  <c r="Q31" i="7"/>
  <c r="P31" i="7"/>
  <c r="O31" i="7"/>
  <c r="N31" i="7"/>
  <c r="M31" i="7"/>
  <c r="L31" i="7"/>
  <c r="K31" i="7"/>
  <c r="J31" i="7"/>
  <c r="I31" i="7"/>
  <c r="H31" i="7"/>
  <c r="G31" i="7"/>
  <c r="F31" i="7"/>
  <c r="E31" i="7"/>
  <c r="D31" i="7"/>
  <c r="C31" i="7"/>
  <c r="AB30" i="7"/>
  <c r="AA30" i="7"/>
  <c r="Z30" i="7"/>
  <c r="Y30" i="7"/>
  <c r="X30" i="7"/>
  <c r="W30" i="7"/>
  <c r="V30" i="7"/>
  <c r="U30" i="7"/>
  <c r="T30" i="7"/>
  <c r="S30" i="7"/>
  <c r="R30" i="7"/>
  <c r="Q30" i="7"/>
  <c r="P30" i="7"/>
  <c r="O30" i="7"/>
  <c r="N30" i="7"/>
  <c r="M30" i="7"/>
  <c r="L30" i="7"/>
  <c r="K30" i="7"/>
  <c r="J30" i="7"/>
  <c r="I30" i="7"/>
  <c r="H30" i="7"/>
  <c r="G30" i="7"/>
  <c r="F30" i="7"/>
  <c r="E30" i="7"/>
  <c r="D30" i="7"/>
  <c r="C30" i="7"/>
  <c r="AB29" i="7"/>
  <c r="AA29" i="7"/>
  <c r="Z29" i="7"/>
  <c r="Y29" i="7"/>
  <c r="X29" i="7"/>
  <c r="W29" i="7"/>
  <c r="V29" i="7"/>
  <c r="U29" i="7"/>
  <c r="T29" i="7"/>
  <c r="S29" i="7"/>
  <c r="R29" i="7"/>
  <c r="Q29" i="7"/>
  <c r="P29" i="7"/>
  <c r="O29" i="7"/>
  <c r="N29" i="7"/>
  <c r="M29" i="7"/>
  <c r="L29" i="7"/>
  <c r="K29" i="7"/>
  <c r="J29" i="7"/>
  <c r="I29" i="7"/>
  <c r="H29" i="7"/>
  <c r="G29" i="7"/>
  <c r="F29" i="7"/>
  <c r="E29" i="7"/>
  <c r="D29" i="7"/>
  <c r="C29" i="7"/>
  <c r="AB28" i="7"/>
  <c r="AA28" i="7"/>
  <c r="Z28" i="7"/>
  <c r="Y28" i="7"/>
  <c r="X28" i="7"/>
  <c r="W28" i="7"/>
  <c r="V28" i="7"/>
  <c r="U28" i="7"/>
  <c r="T28" i="7"/>
  <c r="S28" i="7"/>
  <c r="R28" i="7"/>
  <c r="Q28" i="7"/>
  <c r="P28" i="7"/>
  <c r="O28" i="7"/>
  <c r="N28" i="7"/>
  <c r="M28" i="7"/>
  <c r="L28" i="7"/>
  <c r="K28" i="7"/>
  <c r="J28" i="7"/>
  <c r="I28" i="7"/>
  <c r="H28" i="7"/>
  <c r="G28" i="7"/>
  <c r="F28" i="7"/>
  <c r="E28" i="7"/>
  <c r="D28" i="7"/>
  <c r="C28" i="7"/>
  <c r="AB27" i="7"/>
  <c r="AA27" i="7"/>
  <c r="Z27" i="7"/>
  <c r="Y27" i="7"/>
  <c r="X27" i="7"/>
  <c r="W27" i="7"/>
  <c r="V27" i="7"/>
  <c r="U27" i="7"/>
  <c r="T27" i="7"/>
  <c r="S27" i="7"/>
  <c r="R27" i="7"/>
  <c r="Q27" i="7"/>
  <c r="P27" i="7"/>
  <c r="O27" i="7"/>
  <c r="N27" i="7"/>
  <c r="M27" i="7"/>
  <c r="L27" i="7"/>
  <c r="K27" i="7"/>
  <c r="J27" i="7"/>
  <c r="I27" i="7"/>
  <c r="H27" i="7"/>
  <c r="G27" i="7"/>
  <c r="F27" i="7"/>
  <c r="E27" i="7"/>
  <c r="D27" i="7"/>
  <c r="C27" i="7"/>
  <c r="AB26" i="7"/>
  <c r="AA26" i="7"/>
  <c r="Z26" i="7"/>
  <c r="Y26" i="7"/>
  <c r="X26" i="7"/>
  <c r="W26" i="7"/>
  <c r="V26" i="7"/>
  <c r="U26" i="7"/>
  <c r="T26" i="7"/>
  <c r="S26" i="7"/>
  <c r="R26" i="7"/>
  <c r="Q26" i="7"/>
  <c r="P26" i="7"/>
  <c r="O26" i="7"/>
  <c r="N26" i="7"/>
  <c r="M26" i="7"/>
  <c r="L26" i="7"/>
  <c r="K26" i="7"/>
  <c r="J26" i="7"/>
  <c r="I26" i="7"/>
  <c r="H26" i="7"/>
  <c r="G26" i="7"/>
  <c r="F26" i="7"/>
  <c r="E26" i="7"/>
  <c r="D26" i="7"/>
  <c r="C26" i="7"/>
  <c r="AB25" i="7"/>
  <c r="AA25" i="7"/>
  <c r="Z25" i="7"/>
  <c r="Y25" i="7"/>
  <c r="X25" i="7"/>
  <c r="W25" i="7"/>
  <c r="V25" i="7"/>
  <c r="U25" i="7"/>
  <c r="T25" i="7"/>
  <c r="S25" i="7"/>
  <c r="R25" i="7"/>
  <c r="Q25" i="7"/>
  <c r="P25" i="7"/>
  <c r="O25" i="7"/>
  <c r="N25" i="7"/>
  <c r="M25" i="7"/>
  <c r="L25" i="7"/>
  <c r="K25" i="7"/>
  <c r="J25" i="7"/>
  <c r="I25" i="7"/>
  <c r="H25" i="7"/>
  <c r="G25" i="7"/>
  <c r="F25" i="7"/>
  <c r="E25" i="7"/>
  <c r="D25" i="7"/>
  <c r="C25" i="7"/>
  <c r="AB24" i="7"/>
  <c r="AA24" i="7"/>
  <c r="Z24" i="7"/>
  <c r="Y24" i="7"/>
  <c r="X24" i="7"/>
  <c r="W24" i="7"/>
  <c r="V24" i="7"/>
  <c r="U24" i="7"/>
  <c r="T24" i="7"/>
  <c r="S24" i="7"/>
  <c r="R24" i="7"/>
  <c r="Q24" i="7"/>
  <c r="P24" i="7"/>
  <c r="O24" i="7"/>
  <c r="N24" i="7"/>
  <c r="M24" i="7"/>
  <c r="L24" i="7"/>
  <c r="K24" i="7"/>
  <c r="J24" i="7"/>
  <c r="I24" i="7"/>
  <c r="H24" i="7"/>
  <c r="G24" i="7"/>
  <c r="F24" i="7"/>
  <c r="E24" i="7"/>
  <c r="D24" i="7"/>
  <c r="C24" i="7"/>
  <c r="AB23" i="7"/>
  <c r="AA23" i="7"/>
  <c r="Z23" i="7"/>
  <c r="Y23" i="7"/>
  <c r="X23" i="7"/>
  <c r="W23" i="7"/>
  <c r="V23" i="7"/>
  <c r="U23" i="7"/>
  <c r="T23" i="7"/>
  <c r="S23" i="7"/>
  <c r="R23" i="7"/>
  <c r="Q23" i="7"/>
  <c r="P23" i="7"/>
  <c r="O23" i="7"/>
  <c r="N23" i="7"/>
  <c r="M23" i="7"/>
  <c r="L23" i="7"/>
  <c r="K23" i="7"/>
  <c r="J23" i="7"/>
  <c r="I23" i="7"/>
  <c r="H23" i="7"/>
  <c r="G23" i="7"/>
  <c r="F23" i="7"/>
  <c r="E23" i="7"/>
  <c r="D23" i="7"/>
  <c r="C23" i="7"/>
  <c r="AB22" i="7"/>
  <c r="AA22" i="7"/>
  <c r="Z22" i="7"/>
  <c r="Y22" i="7"/>
  <c r="X22" i="7"/>
  <c r="W22" i="7"/>
  <c r="V22" i="7"/>
  <c r="U22" i="7"/>
  <c r="T22" i="7"/>
  <c r="S22" i="7"/>
  <c r="R22" i="7"/>
  <c r="Q22" i="7"/>
  <c r="P22" i="7"/>
  <c r="O22" i="7"/>
  <c r="N22" i="7"/>
  <c r="M22" i="7"/>
  <c r="L22" i="7"/>
  <c r="K22" i="7"/>
  <c r="J22" i="7"/>
  <c r="I22" i="7"/>
  <c r="H22" i="7"/>
  <c r="G22" i="7"/>
  <c r="F22" i="7"/>
  <c r="E22" i="7"/>
  <c r="D22" i="7"/>
  <c r="C22" i="7"/>
  <c r="AB21" i="7"/>
  <c r="AA21" i="7"/>
  <c r="Z21" i="7"/>
  <c r="Y21" i="7"/>
  <c r="X21" i="7"/>
  <c r="W21" i="7"/>
  <c r="V21" i="7"/>
  <c r="U21" i="7"/>
  <c r="T21" i="7"/>
  <c r="S21" i="7"/>
  <c r="R21" i="7"/>
  <c r="Q21" i="7"/>
  <c r="P21" i="7"/>
  <c r="O21" i="7"/>
  <c r="N21" i="7"/>
  <c r="M21" i="7"/>
  <c r="L21" i="7"/>
  <c r="K21" i="7"/>
  <c r="J21" i="7"/>
  <c r="I21" i="7"/>
  <c r="H21" i="7"/>
  <c r="G21" i="7"/>
  <c r="F21" i="7"/>
  <c r="E21" i="7"/>
  <c r="D21" i="7"/>
  <c r="C21" i="7"/>
  <c r="AB20" i="7"/>
  <c r="AA20" i="7"/>
  <c r="Z20" i="7"/>
  <c r="Y20" i="7"/>
  <c r="X20" i="7"/>
  <c r="W20" i="7"/>
  <c r="V20" i="7"/>
  <c r="U20" i="7"/>
  <c r="T20" i="7"/>
  <c r="S20" i="7"/>
  <c r="R20" i="7"/>
  <c r="Q20" i="7"/>
  <c r="P20" i="7"/>
  <c r="O20" i="7"/>
  <c r="N20" i="7"/>
  <c r="M20" i="7"/>
  <c r="L20" i="7"/>
  <c r="K20" i="7"/>
  <c r="J20" i="7"/>
  <c r="I20" i="7"/>
  <c r="H20" i="7"/>
  <c r="G20" i="7"/>
  <c r="F20" i="7"/>
  <c r="E20" i="7"/>
  <c r="D20" i="7"/>
  <c r="C20" i="7"/>
  <c r="AB19" i="7"/>
  <c r="AA19" i="7"/>
  <c r="Z19" i="7"/>
  <c r="Y19" i="7"/>
  <c r="X19" i="7"/>
  <c r="W19" i="7"/>
  <c r="V19" i="7"/>
  <c r="U19" i="7"/>
  <c r="T19" i="7"/>
  <c r="S19" i="7"/>
  <c r="R19" i="7"/>
  <c r="Q19" i="7"/>
  <c r="P19" i="7"/>
  <c r="O19" i="7"/>
  <c r="N19" i="7"/>
  <c r="M19" i="7"/>
  <c r="L19" i="7"/>
  <c r="K19" i="7"/>
  <c r="J19" i="7"/>
  <c r="I19" i="7"/>
  <c r="H19" i="7"/>
  <c r="G19" i="7"/>
  <c r="F19" i="7"/>
  <c r="E19" i="7"/>
  <c r="D19" i="7"/>
  <c r="C19" i="7"/>
  <c r="AB18" i="7"/>
  <c r="AA18" i="7"/>
  <c r="Z18" i="7"/>
  <c r="Y18" i="7"/>
  <c r="X18" i="7"/>
  <c r="W18" i="7"/>
  <c r="V18" i="7"/>
  <c r="U18" i="7"/>
  <c r="T18" i="7"/>
  <c r="S18" i="7"/>
  <c r="R18" i="7"/>
  <c r="Q18" i="7"/>
  <c r="P18" i="7"/>
  <c r="O18" i="7"/>
  <c r="N18" i="7"/>
  <c r="M18" i="7"/>
  <c r="L18" i="7"/>
  <c r="K18" i="7"/>
  <c r="J18" i="7"/>
  <c r="I18" i="7"/>
  <c r="H18" i="7"/>
  <c r="G18" i="7"/>
  <c r="F18" i="7"/>
  <c r="E18" i="7"/>
  <c r="D18" i="7"/>
  <c r="C18" i="7"/>
  <c r="AB17" i="7"/>
  <c r="AA17" i="7"/>
  <c r="Z17" i="7"/>
  <c r="Y17" i="7"/>
  <c r="X17" i="7"/>
  <c r="W17" i="7"/>
  <c r="V17" i="7"/>
  <c r="U17" i="7"/>
  <c r="T17" i="7"/>
  <c r="S17" i="7"/>
  <c r="R17" i="7"/>
  <c r="Q17" i="7"/>
  <c r="P17" i="7"/>
  <c r="O17" i="7"/>
  <c r="N17" i="7"/>
  <c r="M17" i="7"/>
  <c r="L17" i="7"/>
  <c r="K17" i="7"/>
  <c r="J17" i="7"/>
  <c r="I17" i="7"/>
  <c r="H17" i="7"/>
  <c r="G17" i="7"/>
  <c r="F17" i="7"/>
  <c r="E17" i="7"/>
  <c r="D17" i="7"/>
  <c r="C17" i="7"/>
  <c r="AB16" i="7"/>
  <c r="AA16" i="7"/>
  <c r="Z16" i="7"/>
  <c r="Y16" i="7"/>
  <c r="X16" i="7"/>
  <c r="W16" i="7"/>
  <c r="V16" i="7"/>
  <c r="U16" i="7"/>
  <c r="T16" i="7"/>
  <c r="S16" i="7"/>
  <c r="R16" i="7"/>
  <c r="Q16" i="7"/>
  <c r="P16" i="7"/>
  <c r="O16" i="7"/>
  <c r="N16" i="7"/>
  <c r="M16" i="7"/>
  <c r="L16" i="7"/>
  <c r="K16" i="7"/>
  <c r="J16" i="7"/>
  <c r="I16" i="7"/>
  <c r="H16" i="7"/>
  <c r="G16" i="7"/>
  <c r="F16" i="7"/>
  <c r="E16" i="7"/>
  <c r="D16" i="7"/>
  <c r="C16" i="7"/>
  <c r="AB15" i="7"/>
  <c r="AA15" i="7"/>
  <c r="Z15" i="7"/>
  <c r="Y15" i="7"/>
  <c r="X15" i="7"/>
  <c r="W15" i="7"/>
  <c r="V15" i="7"/>
  <c r="U15" i="7"/>
  <c r="T15" i="7"/>
  <c r="S15" i="7"/>
  <c r="R15" i="7"/>
  <c r="Q15" i="7"/>
  <c r="P15" i="7"/>
  <c r="O15" i="7"/>
  <c r="N15" i="7"/>
  <c r="M15" i="7"/>
  <c r="L15" i="7"/>
  <c r="K15" i="7"/>
  <c r="J15" i="7"/>
  <c r="I15" i="7"/>
  <c r="H15" i="7"/>
  <c r="G15" i="7"/>
  <c r="F15" i="7"/>
  <c r="E15" i="7"/>
  <c r="D15" i="7"/>
  <c r="C15" i="7"/>
  <c r="AB14" i="7"/>
  <c r="AA14" i="7"/>
  <c r="Z14" i="7"/>
  <c r="Y14" i="7"/>
  <c r="X14" i="7"/>
  <c r="W14" i="7"/>
  <c r="V14" i="7"/>
  <c r="U14" i="7"/>
  <c r="T14" i="7"/>
  <c r="S14" i="7"/>
  <c r="R14" i="7"/>
  <c r="Q14" i="7"/>
  <c r="P14" i="7"/>
  <c r="O14" i="7"/>
  <c r="N14" i="7"/>
  <c r="M14" i="7"/>
  <c r="L14" i="7"/>
  <c r="K14" i="7"/>
  <c r="J14" i="7"/>
  <c r="I14" i="7"/>
  <c r="H14" i="7"/>
  <c r="G14" i="7"/>
  <c r="F14" i="7"/>
  <c r="E14" i="7"/>
  <c r="D14" i="7"/>
  <c r="C14" i="7"/>
  <c r="AB13" i="7"/>
  <c r="AA13" i="7"/>
  <c r="Z13" i="7"/>
  <c r="Y13" i="7"/>
  <c r="X13" i="7"/>
  <c r="W13" i="7"/>
  <c r="V13" i="7"/>
  <c r="U13" i="7"/>
  <c r="T13" i="7"/>
  <c r="S13" i="7"/>
  <c r="R13" i="7"/>
  <c r="Q13" i="7"/>
  <c r="P13" i="7"/>
  <c r="O13" i="7"/>
  <c r="N13" i="7"/>
  <c r="M13" i="7"/>
  <c r="L13" i="7"/>
  <c r="K13" i="7"/>
  <c r="J13" i="7"/>
  <c r="I13" i="7"/>
  <c r="H13" i="7"/>
  <c r="G13" i="7"/>
  <c r="F13" i="7"/>
  <c r="E13" i="7"/>
  <c r="D13" i="7"/>
  <c r="C13" i="7"/>
  <c r="AB12" i="7"/>
  <c r="AA12" i="7"/>
  <c r="Z12" i="7"/>
  <c r="Y12" i="7"/>
  <c r="X12" i="7"/>
  <c r="W12" i="7"/>
  <c r="V12" i="7"/>
  <c r="U12" i="7"/>
  <c r="T12" i="7"/>
  <c r="S12" i="7"/>
  <c r="R12" i="7"/>
  <c r="Q12" i="7"/>
  <c r="P12" i="7"/>
  <c r="O12" i="7"/>
  <c r="N12" i="7"/>
  <c r="M12" i="7"/>
  <c r="L12" i="7"/>
  <c r="K12" i="7"/>
  <c r="J12" i="7"/>
  <c r="I12" i="7"/>
  <c r="H12" i="7"/>
  <c r="G12" i="7"/>
  <c r="F12" i="7"/>
  <c r="E12" i="7"/>
  <c r="D12" i="7"/>
  <c r="C12" i="7"/>
  <c r="X10" i="7"/>
  <c r="P10" i="7"/>
  <c r="H10" i="7"/>
  <c r="Z9" i="7"/>
  <c r="Y9" i="7"/>
  <c r="X9" i="7"/>
  <c r="W9" i="7"/>
  <c r="V9" i="7"/>
  <c r="U9" i="7"/>
  <c r="R9" i="7"/>
  <c r="Q9" i="7"/>
  <c r="P9" i="7"/>
  <c r="O9" i="7"/>
  <c r="N9" i="7"/>
  <c r="M9" i="7"/>
  <c r="J9" i="7"/>
  <c r="I9" i="7"/>
  <c r="H9" i="7"/>
  <c r="G9" i="7"/>
  <c r="F9" i="7"/>
  <c r="E9" i="7"/>
  <c r="AB8" i="7"/>
  <c r="AB10" i="7" s="1"/>
  <c r="AA8" i="7"/>
  <c r="AA10" i="7" s="1"/>
  <c r="Z8" i="7"/>
  <c r="Z10" i="7" s="1"/>
  <c r="Y8" i="7"/>
  <c r="Y10" i="7" s="1"/>
  <c r="X8" i="7"/>
  <c r="T8" i="7"/>
  <c r="T10" i="7" s="1"/>
  <c r="S8" i="7"/>
  <c r="S10" i="7" s="1"/>
  <c r="R8" i="7"/>
  <c r="R10" i="7" s="1"/>
  <c r="Q8" i="7"/>
  <c r="Q10" i="7" s="1"/>
  <c r="P8" i="7"/>
  <c r="L8" i="7"/>
  <c r="L10" i="7" s="1"/>
  <c r="K8" i="7"/>
  <c r="K10" i="7" s="1"/>
  <c r="J8" i="7"/>
  <c r="J10" i="7" s="1"/>
  <c r="I8" i="7"/>
  <c r="I10" i="7" s="1"/>
  <c r="H8" i="7"/>
  <c r="D8" i="7"/>
  <c r="D10" i="7" s="1"/>
  <c r="C8" i="7"/>
  <c r="C10" i="7" s="1"/>
  <c r="AA7" i="7"/>
  <c r="S7" i="7"/>
  <c r="K7" i="7"/>
  <c r="C7" i="7"/>
  <c r="X5" i="7"/>
  <c r="X6" i="7" s="1"/>
  <c r="W5" i="7"/>
  <c r="W6" i="7" s="1"/>
  <c r="P5" i="7"/>
  <c r="P6" i="7" s="1"/>
  <c r="O5" i="7"/>
  <c r="O6" i="7" s="1"/>
  <c r="H5" i="7"/>
  <c r="H6" i="7" s="1"/>
  <c r="G5" i="7"/>
  <c r="G6" i="7" s="1"/>
  <c r="Z4" i="7"/>
  <c r="Y4" i="7"/>
  <c r="R4" i="7"/>
  <c r="Q4" i="7"/>
  <c r="J4" i="7"/>
  <c r="I4" i="7"/>
  <c r="AG3" i="7"/>
  <c r="Y7" i="7" s="1"/>
  <c r="AB3" i="7"/>
  <c r="T3" i="7"/>
  <c r="L3" i="7"/>
  <c r="D3" i="7"/>
  <c r="AG2" i="7"/>
  <c r="W8" i="7" s="1"/>
  <c r="W10" i="7" s="1"/>
  <c r="P39" i="1"/>
  <c r="Q38" i="1"/>
  <c r="P38" i="1"/>
  <c r="R38" i="1" s="1"/>
  <c r="P36" i="1"/>
  <c r="Q35" i="1"/>
  <c r="R35" i="1" s="1"/>
  <c r="P35" i="1"/>
  <c r="P34" i="1"/>
  <c r="P33" i="1"/>
  <c r="P32" i="1"/>
  <c r="P31" i="1"/>
  <c r="Q30" i="1"/>
  <c r="P30" i="1"/>
  <c r="R30" i="1" s="1"/>
  <c r="P28" i="1"/>
  <c r="Q27" i="1"/>
  <c r="R27" i="1" s="1"/>
  <c r="P27" i="1"/>
  <c r="P26" i="1"/>
  <c r="P25" i="1"/>
  <c r="P24" i="1"/>
  <c r="P23" i="1"/>
  <c r="Q22" i="1"/>
  <c r="P22" i="1"/>
  <c r="R22" i="1" s="1"/>
  <c r="P20" i="1"/>
  <c r="Q19" i="1"/>
  <c r="R19" i="1" s="1"/>
  <c r="P19" i="1"/>
  <c r="P18" i="1"/>
  <c r="P17" i="1"/>
  <c r="P16" i="1"/>
  <c r="P15" i="1"/>
  <c r="Q13" i="1"/>
  <c r="Q37" i="1" s="1"/>
  <c r="R37" i="1" l="1"/>
  <c r="R31" i="1"/>
  <c r="U3" i="7"/>
  <c r="D7" i="7"/>
  <c r="AB7" i="7"/>
  <c r="Q17" i="1"/>
  <c r="R17" i="1" s="1"/>
  <c r="Q16" i="1"/>
  <c r="R16" i="1" s="1"/>
  <c r="Q24" i="1"/>
  <c r="R24" i="1" s="1"/>
  <c r="Q32" i="1"/>
  <c r="R32" i="1" s="1"/>
  <c r="C3" i="7"/>
  <c r="K3" i="7"/>
  <c r="S3" i="7"/>
  <c r="AA3" i="7"/>
  <c r="H4" i="7"/>
  <c r="P4" i="7"/>
  <c r="X4" i="7"/>
  <c r="F5" i="7"/>
  <c r="F6" i="7" s="1"/>
  <c r="N5" i="7"/>
  <c r="N6" i="7" s="1"/>
  <c r="V5" i="7"/>
  <c r="V6" i="7" s="1"/>
  <c r="J7" i="7"/>
  <c r="R7" i="7"/>
  <c r="Z7" i="7"/>
  <c r="E3" i="7"/>
  <c r="L7" i="7"/>
  <c r="N3" i="7"/>
  <c r="T7" i="7"/>
  <c r="F3" i="7"/>
  <c r="C4" i="7"/>
  <c r="Q5" i="7"/>
  <c r="Q6" i="7" s="1"/>
  <c r="Q20" i="1"/>
  <c r="R20" i="1" s="1"/>
  <c r="Q28" i="1"/>
  <c r="R28" i="1" s="1"/>
  <c r="Q36" i="1"/>
  <c r="R36" i="1" s="1"/>
  <c r="Q15" i="1"/>
  <c r="R15" i="1" s="1"/>
  <c r="Q23" i="1"/>
  <c r="R23" i="1" s="1"/>
  <c r="Q31" i="1"/>
  <c r="Q39" i="1"/>
  <c r="R39" i="1" s="1"/>
  <c r="E4" i="7"/>
  <c r="M4" i="7"/>
  <c r="U4" i="7"/>
  <c r="G7" i="7"/>
  <c r="O7" i="7"/>
  <c r="W7" i="7"/>
  <c r="E8" i="7"/>
  <c r="E10" i="7" s="1"/>
  <c r="M8" i="7"/>
  <c r="M10" i="7" s="1"/>
  <c r="U8" i="7"/>
  <c r="U10" i="7" s="1"/>
  <c r="Q25" i="1"/>
  <c r="R25" i="1" s="1"/>
  <c r="Q33" i="1"/>
  <c r="R33" i="1" s="1"/>
  <c r="V3" i="7"/>
  <c r="I5" i="7"/>
  <c r="I6" i="7" s="1"/>
  <c r="Y5" i="7"/>
  <c r="Y6" i="7" s="1"/>
  <c r="E7" i="7"/>
  <c r="M7" i="7"/>
  <c r="U7" i="7"/>
  <c r="O3" i="7"/>
  <c r="W3" i="7"/>
  <c r="J5" i="7"/>
  <c r="J6" i="7" s="1"/>
  <c r="R5" i="7"/>
  <c r="R6" i="7" s="1"/>
  <c r="F7" i="7"/>
  <c r="N7" i="7"/>
  <c r="V7" i="7"/>
  <c r="Q18" i="1"/>
  <c r="R18" i="1" s="1"/>
  <c r="Q34" i="1"/>
  <c r="R34" i="1" s="1"/>
  <c r="H7" i="7"/>
  <c r="P7" i="7"/>
  <c r="X7" i="7"/>
  <c r="M3" i="7"/>
  <c r="G3" i="7"/>
  <c r="Z5" i="7"/>
  <c r="Z6" i="7" s="1"/>
  <c r="Q26" i="1"/>
  <c r="R26" i="1" s="1"/>
  <c r="Q21" i="1"/>
  <c r="R21" i="1" s="1"/>
  <c r="Q29" i="1"/>
  <c r="R29" i="1" s="1"/>
  <c r="I7" i="7"/>
  <c r="Q7" i="7"/>
  <c r="G8" i="7"/>
  <c r="G10" i="7" s="1"/>
  <c r="O8" i="7"/>
  <c r="O10" i="7" s="1"/>
</calcChain>
</file>

<file path=xl/sharedStrings.xml><?xml version="1.0" encoding="utf-8"?>
<sst xmlns="http://schemas.openxmlformats.org/spreadsheetml/2006/main" count="451" uniqueCount="153">
  <si>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</si>
  <si>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</si>
  <si>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</si>
  <si>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</si>
  <si>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</si>
  <si>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</si>
  <si>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</si>
  <si>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</si>
  <si>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</si>
  <si>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</si>
  <si>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</si>
  <si>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</si>
  <si>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</si>
  <si>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</si>
  <si>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</si>
  <si>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</si>
  <si>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</si>
  <si>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</si>
  <si>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</si>
  <si>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</si>
  <si>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</si>
  <si>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</si>
  <si>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</si>
  <si>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</si>
  <si>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</si>
  <si>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</si>
  <si>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</si>
  <si>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</si>
  <si>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</si>
  <si>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</si>
  <si>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</si>
  <si>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</si>
  <si>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</si>
  <si>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</si>
  <si>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</si>
  <si>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</si>
  <si>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</si>
  <si>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</si>
  <si>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</si>
  <si>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</si>
  <si>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</si>
  <si>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</si>
  <si>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</si>
  <si>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</si>
  <si>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</si>
  <si>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</si>
  <si>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</si>
  <si>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</si>
  <si>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</si>
  <si>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</si>
  <si>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</si>
  <si>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</si>
  <si>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</si>
  <si>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</si>
  <si>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</si>
  <si>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</si>
  <si>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</si>
  <si>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</si>
  <si>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</si>
  <si>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</si>
  <si>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</si>
  <si>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</si>
  <si>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</si>
  <si>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</si>
  <si>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</si>
  <si>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</si>
  <si>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</si>
  <si>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</si>
  <si>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</si>
  <si>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</si>
  <si>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</si>
  <si>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</si>
  <si>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</si>
  <si>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</si>
  <si>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</si>
  <si>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</si>
  <si>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</si>
  <si>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</si>
  <si>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</si>
  <si>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</si>
  <si>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</si>
  <si>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</si>
  <si>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</si>
  <si>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</si>
  <si>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</si>
  <si>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</si>
  <si>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</si>
  <si>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EZU</t>
  </si>
  <si>
    <t>EWU</t>
  </si>
  <si>
    <t>China Business Confidence</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</si>
  <si>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</si>
  <si>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</si>
  <si>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</si>
  <si>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</si>
  <si>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</si>
  <si>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</si>
  <si>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</si>
  <si>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</si>
  <si>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</si>
  <si>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</si>
  <si>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</si>
  <si>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</si>
  <si>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</si>
  <si>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</si>
  <si>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</si>
  <si>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</si>
  <si>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</si>
  <si>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</si>
  <si>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</si>
  <si>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</si>
  <si>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U.S.</t>
  </si>
  <si>
    <t xml:space="preserve"> Manufacturing PMI</t>
  </si>
  <si>
    <t>united-states</t>
  </si>
  <si>
    <t>Caixin China</t>
  </si>
  <si>
    <t>https://tradingeconomics.com/china/business-confidence</t>
  </si>
  <si>
    <t>Caixin PMI</t>
  </si>
  <si>
    <t>Official PMI</t>
  </si>
  <si>
    <t>mom2</t>
  </si>
  <si>
    <t>GDP yoy %</t>
  </si>
  <si>
    <t>euro-area</t>
  </si>
  <si>
    <t>Euro Area PMI</t>
  </si>
  <si>
    <t>EZU yoy</t>
  </si>
  <si>
    <t>Euro Area GDP qoq %</t>
  </si>
  <si>
    <t>japan</t>
  </si>
  <si>
    <t>germany</t>
  </si>
  <si>
    <t>france</t>
  </si>
  <si>
    <t>U.K.</t>
  </si>
  <si>
    <t>united-kingdom</t>
  </si>
  <si>
    <t>EWU yoy</t>
  </si>
  <si>
    <t>italy</t>
  </si>
  <si>
    <t>spain</t>
  </si>
  <si>
    <t>brazil</t>
  </si>
  <si>
    <t>mexico</t>
  </si>
  <si>
    <t>russia</t>
  </si>
  <si>
    <t>india</t>
  </si>
  <si>
    <t>canada</t>
  </si>
  <si>
    <t>australia</t>
  </si>
  <si>
    <t>indonesia</t>
  </si>
  <si>
    <t>south-korea</t>
  </si>
  <si>
    <t>taiwan</t>
  </si>
  <si>
    <t>greece</t>
  </si>
  <si>
    <t>ireland</t>
  </si>
  <si>
    <t>turkey</t>
  </si>
  <si>
    <t>czech-republic</t>
  </si>
  <si>
    <t>poland</t>
  </si>
  <si>
    <t>denmark</t>
  </si>
  <si>
    <t>vietnam</t>
  </si>
  <si>
    <t>thailand</t>
  </si>
  <si>
    <t>south-africa</t>
  </si>
  <si>
    <t>Hong-Kong</t>
  </si>
  <si>
    <t>hong-kong</t>
  </si>
  <si>
    <t>saudi-arabia</t>
  </si>
  <si>
    <t>new-zealand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</si>
</sst>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D9F3-EA42-A539-CB455EBC781D}"/>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D9F3-EA42-A539-CB455EBC781D}"/>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51C6-2440-A257-F39CB5EEBDF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B641-1747-96CF-7EDECFEA56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7FDE-A143-BE6A-14E5E9DE25CE}"/>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7FDE-A143-BE6A-14E5E9DE25CE}"/>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7B9F-C54F-8A4F-7F08DD49A247}"/>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7B9F-C54F-8A4F-7F08DD49A247}"/>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D1EE-814C-B731-02F5D4809F8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9FCB-9D44-B45C-DF01BD17D1C4}"/>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9FCB-9D44-B45C-DF01BD17D1C4}"/>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0CD6-2B43-B443-498536DDFE3C}"/>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0CD6-2B43-B443-498536DDFE3C}"/>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0CD6-2B43-B443-498536DDFE3C}"/>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5624-C940-A533-582AB1D63E4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073D-D043-9637-EEC44A00EC0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1804-2148-93DB-2847F1CB322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5E27-5743-A375-0460E97153D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C0C0-D947-AAF7-5EEF904BB720}"/>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C0C0-D947-AAF7-5EEF904BB720}"/>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B541-3940-B44B-ED3CDD4FCD0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7904-274A-B74D-30D0E5D6974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5088-2D4A-9E71-B6E532000AA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BB71-624A-AE2F-FB60180792F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B6A5-D748-B71B-81665EB3D67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4B0F-2540-807B-FDB30ADC802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2270-0D44-9E2B-60429E51E91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CDD8-144C-9AF8-79274A4C832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5529-5A4C-9580-52694A06835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2B27-8D49-94C2-0B5D70C13FB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8C3A-C04C-AB33-5B66EA69DAD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37B7-6141-A660-0755284D68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DB04-9F4D-A0A0-7B07DD1651B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54EC-7248-817C-84262104286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97A-0C41-9AAF-EAB29ADBD4B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B4F5-154B-8152-11E14598072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1618-DB4C-9E3C-51CE09FD776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04BD-FD4E-B280-57A3075C834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6F50-8E44-B5DF-4C6F6E31DE9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7E47-0D4E-A155-AF7B4EDB785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7175-574C-9071-7CD272FB732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87D9-9243-950D-93A1FF28715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E695-D042-AE95-42254A1FEC2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8316-E141-A48D-78B9E521DD9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E37" sqref="E37"/>
    </sheetView>
  </sheetViews>
  <sheetFormatPr baseColWidth="10" defaultColWidth="9.1640625" defaultRowHeight="15" x14ac:dyDescent="0.2"/>
  <cols>
    <col min="1" max="1" width="4" style="77" customWidth="1"/>
    <col min="2" max="5" width="12.83203125" style="77" customWidth="1"/>
    <col min="6" max="6" width="13.6640625" style="77" customWidth="1"/>
    <col min="7" max="10" width="12.83203125" style="77" customWidth="1"/>
    <col min="11" max="13" width="2" style="77" customWidth="1"/>
    <col min="14" max="14" width="9.1640625" style="77" customWidth="1"/>
    <col min="15" max="15" width="15.5" style="77" customWidth="1"/>
    <col min="16" max="18" width="12.6640625" style="77" customWidth="1"/>
    <col min="19" max="19" width="11.6640625" style="77" customWidth="1"/>
    <col min="20" max="37" width="9.1640625" style="77" customWidth="1"/>
    <col min="38" max="16384" width="9.1640625" style="77"/>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85"/>
      <c r="D3" s="85"/>
      <c r="E3" s="85"/>
      <c r="F3" s="85"/>
      <c r="G3" s="85"/>
      <c r="H3" s="85"/>
      <c r="I3" s="85"/>
      <c r="J3" s="86"/>
    </row>
    <row r="5" spans="2:19" x14ac:dyDescent="0.2">
      <c r="B5" s="80" t="s">
        <v>1</v>
      </c>
      <c r="C5" s="90"/>
      <c r="D5" s="90"/>
      <c r="E5" s="90"/>
      <c r="F5" s="90"/>
      <c r="G5" s="90"/>
      <c r="H5" s="90"/>
      <c r="I5" s="90"/>
      <c r="J5" s="81"/>
    </row>
    <row r="7" spans="2:19" ht="225.75" customHeight="1" x14ac:dyDescent="0.2">
      <c r="B7" s="91" t="s">
        <v>2</v>
      </c>
      <c r="C7" s="83"/>
      <c r="D7" s="83"/>
      <c r="E7" s="83"/>
      <c r="F7" s="83"/>
      <c r="G7" s="83"/>
      <c r="H7" s="83"/>
      <c r="I7" s="83"/>
      <c r="J7" s="83"/>
    </row>
    <row r="8" spans="2:19" ht="24" customHeight="1" x14ac:dyDescent="0.2">
      <c r="B8" s="1"/>
      <c r="C8" s="78"/>
      <c r="D8" s="78"/>
      <c r="E8" s="78"/>
      <c r="F8" s="78"/>
      <c r="G8" s="78"/>
      <c r="H8" s="78"/>
      <c r="I8" s="78"/>
      <c r="J8" s="78"/>
    </row>
    <row r="9" spans="2:19" ht="16" customHeight="1" thickBot="1" x14ac:dyDescent="0.25">
      <c r="B9" s="2"/>
      <c r="C9" s="3"/>
      <c r="D9" s="3"/>
      <c r="E9" s="3"/>
    </row>
    <row r="10" spans="2:19" ht="16" customHeight="1" thickBot="1" x14ac:dyDescent="0.25">
      <c r="B10" s="80" t="s">
        <v>3</v>
      </c>
      <c r="C10" s="90"/>
      <c r="D10" s="90"/>
      <c r="E10" s="90"/>
      <c r="F10" s="90"/>
      <c r="G10" s="90"/>
      <c r="H10" s="90"/>
      <c r="I10" s="90"/>
      <c r="J10" s="81"/>
      <c r="N10" s="84" t="s">
        <v>4</v>
      </c>
      <c r="O10" s="85"/>
      <c r="P10" s="85"/>
      <c r="Q10" s="85"/>
      <c r="R10" s="85"/>
      <c r="S10" s="86"/>
    </row>
    <row r="11" spans="2:19" x14ac:dyDescent="0.2">
      <c r="N11" s="4" t="s">
        <v>5</v>
      </c>
    </row>
    <row r="12" spans="2:19" ht="16" customHeight="1" thickBot="1" x14ac:dyDescent="0.25">
      <c r="B12" s="80" t="s">
        <v>6</v>
      </c>
      <c r="C12" s="90"/>
      <c r="D12" s="90"/>
      <c r="E12" s="90"/>
      <c r="F12" s="81"/>
      <c r="G12" s="80" t="s">
        <v>7</v>
      </c>
      <c r="H12" s="90"/>
      <c r="I12" s="90"/>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77" t="s">
        <v>10</v>
      </c>
      <c r="O14" s="77" t="s">
        <v>11</v>
      </c>
      <c r="P14" s="8" t="s">
        <v>12</v>
      </c>
      <c r="Q14" s="8" t="s">
        <v>12</v>
      </c>
      <c r="R14" s="9" t="s">
        <v>13</v>
      </c>
      <c r="S14" s="67" t="s">
        <v>14</v>
      </c>
    </row>
    <row r="15" spans="2:19" ht="30.75" customHeight="1" x14ac:dyDescent="0.2">
      <c r="G15" s="82" t="s">
        <v>15</v>
      </c>
      <c r="H15" s="83"/>
      <c r="I15" s="83"/>
      <c r="J15" s="83"/>
      <c r="N15" s="80" t="s">
        <v>16</v>
      </c>
      <c r="O15" s="81"/>
      <c r="P15" s="25">
        <f>VLOOKUP($P$13,Summary!$B:$AB,MATCH(Note!N15,Summary!$B$2:$AB$2,),)</f>
        <v>54.2</v>
      </c>
      <c r="Q15" s="25">
        <f>VLOOKUP($Q$13,Summary!$B:$AB,MATCH(Note!N15,Summary!$B$2:$AB$2,),)</f>
        <v>54.2</v>
      </c>
      <c r="R15" s="63">
        <f t="shared" ref="R15:R39" si="0">P15-Q15</f>
        <v>0</v>
      </c>
      <c r="S15" s="65"/>
    </row>
    <row r="16" spans="2:19" x14ac:dyDescent="0.2">
      <c r="B16" s="82" t="s">
        <v>17</v>
      </c>
      <c r="C16" s="83"/>
      <c r="D16" s="83"/>
      <c r="E16" s="83"/>
      <c r="F16" s="83"/>
      <c r="G16" s="83" t="s">
        <v>18</v>
      </c>
      <c r="H16" s="83"/>
      <c r="I16" s="83"/>
      <c r="J16" s="83"/>
      <c r="N16" s="80" t="s">
        <v>19</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7" t="s">
        <v>20</v>
      </c>
      <c r="N17" s="80" t="s">
        <v>21</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22</v>
      </c>
      <c r="O18" s="81"/>
      <c r="P18" s="25">
        <f>VLOOKUP($P$13,Summary!$B:$AB,MATCH(Note!N18,Summary!$B$2:$AB$2,),)</f>
        <v>58</v>
      </c>
      <c r="Q18" s="25">
        <f>VLOOKUP($Q$13,Summary!$B:$AB,MATCH(Note!N18,Summary!$B$2:$AB$2,),)</f>
        <v>58.4</v>
      </c>
      <c r="R18" s="63">
        <f t="shared" si="0"/>
        <v>-0.39999999999999858</v>
      </c>
      <c r="S18" s="64">
        <v>0.156</v>
      </c>
    </row>
    <row r="19" spans="2:19" x14ac:dyDescent="0.2">
      <c r="N19" s="80" t="s">
        <v>23</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24</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25</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26</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27</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28</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29</v>
      </c>
      <c r="O25" s="81"/>
      <c r="P25" s="25">
        <f>VLOOKUP($P$13,Summary!$B:$AB,MATCH(Note!N25,Summary!$B$2:$AB$2,),)</f>
        <v>49.8</v>
      </c>
      <c r="Q25" s="25">
        <f>VLOOKUP($Q$13,Summary!$B:$AB,MATCH(Note!N25,Summary!$B$2:$AB$2,),)</f>
        <v>49.8</v>
      </c>
      <c r="R25" s="63">
        <f t="shared" si="0"/>
        <v>0</v>
      </c>
      <c r="S25" s="64">
        <v>2.5521033750822361E-2</v>
      </c>
    </row>
    <row r="26" spans="2:19" x14ac:dyDescent="0.2">
      <c r="N26" s="80" t="s">
        <v>30</v>
      </c>
      <c r="O26" s="81"/>
      <c r="P26" s="25">
        <f>VLOOKUP($P$13,Summary!$B:$AB,MATCH(Note!N26,Summary!$B$2:$AB$2,),)</f>
        <v>49.4</v>
      </c>
      <c r="Q26" s="25">
        <f>VLOOKUP($Q$13,Summary!$B:$AB,MATCH(Note!N26,Summary!$B$2:$AB$2,),)</f>
        <v>49.4</v>
      </c>
      <c r="R26" s="63">
        <f t="shared" si="0"/>
        <v>0</v>
      </c>
      <c r="S26" s="64">
        <v>1.4287310236963301E-2</v>
      </c>
    </row>
    <row r="27" spans="2:19" x14ac:dyDescent="0.2">
      <c r="N27" s="80" t="s">
        <v>31</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32</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33</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34</v>
      </c>
      <c r="O30" s="81"/>
      <c r="P30" s="25" t="e">
        <f>VLOOKUP($P$13,Summary!$B:$AB,MATCH(Note!N30,Summary!$B$2:$AB$2,),)</f>
        <v>#N/A</v>
      </c>
      <c r="Q30" s="25">
        <f>VLOOKUP($Q$13,Summary!$B:$AB,MATCH(Note!N30,Summary!$B$2:$AB$2,),)</f>
        <v>54.8</v>
      </c>
      <c r="R30" s="63" t="e">
        <f t="shared" si="0"/>
        <v>#N/A</v>
      </c>
      <c r="S30" s="64">
        <v>1.6422338352304462E-2</v>
      </c>
    </row>
    <row r="31" spans="2:19" x14ac:dyDescent="0.2">
      <c r="N31" s="80" t="s">
        <v>35</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36</v>
      </c>
      <c r="O32" s="81"/>
      <c r="P32" s="25">
        <f>VLOOKUP($P$13,Summary!$B:$AB,MATCH(Note!N32,Summary!$B$2:$AB$2,),)</f>
        <v>51.9</v>
      </c>
      <c r="Q32" s="25">
        <f>VLOOKUP($Q$13,Summary!$B:$AB,MATCH(Note!N32,Summary!$B$2:$AB$2,),)</f>
        <v>50.9</v>
      </c>
      <c r="R32" s="63">
        <f t="shared" si="0"/>
        <v>1</v>
      </c>
      <c r="S32" s="64">
        <v>1.9E-2</v>
      </c>
    </row>
    <row r="33" spans="2:19" x14ac:dyDescent="0.2">
      <c r="N33" s="80" t="s">
        <v>37</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38</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39</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40</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41</v>
      </c>
      <c r="O37" s="81"/>
      <c r="P37" s="25">
        <f>VLOOKUP($P$13,Summary!$B:$AB,MATCH(Note!N37,Summary!$B$2:$AB$2,),)</f>
        <v>59.1</v>
      </c>
      <c r="Q37" s="25">
        <f>VLOOKUP($Q$13,Summary!$B:$AB,MATCH(Note!N37,Summary!$B$2:$AB$2,),)</f>
        <v>57.1</v>
      </c>
      <c r="R37" s="63">
        <f t="shared" si="0"/>
        <v>2</v>
      </c>
      <c r="S37" s="64">
        <v>3.0000000000000001E-3</v>
      </c>
    </row>
    <row r="38" spans="2:19" x14ac:dyDescent="0.2">
      <c r="N38" s="80" t="s">
        <v>42</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43</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92"/>
      <c r="C44" s="83"/>
      <c r="D44" s="83"/>
      <c r="E44" s="83"/>
      <c r="F44" s="83"/>
      <c r="G44" s="83"/>
      <c r="H44" s="83"/>
      <c r="I44" s="83"/>
      <c r="J44" s="83"/>
      <c r="K44" s="83"/>
      <c r="L44" s="83"/>
      <c r="M44" s="83"/>
      <c r="N44" s="83"/>
      <c r="O44" s="83"/>
      <c r="P44" s="83"/>
      <c r="Q44" s="83"/>
      <c r="R44" s="83"/>
      <c r="S44" s="83"/>
    </row>
    <row r="45" spans="2:19" x14ac:dyDescent="0.2">
      <c r="B45" s="82"/>
      <c r="C45" s="83"/>
      <c r="D45" s="83"/>
      <c r="E45" s="83"/>
      <c r="F45" s="83"/>
      <c r="G45" s="83"/>
      <c r="H45" s="83"/>
      <c r="I45" s="83"/>
      <c r="J45" s="83"/>
      <c r="K45" s="83"/>
      <c r="L45" s="83"/>
      <c r="M45" s="83"/>
      <c r="N45" s="83"/>
      <c r="O45" s="83"/>
      <c r="P45" s="83"/>
      <c r="Q45" s="83"/>
      <c r="R45" s="83"/>
      <c r="S45" s="83"/>
    </row>
    <row r="46" spans="2:19" x14ac:dyDescent="0.2">
      <c r="B46" s="93"/>
      <c r="C46" s="83"/>
      <c r="D46" s="83"/>
      <c r="E46" s="83"/>
      <c r="F46" s="83"/>
      <c r="G46" s="83"/>
      <c r="H46" s="83"/>
      <c r="I46" s="83"/>
      <c r="J46" s="83"/>
      <c r="K46" s="83"/>
      <c r="L46" s="83"/>
      <c r="M46" s="83"/>
      <c r="N46" s="83"/>
      <c r="O46" s="83"/>
      <c r="P46" s="83"/>
      <c r="Q46" s="83"/>
      <c r="R46" s="83"/>
      <c r="S46" s="83"/>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65" sqref="F65"/>
    </sheetView>
  </sheetViews>
  <sheetFormatPr baseColWidth="10" defaultColWidth="9.1640625" defaultRowHeight="15" x14ac:dyDescent="0.2"/>
  <cols>
    <col min="1" max="2" width="9.1640625" style="77" customWidth="1"/>
    <col min="3" max="7" width="28.6640625" style="26" customWidth="1"/>
    <col min="8" max="25" width="9.1640625" style="77" customWidth="1"/>
    <col min="26" max="16384" width="9.1640625" style="77"/>
  </cols>
  <sheetData>
    <row r="2" spans="2:7" x14ac:dyDescent="0.2">
      <c r="B2" s="1" t="s">
        <v>17</v>
      </c>
    </row>
    <row r="8" spans="2:7" ht="16" customHeight="1" thickBot="1" x14ac:dyDescent="0.25"/>
    <row r="9" spans="2:7" x14ac:dyDescent="0.2">
      <c r="C9" s="60" t="s">
        <v>11</v>
      </c>
      <c r="D9" s="61" t="s">
        <v>44</v>
      </c>
      <c r="E9" s="61" t="s">
        <v>45</v>
      </c>
      <c r="F9" s="61" t="s">
        <v>46</v>
      </c>
      <c r="G9" s="62" t="s">
        <v>47</v>
      </c>
    </row>
    <row r="10" spans="2:7" x14ac:dyDescent="0.2">
      <c r="C10" s="75" t="s">
        <v>48</v>
      </c>
      <c r="D10" s="69">
        <v>64.8</v>
      </c>
      <c r="E10" s="73">
        <v>52.2</v>
      </c>
      <c r="F10" s="70">
        <v>44531</v>
      </c>
      <c r="G10" s="69" t="s">
        <v>49</v>
      </c>
    </row>
    <row r="11" spans="2:7" x14ac:dyDescent="0.2">
      <c r="C11" s="75" t="s">
        <v>43</v>
      </c>
      <c r="D11" s="69">
        <v>64.400000000000006</v>
      </c>
      <c r="E11" s="73">
        <v>68.2</v>
      </c>
      <c r="F11" s="70">
        <v>44531</v>
      </c>
      <c r="G11" s="69" t="s">
        <v>49</v>
      </c>
    </row>
    <row r="12" spans="2:7" x14ac:dyDescent="0.2">
      <c r="C12" s="75" t="s">
        <v>50</v>
      </c>
      <c r="D12" s="69">
        <v>62.7</v>
      </c>
      <c r="E12" s="73">
        <v>62.5</v>
      </c>
      <c r="F12" s="70">
        <v>44531</v>
      </c>
      <c r="G12" s="69" t="s">
        <v>49</v>
      </c>
    </row>
    <row r="13" spans="2:7" x14ac:dyDescent="0.2">
      <c r="C13" s="75" t="s">
        <v>51</v>
      </c>
      <c r="D13" s="69">
        <v>62.1</v>
      </c>
      <c r="E13" s="73">
        <v>63.1</v>
      </c>
      <c r="F13" s="70">
        <v>44531</v>
      </c>
      <c r="G13" s="71" t="s">
        <v>49</v>
      </c>
    </row>
    <row r="14" spans="2:7" x14ac:dyDescent="0.2">
      <c r="C14" s="75" t="s">
        <v>52</v>
      </c>
      <c r="D14" s="69">
        <v>62</v>
      </c>
      <c r="E14" s="73">
        <v>62.8</v>
      </c>
      <c r="F14" s="70">
        <v>44531</v>
      </c>
      <c r="G14" s="69" t="s">
        <v>49</v>
      </c>
    </row>
    <row r="15" spans="2:7" x14ac:dyDescent="0.2">
      <c r="C15" s="75" t="s">
        <v>53</v>
      </c>
      <c r="D15" s="69">
        <v>61.9</v>
      </c>
      <c r="E15" s="73">
        <v>60.4</v>
      </c>
      <c r="F15" s="70">
        <v>44501</v>
      </c>
      <c r="G15" s="69" t="s">
        <v>49</v>
      </c>
    </row>
    <row r="16" spans="2:7" x14ac:dyDescent="0.2">
      <c r="C16" s="75" t="s">
        <v>54</v>
      </c>
      <c r="D16" s="69">
        <v>61.4</v>
      </c>
      <c r="E16" s="73">
        <v>63.1</v>
      </c>
      <c r="F16" s="70">
        <v>44531</v>
      </c>
      <c r="G16" s="69" t="s">
        <v>49</v>
      </c>
    </row>
    <row r="17" spans="3:7" x14ac:dyDescent="0.2">
      <c r="C17" s="75" t="s">
        <v>55</v>
      </c>
      <c r="D17" s="69">
        <v>59.1</v>
      </c>
      <c r="E17" s="73">
        <v>57.1</v>
      </c>
      <c r="F17" s="70">
        <v>44531</v>
      </c>
      <c r="G17" s="69" t="s">
        <v>49</v>
      </c>
    </row>
    <row r="18" spans="3:7" x14ac:dyDescent="0.2">
      <c r="C18" s="75" t="s">
        <v>38</v>
      </c>
      <c r="D18" s="69">
        <v>59</v>
      </c>
      <c r="E18" s="73">
        <v>58.8</v>
      </c>
      <c r="F18" s="70">
        <v>44531</v>
      </c>
      <c r="G18" s="69" t="s">
        <v>49</v>
      </c>
    </row>
    <row r="19" spans="3:7" x14ac:dyDescent="0.2">
      <c r="C19" s="75" t="s">
        <v>56</v>
      </c>
      <c r="D19" s="69">
        <v>58.7</v>
      </c>
      <c r="E19" s="73">
        <v>58.1</v>
      </c>
      <c r="F19" s="70">
        <v>44531</v>
      </c>
      <c r="G19" s="69" t="s">
        <v>49</v>
      </c>
    </row>
    <row r="20" spans="3:7" x14ac:dyDescent="0.2">
      <c r="C20" s="75" t="s">
        <v>57</v>
      </c>
      <c r="D20" s="69">
        <v>58.7</v>
      </c>
      <c r="E20" s="73">
        <v>60.7</v>
      </c>
      <c r="F20" s="70">
        <v>44531</v>
      </c>
      <c r="G20" s="69" t="s">
        <v>49</v>
      </c>
    </row>
    <row r="21" spans="3:7" x14ac:dyDescent="0.2">
      <c r="C21" s="75" t="s">
        <v>39</v>
      </c>
      <c r="D21" s="69">
        <v>58.3</v>
      </c>
      <c r="E21" s="73">
        <v>59.9</v>
      </c>
      <c r="F21" s="70">
        <v>44531</v>
      </c>
      <c r="G21" s="69" t="s">
        <v>49</v>
      </c>
    </row>
    <row r="22" spans="3:7" x14ac:dyDescent="0.2">
      <c r="C22" s="75" t="s">
        <v>58</v>
      </c>
      <c r="D22" s="69">
        <v>58</v>
      </c>
      <c r="E22" s="73">
        <v>58.4</v>
      </c>
      <c r="F22" s="70">
        <v>44531</v>
      </c>
      <c r="G22" s="69" t="s">
        <v>49</v>
      </c>
    </row>
    <row r="23" spans="3:7" x14ac:dyDescent="0.2">
      <c r="C23" s="75" t="s">
        <v>59</v>
      </c>
      <c r="D23" s="69">
        <v>58</v>
      </c>
      <c r="E23" s="73">
        <v>63.9</v>
      </c>
      <c r="F23" s="70">
        <v>44531</v>
      </c>
      <c r="G23" s="69" t="s">
        <v>49</v>
      </c>
    </row>
    <row r="24" spans="3:7" x14ac:dyDescent="0.2">
      <c r="C24" s="75" t="s">
        <v>60</v>
      </c>
      <c r="D24" s="69">
        <v>57.9</v>
      </c>
      <c r="E24" s="73">
        <v>58.1</v>
      </c>
      <c r="F24" s="70">
        <v>44531</v>
      </c>
      <c r="G24" s="69" t="s">
        <v>49</v>
      </c>
    </row>
    <row r="25" spans="3:7" x14ac:dyDescent="0.2">
      <c r="C25" s="75" t="s">
        <v>61</v>
      </c>
      <c r="D25" s="69">
        <v>57.7</v>
      </c>
      <c r="E25" s="73">
        <v>58.3</v>
      </c>
      <c r="F25" s="70">
        <v>44531</v>
      </c>
      <c r="G25" s="71" t="s">
        <v>49</v>
      </c>
    </row>
    <row r="26" spans="3:7" x14ac:dyDescent="0.2">
      <c r="C26" s="75" t="s">
        <v>24</v>
      </c>
      <c r="D26" s="69">
        <v>57.4</v>
      </c>
      <c r="E26" s="73">
        <v>57.4</v>
      </c>
      <c r="F26" s="70">
        <v>44531</v>
      </c>
      <c r="G26" s="69" t="s">
        <v>49</v>
      </c>
    </row>
    <row r="27" spans="3:7" x14ac:dyDescent="0.2">
      <c r="C27" s="75" t="s">
        <v>62</v>
      </c>
      <c r="D27" s="69">
        <v>57.2</v>
      </c>
      <c r="E27" s="73">
        <v>53.6</v>
      </c>
      <c r="F27" s="70">
        <v>44501</v>
      </c>
      <c r="G27" s="69" t="s">
        <v>49</v>
      </c>
    </row>
    <row r="28" spans="3:7" x14ac:dyDescent="0.2">
      <c r="C28" s="75" t="s">
        <v>33</v>
      </c>
      <c r="D28" s="69">
        <v>56.5</v>
      </c>
      <c r="E28" s="73">
        <v>57.2</v>
      </c>
      <c r="F28" s="70">
        <v>44531</v>
      </c>
      <c r="G28" s="69" t="s">
        <v>49</v>
      </c>
    </row>
    <row r="29" spans="3:7" x14ac:dyDescent="0.2">
      <c r="C29" s="75" t="s">
        <v>28</v>
      </c>
      <c r="D29" s="69">
        <v>56.2</v>
      </c>
      <c r="E29" s="73">
        <v>57.1</v>
      </c>
      <c r="F29" s="70">
        <v>44531</v>
      </c>
      <c r="G29" s="69" t="s">
        <v>49</v>
      </c>
    </row>
    <row r="30" spans="3:7" x14ac:dyDescent="0.2">
      <c r="C30" s="75" t="s">
        <v>42</v>
      </c>
      <c r="D30" s="69">
        <v>56.1</v>
      </c>
      <c r="E30" s="73">
        <v>54.4</v>
      </c>
      <c r="F30" s="70">
        <v>44531</v>
      </c>
      <c r="G30" s="71" t="s">
        <v>49</v>
      </c>
    </row>
    <row r="31" spans="3:7" x14ac:dyDescent="0.2">
      <c r="C31" s="75" t="s">
        <v>63</v>
      </c>
      <c r="D31" s="69">
        <v>55.9</v>
      </c>
      <c r="E31" s="73">
        <v>55.7</v>
      </c>
      <c r="F31" s="70">
        <v>44501</v>
      </c>
      <c r="G31" s="69" t="s">
        <v>49</v>
      </c>
    </row>
    <row r="32" spans="3:7" x14ac:dyDescent="0.2">
      <c r="C32" s="75" t="s">
        <v>25</v>
      </c>
      <c r="D32" s="69">
        <v>55.6</v>
      </c>
      <c r="E32" s="73">
        <v>55.9</v>
      </c>
      <c r="F32" s="70">
        <v>44531</v>
      </c>
      <c r="G32" s="69" t="s">
        <v>49</v>
      </c>
    </row>
    <row r="33" spans="3:7" x14ac:dyDescent="0.2">
      <c r="C33" s="75" t="s">
        <v>32</v>
      </c>
      <c r="D33" s="69">
        <v>55.5</v>
      </c>
      <c r="E33" s="73">
        <v>57.6</v>
      </c>
      <c r="F33" s="70">
        <v>44531</v>
      </c>
      <c r="G33" s="69" t="s">
        <v>49</v>
      </c>
    </row>
    <row r="34" spans="3:7" x14ac:dyDescent="0.2">
      <c r="C34" s="75" t="s">
        <v>37</v>
      </c>
      <c r="D34" s="69">
        <v>55.5</v>
      </c>
      <c r="E34" s="73">
        <v>54.9</v>
      </c>
      <c r="F34" s="70">
        <v>44531</v>
      </c>
      <c r="G34" s="69" t="s">
        <v>49</v>
      </c>
    </row>
    <row r="35" spans="3:7" x14ac:dyDescent="0.2">
      <c r="C35" s="75" t="s">
        <v>34</v>
      </c>
      <c r="D35" s="69">
        <v>54.8</v>
      </c>
      <c r="E35" s="73">
        <v>50.4</v>
      </c>
      <c r="F35" s="70">
        <v>44501</v>
      </c>
      <c r="G35" s="69" t="s">
        <v>49</v>
      </c>
    </row>
    <row r="36" spans="3:7" x14ac:dyDescent="0.2">
      <c r="C36" s="75" t="s">
        <v>64</v>
      </c>
      <c r="D36" s="69">
        <v>54.3</v>
      </c>
      <c r="E36" s="73">
        <v>54.5</v>
      </c>
      <c r="F36" s="70">
        <v>44531</v>
      </c>
      <c r="G36" s="69" t="s">
        <v>49</v>
      </c>
    </row>
    <row r="37" spans="3:7" x14ac:dyDescent="0.2">
      <c r="C37" s="75" t="s">
        <v>65</v>
      </c>
      <c r="D37" s="69">
        <v>53.9</v>
      </c>
      <c r="E37" s="73">
        <v>56.9</v>
      </c>
      <c r="F37" s="70">
        <v>44531</v>
      </c>
      <c r="G37" s="69" t="s">
        <v>49</v>
      </c>
    </row>
    <row r="38" spans="3:7" x14ac:dyDescent="0.2">
      <c r="C38" s="75" t="s">
        <v>35</v>
      </c>
      <c r="D38" s="69">
        <v>53.5</v>
      </c>
      <c r="E38" s="73">
        <v>53.9</v>
      </c>
      <c r="F38" s="70">
        <v>44531</v>
      </c>
      <c r="G38" s="69" t="s">
        <v>49</v>
      </c>
    </row>
    <row r="39" spans="3:7" x14ac:dyDescent="0.2">
      <c r="C39" s="75" t="s">
        <v>66</v>
      </c>
      <c r="D39" s="69">
        <v>53.2</v>
      </c>
      <c r="E39" s="73">
        <v>53.8</v>
      </c>
      <c r="F39" s="70">
        <v>44440</v>
      </c>
      <c r="G39" s="69" t="s">
        <v>49</v>
      </c>
    </row>
    <row r="40" spans="3:7" x14ac:dyDescent="0.2">
      <c r="C40" s="75" t="s">
        <v>67</v>
      </c>
      <c r="D40" s="69">
        <v>53.1</v>
      </c>
      <c r="E40" s="73">
        <v>54.9</v>
      </c>
      <c r="F40" s="70">
        <v>44531</v>
      </c>
      <c r="G40" s="69" t="s">
        <v>49</v>
      </c>
    </row>
    <row r="41" spans="3:7" x14ac:dyDescent="0.2">
      <c r="C41" s="75" t="s">
        <v>68</v>
      </c>
      <c r="D41" s="69">
        <v>53</v>
      </c>
      <c r="E41" s="73">
        <v>51.4</v>
      </c>
      <c r="F41" s="70">
        <v>44501</v>
      </c>
      <c r="G41" s="69" t="s">
        <v>49</v>
      </c>
    </row>
    <row r="42" spans="3:7" x14ac:dyDescent="0.2">
      <c r="C42" s="75" t="s">
        <v>69</v>
      </c>
      <c r="D42" s="69">
        <v>52.8</v>
      </c>
      <c r="E42" s="73">
        <v>52.3</v>
      </c>
      <c r="F42" s="70">
        <v>44531</v>
      </c>
      <c r="G42" s="69" t="s">
        <v>49</v>
      </c>
    </row>
    <row r="43" spans="3:7" x14ac:dyDescent="0.2">
      <c r="C43" s="75" t="s">
        <v>70</v>
      </c>
      <c r="D43" s="69">
        <v>52.6</v>
      </c>
      <c r="E43" s="73">
        <v>50.8</v>
      </c>
      <c r="F43" s="70">
        <v>44501</v>
      </c>
      <c r="G43" s="69" t="s">
        <v>49</v>
      </c>
    </row>
    <row r="44" spans="3:7" x14ac:dyDescent="0.2">
      <c r="C44" s="75" t="s">
        <v>71</v>
      </c>
      <c r="D44" s="69">
        <v>52.5</v>
      </c>
      <c r="E44" s="73">
        <v>52.2</v>
      </c>
      <c r="F44" s="70">
        <v>44531</v>
      </c>
      <c r="G44" s="69" t="s">
        <v>49</v>
      </c>
    </row>
    <row r="45" spans="3:7" x14ac:dyDescent="0.2">
      <c r="C45" s="75" t="s">
        <v>40</v>
      </c>
      <c r="D45" s="69">
        <v>52.1</v>
      </c>
      <c r="E45" s="73">
        <v>52</v>
      </c>
      <c r="F45" s="70">
        <v>44531</v>
      </c>
      <c r="G45" s="69" t="s">
        <v>49</v>
      </c>
    </row>
    <row r="46" spans="3:7" x14ac:dyDescent="0.2">
      <c r="C46" s="75" t="s">
        <v>72</v>
      </c>
      <c r="D46" s="69">
        <v>51.9</v>
      </c>
      <c r="E46" s="73">
        <v>50.9</v>
      </c>
      <c r="F46" s="70">
        <v>44531</v>
      </c>
      <c r="G46" s="69" t="s">
        <v>49</v>
      </c>
    </row>
    <row r="47" spans="3:7" x14ac:dyDescent="0.2">
      <c r="C47" s="75" t="s">
        <v>73</v>
      </c>
      <c r="D47" s="69">
        <v>51.8</v>
      </c>
      <c r="E47" s="73">
        <v>51.7</v>
      </c>
      <c r="F47" s="70">
        <v>44531</v>
      </c>
      <c r="G47" s="69" t="s">
        <v>49</v>
      </c>
    </row>
    <row r="48" spans="3:7" x14ac:dyDescent="0.2">
      <c r="C48" s="75" t="s">
        <v>31</v>
      </c>
      <c r="D48" s="69">
        <v>51.6</v>
      </c>
      <c r="E48" s="73">
        <v>51.7</v>
      </c>
      <c r="F48" s="70">
        <v>44531</v>
      </c>
      <c r="G48" s="69" t="s">
        <v>49</v>
      </c>
    </row>
    <row r="49" spans="3:7" x14ac:dyDescent="0.2">
      <c r="C49" s="75" t="s">
        <v>74</v>
      </c>
      <c r="D49" s="69">
        <v>50.9</v>
      </c>
      <c r="E49" s="73">
        <v>49.9</v>
      </c>
      <c r="F49" s="70">
        <v>44531</v>
      </c>
      <c r="G49" s="69" t="s">
        <v>49</v>
      </c>
    </row>
    <row r="50" spans="3:7" x14ac:dyDescent="0.2">
      <c r="C50" s="75" t="s">
        <v>75</v>
      </c>
      <c r="D50" s="69">
        <v>50.7</v>
      </c>
      <c r="E50" s="73">
        <v>50.6</v>
      </c>
      <c r="F50" s="70">
        <v>44531</v>
      </c>
      <c r="G50" s="69" t="s">
        <v>49</v>
      </c>
    </row>
    <row r="51" spans="3:7" x14ac:dyDescent="0.2">
      <c r="C51" s="75" t="s">
        <v>76</v>
      </c>
      <c r="D51" s="69">
        <v>50.6</v>
      </c>
      <c r="E51" s="73">
        <v>54.3</v>
      </c>
      <c r="F51" s="70">
        <v>44501</v>
      </c>
      <c r="G51" s="69" t="s">
        <v>49</v>
      </c>
    </row>
    <row r="52" spans="3:7" x14ac:dyDescent="0.2">
      <c r="C52" s="75" t="s">
        <v>77</v>
      </c>
      <c r="D52" s="69">
        <v>50.25</v>
      </c>
      <c r="E52" s="73">
        <v>55.4</v>
      </c>
      <c r="F52" s="70">
        <v>44501</v>
      </c>
      <c r="G52" s="69" t="s">
        <v>49</v>
      </c>
    </row>
    <row r="53" spans="3:7" x14ac:dyDescent="0.2">
      <c r="C53" s="75" t="s">
        <v>78</v>
      </c>
      <c r="D53" s="69">
        <v>49.9</v>
      </c>
      <c r="E53" s="73">
        <v>51.6</v>
      </c>
      <c r="F53" s="70">
        <v>44501</v>
      </c>
      <c r="G53" s="69" t="s">
        <v>49</v>
      </c>
    </row>
    <row r="54" spans="3:7" x14ac:dyDescent="0.2">
      <c r="C54" s="75" t="s">
        <v>29</v>
      </c>
      <c r="D54" s="69">
        <v>49.8</v>
      </c>
      <c r="E54" s="73">
        <v>49.8</v>
      </c>
      <c r="F54" s="70">
        <v>44531</v>
      </c>
      <c r="G54" s="69" t="s">
        <v>49</v>
      </c>
    </row>
    <row r="55" spans="3:7" x14ac:dyDescent="0.2">
      <c r="C55" s="75" t="s">
        <v>79</v>
      </c>
      <c r="D55" s="69">
        <v>49.5</v>
      </c>
      <c r="E55" s="73">
        <v>50.6</v>
      </c>
      <c r="F55" s="70">
        <v>44531</v>
      </c>
      <c r="G55" s="69" t="s">
        <v>49</v>
      </c>
    </row>
    <row r="56" spans="3:7" x14ac:dyDescent="0.2">
      <c r="C56" s="75" t="s">
        <v>30</v>
      </c>
      <c r="D56" s="69">
        <v>49.4</v>
      </c>
      <c r="E56" s="73">
        <v>49.4</v>
      </c>
      <c r="F56" s="70">
        <v>44531</v>
      </c>
      <c r="G56" s="72" t="s">
        <v>49</v>
      </c>
    </row>
    <row r="57" spans="3:7" x14ac:dyDescent="0.2">
      <c r="C57" s="25" t="s">
        <v>80</v>
      </c>
      <c r="D57" s="25">
        <v>49</v>
      </c>
      <c r="E57" s="25">
        <v>48.7</v>
      </c>
      <c r="F57" s="74">
        <v>44531</v>
      </c>
      <c r="G57" s="25" t="s">
        <v>49</v>
      </c>
    </row>
    <row r="58" spans="3:7" x14ac:dyDescent="0.2">
      <c r="C58" s="25" t="s">
        <v>81</v>
      </c>
      <c r="D58" s="25">
        <v>49</v>
      </c>
      <c r="E58" s="25">
        <v>46.7</v>
      </c>
      <c r="F58" s="74">
        <v>44531</v>
      </c>
      <c r="G58" s="25" t="s">
        <v>49</v>
      </c>
    </row>
    <row r="59" spans="3:7" x14ac:dyDescent="0.2">
      <c r="C59" s="25" t="s">
        <v>82</v>
      </c>
      <c r="D59" s="25">
        <v>46.9</v>
      </c>
      <c r="E59" s="25">
        <v>46.6</v>
      </c>
      <c r="F59" s="74">
        <v>44409</v>
      </c>
      <c r="G59" s="25" t="s">
        <v>49</v>
      </c>
    </row>
    <row r="60" spans="3:7" x14ac:dyDescent="0.2">
      <c r="C60" s="25" t="s">
        <v>83</v>
      </c>
      <c r="D60" s="25">
        <v>46.1</v>
      </c>
      <c r="E60" s="25">
        <v>46.6</v>
      </c>
      <c r="F60" s="74">
        <v>44501</v>
      </c>
      <c r="G60" s="25" t="s">
        <v>49</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320" activePane="bottomLeft" state="frozen"/>
      <selection pane="bottomLeft" activeCell="X324" sqref="X324"/>
    </sheetView>
  </sheetViews>
  <sheetFormatPr baseColWidth="10" defaultRowHeight="15" x14ac:dyDescent="0.2"/>
  <cols>
    <col min="1" max="9" width="10.83203125" style="76" customWidth="1"/>
    <col min="10" max="16384" width="10.83203125" style="76"/>
  </cols>
  <sheetData>
    <row r="1" spans="1:52" x14ac:dyDescent="0.2">
      <c r="A1" t="s">
        <v>84</v>
      </c>
      <c r="B1" t="s">
        <v>34</v>
      </c>
      <c r="C1" t="s">
        <v>56</v>
      </c>
      <c r="D1" t="s">
        <v>29</v>
      </c>
      <c r="E1" t="s">
        <v>33</v>
      </c>
      <c r="F1" t="s">
        <v>74</v>
      </c>
      <c r="G1" t="s">
        <v>67</v>
      </c>
      <c r="H1" t="s">
        <v>55</v>
      </c>
      <c r="I1" t="s">
        <v>43</v>
      </c>
      <c r="J1" t="s">
        <v>80</v>
      </c>
      <c r="K1" t="s">
        <v>58</v>
      </c>
      <c r="L1" t="s">
        <v>25</v>
      </c>
      <c r="M1" t="s">
        <v>24</v>
      </c>
      <c r="N1" t="s">
        <v>38</v>
      </c>
      <c r="O1" t="s">
        <v>70</v>
      </c>
      <c r="P1" t="s">
        <v>48</v>
      </c>
      <c r="Q1" t="s">
        <v>32</v>
      </c>
      <c r="R1" t="s">
        <v>35</v>
      </c>
      <c r="S1" t="s">
        <v>39</v>
      </c>
      <c r="T1" t="s">
        <v>77</v>
      </c>
      <c r="U1" t="s">
        <v>52</v>
      </c>
      <c r="V1" t="s">
        <v>64</v>
      </c>
      <c r="W1" t="s">
        <v>78</v>
      </c>
      <c r="X1" t="s">
        <v>68</v>
      </c>
      <c r="Y1" t="s">
        <v>83</v>
      </c>
      <c r="Z1" t="s">
        <v>69</v>
      </c>
      <c r="AA1" t="s">
        <v>30</v>
      </c>
      <c r="AB1" t="s">
        <v>81</v>
      </c>
      <c r="AC1" t="s">
        <v>57</v>
      </c>
      <c r="AD1" t="s">
        <v>76</v>
      </c>
      <c r="AE1" t="s">
        <v>82</v>
      </c>
      <c r="AF1" t="s">
        <v>59</v>
      </c>
      <c r="AG1" t="s">
        <v>73</v>
      </c>
      <c r="AH1" t="s">
        <v>42</v>
      </c>
      <c r="AI1" t="s">
        <v>66</v>
      </c>
      <c r="AJ1" t="s">
        <v>54</v>
      </c>
      <c r="AK1" t="s">
        <v>31</v>
      </c>
      <c r="AL1" t="s">
        <v>65</v>
      </c>
      <c r="AM1" t="s">
        <v>75</v>
      </c>
      <c r="AN1" t="s">
        <v>62</v>
      </c>
      <c r="AO1" t="s">
        <v>72</v>
      </c>
      <c r="AP1" t="s">
        <v>28</v>
      </c>
      <c r="AQ1" t="s">
        <v>53</v>
      </c>
      <c r="AR1" t="s">
        <v>51</v>
      </c>
      <c r="AS1" t="s">
        <v>50</v>
      </c>
      <c r="AT1" t="s">
        <v>37</v>
      </c>
      <c r="AU1" t="s">
        <v>79</v>
      </c>
      <c r="AV1" t="s">
        <v>40</v>
      </c>
      <c r="AW1" t="s">
        <v>63</v>
      </c>
      <c r="AX1" t="s">
        <v>60</v>
      </c>
      <c r="AY1" t="s">
        <v>61</v>
      </c>
      <c r="AZ1" t="s">
        <v>71</v>
      </c>
    </row>
    <row r="2" spans="1:52" x14ac:dyDescent="0.2">
      <c r="A2" s="79">
        <v>34335</v>
      </c>
      <c r="I2">
        <v>62.8</v>
      </c>
    </row>
    <row r="3" spans="1:52" x14ac:dyDescent="0.2">
      <c r="A3" s="79">
        <v>34366</v>
      </c>
      <c r="I3">
        <v>67.53</v>
      </c>
    </row>
    <row r="4" spans="1:52" x14ac:dyDescent="0.2">
      <c r="A4" s="79">
        <v>34394</v>
      </c>
      <c r="I4">
        <v>61.89</v>
      </c>
    </row>
    <row r="5" spans="1:52" x14ac:dyDescent="0.2">
      <c r="A5" s="79">
        <v>34425</v>
      </c>
      <c r="I5">
        <v>60.57</v>
      </c>
    </row>
    <row r="6" spans="1:52" x14ac:dyDescent="0.2">
      <c r="A6" s="79">
        <v>34455</v>
      </c>
      <c r="I6">
        <v>63.1</v>
      </c>
    </row>
    <row r="7" spans="1:52" x14ac:dyDescent="0.2">
      <c r="A7" s="79">
        <v>34486</v>
      </c>
      <c r="I7">
        <v>62.94</v>
      </c>
    </row>
    <row r="8" spans="1:52" x14ac:dyDescent="0.2">
      <c r="A8" s="79">
        <v>34516</v>
      </c>
      <c r="I8">
        <v>63.1</v>
      </c>
    </row>
    <row r="9" spans="1:52" x14ac:dyDescent="0.2">
      <c r="A9" s="79">
        <v>34547</v>
      </c>
      <c r="I9">
        <v>59.49</v>
      </c>
    </row>
    <row r="10" spans="1:52" x14ac:dyDescent="0.2">
      <c r="A10" s="79">
        <v>34578</v>
      </c>
      <c r="I10">
        <v>59.36</v>
      </c>
    </row>
    <row r="11" spans="1:52" x14ac:dyDescent="0.2">
      <c r="A11" s="79">
        <v>34608</v>
      </c>
      <c r="I11">
        <v>61.33</v>
      </c>
    </row>
    <row r="12" spans="1:52" x14ac:dyDescent="0.2">
      <c r="A12" s="79">
        <v>34639</v>
      </c>
      <c r="I12">
        <v>60.53</v>
      </c>
    </row>
    <row r="13" spans="1:52" x14ac:dyDescent="0.2">
      <c r="A13" s="79">
        <v>34669</v>
      </c>
      <c r="I13">
        <v>62.29</v>
      </c>
    </row>
    <row r="14" spans="1:52" x14ac:dyDescent="0.2">
      <c r="A14" s="79">
        <v>34700</v>
      </c>
      <c r="I14">
        <v>62.95</v>
      </c>
    </row>
    <row r="15" spans="1:52" x14ac:dyDescent="0.2">
      <c r="A15" s="79">
        <v>34731</v>
      </c>
      <c r="I15">
        <v>63.78</v>
      </c>
    </row>
    <row r="16" spans="1:52" x14ac:dyDescent="0.2">
      <c r="A16" s="79">
        <v>34759</v>
      </c>
      <c r="I16">
        <v>61.91</v>
      </c>
    </row>
    <row r="17" spans="1:9" x14ac:dyDescent="0.2">
      <c r="A17" s="79">
        <v>34790</v>
      </c>
      <c r="I17">
        <v>59.68</v>
      </c>
    </row>
    <row r="18" spans="1:9" x14ac:dyDescent="0.2">
      <c r="A18" s="79">
        <v>34820</v>
      </c>
      <c r="I18">
        <v>58.91</v>
      </c>
    </row>
    <row r="19" spans="1:9" x14ac:dyDescent="0.2">
      <c r="A19" s="79">
        <v>34851</v>
      </c>
      <c r="I19">
        <v>58.16</v>
      </c>
    </row>
    <row r="20" spans="1:9" x14ac:dyDescent="0.2">
      <c r="A20" s="79">
        <v>34881</v>
      </c>
      <c r="I20">
        <v>65.400000000000006</v>
      </c>
    </row>
    <row r="21" spans="1:9" x14ac:dyDescent="0.2">
      <c r="A21" s="79">
        <v>34912</v>
      </c>
      <c r="I21">
        <v>56.52</v>
      </c>
    </row>
    <row r="22" spans="1:9" x14ac:dyDescent="0.2">
      <c r="A22" s="79">
        <v>34943</v>
      </c>
      <c r="I22">
        <v>55.66</v>
      </c>
    </row>
    <row r="23" spans="1:9" x14ac:dyDescent="0.2">
      <c r="A23" s="79">
        <v>34973</v>
      </c>
      <c r="I23">
        <v>53.13</v>
      </c>
    </row>
    <row r="24" spans="1:9" x14ac:dyDescent="0.2">
      <c r="A24" s="79">
        <v>35004</v>
      </c>
      <c r="I24">
        <v>55.08</v>
      </c>
    </row>
    <row r="25" spans="1:9" x14ac:dyDescent="0.2">
      <c r="A25" s="79">
        <v>35034</v>
      </c>
      <c r="I25">
        <v>54.03</v>
      </c>
    </row>
    <row r="26" spans="1:9" x14ac:dyDescent="0.2">
      <c r="A26" s="79">
        <v>35065</v>
      </c>
      <c r="I26">
        <v>50.16</v>
      </c>
    </row>
    <row r="27" spans="1:9" x14ac:dyDescent="0.2">
      <c r="A27" s="79">
        <v>35096</v>
      </c>
      <c r="I27">
        <v>46.38</v>
      </c>
    </row>
    <row r="28" spans="1:9" x14ac:dyDescent="0.2">
      <c r="A28" s="79">
        <v>35125</v>
      </c>
      <c r="I28">
        <v>52.65</v>
      </c>
    </row>
    <row r="29" spans="1:9" x14ac:dyDescent="0.2">
      <c r="A29" s="79">
        <v>35156</v>
      </c>
      <c r="I29">
        <v>54.64</v>
      </c>
    </row>
    <row r="30" spans="1:9" x14ac:dyDescent="0.2">
      <c r="A30" s="79">
        <v>35186</v>
      </c>
      <c r="I30">
        <v>48.99</v>
      </c>
    </row>
    <row r="31" spans="1:9" x14ac:dyDescent="0.2">
      <c r="A31" s="79">
        <v>35217</v>
      </c>
      <c r="I31">
        <v>50.64</v>
      </c>
    </row>
    <row r="32" spans="1:9" x14ac:dyDescent="0.2">
      <c r="A32" s="79">
        <v>35247</v>
      </c>
      <c r="I32">
        <v>54.72</v>
      </c>
    </row>
    <row r="33" spans="1:9" x14ac:dyDescent="0.2">
      <c r="A33" s="79">
        <v>35278</v>
      </c>
      <c r="I33">
        <v>56.46</v>
      </c>
    </row>
    <row r="34" spans="1:9" x14ac:dyDescent="0.2">
      <c r="A34" s="79">
        <v>35309</v>
      </c>
      <c r="I34">
        <v>59.28</v>
      </c>
    </row>
    <row r="35" spans="1:9" x14ac:dyDescent="0.2">
      <c r="A35" s="79">
        <v>35339</v>
      </c>
      <c r="I35">
        <v>57.49</v>
      </c>
    </row>
    <row r="36" spans="1:9" x14ac:dyDescent="0.2">
      <c r="A36" s="79">
        <v>35370</v>
      </c>
      <c r="I36">
        <v>61.57</v>
      </c>
    </row>
    <row r="37" spans="1:9" x14ac:dyDescent="0.2">
      <c r="A37" s="79">
        <v>35400</v>
      </c>
      <c r="I37">
        <v>60.71</v>
      </c>
    </row>
    <row r="38" spans="1:9" x14ac:dyDescent="0.2">
      <c r="A38" s="79">
        <v>35431</v>
      </c>
      <c r="I38">
        <v>62.72</v>
      </c>
    </row>
    <row r="39" spans="1:9" x14ac:dyDescent="0.2">
      <c r="A39" s="79">
        <v>35462</v>
      </c>
      <c r="I39">
        <v>57.65</v>
      </c>
    </row>
    <row r="40" spans="1:9" x14ac:dyDescent="0.2">
      <c r="A40" s="79">
        <v>35490</v>
      </c>
      <c r="I40">
        <v>60.39</v>
      </c>
    </row>
    <row r="41" spans="1:9" x14ac:dyDescent="0.2">
      <c r="A41" s="79">
        <v>35521</v>
      </c>
      <c r="I41">
        <v>60.87</v>
      </c>
    </row>
    <row r="42" spans="1:9" x14ac:dyDescent="0.2">
      <c r="A42" s="79">
        <v>35551</v>
      </c>
      <c r="I42">
        <v>64.19</v>
      </c>
    </row>
    <row r="43" spans="1:9" x14ac:dyDescent="0.2">
      <c r="A43" s="79">
        <v>35582</v>
      </c>
      <c r="I43">
        <v>63.39</v>
      </c>
    </row>
    <row r="44" spans="1:9" x14ac:dyDescent="0.2">
      <c r="A44" s="79">
        <v>35612</v>
      </c>
      <c r="I44">
        <v>54.92</v>
      </c>
    </row>
    <row r="45" spans="1:9" x14ac:dyDescent="0.2">
      <c r="A45" s="79">
        <v>35643</v>
      </c>
      <c r="I45">
        <v>61.25</v>
      </c>
    </row>
    <row r="46" spans="1:9" x14ac:dyDescent="0.2">
      <c r="A46" s="79">
        <v>35674</v>
      </c>
      <c r="I46">
        <v>61.84</v>
      </c>
    </row>
    <row r="47" spans="1:9" x14ac:dyDescent="0.2">
      <c r="A47" s="79">
        <v>35704</v>
      </c>
      <c r="I47">
        <v>58.84</v>
      </c>
    </row>
    <row r="48" spans="1:9" x14ac:dyDescent="0.2">
      <c r="A48" s="79">
        <v>35735</v>
      </c>
      <c r="I48">
        <v>56.3</v>
      </c>
    </row>
    <row r="49" spans="1:9" x14ac:dyDescent="0.2">
      <c r="A49" s="79">
        <v>35765</v>
      </c>
      <c r="I49">
        <v>56.74</v>
      </c>
    </row>
    <row r="50" spans="1:9" x14ac:dyDescent="0.2">
      <c r="A50" s="79">
        <v>35796</v>
      </c>
      <c r="I50">
        <v>55.77</v>
      </c>
    </row>
    <row r="51" spans="1:9" x14ac:dyDescent="0.2">
      <c r="A51" s="79">
        <v>35827</v>
      </c>
      <c r="I51">
        <v>55.65</v>
      </c>
    </row>
    <row r="52" spans="1:9" x14ac:dyDescent="0.2">
      <c r="A52" s="79">
        <v>35855</v>
      </c>
      <c r="I52">
        <v>58.86</v>
      </c>
    </row>
    <row r="53" spans="1:9" x14ac:dyDescent="0.2">
      <c r="A53" s="79">
        <v>35886</v>
      </c>
      <c r="I53">
        <v>58.81</v>
      </c>
    </row>
    <row r="54" spans="1:9" x14ac:dyDescent="0.2">
      <c r="A54" s="79">
        <v>35916</v>
      </c>
      <c r="I54">
        <v>60.33</v>
      </c>
    </row>
    <row r="55" spans="1:9" x14ac:dyDescent="0.2">
      <c r="A55" s="79">
        <v>35947</v>
      </c>
      <c r="I55">
        <v>57.46</v>
      </c>
    </row>
    <row r="56" spans="1:9" x14ac:dyDescent="0.2">
      <c r="A56" s="79">
        <v>35977</v>
      </c>
      <c r="I56">
        <v>50.71</v>
      </c>
    </row>
    <row r="57" spans="1:9" x14ac:dyDescent="0.2">
      <c r="A57" s="79">
        <v>36008</v>
      </c>
      <c r="I57">
        <v>62.84</v>
      </c>
    </row>
    <row r="58" spans="1:9" x14ac:dyDescent="0.2">
      <c r="A58" s="79">
        <v>36039</v>
      </c>
      <c r="I58">
        <v>51.54</v>
      </c>
    </row>
    <row r="59" spans="1:9" x14ac:dyDescent="0.2">
      <c r="A59" s="79">
        <v>36069</v>
      </c>
      <c r="I59">
        <v>54.96</v>
      </c>
    </row>
    <row r="60" spans="1:9" x14ac:dyDescent="0.2">
      <c r="A60" s="79">
        <v>36100</v>
      </c>
      <c r="I60">
        <v>48.18</v>
      </c>
    </row>
    <row r="61" spans="1:9" x14ac:dyDescent="0.2">
      <c r="A61" s="79">
        <v>36130</v>
      </c>
      <c r="I61">
        <v>49.94</v>
      </c>
    </row>
    <row r="62" spans="1:9" x14ac:dyDescent="0.2">
      <c r="A62" s="79">
        <v>36161</v>
      </c>
      <c r="I62">
        <v>53.69</v>
      </c>
    </row>
    <row r="63" spans="1:9" x14ac:dyDescent="0.2">
      <c r="A63" s="79">
        <v>36192</v>
      </c>
      <c r="I63">
        <v>55.51</v>
      </c>
    </row>
    <row r="64" spans="1:9" x14ac:dyDescent="0.2">
      <c r="A64" s="79">
        <v>36220</v>
      </c>
      <c r="I64">
        <v>45.32</v>
      </c>
    </row>
    <row r="65" spans="1:40" x14ac:dyDescent="0.2">
      <c r="A65" s="79">
        <v>36251</v>
      </c>
      <c r="I65">
        <v>50.98</v>
      </c>
    </row>
    <row r="66" spans="1:40" x14ac:dyDescent="0.2">
      <c r="A66" s="79">
        <v>36281</v>
      </c>
      <c r="I66">
        <v>48.33</v>
      </c>
    </row>
    <row r="67" spans="1:40" x14ac:dyDescent="0.2">
      <c r="A67" s="79">
        <v>36312</v>
      </c>
      <c r="I67">
        <v>51.51</v>
      </c>
    </row>
    <row r="68" spans="1:40" x14ac:dyDescent="0.2">
      <c r="A68" s="79">
        <v>36342</v>
      </c>
      <c r="I68">
        <v>53.07</v>
      </c>
    </row>
    <row r="69" spans="1:40" x14ac:dyDescent="0.2">
      <c r="A69" s="79">
        <v>36373</v>
      </c>
      <c r="I69">
        <v>49.58</v>
      </c>
    </row>
    <row r="70" spans="1:40" x14ac:dyDescent="0.2">
      <c r="A70" s="79">
        <v>36404</v>
      </c>
      <c r="I70">
        <v>52.05</v>
      </c>
    </row>
    <row r="71" spans="1:40" x14ac:dyDescent="0.2">
      <c r="A71" s="79">
        <v>36434</v>
      </c>
      <c r="I71">
        <v>69.790000000000006</v>
      </c>
    </row>
    <row r="72" spans="1:40" x14ac:dyDescent="0.2">
      <c r="A72" s="79">
        <v>36465</v>
      </c>
      <c r="I72">
        <v>64.63</v>
      </c>
    </row>
    <row r="73" spans="1:40" x14ac:dyDescent="0.2">
      <c r="A73" s="79">
        <v>36495</v>
      </c>
      <c r="I73">
        <v>46.56</v>
      </c>
    </row>
    <row r="74" spans="1:40" x14ac:dyDescent="0.2">
      <c r="A74" s="79">
        <v>36526</v>
      </c>
      <c r="I74">
        <v>56.5</v>
      </c>
      <c r="AN74">
        <v>56.66</v>
      </c>
    </row>
    <row r="75" spans="1:40" x14ac:dyDescent="0.2">
      <c r="A75" s="79">
        <v>36557</v>
      </c>
      <c r="I75">
        <v>60.09</v>
      </c>
      <c r="AN75">
        <v>57.26</v>
      </c>
    </row>
    <row r="76" spans="1:40" x14ac:dyDescent="0.2">
      <c r="A76" s="79">
        <v>36586</v>
      </c>
      <c r="I76">
        <v>58.03</v>
      </c>
      <c r="AN76">
        <v>49.83</v>
      </c>
    </row>
    <row r="77" spans="1:40" x14ac:dyDescent="0.2">
      <c r="A77" s="79">
        <v>36617</v>
      </c>
      <c r="I77">
        <v>54.9</v>
      </c>
      <c r="AN77">
        <v>52.72</v>
      </c>
    </row>
    <row r="78" spans="1:40" x14ac:dyDescent="0.2">
      <c r="A78" s="79">
        <v>36647</v>
      </c>
      <c r="I78">
        <v>55.18</v>
      </c>
      <c r="AN78">
        <v>50.05</v>
      </c>
    </row>
    <row r="79" spans="1:40" x14ac:dyDescent="0.2">
      <c r="A79" s="79">
        <v>36678</v>
      </c>
      <c r="I79">
        <v>53.67</v>
      </c>
      <c r="AN79">
        <v>49.65</v>
      </c>
    </row>
    <row r="80" spans="1:40" x14ac:dyDescent="0.2">
      <c r="A80" s="79">
        <v>36708</v>
      </c>
      <c r="I80">
        <v>64.069999999999993</v>
      </c>
      <c r="AN80">
        <v>49.18</v>
      </c>
    </row>
    <row r="81" spans="1:40" x14ac:dyDescent="0.2">
      <c r="A81" s="79">
        <v>36739</v>
      </c>
      <c r="I81">
        <v>56.81</v>
      </c>
      <c r="AN81">
        <v>51.48</v>
      </c>
    </row>
    <row r="82" spans="1:40" x14ac:dyDescent="0.2">
      <c r="A82" s="79">
        <v>36770</v>
      </c>
      <c r="I82">
        <v>56.21</v>
      </c>
      <c r="AN82">
        <v>53.75</v>
      </c>
    </row>
    <row r="83" spans="1:40" x14ac:dyDescent="0.2">
      <c r="A83" s="79">
        <v>36800</v>
      </c>
      <c r="I83">
        <v>59.71</v>
      </c>
      <c r="AN83">
        <v>56.34</v>
      </c>
    </row>
    <row r="84" spans="1:40" x14ac:dyDescent="0.2">
      <c r="A84" s="79">
        <v>36831</v>
      </c>
      <c r="I84">
        <v>54.29</v>
      </c>
      <c r="AN84">
        <v>51.73</v>
      </c>
    </row>
    <row r="85" spans="1:40" x14ac:dyDescent="0.2">
      <c r="A85" s="79">
        <v>36861</v>
      </c>
      <c r="I85">
        <v>55.54</v>
      </c>
      <c r="AN85">
        <v>50.48</v>
      </c>
    </row>
    <row r="86" spans="1:40" x14ac:dyDescent="0.2">
      <c r="A86" s="79">
        <v>36892</v>
      </c>
      <c r="I86">
        <v>52.88</v>
      </c>
      <c r="AN86">
        <v>49.29</v>
      </c>
    </row>
    <row r="87" spans="1:40" x14ac:dyDescent="0.2">
      <c r="A87" s="79">
        <v>36923</v>
      </c>
      <c r="I87">
        <v>51.59</v>
      </c>
      <c r="AN87">
        <v>53.48</v>
      </c>
    </row>
    <row r="88" spans="1:40" x14ac:dyDescent="0.2">
      <c r="A88" s="79">
        <v>36951</v>
      </c>
      <c r="I88">
        <v>52.49</v>
      </c>
      <c r="AN88">
        <v>53.61</v>
      </c>
    </row>
    <row r="89" spans="1:40" x14ac:dyDescent="0.2">
      <c r="A89" s="79">
        <v>36982</v>
      </c>
      <c r="I89">
        <v>49.61</v>
      </c>
      <c r="AN89">
        <v>52.38</v>
      </c>
    </row>
    <row r="90" spans="1:40" x14ac:dyDescent="0.2">
      <c r="A90" s="79">
        <v>37012</v>
      </c>
      <c r="I90">
        <v>52.89</v>
      </c>
      <c r="AN90">
        <v>55.01</v>
      </c>
    </row>
    <row r="91" spans="1:40" x14ac:dyDescent="0.2">
      <c r="A91" s="79">
        <v>37043</v>
      </c>
      <c r="I91">
        <v>53.97</v>
      </c>
      <c r="AN91">
        <v>56.17</v>
      </c>
    </row>
    <row r="92" spans="1:40" x14ac:dyDescent="0.2">
      <c r="A92" s="79">
        <v>37073</v>
      </c>
      <c r="I92">
        <v>50.42</v>
      </c>
      <c r="AN92">
        <v>51.34</v>
      </c>
    </row>
    <row r="93" spans="1:40" x14ac:dyDescent="0.2">
      <c r="A93" s="79">
        <v>37104</v>
      </c>
      <c r="I93">
        <v>53.21</v>
      </c>
      <c r="AN93">
        <v>51.22</v>
      </c>
    </row>
    <row r="94" spans="1:40" x14ac:dyDescent="0.2">
      <c r="A94" s="79">
        <v>37135</v>
      </c>
      <c r="I94">
        <v>47.75</v>
      </c>
      <c r="AN94">
        <v>48.76</v>
      </c>
    </row>
    <row r="95" spans="1:40" x14ac:dyDescent="0.2">
      <c r="A95" s="79">
        <v>37165</v>
      </c>
      <c r="I95">
        <v>46.09</v>
      </c>
      <c r="AN95">
        <v>50.25</v>
      </c>
    </row>
    <row r="96" spans="1:40" x14ac:dyDescent="0.2">
      <c r="A96" s="79">
        <v>37196</v>
      </c>
      <c r="I96">
        <v>50.81</v>
      </c>
      <c r="AN96">
        <v>54.35</v>
      </c>
    </row>
    <row r="97" spans="1:40" x14ac:dyDescent="0.2">
      <c r="A97" s="79">
        <v>37226</v>
      </c>
      <c r="I97">
        <v>46.1</v>
      </c>
      <c r="AN97">
        <v>55.35</v>
      </c>
    </row>
    <row r="98" spans="1:40" x14ac:dyDescent="0.2">
      <c r="A98" s="79">
        <v>37257</v>
      </c>
      <c r="I98">
        <v>52.42</v>
      </c>
      <c r="AN98">
        <v>55.53</v>
      </c>
    </row>
    <row r="99" spans="1:40" x14ac:dyDescent="0.2">
      <c r="A99" s="79">
        <v>37288</v>
      </c>
      <c r="I99">
        <v>53.28</v>
      </c>
      <c r="AN99">
        <v>53.87</v>
      </c>
    </row>
    <row r="100" spans="1:40" x14ac:dyDescent="0.2">
      <c r="A100" s="79">
        <v>37316</v>
      </c>
      <c r="I100">
        <v>53.02</v>
      </c>
      <c r="AN100">
        <v>53.63</v>
      </c>
    </row>
    <row r="101" spans="1:40" x14ac:dyDescent="0.2">
      <c r="A101" s="79">
        <v>37347</v>
      </c>
      <c r="I101">
        <v>55.71</v>
      </c>
      <c r="AN101">
        <v>60.87</v>
      </c>
    </row>
    <row r="102" spans="1:40" x14ac:dyDescent="0.2">
      <c r="A102" s="79">
        <v>37377</v>
      </c>
      <c r="I102">
        <v>52.26</v>
      </c>
      <c r="AN102">
        <v>58.74</v>
      </c>
    </row>
    <row r="103" spans="1:40" x14ac:dyDescent="0.2">
      <c r="A103" s="79">
        <v>37408</v>
      </c>
      <c r="I103">
        <v>53.98</v>
      </c>
      <c r="AN103">
        <v>56.43</v>
      </c>
    </row>
    <row r="104" spans="1:40" x14ac:dyDescent="0.2">
      <c r="A104" s="79">
        <v>37438</v>
      </c>
      <c r="I104">
        <v>54.33</v>
      </c>
      <c r="AN104">
        <v>54.63</v>
      </c>
    </row>
    <row r="105" spans="1:40" x14ac:dyDescent="0.2">
      <c r="A105" s="79">
        <v>37469</v>
      </c>
      <c r="I105">
        <v>53.11</v>
      </c>
      <c r="AD105">
        <v>56.907262129678003</v>
      </c>
      <c r="AN105">
        <v>55.58</v>
      </c>
    </row>
    <row r="106" spans="1:40" x14ac:dyDescent="0.2">
      <c r="A106" s="79">
        <v>37500</v>
      </c>
      <c r="I106">
        <v>52.08</v>
      </c>
      <c r="AD106">
        <v>58.558944963243398</v>
      </c>
      <c r="AN106">
        <v>57.74</v>
      </c>
    </row>
    <row r="107" spans="1:40" x14ac:dyDescent="0.2">
      <c r="A107" s="79">
        <v>37530</v>
      </c>
      <c r="I107">
        <v>47.57</v>
      </c>
      <c r="AD107">
        <v>57.946692398866297</v>
      </c>
      <c r="AN107">
        <v>56.38</v>
      </c>
    </row>
    <row r="108" spans="1:40" x14ac:dyDescent="0.2">
      <c r="A108" s="79">
        <v>37561</v>
      </c>
      <c r="I108">
        <v>47.96</v>
      </c>
      <c r="AD108">
        <v>57.045752075729702</v>
      </c>
      <c r="AN108">
        <v>54.54</v>
      </c>
    </row>
    <row r="109" spans="1:40" x14ac:dyDescent="0.2">
      <c r="A109" s="79">
        <v>37591</v>
      </c>
      <c r="I109">
        <v>48.71</v>
      </c>
      <c r="AD109">
        <v>57.162855142389098</v>
      </c>
      <c r="AN109">
        <v>55.28</v>
      </c>
    </row>
    <row r="110" spans="1:40" x14ac:dyDescent="0.2">
      <c r="A110" s="79">
        <v>37622</v>
      </c>
      <c r="I110">
        <v>46.3</v>
      </c>
      <c r="AD110">
        <v>56.037312647284203</v>
      </c>
      <c r="AN110">
        <v>56.84</v>
      </c>
    </row>
    <row r="111" spans="1:40" x14ac:dyDescent="0.2">
      <c r="A111" s="79">
        <v>37653</v>
      </c>
      <c r="I111">
        <v>46.27</v>
      </c>
      <c r="AD111">
        <v>54.453721410704397</v>
      </c>
      <c r="AN111">
        <v>52.39</v>
      </c>
    </row>
    <row r="112" spans="1:40" x14ac:dyDescent="0.2">
      <c r="A112" s="79">
        <v>37681</v>
      </c>
      <c r="I112">
        <v>49.92</v>
      </c>
      <c r="AD112">
        <v>52.803630209600101</v>
      </c>
      <c r="AN112">
        <v>49.15</v>
      </c>
    </row>
    <row r="113" spans="1:40" x14ac:dyDescent="0.2">
      <c r="A113" s="79">
        <v>37712</v>
      </c>
      <c r="I113">
        <v>52.91</v>
      </c>
      <c r="AD113">
        <v>53.3207423548318</v>
      </c>
      <c r="AN113">
        <v>48.99</v>
      </c>
    </row>
    <row r="114" spans="1:40" x14ac:dyDescent="0.2">
      <c r="A114" s="79">
        <v>37742</v>
      </c>
      <c r="I114">
        <v>50.11</v>
      </c>
      <c r="AD114">
        <v>51.856412409729302</v>
      </c>
      <c r="AN114">
        <v>46.13</v>
      </c>
    </row>
    <row r="115" spans="1:40" x14ac:dyDescent="0.2">
      <c r="A115" s="79">
        <v>37773</v>
      </c>
      <c r="I115">
        <v>47.14</v>
      </c>
      <c r="AD115">
        <v>53.437648762611197</v>
      </c>
      <c r="AN115">
        <v>45.22</v>
      </c>
    </row>
    <row r="116" spans="1:40" x14ac:dyDescent="0.2">
      <c r="A116" s="79">
        <v>37803</v>
      </c>
      <c r="I116">
        <v>49.65</v>
      </c>
      <c r="AD116">
        <v>53.0699070792162</v>
      </c>
      <c r="AN116">
        <v>47.89</v>
      </c>
    </row>
    <row r="117" spans="1:40" x14ac:dyDescent="0.2">
      <c r="A117" s="79">
        <v>37834</v>
      </c>
      <c r="I117">
        <v>49.78</v>
      </c>
      <c r="AD117">
        <v>50.568235899885103</v>
      </c>
      <c r="AN117">
        <v>48.44</v>
      </c>
    </row>
    <row r="118" spans="1:40" x14ac:dyDescent="0.2">
      <c r="A118" s="79">
        <v>37865</v>
      </c>
      <c r="I118">
        <v>59.65</v>
      </c>
      <c r="AD118">
        <v>57.843029176009402</v>
      </c>
      <c r="AN118">
        <v>45.46</v>
      </c>
    </row>
    <row r="119" spans="1:40" x14ac:dyDescent="0.2">
      <c r="A119" s="79">
        <v>37895</v>
      </c>
      <c r="I119">
        <v>54.14</v>
      </c>
      <c r="AD119">
        <v>60.866406299467698</v>
      </c>
      <c r="AN119">
        <v>47.73</v>
      </c>
    </row>
    <row r="120" spans="1:40" x14ac:dyDescent="0.2">
      <c r="A120" s="79">
        <v>37926</v>
      </c>
      <c r="I120">
        <v>57.7</v>
      </c>
      <c r="AD120">
        <v>56.386882357350899</v>
      </c>
      <c r="AN120">
        <v>53.1</v>
      </c>
    </row>
    <row r="121" spans="1:40" x14ac:dyDescent="0.2">
      <c r="A121" s="79">
        <v>37956</v>
      </c>
      <c r="I121">
        <v>60.4</v>
      </c>
      <c r="AD121">
        <v>54.845751644085702</v>
      </c>
      <c r="AN121">
        <v>51.55</v>
      </c>
    </row>
    <row r="122" spans="1:40" x14ac:dyDescent="0.2">
      <c r="A122" s="79">
        <v>37987</v>
      </c>
      <c r="I122">
        <v>46.37</v>
      </c>
      <c r="AD122">
        <v>55.793919717969402</v>
      </c>
      <c r="AN122">
        <v>54.61</v>
      </c>
    </row>
    <row r="123" spans="1:40" x14ac:dyDescent="0.2">
      <c r="A123" s="79">
        <v>38018</v>
      </c>
      <c r="I123">
        <v>56.97</v>
      </c>
      <c r="AD123">
        <v>56.800472168487701</v>
      </c>
      <c r="AN123">
        <v>54.29</v>
      </c>
    </row>
    <row r="124" spans="1:40" x14ac:dyDescent="0.2">
      <c r="A124" s="79">
        <v>38047</v>
      </c>
      <c r="I124">
        <v>58.99</v>
      </c>
      <c r="AD124">
        <v>59.0129037737941</v>
      </c>
      <c r="AN124">
        <v>55.84</v>
      </c>
    </row>
    <row r="125" spans="1:40" x14ac:dyDescent="0.2">
      <c r="A125" s="79">
        <v>38078</v>
      </c>
      <c r="I125">
        <v>59.16</v>
      </c>
      <c r="AD125">
        <v>58.741686967726302</v>
      </c>
      <c r="AN125">
        <v>56.95</v>
      </c>
    </row>
    <row r="126" spans="1:40" x14ac:dyDescent="0.2">
      <c r="A126" s="79">
        <v>38108</v>
      </c>
      <c r="I126">
        <v>61.27</v>
      </c>
      <c r="AD126">
        <v>56.1940744843941</v>
      </c>
      <c r="AN126">
        <v>56.6</v>
      </c>
    </row>
    <row r="127" spans="1:40" x14ac:dyDescent="0.2">
      <c r="A127" s="79">
        <v>38139</v>
      </c>
      <c r="I127">
        <v>51.93</v>
      </c>
      <c r="AD127">
        <v>62.772774028058897</v>
      </c>
      <c r="AN127">
        <v>56.83</v>
      </c>
    </row>
    <row r="128" spans="1:40" x14ac:dyDescent="0.2">
      <c r="A128" s="79">
        <v>38169</v>
      </c>
      <c r="I128">
        <v>56.18</v>
      </c>
      <c r="AD128">
        <v>58.771020874084499</v>
      </c>
      <c r="AN128">
        <v>55.54</v>
      </c>
    </row>
    <row r="129" spans="1:50" x14ac:dyDescent="0.2">
      <c r="A129" s="79">
        <v>38200</v>
      </c>
      <c r="I129">
        <v>62.38</v>
      </c>
      <c r="AD129">
        <v>57.427085291237098</v>
      </c>
      <c r="AN129">
        <v>57.5</v>
      </c>
    </row>
    <row r="130" spans="1:50" x14ac:dyDescent="0.2">
      <c r="A130" s="79">
        <v>38231</v>
      </c>
      <c r="I130">
        <v>57.36</v>
      </c>
      <c r="AD130">
        <v>55.049322078869203</v>
      </c>
      <c r="AN130">
        <v>57.5</v>
      </c>
    </row>
    <row r="131" spans="1:50" x14ac:dyDescent="0.2">
      <c r="A131" s="79">
        <v>38261</v>
      </c>
      <c r="I131">
        <v>56.87</v>
      </c>
      <c r="AD131">
        <v>52.917155117700901</v>
      </c>
      <c r="AN131">
        <v>55.37</v>
      </c>
    </row>
    <row r="132" spans="1:50" x14ac:dyDescent="0.2">
      <c r="A132" s="79">
        <v>38292</v>
      </c>
      <c r="I132">
        <v>54.39</v>
      </c>
      <c r="AD132">
        <v>57.866935416672398</v>
      </c>
      <c r="AN132">
        <v>54.08</v>
      </c>
    </row>
    <row r="133" spans="1:50" x14ac:dyDescent="0.2">
      <c r="A133" s="79">
        <v>38322</v>
      </c>
      <c r="I133">
        <v>57.58</v>
      </c>
      <c r="K133">
        <v>51.4</v>
      </c>
      <c r="AD133">
        <v>58.981422607151899</v>
      </c>
      <c r="AN133">
        <v>54.34</v>
      </c>
      <c r="AX133">
        <v>53.7</v>
      </c>
    </row>
    <row r="134" spans="1:50" x14ac:dyDescent="0.2">
      <c r="A134" s="79">
        <v>38353</v>
      </c>
      <c r="F134">
        <v>52.1</v>
      </c>
      <c r="I134">
        <v>59.37</v>
      </c>
      <c r="K134">
        <v>51.9</v>
      </c>
      <c r="AD134">
        <v>57.034440617633997</v>
      </c>
      <c r="AN134">
        <v>51.54</v>
      </c>
      <c r="AX134">
        <v>51.8</v>
      </c>
    </row>
    <row r="135" spans="1:50" x14ac:dyDescent="0.2">
      <c r="A135" s="79">
        <v>38384</v>
      </c>
      <c r="F135">
        <v>52.9</v>
      </c>
      <c r="I135">
        <v>55.3</v>
      </c>
      <c r="K135">
        <v>51.9</v>
      </c>
      <c r="AD135">
        <v>56.255983584510801</v>
      </c>
      <c r="AN135">
        <v>55.55</v>
      </c>
      <c r="AX135">
        <v>51.8</v>
      </c>
    </row>
    <row r="136" spans="1:50" x14ac:dyDescent="0.2">
      <c r="A136" s="79">
        <v>38412</v>
      </c>
      <c r="F136">
        <v>55.2</v>
      </c>
      <c r="I136">
        <v>56.66</v>
      </c>
      <c r="K136">
        <v>50.4</v>
      </c>
      <c r="AD136">
        <v>51.639603525794001</v>
      </c>
      <c r="AN136">
        <v>57.65</v>
      </c>
      <c r="AX136">
        <v>52</v>
      </c>
    </row>
    <row r="137" spans="1:50" x14ac:dyDescent="0.2">
      <c r="A137" s="79">
        <v>38443</v>
      </c>
      <c r="F137">
        <v>54.4</v>
      </c>
      <c r="I137">
        <v>52.88</v>
      </c>
      <c r="K137">
        <v>49.2</v>
      </c>
      <c r="AD137">
        <v>51.5818588801095</v>
      </c>
      <c r="AN137">
        <v>54.64</v>
      </c>
      <c r="AX137">
        <v>49.5</v>
      </c>
    </row>
    <row r="138" spans="1:50" x14ac:dyDescent="0.2">
      <c r="A138" s="79">
        <v>38473</v>
      </c>
      <c r="F138">
        <v>53.3</v>
      </c>
      <c r="I138">
        <v>53.51</v>
      </c>
      <c r="K138">
        <v>48.7</v>
      </c>
      <c r="AD138">
        <v>51.297542414814103</v>
      </c>
      <c r="AN138">
        <v>53.75</v>
      </c>
      <c r="AX138">
        <v>47.3</v>
      </c>
    </row>
    <row r="139" spans="1:50" x14ac:dyDescent="0.2">
      <c r="A139" s="79">
        <v>38504</v>
      </c>
      <c r="F139">
        <v>51</v>
      </c>
      <c r="I139">
        <v>58.58</v>
      </c>
      <c r="K139">
        <v>49.9</v>
      </c>
      <c r="AD139">
        <v>52.9270116328412</v>
      </c>
      <c r="AN139">
        <v>57.12</v>
      </c>
      <c r="AX139">
        <v>49.6</v>
      </c>
    </row>
    <row r="140" spans="1:50" x14ac:dyDescent="0.2">
      <c r="A140" s="79">
        <v>38534</v>
      </c>
      <c r="F140">
        <v>51.5</v>
      </c>
      <c r="I140">
        <v>56.43</v>
      </c>
      <c r="K140">
        <v>50.8</v>
      </c>
      <c r="AD140">
        <v>49.237862406275802</v>
      </c>
      <c r="AN140">
        <v>57.43</v>
      </c>
      <c r="AX140">
        <v>49.2</v>
      </c>
    </row>
    <row r="141" spans="1:50" x14ac:dyDescent="0.2">
      <c r="A141" s="79">
        <v>38565</v>
      </c>
      <c r="F141">
        <v>50.6</v>
      </c>
      <c r="I141">
        <v>56.34</v>
      </c>
      <c r="K141">
        <v>50.4</v>
      </c>
      <c r="AD141">
        <v>51.811669856587201</v>
      </c>
      <c r="AN141">
        <v>55.2</v>
      </c>
      <c r="AX141">
        <v>50.1</v>
      </c>
    </row>
    <row r="142" spans="1:50" x14ac:dyDescent="0.2">
      <c r="A142" s="79">
        <v>38596</v>
      </c>
      <c r="F142">
        <v>50.9</v>
      </c>
      <c r="I142">
        <v>61.16</v>
      </c>
      <c r="K142">
        <v>51.7</v>
      </c>
      <c r="AD142">
        <v>50.571930732839697</v>
      </c>
      <c r="AN142">
        <v>54.96</v>
      </c>
      <c r="AX142">
        <v>51.5</v>
      </c>
    </row>
    <row r="143" spans="1:50" x14ac:dyDescent="0.2">
      <c r="A143" s="79">
        <v>38626</v>
      </c>
      <c r="F143">
        <v>50.1</v>
      </c>
      <c r="I143">
        <v>68.930000000000007</v>
      </c>
      <c r="K143">
        <v>52.7</v>
      </c>
      <c r="AD143">
        <v>45.895480732884501</v>
      </c>
      <c r="AN143">
        <v>52.77</v>
      </c>
      <c r="AX143">
        <v>51.7</v>
      </c>
    </row>
    <row r="144" spans="1:50" x14ac:dyDescent="0.2">
      <c r="A144" s="79">
        <v>38657</v>
      </c>
      <c r="F144">
        <v>49.8</v>
      </c>
      <c r="I144">
        <v>57.53</v>
      </c>
      <c r="K144">
        <v>52.8</v>
      </c>
      <c r="AD144">
        <v>44.270599524960801</v>
      </c>
      <c r="AN144">
        <v>52.02</v>
      </c>
      <c r="AX144">
        <v>51</v>
      </c>
    </row>
    <row r="145" spans="1:50" x14ac:dyDescent="0.2">
      <c r="A145" s="79">
        <v>38687</v>
      </c>
      <c r="F145">
        <v>50.1</v>
      </c>
      <c r="I145">
        <v>59.8</v>
      </c>
      <c r="K145">
        <v>53.6</v>
      </c>
      <c r="AD145">
        <v>48.479025467498097</v>
      </c>
      <c r="AN145">
        <v>53.31</v>
      </c>
      <c r="AX145">
        <v>51.1</v>
      </c>
    </row>
    <row r="146" spans="1:50" x14ac:dyDescent="0.2">
      <c r="A146" s="79">
        <v>38718</v>
      </c>
      <c r="F146">
        <v>50.2</v>
      </c>
      <c r="I146">
        <v>58.97</v>
      </c>
      <c r="K146">
        <v>53.5</v>
      </c>
      <c r="AD146">
        <v>48.585345068779702</v>
      </c>
      <c r="AN146">
        <v>49.78</v>
      </c>
      <c r="AX146">
        <v>51.7</v>
      </c>
    </row>
    <row r="147" spans="1:50" x14ac:dyDescent="0.2">
      <c r="A147" s="79">
        <v>38749</v>
      </c>
      <c r="F147">
        <v>50.7</v>
      </c>
      <c r="I147">
        <v>60.32</v>
      </c>
      <c r="K147">
        <v>54.5</v>
      </c>
      <c r="AD147">
        <v>52.190552419279399</v>
      </c>
      <c r="AN147">
        <v>50.11</v>
      </c>
      <c r="AX147">
        <v>51.7</v>
      </c>
    </row>
    <row r="148" spans="1:50" x14ac:dyDescent="0.2">
      <c r="A148" s="79">
        <v>38777</v>
      </c>
      <c r="F148">
        <v>51</v>
      </c>
      <c r="I148">
        <v>52.93</v>
      </c>
      <c r="K148">
        <v>56.1</v>
      </c>
      <c r="AD148">
        <v>53.543058814971403</v>
      </c>
      <c r="AN148">
        <v>52.17</v>
      </c>
      <c r="AX148">
        <v>50.8</v>
      </c>
    </row>
    <row r="149" spans="1:50" x14ac:dyDescent="0.2">
      <c r="A149" s="79">
        <v>38808</v>
      </c>
      <c r="F149">
        <v>52.7</v>
      </c>
      <c r="I149">
        <v>55.97</v>
      </c>
      <c r="K149">
        <v>56.7</v>
      </c>
      <c r="AD149">
        <v>52.014251258866402</v>
      </c>
      <c r="AN149">
        <v>54.63</v>
      </c>
      <c r="AX149">
        <v>54.1</v>
      </c>
    </row>
    <row r="150" spans="1:50" x14ac:dyDescent="0.2">
      <c r="A150" s="79">
        <v>38838</v>
      </c>
      <c r="F150">
        <v>52.8</v>
      </c>
      <c r="I150">
        <v>56.87</v>
      </c>
      <c r="K150">
        <v>57</v>
      </c>
      <c r="AD150">
        <v>57.202432453847202</v>
      </c>
      <c r="AN150">
        <v>57</v>
      </c>
      <c r="AX150">
        <v>53.2</v>
      </c>
    </row>
    <row r="151" spans="1:50" x14ac:dyDescent="0.2">
      <c r="A151" s="79">
        <v>38869</v>
      </c>
      <c r="F151">
        <v>52.9</v>
      </c>
      <c r="I151">
        <v>56.69</v>
      </c>
      <c r="K151">
        <v>57.7</v>
      </c>
      <c r="AD151">
        <v>53.844737402000803</v>
      </c>
      <c r="AN151">
        <v>58.8</v>
      </c>
      <c r="AX151">
        <v>55.1</v>
      </c>
    </row>
    <row r="152" spans="1:50" x14ac:dyDescent="0.2">
      <c r="A152" s="79">
        <v>38899</v>
      </c>
      <c r="F152">
        <v>53</v>
      </c>
      <c r="I152">
        <v>58.32</v>
      </c>
      <c r="K152">
        <v>57.4</v>
      </c>
      <c r="AD152">
        <v>53.378118046287</v>
      </c>
      <c r="AN152">
        <v>60.27</v>
      </c>
      <c r="AX152">
        <v>53.8</v>
      </c>
    </row>
    <row r="153" spans="1:50" x14ac:dyDescent="0.2">
      <c r="A153" s="79">
        <v>38930</v>
      </c>
      <c r="F153">
        <v>52.6</v>
      </c>
      <c r="I153">
        <v>63.49</v>
      </c>
      <c r="K153">
        <v>56.5</v>
      </c>
      <c r="AD153">
        <v>52.497099283063399</v>
      </c>
      <c r="AN153">
        <v>58.68</v>
      </c>
      <c r="AX153">
        <v>53.1</v>
      </c>
    </row>
    <row r="154" spans="1:50" x14ac:dyDescent="0.2">
      <c r="A154" s="79">
        <v>38961</v>
      </c>
      <c r="F154">
        <v>52.4</v>
      </c>
      <c r="I154">
        <v>62.87</v>
      </c>
      <c r="K154">
        <v>56.6</v>
      </c>
      <c r="AD154">
        <v>51.262659151328798</v>
      </c>
      <c r="AN154">
        <v>56.6</v>
      </c>
      <c r="AX154">
        <v>54.4</v>
      </c>
    </row>
    <row r="155" spans="1:50" x14ac:dyDescent="0.2">
      <c r="A155" s="79">
        <v>38991</v>
      </c>
      <c r="F155">
        <v>52.1</v>
      </c>
      <c r="I155">
        <v>62.65</v>
      </c>
      <c r="K155">
        <v>57</v>
      </c>
      <c r="AD155">
        <v>56.532079990323197</v>
      </c>
      <c r="AN155">
        <v>56.73</v>
      </c>
      <c r="AX155">
        <v>53.7</v>
      </c>
    </row>
    <row r="156" spans="1:50" x14ac:dyDescent="0.2">
      <c r="A156" s="79">
        <v>39022</v>
      </c>
      <c r="F156">
        <v>53</v>
      </c>
      <c r="I156">
        <v>66.77</v>
      </c>
      <c r="K156">
        <v>56.6</v>
      </c>
      <c r="AD156">
        <v>54.819585258175898</v>
      </c>
      <c r="AN156">
        <v>56.34</v>
      </c>
      <c r="AX156">
        <v>53.6</v>
      </c>
    </row>
    <row r="157" spans="1:50" x14ac:dyDescent="0.2">
      <c r="A157" s="79">
        <v>39052</v>
      </c>
      <c r="F157">
        <v>52.4</v>
      </c>
      <c r="I157">
        <v>62.5</v>
      </c>
      <c r="K157">
        <v>56.5</v>
      </c>
      <c r="U157">
        <v>55</v>
      </c>
      <c r="AD157">
        <v>54.238666923849898</v>
      </c>
      <c r="AN157">
        <v>55.49</v>
      </c>
      <c r="AP157">
        <v>57.2</v>
      </c>
      <c r="AX157">
        <v>51.9</v>
      </c>
    </row>
    <row r="158" spans="1:50" x14ac:dyDescent="0.2">
      <c r="A158" s="79">
        <v>39083</v>
      </c>
      <c r="F158">
        <v>52</v>
      </c>
      <c r="I158">
        <v>55.72</v>
      </c>
      <c r="K158">
        <v>55.5</v>
      </c>
      <c r="U158">
        <v>53.5</v>
      </c>
      <c r="AD158">
        <v>56.036031351097698</v>
      </c>
      <c r="AN158">
        <v>57.79</v>
      </c>
      <c r="AP158">
        <v>56.2</v>
      </c>
      <c r="AX158">
        <v>52.8</v>
      </c>
    </row>
    <row r="159" spans="1:50" x14ac:dyDescent="0.2">
      <c r="A159" s="79">
        <v>39114</v>
      </c>
      <c r="F159">
        <v>53</v>
      </c>
      <c r="I159">
        <v>60.51</v>
      </c>
      <c r="K159">
        <v>55.6</v>
      </c>
      <c r="U159">
        <v>54.2</v>
      </c>
      <c r="AD159">
        <v>54.742775705584201</v>
      </c>
      <c r="AN159">
        <v>60.18</v>
      </c>
      <c r="AP159">
        <v>56.2</v>
      </c>
      <c r="AX159">
        <v>55.4</v>
      </c>
    </row>
    <row r="160" spans="1:50" x14ac:dyDescent="0.2">
      <c r="A160" s="79">
        <v>39142</v>
      </c>
      <c r="F160">
        <v>52.3</v>
      </c>
      <c r="I160">
        <v>65.52</v>
      </c>
      <c r="K160">
        <v>55.4</v>
      </c>
      <c r="U160">
        <v>53.8</v>
      </c>
      <c r="AD160">
        <v>57.570250699095702</v>
      </c>
      <c r="AN160">
        <v>60.35</v>
      </c>
      <c r="AP160">
        <v>55.4</v>
      </c>
      <c r="AX160">
        <v>54.4</v>
      </c>
    </row>
    <row r="161" spans="1:50" x14ac:dyDescent="0.2">
      <c r="A161" s="79">
        <v>39173</v>
      </c>
      <c r="F161">
        <v>53.3</v>
      </c>
      <c r="I161">
        <v>63.43</v>
      </c>
      <c r="K161">
        <v>55.4</v>
      </c>
      <c r="U161">
        <v>53.9</v>
      </c>
      <c r="AD161">
        <v>53.260616311208402</v>
      </c>
      <c r="AN161">
        <v>57.89</v>
      </c>
      <c r="AP161">
        <v>56</v>
      </c>
      <c r="AX161">
        <v>53.9</v>
      </c>
    </row>
    <row r="162" spans="1:50" x14ac:dyDescent="0.2">
      <c r="A162" s="79">
        <v>39203</v>
      </c>
      <c r="F162">
        <v>54.1</v>
      </c>
      <c r="I162">
        <v>62.81</v>
      </c>
      <c r="K162">
        <v>55</v>
      </c>
      <c r="U162">
        <v>55</v>
      </c>
      <c r="AD162">
        <v>55.407160874264001</v>
      </c>
      <c r="AN162">
        <v>56.91</v>
      </c>
      <c r="AP162">
        <v>53.3</v>
      </c>
      <c r="AX162">
        <v>54.9</v>
      </c>
    </row>
    <row r="163" spans="1:50" x14ac:dyDescent="0.2">
      <c r="A163" s="79">
        <v>39234</v>
      </c>
      <c r="F163">
        <v>55</v>
      </c>
      <c r="I163">
        <v>59.06</v>
      </c>
      <c r="K163">
        <v>55.6</v>
      </c>
      <c r="U163">
        <v>54</v>
      </c>
      <c r="AD163">
        <v>51.416409801705001</v>
      </c>
      <c r="AN163">
        <v>56.33</v>
      </c>
      <c r="AP163">
        <v>55.1</v>
      </c>
      <c r="AX163">
        <v>54.3</v>
      </c>
    </row>
    <row r="164" spans="1:50" x14ac:dyDescent="0.2">
      <c r="A164" s="79">
        <v>39264</v>
      </c>
      <c r="F164">
        <v>53.2</v>
      </c>
      <c r="I164">
        <v>63.94</v>
      </c>
      <c r="K164">
        <v>54.9</v>
      </c>
      <c r="U164">
        <v>53.3</v>
      </c>
      <c r="AD164">
        <v>54.021529677242</v>
      </c>
      <c r="AN164">
        <v>57.52</v>
      </c>
      <c r="AP164">
        <v>53.2</v>
      </c>
      <c r="AX164">
        <v>55.7</v>
      </c>
    </row>
    <row r="165" spans="1:50" x14ac:dyDescent="0.2">
      <c r="A165" s="79">
        <v>39295</v>
      </c>
      <c r="F165">
        <v>53.4</v>
      </c>
      <c r="I165">
        <v>55.08</v>
      </c>
      <c r="K165">
        <v>54.3</v>
      </c>
      <c r="U165">
        <v>53.6</v>
      </c>
      <c r="AD165">
        <v>56.598811050608198</v>
      </c>
      <c r="AN165">
        <v>54.42</v>
      </c>
      <c r="AP165">
        <v>52.2</v>
      </c>
      <c r="AX165">
        <v>56.3</v>
      </c>
    </row>
    <row r="166" spans="1:50" x14ac:dyDescent="0.2">
      <c r="A166" s="79">
        <v>39326</v>
      </c>
      <c r="F166">
        <v>55</v>
      </c>
      <c r="I166">
        <v>57.16</v>
      </c>
      <c r="K166">
        <v>53.2</v>
      </c>
      <c r="U166">
        <v>52.4</v>
      </c>
      <c r="AD166">
        <v>54.2282350566784</v>
      </c>
      <c r="AN166">
        <v>51.63</v>
      </c>
      <c r="AP166">
        <v>50.8</v>
      </c>
      <c r="AX166">
        <v>55.1</v>
      </c>
    </row>
    <row r="167" spans="1:50" x14ac:dyDescent="0.2">
      <c r="A167" s="79">
        <v>39356</v>
      </c>
      <c r="F167">
        <v>55.2</v>
      </c>
      <c r="I167">
        <v>59.94</v>
      </c>
      <c r="K167">
        <v>51.5</v>
      </c>
      <c r="U167">
        <v>51.3</v>
      </c>
      <c r="AD167">
        <v>57.433784173576299</v>
      </c>
      <c r="AN167">
        <v>54.4</v>
      </c>
      <c r="AP167">
        <v>49.6</v>
      </c>
      <c r="AX167">
        <v>52.9</v>
      </c>
    </row>
    <row r="168" spans="1:50" x14ac:dyDescent="0.2">
      <c r="A168" s="79">
        <v>39387</v>
      </c>
      <c r="F168">
        <v>52.8</v>
      </c>
      <c r="I168">
        <v>57.03</v>
      </c>
      <c r="K168">
        <v>52.8</v>
      </c>
      <c r="U168">
        <v>51.3</v>
      </c>
      <c r="AD168">
        <v>57.155724465306697</v>
      </c>
      <c r="AN168">
        <v>53.96</v>
      </c>
      <c r="AP168">
        <v>50.7</v>
      </c>
      <c r="AX168">
        <v>54.4</v>
      </c>
    </row>
    <row r="169" spans="1:50" x14ac:dyDescent="0.2">
      <c r="A169" s="79">
        <v>39417</v>
      </c>
      <c r="F169">
        <v>53.3</v>
      </c>
      <c r="I169">
        <v>55.62</v>
      </c>
      <c r="K169">
        <v>52.6</v>
      </c>
      <c r="U169">
        <v>50.7</v>
      </c>
      <c r="AD169">
        <v>53.153499590717303</v>
      </c>
      <c r="AN169">
        <v>53.23</v>
      </c>
      <c r="AP169">
        <v>49.5</v>
      </c>
      <c r="AX169">
        <v>52.9</v>
      </c>
    </row>
    <row r="170" spans="1:50" x14ac:dyDescent="0.2">
      <c r="A170" s="79">
        <v>39448</v>
      </c>
      <c r="F170">
        <v>53.2</v>
      </c>
      <c r="I170">
        <v>56.34</v>
      </c>
      <c r="K170">
        <v>52.8</v>
      </c>
      <c r="U170">
        <v>50.8</v>
      </c>
      <c r="AD170">
        <v>53.080817306480398</v>
      </c>
      <c r="AN170">
        <v>51.3</v>
      </c>
      <c r="AP170">
        <v>49.8</v>
      </c>
      <c r="AX170">
        <v>50.6</v>
      </c>
    </row>
    <row r="171" spans="1:50" x14ac:dyDescent="0.2">
      <c r="A171" s="79">
        <v>39478</v>
      </c>
      <c r="M171">
        <v>54.4</v>
      </c>
    </row>
    <row r="172" spans="1:50" x14ac:dyDescent="0.2">
      <c r="A172" s="79">
        <v>39479</v>
      </c>
      <c r="F172">
        <v>52.8</v>
      </c>
      <c r="I172">
        <v>64.819999999999993</v>
      </c>
      <c r="K172">
        <v>52.3</v>
      </c>
      <c r="M172">
        <v>54.3</v>
      </c>
      <c r="U172">
        <v>50.6</v>
      </c>
      <c r="V172">
        <v>50.8</v>
      </c>
      <c r="AD172">
        <v>52.568361901912901</v>
      </c>
      <c r="AN172">
        <v>45.75</v>
      </c>
      <c r="AP172">
        <v>46.7</v>
      </c>
      <c r="AX172">
        <v>51.3</v>
      </c>
    </row>
    <row r="173" spans="1:50" x14ac:dyDescent="0.2">
      <c r="A173" s="79">
        <v>39508</v>
      </c>
      <c r="F173">
        <v>54.4</v>
      </c>
      <c r="I173">
        <v>57.03</v>
      </c>
      <c r="K173">
        <v>52</v>
      </c>
      <c r="M173">
        <v>54.9</v>
      </c>
      <c r="U173">
        <v>49.4</v>
      </c>
      <c r="V173">
        <v>49.5</v>
      </c>
      <c r="AD173">
        <v>48.114001410038803</v>
      </c>
      <c r="AN173">
        <v>44.21</v>
      </c>
      <c r="AP173">
        <v>46.4</v>
      </c>
      <c r="AX173">
        <v>51.3</v>
      </c>
    </row>
    <row r="174" spans="1:50" x14ac:dyDescent="0.2">
      <c r="A174" s="79">
        <v>39539</v>
      </c>
      <c r="F174">
        <v>55.4</v>
      </c>
      <c r="I174">
        <v>44.91</v>
      </c>
      <c r="K174">
        <v>50.7</v>
      </c>
      <c r="M174">
        <v>53.6</v>
      </c>
      <c r="U174">
        <v>48.2</v>
      </c>
      <c r="V174">
        <v>48.6</v>
      </c>
      <c r="AD174">
        <v>50.379620041373897</v>
      </c>
      <c r="AN174">
        <v>53.72</v>
      </c>
      <c r="AP174">
        <v>45.2</v>
      </c>
      <c r="AX174">
        <v>51</v>
      </c>
    </row>
    <row r="175" spans="1:50" x14ac:dyDescent="0.2">
      <c r="A175" s="79">
        <v>39569</v>
      </c>
      <c r="B175">
        <v>51.4</v>
      </c>
      <c r="F175">
        <v>54.7</v>
      </c>
      <c r="I175">
        <v>66.78</v>
      </c>
      <c r="K175">
        <v>50.6</v>
      </c>
      <c r="M175">
        <v>53.5</v>
      </c>
      <c r="U175">
        <v>48</v>
      </c>
      <c r="V175">
        <v>47.7</v>
      </c>
      <c r="AD175">
        <v>48.254867105237302</v>
      </c>
      <c r="AN175">
        <v>48.8</v>
      </c>
      <c r="AP175">
        <v>43.8</v>
      </c>
      <c r="AX175">
        <v>50</v>
      </c>
    </row>
    <row r="176" spans="1:50" x14ac:dyDescent="0.2">
      <c r="A176" s="79">
        <v>39600</v>
      </c>
      <c r="B176">
        <v>51.2</v>
      </c>
      <c r="F176">
        <v>53.3</v>
      </c>
      <c r="I176">
        <v>62.6</v>
      </c>
      <c r="K176">
        <v>49.2</v>
      </c>
      <c r="M176">
        <v>52.3</v>
      </c>
      <c r="U176">
        <v>46.9</v>
      </c>
      <c r="V176">
        <v>46.5</v>
      </c>
      <c r="AD176">
        <v>44.324455950641003</v>
      </c>
      <c r="AN176">
        <v>45.37</v>
      </c>
      <c r="AP176">
        <v>40.6</v>
      </c>
      <c r="AX176">
        <v>45.8</v>
      </c>
    </row>
    <row r="177" spans="1:50" x14ac:dyDescent="0.2">
      <c r="A177" s="79">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79">
        <v>39661</v>
      </c>
      <c r="B178">
        <v>51.2</v>
      </c>
      <c r="F178">
        <v>49.2</v>
      </c>
      <c r="I178">
        <v>48.73</v>
      </c>
      <c r="K178">
        <v>47.6</v>
      </c>
      <c r="L178">
        <v>45.1</v>
      </c>
      <c r="M178">
        <v>49.9</v>
      </c>
      <c r="U178">
        <v>47.1</v>
      </c>
      <c r="V178">
        <v>46.9</v>
      </c>
      <c r="AD178">
        <v>46.094212934239899</v>
      </c>
      <c r="AN178">
        <v>48.3</v>
      </c>
      <c r="AP178">
        <v>42.4</v>
      </c>
      <c r="AX178">
        <v>45.9</v>
      </c>
    </row>
    <row r="179" spans="1:50" x14ac:dyDescent="0.2">
      <c r="A179" s="79">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79">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79">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79">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79">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79">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79">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79">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79">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79">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79">
        <v>39995</v>
      </c>
      <c r="B189">
        <v>44.5</v>
      </c>
      <c r="F189">
        <v>52.8</v>
      </c>
      <c r="I189">
        <v>47.7</v>
      </c>
      <c r="K189">
        <v>46.3</v>
      </c>
      <c r="L189">
        <v>50.2</v>
      </c>
      <c r="M189">
        <v>45.2</v>
      </c>
      <c r="U189">
        <v>45.4</v>
      </c>
      <c r="V189">
        <v>50.4</v>
      </c>
      <c r="AD189">
        <v>49.734183405407201</v>
      </c>
      <c r="AN189">
        <v>39.43</v>
      </c>
      <c r="AP189">
        <v>47.3</v>
      </c>
      <c r="AX189">
        <v>50.8</v>
      </c>
    </row>
    <row r="190" spans="1:50" x14ac:dyDescent="0.2">
      <c r="A190" s="79">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79">
        <v>40057</v>
      </c>
      <c r="B191">
        <v>52</v>
      </c>
      <c r="F191">
        <v>55</v>
      </c>
      <c r="I191">
        <v>42.73</v>
      </c>
      <c r="K191">
        <v>49.3</v>
      </c>
      <c r="L191">
        <v>53</v>
      </c>
      <c r="M191">
        <v>49.6</v>
      </c>
      <c r="U191">
        <v>47.6</v>
      </c>
      <c r="V191">
        <v>54.5</v>
      </c>
      <c r="AD191">
        <v>52.680029270514602</v>
      </c>
      <c r="AN191">
        <v>47.46</v>
      </c>
      <c r="AP191">
        <v>45.8</v>
      </c>
      <c r="AX191">
        <v>49.5</v>
      </c>
    </row>
    <row r="192" spans="1:50" x14ac:dyDescent="0.2">
      <c r="A192" s="79">
        <v>40087</v>
      </c>
      <c r="B192">
        <v>51.7</v>
      </c>
      <c r="F192">
        <v>55.4</v>
      </c>
      <c r="I192">
        <v>49.89</v>
      </c>
      <c r="K192">
        <v>50.7</v>
      </c>
      <c r="L192">
        <v>54.2</v>
      </c>
      <c r="M192">
        <v>51.1</v>
      </c>
      <c r="U192">
        <v>49.2</v>
      </c>
      <c r="V192">
        <v>54.3</v>
      </c>
      <c r="AD192">
        <v>51.7262292777555</v>
      </c>
      <c r="AN192">
        <v>47.74</v>
      </c>
      <c r="AP192">
        <v>46.3</v>
      </c>
      <c r="AX192">
        <v>53.7</v>
      </c>
    </row>
    <row r="193" spans="1:51" x14ac:dyDescent="0.2">
      <c r="A193" s="79">
        <v>40118</v>
      </c>
      <c r="B193">
        <v>51.2</v>
      </c>
      <c r="F193">
        <v>55.7</v>
      </c>
      <c r="I193">
        <v>50.67</v>
      </c>
      <c r="K193">
        <v>51.2</v>
      </c>
      <c r="L193">
        <v>54.4</v>
      </c>
      <c r="M193">
        <v>52.4</v>
      </c>
      <c r="U193">
        <v>50.1</v>
      </c>
      <c r="V193">
        <v>52.3</v>
      </c>
      <c r="AD193">
        <v>53.326198285872401</v>
      </c>
      <c r="AN193">
        <v>49.48</v>
      </c>
      <c r="AP193">
        <v>45.3</v>
      </c>
      <c r="AX193">
        <v>51.8</v>
      </c>
    </row>
    <row r="194" spans="1:51" x14ac:dyDescent="0.2">
      <c r="A194" s="79">
        <v>40148</v>
      </c>
      <c r="B194">
        <v>48.5</v>
      </c>
      <c r="F194">
        <v>56.1</v>
      </c>
      <c r="I194">
        <v>49.48</v>
      </c>
      <c r="K194">
        <v>51.6</v>
      </c>
      <c r="L194">
        <v>54.7</v>
      </c>
      <c r="M194">
        <v>53.1</v>
      </c>
      <c r="U194">
        <v>50.8</v>
      </c>
      <c r="V194">
        <v>53.8</v>
      </c>
      <c r="AD194">
        <v>53.1454156225943</v>
      </c>
      <c r="AN194">
        <v>52.58</v>
      </c>
      <c r="AP194">
        <v>45.2</v>
      </c>
      <c r="AX194">
        <v>54.1</v>
      </c>
    </row>
    <row r="195" spans="1:51" x14ac:dyDescent="0.2">
      <c r="A195" s="79">
        <v>40179</v>
      </c>
      <c r="B195">
        <v>51</v>
      </c>
      <c r="F195">
        <v>57.4</v>
      </c>
      <c r="I195">
        <v>50.96</v>
      </c>
      <c r="K195">
        <v>52.4</v>
      </c>
      <c r="L195">
        <v>54.6</v>
      </c>
      <c r="M195">
        <v>53.4</v>
      </c>
      <c r="U195">
        <v>51.7</v>
      </c>
      <c r="V195">
        <v>52.5</v>
      </c>
      <c r="AD195">
        <v>51.823641067846701</v>
      </c>
      <c r="AN195">
        <v>52.14</v>
      </c>
      <c r="AP195">
        <v>45.3</v>
      </c>
      <c r="AX195">
        <v>56.7</v>
      </c>
    </row>
    <row r="196" spans="1:51" x14ac:dyDescent="0.2">
      <c r="A196" s="79">
        <v>40210</v>
      </c>
      <c r="B196">
        <v>53.8</v>
      </c>
      <c r="F196">
        <v>55.8</v>
      </c>
      <c r="I196">
        <v>48.93</v>
      </c>
      <c r="K196">
        <v>54.2</v>
      </c>
      <c r="L196">
        <v>56.3</v>
      </c>
      <c r="M196">
        <v>57.2</v>
      </c>
      <c r="U196">
        <v>51.6</v>
      </c>
      <c r="V196">
        <v>52.5</v>
      </c>
      <c r="AD196">
        <v>52.533413447435898</v>
      </c>
      <c r="AN196">
        <v>55.72</v>
      </c>
      <c r="AP196">
        <v>49.1</v>
      </c>
      <c r="AX196">
        <v>56.6</v>
      </c>
    </row>
    <row r="197" spans="1:51" x14ac:dyDescent="0.2">
      <c r="A197" s="79">
        <v>40238</v>
      </c>
      <c r="B197">
        <v>50.2</v>
      </c>
      <c r="F197">
        <v>57</v>
      </c>
      <c r="I197">
        <v>51.66</v>
      </c>
      <c r="K197">
        <v>56.6</v>
      </c>
      <c r="L197">
        <v>56.7</v>
      </c>
      <c r="M197">
        <v>59.6</v>
      </c>
      <c r="U197">
        <v>53.7</v>
      </c>
      <c r="V197">
        <v>52.4</v>
      </c>
      <c r="AD197">
        <v>55.832523203119003</v>
      </c>
      <c r="AN197">
        <v>53.65</v>
      </c>
      <c r="AP197">
        <v>51.8</v>
      </c>
      <c r="AX197">
        <v>57.2</v>
      </c>
    </row>
    <row r="198" spans="1:51" x14ac:dyDescent="0.2">
      <c r="A198" s="79">
        <v>40269</v>
      </c>
      <c r="B198">
        <v>59.8</v>
      </c>
      <c r="F198">
        <v>55.4</v>
      </c>
      <c r="I198">
        <v>49.02</v>
      </c>
      <c r="K198">
        <v>57.6</v>
      </c>
      <c r="L198">
        <v>56.6</v>
      </c>
      <c r="M198">
        <v>61.5</v>
      </c>
      <c r="U198">
        <v>54.3</v>
      </c>
      <c r="V198">
        <v>53.5</v>
      </c>
      <c r="AD198">
        <v>58.4019949666218</v>
      </c>
      <c r="AN198">
        <v>53.24</v>
      </c>
      <c r="AP198">
        <v>53.3</v>
      </c>
      <c r="AX198">
        <v>58</v>
      </c>
    </row>
    <row r="199" spans="1:51" x14ac:dyDescent="0.2">
      <c r="A199" s="79">
        <v>40299</v>
      </c>
      <c r="B199">
        <v>56.3</v>
      </c>
      <c r="F199">
        <v>52.7</v>
      </c>
      <c r="I199">
        <v>51.33</v>
      </c>
      <c r="K199">
        <v>55.8</v>
      </c>
      <c r="L199">
        <v>55.8</v>
      </c>
      <c r="M199">
        <v>58.4</v>
      </c>
      <c r="U199">
        <v>54</v>
      </c>
      <c r="V199">
        <v>54.7</v>
      </c>
      <c r="AD199">
        <v>51.8006228698843</v>
      </c>
      <c r="AN199">
        <v>51.19</v>
      </c>
      <c r="AP199">
        <v>51.5</v>
      </c>
      <c r="AX199">
        <v>58</v>
      </c>
    </row>
    <row r="200" spans="1:51" x14ac:dyDescent="0.2">
      <c r="A200" s="79">
        <v>40330</v>
      </c>
      <c r="B200">
        <v>52.9</v>
      </c>
      <c r="F200">
        <v>50.4</v>
      </c>
      <c r="I200">
        <v>50.2</v>
      </c>
      <c r="K200">
        <v>55.6</v>
      </c>
      <c r="L200">
        <v>53.7</v>
      </c>
      <c r="M200">
        <v>58.1</v>
      </c>
      <c r="U200">
        <v>54.3</v>
      </c>
      <c r="V200">
        <v>53.9</v>
      </c>
      <c r="AD200">
        <v>54.885916458142702</v>
      </c>
      <c r="AN200">
        <v>50.84</v>
      </c>
      <c r="AP200">
        <v>51.2</v>
      </c>
      <c r="AX200">
        <v>57.5</v>
      </c>
    </row>
    <row r="201" spans="1:51" x14ac:dyDescent="0.2">
      <c r="A201" s="79">
        <v>40360</v>
      </c>
      <c r="B201">
        <v>54.4</v>
      </c>
      <c r="F201">
        <v>49.4</v>
      </c>
      <c r="I201">
        <v>54.3</v>
      </c>
      <c r="K201">
        <v>56.7</v>
      </c>
      <c r="L201">
        <v>54.7</v>
      </c>
      <c r="M201">
        <v>61.2</v>
      </c>
      <c r="U201">
        <v>54.4</v>
      </c>
      <c r="V201">
        <v>52.8</v>
      </c>
      <c r="AD201">
        <v>50.256943813857902</v>
      </c>
      <c r="AN201">
        <v>52.65</v>
      </c>
      <c r="AP201">
        <v>51.6</v>
      </c>
      <c r="AX201">
        <v>57.3</v>
      </c>
    </row>
    <row r="202" spans="1:51" x14ac:dyDescent="0.2">
      <c r="A202" s="79">
        <v>40391</v>
      </c>
      <c r="B202">
        <v>51.7</v>
      </c>
      <c r="F202">
        <v>51.9</v>
      </c>
      <c r="I202">
        <v>54.73</v>
      </c>
      <c r="K202">
        <v>55.1</v>
      </c>
      <c r="L202">
        <v>55.4</v>
      </c>
      <c r="M202">
        <v>58.2</v>
      </c>
      <c r="U202">
        <v>52.8</v>
      </c>
      <c r="V202">
        <v>50.1</v>
      </c>
      <c r="AD202">
        <v>50.288913340954501</v>
      </c>
      <c r="AN202">
        <v>51.95</v>
      </c>
      <c r="AP202">
        <v>51.2</v>
      </c>
      <c r="AX202">
        <v>54.3</v>
      </c>
    </row>
    <row r="203" spans="1:51" x14ac:dyDescent="0.2">
      <c r="A203" s="79">
        <v>40422</v>
      </c>
      <c r="B203">
        <v>47.3</v>
      </c>
      <c r="F203">
        <v>52.9</v>
      </c>
      <c r="I203">
        <v>56.27</v>
      </c>
      <c r="K203">
        <v>53.7</v>
      </c>
      <c r="L203">
        <v>55.2</v>
      </c>
      <c r="M203">
        <v>55.3</v>
      </c>
      <c r="U203">
        <v>52.6</v>
      </c>
      <c r="V203">
        <v>49.5</v>
      </c>
      <c r="AD203">
        <v>50.989279973423798</v>
      </c>
      <c r="AN203">
        <v>50.14</v>
      </c>
      <c r="AP203">
        <v>49.6</v>
      </c>
      <c r="AX203">
        <v>53.4</v>
      </c>
    </row>
    <row r="204" spans="1:51" x14ac:dyDescent="0.2">
      <c r="A204" s="79">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79">
        <v>40482</v>
      </c>
      <c r="N205">
        <v>43.6</v>
      </c>
    </row>
    <row r="206" spans="1:51" x14ac:dyDescent="0.2">
      <c r="A206" s="79">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79">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79">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79">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79">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79">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79">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79">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79">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79">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79">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79">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79">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79">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79">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79">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79">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79">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79">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79">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79">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79">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79">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79">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79">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79">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79">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79">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79">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79">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79">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79">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79">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79">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79">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79">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79">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79">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79">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79">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79">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79">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79">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79">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79">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79">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79">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79">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79">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79">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79">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79">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79">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79">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79">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79">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79">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79">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79">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79">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79">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79">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79">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79">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79">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79">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79">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79">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79">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79">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79">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79">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79">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79">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79">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79">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79">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79">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79">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79">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79">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79">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79">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79">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79">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79">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79">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79">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79">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79">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79">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79">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79">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79">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79">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79">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79">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79">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79">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79">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79">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79">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79">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79">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79">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79">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79">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79">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79">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79">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79">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79">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79">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79">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79">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79">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79">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79">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79">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79">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79">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79">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79">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79">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79">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79">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79">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79">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79">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79">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79">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79">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79">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79">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79">
        <v>44562</v>
      </c>
      <c r="B340">
        <v>48.4</v>
      </c>
      <c r="C340">
        <v>61.5</v>
      </c>
      <c r="D340">
        <v>47.8</v>
      </c>
      <c r="E340">
        <v>56.2</v>
      </c>
      <c r="F340">
        <v>49.1</v>
      </c>
      <c r="G340">
        <v>52.6</v>
      </c>
      <c r="H340">
        <v>59</v>
      </c>
      <c r="I340">
        <v>60.9</v>
      </c>
      <c r="K340">
        <v>59</v>
      </c>
      <c r="L340">
        <v>55.5</v>
      </c>
      <c r="M340">
        <v>60.5</v>
      </c>
      <c r="N340">
        <v>57.9</v>
      </c>
      <c r="P340">
        <v>50.7</v>
      </c>
      <c r="Q340">
        <v>54</v>
      </c>
      <c r="R340">
        <v>53.7</v>
      </c>
      <c r="S340">
        <v>59.4</v>
      </c>
      <c r="U340">
        <v>58.3</v>
      </c>
      <c r="V340">
        <v>55.4</v>
      </c>
      <c r="W340">
        <v>43.8</v>
      </c>
      <c r="Z340">
        <v>50.5</v>
      </c>
      <c r="AA340">
        <v>46.1</v>
      </c>
      <c r="AB340">
        <v>48.5</v>
      </c>
      <c r="AC340">
        <v>60.1</v>
      </c>
      <c r="AF340">
        <v>56.5</v>
      </c>
      <c r="AG340">
        <v>50</v>
      </c>
      <c r="AH340">
        <v>54.5</v>
      </c>
      <c r="AK340">
        <v>51.8</v>
      </c>
      <c r="AN340">
        <v>57.1</v>
      </c>
      <c r="AO340">
        <v>52.8</v>
      </c>
      <c r="AP340">
        <v>56.2</v>
      </c>
      <c r="AR340">
        <v>62.4</v>
      </c>
      <c r="AS340">
        <v>63.8</v>
      </c>
      <c r="AT340">
        <v>55.1</v>
      </c>
      <c r="AU340">
        <v>51.7</v>
      </c>
      <c r="AV340">
        <v>50.5</v>
      </c>
      <c r="AX340">
        <v>56.9</v>
      </c>
      <c r="AY340">
        <v>55</v>
      </c>
      <c r="AZ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E208"/>
  <sheetViews>
    <sheetView zoomScale="160" zoomScaleNormal="160" workbookViewId="0">
      <pane ySplit="1" topLeftCell="A175" activePane="bottomLeft" state="frozen"/>
      <selection activeCell="J199" sqref="J199"/>
      <selection pane="bottomLeft" activeCell="J199" sqref="J199"/>
    </sheetView>
  </sheetViews>
  <sheetFormatPr baseColWidth="10" defaultRowHeight="15" x14ac:dyDescent="0.2"/>
  <cols>
    <col min="1" max="10" width="10.83203125" style="76" customWidth="1"/>
    <col min="11" max="16384" width="10.83203125" style="76"/>
  </cols>
  <sheetData>
    <row r="1" spans="1:5" x14ac:dyDescent="0.2">
      <c r="A1" t="s">
        <v>85</v>
      </c>
      <c r="B1" t="s">
        <v>16</v>
      </c>
      <c r="C1" t="s">
        <v>86</v>
      </c>
      <c r="D1" t="s">
        <v>87</v>
      </c>
      <c r="E1" t="s">
        <v>88</v>
      </c>
    </row>
    <row r="2" spans="1:5" x14ac:dyDescent="0.2">
      <c r="A2" s="79">
        <v>38322</v>
      </c>
      <c r="D2">
        <v>22.17093467712402</v>
      </c>
      <c r="E2">
        <v>18.609273910522461</v>
      </c>
    </row>
    <row r="3" spans="1:5" x14ac:dyDescent="0.2">
      <c r="A3" s="79">
        <v>38353</v>
      </c>
      <c r="D3">
        <v>22.077951431274411</v>
      </c>
      <c r="E3">
        <v>18.507076263427731</v>
      </c>
    </row>
    <row r="4" spans="1:5" x14ac:dyDescent="0.2">
      <c r="A4" s="79">
        <v>38384</v>
      </c>
      <c r="D4">
        <v>23.0388069152832</v>
      </c>
      <c r="E4">
        <v>19.482236862182621</v>
      </c>
    </row>
    <row r="5" spans="1:5" x14ac:dyDescent="0.2">
      <c r="A5" s="79">
        <v>38412</v>
      </c>
      <c r="D5">
        <v>22.482194900512699</v>
      </c>
      <c r="E5">
        <v>19.010391235351559</v>
      </c>
    </row>
    <row r="6" spans="1:5" x14ac:dyDescent="0.2">
      <c r="A6" s="79">
        <v>38443</v>
      </c>
      <c r="D6">
        <v>21.704805374145511</v>
      </c>
      <c r="E6">
        <v>18.77970123291016</v>
      </c>
    </row>
    <row r="7" spans="1:5" x14ac:dyDescent="0.2">
      <c r="A7" s="79">
        <v>38473</v>
      </c>
      <c r="D7">
        <v>21.80119705200195</v>
      </c>
      <c r="E7">
        <v>18.632902145385739</v>
      </c>
    </row>
    <row r="8" spans="1:5" x14ac:dyDescent="0.2">
      <c r="A8" s="79">
        <v>38504</v>
      </c>
      <c r="D8">
        <v>22.121488571166989</v>
      </c>
      <c r="E8">
        <v>18.842617034912109</v>
      </c>
    </row>
    <row r="9" spans="1:5" x14ac:dyDescent="0.2">
      <c r="A9" s="79">
        <v>38534</v>
      </c>
      <c r="D9">
        <v>23.128988265991211</v>
      </c>
      <c r="E9">
        <v>18.97892951965332</v>
      </c>
    </row>
    <row r="10" spans="1:5" x14ac:dyDescent="0.2">
      <c r="A10" s="79">
        <v>38565</v>
      </c>
      <c r="D10">
        <v>23.508354187011719</v>
      </c>
      <c r="E10">
        <v>19.733892440795898</v>
      </c>
    </row>
    <row r="11" spans="1:5" x14ac:dyDescent="0.2">
      <c r="A11" s="79">
        <v>38596</v>
      </c>
      <c r="D11">
        <v>23.918817520141602</v>
      </c>
      <c r="E11">
        <v>19.880691528320309</v>
      </c>
    </row>
    <row r="12" spans="1:5" x14ac:dyDescent="0.2">
      <c r="A12" s="79">
        <v>38626</v>
      </c>
      <c r="D12">
        <v>23.017036437988281</v>
      </c>
      <c r="E12">
        <v>19.39835166931152</v>
      </c>
    </row>
    <row r="13" spans="1:5" x14ac:dyDescent="0.2">
      <c r="A13" s="79">
        <v>38657</v>
      </c>
      <c r="D13">
        <v>23.43994140625</v>
      </c>
      <c r="E13">
        <v>19.429815292358398</v>
      </c>
    </row>
    <row r="14" spans="1:5" x14ac:dyDescent="0.2">
      <c r="A14" s="79">
        <v>38687</v>
      </c>
      <c r="D14">
        <v>24.145816802978519</v>
      </c>
      <c r="E14">
        <v>19.482236862182621</v>
      </c>
    </row>
    <row r="15" spans="1:5" x14ac:dyDescent="0.2">
      <c r="A15" s="79">
        <v>38718</v>
      </c>
      <c r="D15">
        <v>26.208602905273441</v>
      </c>
      <c r="E15">
        <v>21.306640625</v>
      </c>
    </row>
    <row r="16" spans="1:5" x14ac:dyDescent="0.2">
      <c r="A16" s="79">
        <v>38749</v>
      </c>
      <c r="D16">
        <v>26.39834022521973</v>
      </c>
      <c r="E16">
        <v>21.18773078918457</v>
      </c>
    </row>
    <row r="17" spans="1:5" x14ac:dyDescent="0.2">
      <c r="A17" s="79">
        <v>38777</v>
      </c>
      <c r="D17">
        <v>27.558883666992191</v>
      </c>
      <c r="E17">
        <v>21.793092727661129</v>
      </c>
    </row>
    <row r="18" spans="1:5" x14ac:dyDescent="0.2">
      <c r="A18" s="79">
        <v>38808</v>
      </c>
      <c r="D18">
        <v>28.79213714599609</v>
      </c>
      <c r="E18">
        <v>23.187593460083011</v>
      </c>
    </row>
    <row r="19" spans="1:5" x14ac:dyDescent="0.2">
      <c r="A19" s="79">
        <v>38838</v>
      </c>
      <c r="D19">
        <v>27.767585754394531</v>
      </c>
      <c r="E19">
        <v>22.571416854858398</v>
      </c>
    </row>
    <row r="20" spans="1:5" x14ac:dyDescent="0.2">
      <c r="A20" s="79">
        <v>38869</v>
      </c>
      <c r="D20">
        <v>27.846639633178711</v>
      </c>
      <c r="E20">
        <v>22.75518798828125</v>
      </c>
    </row>
    <row r="21" spans="1:5" x14ac:dyDescent="0.2">
      <c r="A21" s="79">
        <v>38899</v>
      </c>
      <c r="D21">
        <v>28.178676605224609</v>
      </c>
      <c r="E21">
        <v>23.349746704101559</v>
      </c>
    </row>
    <row r="22" spans="1:5" x14ac:dyDescent="0.2">
      <c r="A22" s="79">
        <v>38930</v>
      </c>
      <c r="D22">
        <v>29.272806167602539</v>
      </c>
      <c r="E22">
        <v>23.85781288146973</v>
      </c>
    </row>
    <row r="23" spans="1:5" x14ac:dyDescent="0.2">
      <c r="A23" s="79">
        <v>38961</v>
      </c>
      <c r="D23">
        <v>29.78509521484375</v>
      </c>
      <c r="E23">
        <v>23.66323280334473</v>
      </c>
    </row>
    <row r="24" spans="1:5" x14ac:dyDescent="0.2">
      <c r="A24" s="79">
        <v>38991</v>
      </c>
      <c r="D24">
        <v>30.800163269042969</v>
      </c>
      <c r="E24">
        <v>24.755058288574219</v>
      </c>
    </row>
    <row r="25" spans="1:5" x14ac:dyDescent="0.2">
      <c r="A25" s="79">
        <v>39022</v>
      </c>
      <c r="D25">
        <v>32.223167419433587</v>
      </c>
      <c r="E25">
        <v>25.457708358764648</v>
      </c>
    </row>
    <row r="26" spans="1:5" x14ac:dyDescent="0.2">
      <c r="A26" s="79">
        <v>39052</v>
      </c>
      <c r="D26">
        <v>32.681686401367188</v>
      </c>
      <c r="E26">
        <v>25.306367874145511</v>
      </c>
    </row>
    <row r="27" spans="1:5" x14ac:dyDescent="0.2">
      <c r="A27" s="79">
        <v>39083</v>
      </c>
      <c r="D27">
        <v>33.753486633300781</v>
      </c>
      <c r="E27">
        <v>26.362041473388668</v>
      </c>
    </row>
    <row r="28" spans="1:5" x14ac:dyDescent="0.2">
      <c r="A28" s="79">
        <v>39114</v>
      </c>
      <c r="D28">
        <v>33.447658538818359</v>
      </c>
      <c r="E28">
        <v>25.9705810546875</v>
      </c>
    </row>
    <row r="29" spans="1:5" x14ac:dyDescent="0.2">
      <c r="A29" s="79">
        <v>39142</v>
      </c>
      <c r="D29">
        <v>34.838363647460938</v>
      </c>
      <c r="E29">
        <v>26.921272277832031</v>
      </c>
    </row>
    <row r="30" spans="1:5" x14ac:dyDescent="0.2">
      <c r="A30" s="79">
        <v>39173</v>
      </c>
      <c r="D30">
        <v>37.020999908447273</v>
      </c>
      <c r="E30">
        <v>27.793672561645511</v>
      </c>
    </row>
    <row r="31" spans="1:5" x14ac:dyDescent="0.2">
      <c r="A31" s="79">
        <v>39203</v>
      </c>
      <c r="D31">
        <v>38.421348571777337</v>
      </c>
      <c r="E31">
        <v>28.38644981384277</v>
      </c>
    </row>
    <row r="32" spans="1:5" x14ac:dyDescent="0.2">
      <c r="A32" s="79">
        <v>39234</v>
      </c>
      <c r="D32">
        <v>37.986751556396477</v>
      </c>
      <c r="E32">
        <v>28.576595306396481</v>
      </c>
    </row>
    <row r="33" spans="1:5" x14ac:dyDescent="0.2">
      <c r="A33" s="79">
        <v>39264</v>
      </c>
      <c r="D33">
        <v>36.792427062988281</v>
      </c>
      <c r="E33">
        <v>27.614719390869141</v>
      </c>
    </row>
    <row r="34" spans="1:5" x14ac:dyDescent="0.2">
      <c r="A34" s="79">
        <v>39295</v>
      </c>
      <c r="D34">
        <v>36.782768249511719</v>
      </c>
      <c r="E34">
        <v>27.670637130737301</v>
      </c>
    </row>
    <row r="35" spans="1:5" x14ac:dyDescent="0.2">
      <c r="A35" s="79">
        <v>39326</v>
      </c>
      <c r="D35">
        <v>38.920326232910163</v>
      </c>
      <c r="E35">
        <v>28.777914047241211</v>
      </c>
    </row>
    <row r="36" spans="1:5" x14ac:dyDescent="0.2">
      <c r="A36" s="79">
        <v>39356</v>
      </c>
      <c r="D36">
        <v>40.8486328125</v>
      </c>
      <c r="E36">
        <v>30.444414138793949</v>
      </c>
    </row>
    <row r="37" spans="1:5" x14ac:dyDescent="0.2">
      <c r="A37" s="79">
        <v>39387</v>
      </c>
      <c r="D37">
        <v>39.715484619140618</v>
      </c>
      <c r="E37">
        <v>28.654876708984379</v>
      </c>
    </row>
    <row r="38" spans="1:5" x14ac:dyDescent="0.2">
      <c r="A38" s="79">
        <v>39417</v>
      </c>
      <c r="D38">
        <v>38.411689758300781</v>
      </c>
      <c r="E38">
        <v>26.932453155517582</v>
      </c>
    </row>
    <row r="39" spans="1:5" x14ac:dyDescent="0.2">
      <c r="A39" s="79">
        <v>39448</v>
      </c>
      <c r="D39">
        <v>35.328384399414062</v>
      </c>
      <c r="E39">
        <v>25.64885330200195</v>
      </c>
    </row>
    <row r="40" spans="1:5" x14ac:dyDescent="0.2">
      <c r="A40" s="79">
        <v>39479</v>
      </c>
      <c r="D40">
        <v>35.037837982177727</v>
      </c>
      <c r="E40">
        <v>25.347917556762699</v>
      </c>
    </row>
    <row r="41" spans="1:5" x14ac:dyDescent="0.2">
      <c r="A41" s="79">
        <v>39508</v>
      </c>
      <c r="D41">
        <v>35.922687530517578</v>
      </c>
      <c r="E41">
        <v>24.954387664794918</v>
      </c>
    </row>
    <row r="42" spans="1:5" x14ac:dyDescent="0.2">
      <c r="A42" s="79">
        <v>39539</v>
      </c>
      <c r="D42">
        <v>37.355632781982422</v>
      </c>
      <c r="E42">
        <v>26.435907363891602</v>
      </c>
    </row>
    <row r="43" spans="1:5" x14ac:dyDescent="0.2">
      <c r="A43" s="79">
        <v>39569</v>
      </c>
      <c r="D43">
        <v>37.798065185546882</v>
      </c>
      <c r="E43">
        <v>26.37803840637207</v>
      </c>
    </row>
    <row r="44" spans="1:5" x14ac:dyDescent="0.2">
      <c r="A44" s="79">
        <v>39600</v>
      </c>
      <c r="D44">
        <v>32.353538513183587</v>
      </c>
      <c r="E44">
        <v>23.982133865356449</v>
      </c>
    </row>
    <row r="45" spans="1:5" x14ac:dyDescent="0.2">
      <c r="A45" s="79">
        <v>39630</v>
      </c>
      <c r="D45">
        <v>32.723590850830078</v>
      </c>
      <c r="E45">
        <v>23.52326774597168</v>
      </c>
    </row>
    <row r="46" spans="1:5" x14ac:dyDescent="0.2">
      <c r="A46" s="79">
        <v>39661</v>
      </c>
      <c r="D46">
        <v>31.436552047729489</v>
      </c>
      <c r="E46">
        <v>22.730087280273441</v>
      </c>
    </row>
    <row r="47" spans="1:5" x14ac:dyDescent="0.2">
      <c r="A47" s="79">
        <v>39692</v>
      </c>
      <c r="D47">
        <v>27.192068099975589</v>
      </c>
      <c r="E47">
        <v>19.711248397827148</v>
      </c>
    </row>
    <row r="48" spans="1:5" x14ac:dyDescent="0.2">
      <c r="A48" s="79">
        <v>39722</v>
      </c>
      <c r="D48">
        <v>20.510435104370121</v>
      </c>
      <c r="E48">
        <v>15.816347122192379</v>
      </c>
    </row>
    <row r="49" spans="1:5" x14ac:dyDescent="0.2">
      <c r="A49" s="79">
        <v>39753</v>
      </c>
      <c r="D49">
        <v>18.983793258666989</v>
      </c>
      <c r="E49">
        <v>14.79823589324951</v>
      </c>
    </row>
    <row r="50" spans="1:5" x14ac:dyDescent="0.2">
      <c r="A50" s="79">
        <v>39783</v>
      </c>
      <c r="D50">
        <v>20.95541954040527</v>
      </c>
      <c r="E50">
        <v>14.502267837524411</v>
      </c>
    </row>
    <row r="51" spans="1:5" x14ac:dyDescent="0.2">
      <c r="A51" s="79">
        <v>39814</v>
      </c>
      <c r="D51">
        <v>17.6751708984375</v>
      </c>
      <c r="E51">
        <v>13.519698143005369</v>
      </c>
    </row>
    <row r="52" spans="1:5" x14ac:dyDescent="0.2">
      <c r="A52" s="79">
        <v>39845</v>
      </c>
      <c r="D52">
        <v>15.54160690307617</v>
      </c>
      <c r="E52">
        <v>12.204267501831049</v>
      </c>
    </row>
    <row r="53" spans="1:5" x14ac:dyDescent="0.2">
      <c r="A53" s="79">
        <v>39873</v>
      </c>
      <c r="D53">
        <v>17.082511901855469</v>
      </c>
      <c r="E53">
        <v>12.764541625976561</v>
      </c>
    </row>
    <row r="54" spans="1:5" x14ac:dyDescent="0.2">
      <c r="A54" s="79">
        <v>39904</v>
      </c>
      <c r="D54">
        <v>19.58563232421875</v>
      </c>
      <c r="E54">
        <v>14.287033081054689</v>
      </c>
    </row>
    <row r="55" spans="1:5" x14ac:dyDescent="0.2">
      <c r="A55" s="79">
        <v>39934</v>
      </c>
      <c r="D55">
        <v>22.172407150268551</v>
      </c>
      <c r="E55">
        <v>16.723012924194339</v>
      </c>
    </row>
    <row r="56" spans="1:5" x14ac:dyDescent="0.2">
      <c r="A56" s="79">
        <v>39965</v>
      </c>
      <c r="D56">
        <v>21.133514404296879</v>
      </c>
      <c r="E56">
        <v>16.089662551879879</v>
      </c>
    </row>
    <row r="57" spans="1:5" x14ac:dyDescent="0.2">
      <c r="A57" s="79">
        <v>39995</v>
      </c>
      <c r="D57">
        <v>24.010015487670898</v>
      </c>
      <c r="E57">
        <v>17.770755767822269</v>
      </c>
    </row>
    <row r="58" spans="1:5" x14ac:dyDescent="0.2">
      <c r="A58" s="79">
        <v>40026</v>
      </c>
      <c r="D58">
        <v>25.511980056762699</v>
      </c>
      <c r="E58">
        <v>18.539621353149411</v>
      </c>
    </row>
    <row r="59" spans="1:5" x14ac:dyDescent="0.2">
      <c r="A59" s="79">
        <v>40057</v>
      </c>
      <c r="D59">
        <v>27.185604095458981</v>
      </c>
      <c r="E59">
        <v>19.23408317565918</v>
      </c>
    </row>
    <row r="60" spans="1:5" x14ac:dyDescent="0.2">
      <c r="A60" s="79">
        <v>40087</v>
      </c>
      <c r="D60">
        <v>25.941122055053711</v>
      </c>
      <c r="E60">
        <v>19.20927810668945</v>
      </c>
    </row>
    <row r="61" spans="1:5" x14ac:dyDescent="0.2">
      <c r="A61" s="79">
        <v>40118</v>
      </c>
      <c r="D61">
        <v>27.207059860229489</v>
      </c>
      <c r="E61">
        <v>20.176565170288089</v>
      </c>
    </row>
    <row r="62" spans="1:5" x14ac:dyDescent="0.2">
      <c r="A62" s="79">
        <v>40148</v>
      </c>
      <c r="D62">
        <v>26.799385070800781</v>
      </c>
      <c r="E62">
        <v>20.08975791931152</v>
      </c>
    </row>
    <row r="63" spans="1:5" x14ac:dyDescent="0.2">
      <c r="A63" s="79">
        <v>40179</v>
      </c>
      <c r="D63">
        <v>24.86527061462402</v>
      </c>
      <c r="E63">
        <v>19.358711242675781</v>
      </c>
    </row>
    <row r="64" spans="1:5" x14ac:dyDescent="0.2">
      <c r="A64" s="79">
        <v>40210</v>
      </c>
      <c r="D64">
        <v>24.122695922851559</v>
      </c>
      <c r="E64">
        <v>19.195611953735352</v>
      </c>
    </row>
    <row r="65" spans="1:5" x14ac:dyDescent="0.2">
      <c r="A65" s="79">
        <v>40238</v>
      </c>
      <c r="D65">
        <v>25.90341758728027</v>
      </c>
      <c r="E65">
        <v>20.4125862121582</v>
      </c>
    </row>
    <row r="66" spans="1:5" x14ac:dyDescent="0.2">
      <c r="A66" s="79">
        <v>40269</v>
      </c>
      <c r="D66">
        <v>24.620145797729489</v>
      </c>
      <c r="E66">
        <v>19.973470687866211</v>
      </c>
    </row>
    <row r="67" spans="1:5" x14ac:dyDescent="0.2">
      <c r="A67" s="79">
        <v>40299</v>
      </c>
      <c r="D67">
        <v>21.51289176940918</v>
      </c>
      <c r="E67">
        <v>17.77789306640625</v>
      </c>
    </row>
    <row r="68" spans="1:5" x14ac:dyDescent="0.2">
      <c r="A68" s="79">
        <v>40330</v>
      </c>
      <c r="D68">
        <v>20.5828742980957</v>
      </c>
      <c r="E68">
        <v>16.862028121948239</v>
      </c>
    </row>
    <row r="69" spans="1:5" x14ac:dyDescent="0.2">
      <c r="A69" s="79">
        <v>40360</v>
      </c>
      <c r="D69">
        <v>24.168361663818359</v>
      </c>
      <c r="E69">
        <v>19.648416519165039</v>
      </c>
    </row>
    <row r="70" spans="1:5" x14ac:dyDescent="0.2">
      <c r="A70" s="79">
        <v>40391</v>
      </c>
      <c r="D70">
        <v>22.483049392700199</v>
      </c>
      <c r="E70">
        <v>19.099428176879879</v>
      </c>
    </row>
    <row r="71" spans="1:5" x14ac:dyDescent="0.2">
      <c r="A71" s="79">
        <v>40422</v>
      </c>
      <c r="D71">
        <v>25.48570442199707</v>
      </c>
      <c r="E71">
        <v>20.886808395385739</v>
      </c>
    </row>
    <row r="72" spans="1:5" x14ac:dyDescent="0.2">
      <c r="A72" s="79">
        <v>40452</v>
      </c>
      <c r="B72">
        <v>53.7</v>
      </c>
      <c r="C72">
        <v>35.05340576171875</v>
      </c>
      <c r="D72">
        <v>27.031179428100589</v>
      </c>
      <c r="E72">
        <v>21.767732620239261</v>
      </c>
    </row>
    <row r="73" spans="1:5" x14ac:dyDescent="0.2">
      <c r="A73" s="79">
        <v>40483</v>
      </c>
      <c r="B73">
        <v>54</v>
      </c>
      <c r="C73">
        <v>34.287124633789062</v>
      </c>
      <c r="D73">
        <v>24.035892486572269</v>
      </c>
      <c r="E73">
        <v>20.631467819213871</v>
      </c>
    </row>
    <row r="74" spans="1:5" x14ac:dyDescent="0.2">
      <c r="A74" s="79">
        <v>40513</v>
      </c>
      <c r="B74">
        <v>54.9</v>
      </c>
      <c r="C74">
        <v>36.601608276367188</v>
      </c>
      <c r="D74">
        <v>25.956697463989261</v>
      </c>
      <c r="E74">
        <v>22.176279067993161</v>
      </c>
    </row>
    <row r="75" spans="1:5" x14ac:dyDescent="0.2">
      <c r="A75" s="79">
        <v>40544</v>
      </c>
      <c r="B75">
        <v>57.2</v>
      </c>
      <c r="C75">
        <v>37.353610992431641</v>
      </c>
      <c r="D75">
        <v>27.830266952514648</v>
      </c>
      <c r="E75">
        <v>22.644903182983398</v>
      </c>
    </row>
    <row r="76" spans="1:5" x14ac:dyDescent="0.2">
      <c r="A76" s="79">
        <v>40575</v>
      </c>
      <c r="B76">
        <v>58.2</v>
      </c>
      <c r="C76">
        <v>38.514251708984382</v>
      </c>
      <c r="D76">
        <v>28.646406173706051</v>
      </c>
      <c r="E76">
        <v>23.676559448242191</v>
      </c>
    </row>
    <row r="77" spans="1:5" x14ac:dyDescent="0.2">
      <c r="A77" s="79">
        <v>40603</v>
      </c>
      <c r="B77">
        <v>56</v>
      </c>
      <c r="C77">
        <v>38.182632446289062</v>
      </c>
      <c r="D77">
        <v>28.742862701416019</v>
      </c>
      <c r="E77">
        <v>23.096254348754879</v>
      </c>
    </row>
    <row r="78" spans="1:5" x14ac:dyDescent="0.2">
      <c r="A78" s="79">
        <v>40634</v>
      </c>
      <c r="B78">
        <v>55.5</v>
      </c>
      <c r="C78">
        <v>40.022285461425781</v>
      </c>
      <c r="D78">
        <v>31.035459518432621</v>
      </c>
      <c r="E78">
        <v>24.643747329711911</v>
      </c>
    </row>
    <row r="79" spans="1:5" x14ac:dyDescent="0.2">
      <c r="A79" s="79">
        <v>40664</v>
      </c>
      <c r="B79">
        <v>53.1</v>
      </c>
      <c r="C79">
        <v>39.240627288818359</v>
      </c>
      <c r="D79">
        <v>29.558986663818359</v>
      </c>
      <c r="E79">
        <v>24.063436508178711</v>
      </c>
    </row>
    <row r="80" spans="1:5" x14ac:dyDescent="0.2">
      <c r="A80" s="79">
        <v>40695</v>
      </c>
      <c r="B80">
        <v>52.8</v>
      </c>
      <c r="C80">
        <v>38.095783233642578</v>
      </c>
      <c r="D80">
        <v>28.80963134765625</v>
      </c>
      <c r="E80">
        <v>22.967294692993161</v>
      </c>
    </row>
    <row r="81" spans="1:5" x14ac:dyDescent="0.2">
      <c r="A81" s="79">
        <v>40725</v>
      </c>
      <c r="B81">
        <v>50.9</v>
      </c>
      <c r="C81">
        <v>37.670745849609382</v>
      </c>
      <c r="D81">
        <v>27.238225936889648</v>
      </c>
      <c r="E81">
        <v>23.27229118347168</v>
      </c>
    </row>
    <row r="82" spans="1:5" x14ac:dyDescent="0.2">
      <c r="A82" s="79">
        <v>40756</v>
      </c>
      <c r="B82">
        <v>50.4</v>
      </c>
      <c r="C82">
        <v>34.898372650146477</v>
      </c>
      <c r="D82">
        <v>23.915012359619141</v>
      </c>
      <c r="E82">
        <v>21.4881706237793</v>
      </c>
    </row>
    <row r="83" spans="1:5" x14ac:dyDescent="0.2">
      <c r="A83" s="79">
        <v>40787</v>
      </c>
      <c r="B83">
        <v>50.1</v>
      </c>
      <c r="C83">
        <v>31.255132675170898</v>
      </c>
      <c r="D83">
        <v>20.728364944458011</v>
      </c>
      <c r="E83">
        <v>19.37608528137207</v>
      </c>
    </row>
    <row r="84" spans="1:5" x14ac:dyDescent="0.2">
      <c r="A84" s="79">
        <v>40817</v>
      </c>
      <c r="B84">
        <v>49.5</v>
      </c>
      <c r="C84">
        <v>34.794509887695312</v>
      </c>
      <c r="D84">
        <v>23.34596061706543</v>
      </c>
      <c r="E84">
        <v>21.881729125976559</v>
      </c>
    </row>
    <row r="85" spans="1:5" x14ac:dyDescent="0.2">
      <c r="A85" s="79">
        <v>40848</v>
      </c>
      <c r="B85">
        <v>49.6</v>
      </c>
      <c r="C85">
        <v>34.395027160644531</v>
      </c>
      <c r="D85">
        <v>22.359617233276371</v>
      </c>
      <c r="E85">
        <v>21.527523040771481</v>
      </c>
    </row>
    <row r="86" spans="1:5" x14ac:dyDescent="0.2">
      <c r="A86" s="79">
        <v>40878</v>
      </c>
      <c r="B86">
        <v>50.4</v>
      </c>
      <c r="C86">
        <v>33.691947937011719</v>
      </c>
      <c r="D86">
        <v>21.16842079162598</v>
      </c>
      <c r="E86">
        <v>21.19956016540527</v>
      </c>
    </row>
    <row r="87" spans="1:5" x14ac:dyDescent="0.2">
      <c r="A87" s="79">
        <v>40909</v>
      </c>
      <c r="B87">
        <v>51</v>
      </c>
      <c r="C87">
        <v>35.934349060058587</v>
      </c>
      <c r="D87">
        <v>22.927595138549801</v>
      </c>
      <c r="E87">
        <v>22.209335327148441</v>
      </c>
    </row>
    <row r="88" spans="1:5" x14ac:dyDescent="0.2">
      <c r="A88" s="79">
        <v>40940</v>
      </c>
      <c r="B88">
        <v>51.2</v>
      </c>
      <c r="C88">
        <v>37.711681365966797</v>
      </c>
      <c r="D88">
        <v>24.186422348022461</v>
      </c>
      <c r="E88">
        <v>23.341106414794918</v>
      </c>
    </row>
    <row r="89" spans="1:5" x14ac:dyDescent="0.2">
      <c r="A89" s="79">
        <v>40969</v>
      </c>
      <c r="B89">
        <v>51.6</v>
      </c>
      <c r="C89">
        <v>38.131778717041023</v>
      </c>
      <c r="D89">
        <v>24.21712684631348</v>
      </c>
      <c r="E89">
        <v>23.034860610961911</v>
      </c>
    </row>
    <row r="90" spans="1:5" x14ac:dyDescent="0.2">
      <c r="A90" s="79">
        <v>41000</v>
      </c>
      <c r="B90">
        <v>51.3</v>
      </c>
      <c r="C90">
        <v>37.695522308349609</v>
      </c>
      <c r="D90">
        <v>22.858510971069339</v>
      </c>
      <c r="E90">
        <v>23.367734909057621</v>
      </c>
    </row>
    <row r="91" spans="1:5" x14ac:dyDescent="0.2">
      <c r="A91" s="79">
        <v>41030</v>
      </c>
      <c r="B91">
        <v>50.3</v>
      </c>
      <c r="C91">
        <v>34.197429656982422</v>
      </c>
      <c r="D91">
        <v>19.911012649536129</v>
      </c>
      <c r="E91">
        <v>20.704744338989261</v>
      </c>
    </row>
    <row r="92" spans="1:5" x14ac:dyDescent="0.2">
      <c r="A92" s="79">
        <v>41061</v>
      </c>
      <c r="B92">
        <v>49.7</v>
      </c>
      <c r="C92">
        <v>35.441551208496087</v>
      </c>
      <c r="D92">
        <v>21.0700569152832</v>
      </c>
      <c r="E92">
        <v>21.690053939819339</v>
      </c>
    </row>
    <row r="93" spans="1:5" x14ac:dyDescent="0.2">
      <c r="A93" s="79">
        <v>41091</v>
      </c>
      <c r="B93">
        <v>48.8</v>
      </c>
      <c r="C93">
        <v>36.226879119873047</v>
      </c>
      <c r="D93">
        <v>21.476421356201168</v>
      </c>
      <c r="E93">
        <v>22.394912719726559</v>
      </c>
    </row>
    <row r="94" spans="1:5" x14ac:dyDescent="0.2">
      <c r="A94" s="79">
        <v>41122</v>
      </c>
      <c r="B94">
        <v>48.7</v>
      </c>
      <c r="C94">
        <v>37.234306335449219</v>
      </c>
      <c r="D94">
        <v>22.898696899414059</v>
      </c>
      <c r="E94">
        <v>23.13095664978027</v>
      </c>
    </row>
    <row r="95" spans="1:5" x14ac:dyDescent="0.2">
      <c r="A95" s="79">
        <v>41153</v>
      </c>
      <c r="B95">
        <v>48.7</v>
      </c>
      <c r="C95">
        <v>38.241756439208977</v>
      </c>
      <c r="D95">
        <v>23.744161605834961</v>
      </c>
      <c r="E95">
        <v>23.717067718505859</v>
      </c>
    </row>
    <row r="96" spans="1:5" x14ac:dyDescent="0.2">
      <c r="A96" s="79">
        <v>41183</v>
      </c>
      <c r="B96">
        <v>48.9</v>
      </c>
      <c r="C96">
        <v>38.045181274414062</v>
      </c>
      <c r="D96">
        <v>24.352581024169918</v>
      </c>
      <c r="E96">
        <v>23.826112747192379</v>
      </c>
    </row>
    <row r="97" spans="1:5" x14ac:dyDescent="0.2">
      <c r="A97" s="79">
        <v>41214</v>
      </c>
      <c r="B97">
        <v>49.6</v>
      </c>
      <c r="C97">
        <v>38.651275634765618</v>
      </c>
      <c r="D97">
        <v>25.182243347167969</v>
      </c>
      <c r="E97">
        <v>24.098724365234379</v>
      </c>
    </row>
    <row r="98" spans="1:5" x14ac:dyDescent="0.2">
      <c r="A98" s="79">
        <v>41244</v>
      </c>
      <c r="B98">
        <v>50</v>
      </c>
      <c r="C98">
        <v>39.380245208740227</v>
      </c>
      <c r="D98">
        <v>26.438591003417969</v>
      </c>
      <c r="E98">
        <v>24.453115463256839</v>
      </c>
    </row>
    <row r="99" spans="1:5" x14ac:dyDescent="0.2">
      <c r="A99" s="79">
        <v>41275</v>
      </c>
      <c r="B99">
        <v>51.5</v>
      </c>
      <c r="C99">
        <v>41.271072387695312</v>
      </c>
      <c r="D99">
        <v>27.536397933959961</v>
      </c>
      <c r="E99">
        <v>25.533628463745121</v>
      </c>
    </row>
    <row r="100" spans="1:5" x14ac:dyDescent="0.2">
      <c r="A100" s="79">
        <v>41306</v>
      </c>
      <c r="B100">
        <v>50.9</v>
      </c>
      <c r="C100">
        <v>41.229713439941413</v>
      </c>
      <c r="D100">
        <v>26.267440795898441</v>
      </c>
      <c r="E100">
        <v>24.8424072265625</v>
      </c>
    </row>
    <row r="101" spans="1:5" x14ac:dyDescent="0.2">
      <c r="A101" s="79">
        <v>41334</v>
      </c>
      <c r="B101">
        <v>51.2</v>
      </c>
      <c r="C101">
        <v>41.982501983642578</v>
      </c>
      <c r="D101">
        <v>25.894681930541989</v>
      </c>
      <c r="E101">
        <v>25.257139205932621</v>
      </c>
    </row>
    <row r="102" spans="1:5" x14ac:dyDescent="0.2">
      <c r="A102" s="79">
        <v>41365</v>
      </c>
      <c r="B102">
        <v>50.4</v>
      </c>
      <c r="C102">
        <v>43.173732757568359</v>
      </c>
      <c r="D102">
        <v>27.38570404052734</v>
      </c>
      <c r="E102">
        <v>25.976011276245121</v>
      </c>
    </row>
    <row r="103" spans="1:5" x14ac:dyDescent="0.2">
      <c r="A103" s="79">
        <v>41395</v>
      </c>
      <c r="B103">
        <v>50.6</v>
      </c>
      <c r="C103">
        <v>43.008277893066413</v>
      </c>
      <c r="D103">
        <v>27.74260330200195</v>
      </c>
      <c r="E103">
        <v>25.948358535766602</v>
      </c>
    </row>
    <row r="104" spans="1:5" x14ac:dyDescent="0.2">
      <c r="A104" s="79">
        <v>41426</v>
      </c>
      <c r="B104">
        <v>50.6</v>
      </c>
      <c r="C104">
        <v>41.362068176269531</v>
      </c>
      <c r="D104">
        <v>25.75984954833984</v>
      </c>
      <c r="E104">
        <v>24.413852691650391</v>
      </c>
    </row>
    <row r="105" spans="1:5" x14ac:dyDescent="0.2">
      <c r="A105" s="79">
        <v>41456</v>
      </c>
      <c r="B105">
        <v>50.8</v>
      </c>
      <c r="C105">
        <v>43.807865142822273</v>
      </c>
      <c r="D105">
        <v>28.698677062988281</v>
      </c>
      <c r="E105">
        <v>26.360992431640621</v>
      </c>
    </row>
    <row r="106" spans="1:5" x14ac:dyDescent="0.2">
      <c r="A106" s="79">
        <v>41487</v>
      </c>
      <c r="B106">
        <v>51.6</v>
      </c>
      <c r="C106">
        <v>42.802520751953118</v>
      </c>
      <c r="D106">
        <v>28.178657531738281</v>
      </c>
      <c r="E106">
        <v>26.164581298828121</v>
      </c>
    </row>
    <row r="107" spans="1:5" x14ac:dyDescent="0.2">
      <c r="A107" s="79">
        <v>41518</v>
      </c>
      <c r="B107">
        <v>51.8</v>
      </c>
      <c r="C107">
        <v>45.173454284667969</v>
      </c>
      <c r="D107">
        <v>30.65688323974609</v>
      </c>
      <c r="E107">
        <v>27.52541351318359</v>
      </c>
    </row>
    <row r="108" spans="1:5" x14ac:dyDescent="0.2">
      <c r="A108" s="79">
        <v>41548</v>
      </c>
      <c r="B108">
        <v>52.1</v>
      </c>
      <c r="C108">
        <v>46.957942962646477</v>
      </c>
      <c r="D108">
        <v>32.322574615478523</v>
      </c>
      <c r="E108">
        <v>28.549556732177731</v>
      </c>
    </row>
    <row r="109" spans="1:5" x14ac:dyDescent="0.2">
      <c r="A109" s="79">
        <v>41579</v>
      </c>
      <c r="B109">
        <v>53.1</v>
      </c>
      <c r="C109">
        <v>47.686813354492188</v>
      </c>
      <c r="D109">
        <v>32.793838500976562</v>
      </c>
      <c r="E109">
        <v>28.774021148681641</v>
      </c>
    </row>
    <row r="110" spans="1:5" x14ac:dyDescent="0.2">
      <c r="A110" s="79">
        <v>41609</v>
      </c>
      <c r="B110">
        <v>53.3</v>
      </c>
      <c r="C110">
        <v>48.273262023925781</v>
      </c>
      <c r="D110">
        <v>33.622634887695312</v>
      </c>
      <c r="E110">
        <v>29.293106079101559</v>
      </c>
    </row>
    <row r="111" spans="1:5" x14ac:dyDescent="0.2">
      <c r="A111" s="79">
        <v>41640</v>
      </c>
      <c r="B111">
        <v>52.9</v>
      </c>
      <c r="C111">
        <v>46.418121337890618</v>
      </c>
      <c r="D111">
        <v>32.011016845703118</v>
      </c>
      <c r="E111">
        <v>28.26807975769043</v>
      </c>
    </row>
    <row r="112" spans="1:5" x14ac:dyDescent="0.2">
      <c r="A112" s="79">
        <v>41671</v>
      </c>
      <c r="B112">
        <v>53.3</v>
      </c>
      <c r="C112">
        <v>48.834068298339837</v>
      </c>
      <c r="D112">
        <v>34.244537353515618</v>
      </c>
      <c r="E112">
        <v>30.18480110168457</v>
      </c>
    </row>
    <row r="113" spans="1:5" x14ac:dyDescent="0.2">
      <c r="A113" s="79">
        <v>41699</v>
      </c>
      <c r="B113">
        <v>52.4</v>
      </c>
      <c r="C113">
        <v>49.112827301025391</v>
      </c>
      <c r="D113">
        <v>34.456478118896477</v>
      </c>
      <c r="E113">
        <v>29.23353385925293</v>
      </c>
    </row>
    <row r="114" spans="1:5" x14ac:dyDescent="0.2">
      <c r="A114" s="79">
        <v>41730</v>
      </c>
      <c r="B114">
        <v>51.9</v>
      </c>
      <c r="C114">
        <v>49.695693969726562</v>
      </c>
      <c r="D114">
        <v>35.092300415039062</v>
      </c>
      <c r="E114">
        <v>30.553949356079102</v>
      </c>
    </row>
    <row r="115" spans="1:5" x14ac:dyDescent="0.2">
      <c r="A115" s="79">
        <v>41760</v>
      </c>
      <c r="B115">
        <v>52.2</v>
      </c>
      <c r="C115">
        <v>50.692478179931641</v>
      </c>
      <c r="D115">
        <v>35.385757446289062</v>
      </c>
      <c r="E115">
        <v>30.852106094360352</v>
      </c>
    </row>
    <row r="116" spans="1:5" x14ac:dyDescent="0.2">
      <c r="A116" s="79">
        <v>41791</v>
      </c>
      <c r="B116">
        <v>52.6</v>
      </c>
      <c r="C116">
        <v>50.903652191162109</v>
      </c>
      <c r="D116">
        <v>34.497234344482422</v>
      </c>
      <c r="E116">
        <v>29.645284652709961</v>
      </c>
    </row>
    <row r="117" spans="1:5" x14ac:dyDescent="0.2">
      <c r="A117" s="79">
        <v>41821</v>
      </c>
      <c r="B117">
        <v>52.5</v>
      </c>
      <c r="C117">
        <v>50.868995666503913</v>
      </c>
      <c r="D117">
        <v>33.067115783691413</v>
      </c>
      <c r="E117">
        <v>30.356288909912109</v>
      </c>
    </row>
    <row r="118" spans="1:5" x14ac:dyDescent="0.2">
      <c r="A118" s="79">
        <v>41852</v>
      </c>
      <c r="B118">
        <v>52.6</v>
      </c>
      <c r="C118">
        <v>52.179477691650391</v>
      </c>
      <c r="D118">
        <v>33.125274658203118</v>
      </c>
      <c r="E118">
        <v>30.594610214233398</v>
      </c>
    </row>
    <row r="119" spans="1:5" x14ac:dyDescent="0.2">
      <c r="A119" s="79">
        <v>41883</v>
      </c>
      <c r="B119">
        <v>52.2</v>
      </c>
      <c r="C119">
        <v>50.449295043945312</v>
      </c>
      <c r="D119">
        <v>31.987043380737301</v>
      </c>
      <c r="E119">
        <v>28.866775512695309</v>
      </c>
    </row>
    <row r="120" spans="1:5" x14ac:dyDescent="0.2">
      <c r="A120" s="79">
        <v>41913</v>
      </c>
      <c r="B120">
        <v>52.2</v>
      </c>
      <c r="C120">
        <v>51.057430267333977</v>
      </c>
      <c r="D120">
        <v>31.073127746582031</v>
      </c>
      <c r="E120">
        <v>28.31565093994141</v>
      </c>
    </row>
    <row r="121" spans="1:5" x14ac:dyDescent="0.2">
      <c r="A121" s="79">
        <v>41944</v>
      </c>
      <c r="B121">
        <v>51.8</v>
      </c>
      <c r="C121">
        <v>51.759777069091797</v>
      </c>
      <c r="D121">
        <v>32.27783203125</v>
      </c>
      <c r="E121">
        <v>28.345443725585941</v>
      </c>
    </row>
    <row r="122" spans="1:5" x14ac:dyDescent="0.2">
      <c r="A122" s="79">
        <v>41974</v>
      </c>
      <c r="B122">
        <v>51.6</v>
      </c>
      <c r="C122">
        <v>50.106689453125</v>
      </c>
      <c r="D122">
        <v>30.184137344360352</v>
      </c>
      <c r="E122">
        <v>26.855930328369141</v>
      </c>
    </row>
    <row r="123" spans="1:5" x14ac:dyDescent="0.2">
      <c r="A123" s="79">
        <v>42005</v>
      </c>
      <c r="B123">
        <v>51.7</v>
      </c>
      <c r="C123">
        <v>49.874233245849609</v>
      </c>
      <c r="D123">
        <v>30.69611930847168</v>
      </c>
      <c r="E123">
        <v>27.407939910888668</v>
      </c>
    </row>
    <row r="124" spans="1:5" x14ac:dyDescent="0.2">
      <c r="A124" s="79">
        <v>42036</v>
      </c>
      <c r="B124">
        <v>52</v>
      </c>
      <c r="C124">
        <v>52.621505737304688</v>
      </c>
      <c r="D124">
        <v>32.604160308837891</v>
      </c>
      <c r="E124">
        <v>29.01838302612305</v>
      </c>
    </row>
    <row r="125" spans="1:5" x14ac:dyDescent="0.2">
      <c r="A125" s="79">
        <v>42064</v>
      </c>
      <c r="B125">
        <v>51.8</v>
      </c>
      <c r="C125">
        <v>51.852615356445312</v>
      </c>
      <c r="D125">
        <v>32.286155700683587</v>
      </c>
      <c r="E125">
        <v>27.362356185913089</v>
      </c>
    </row>
    <row r="126" spans="1:5" x14ac:dyDescent="0.2">
      <c r="A126" s="79">
        <v>42095</v>
      </c>
      <c r="B126">
        <v>51</v>
      </c>
      <c r="C126">
        <v>53.338558197021477</v>
      </c>
      <c r="D126">
        <v>33.005855560302727</v>
      </c>
      <c r="E126">
        <v>29.18549919128418</v>
      </c>
    </row>
    <row r="127" spans="1:5" x14ac:dyDescent="0.2">
      <c r="A127" s="79">
        <v>42125</v>
      </c>
      <c r="B127">
        <v>51.2</v>
      </c>
      <c r="C127">
        <v>53.338558197021477</v>
      </c>
      <c r="D127">
        <v>32.796638488769531</v>
      </c>
      <c r="E127">
        <v>29.367815017700199</v>
      </c>
    </row>
    <row r="128" spans="1:5" x14ac:dyDescent="0.2">
      <c r="A128" s="79">
        <v>42156</v>
      </c>
      <c r="B128">
        <v>51</v>
      </c>
      <c r="C128">
        <v>51.360187530517578</v>
      </c>
      <c r="D128">
        <v>31.415815353393551</v>
      </c>
      <c r="E128">
        <v>27.72698974609375</v>
      </c>
    </row>
    <row r="129" spans="1:5" x14ac:dyDescent="0.2">
      <c r="A129" s="79">
        <v>42186</v>
      </c>
      <c r="B129">
        <v>51</v>
      </c>
      <c r="C129">
        <v>52.3916015625</v>
      </c>
      <c r="D129">
        <v>32.946598052978523</v>
      </c>
      <c r="E129">
        <v>28.68111419677734</v>
      </c>
    </row>
    <row r="130" spans="1:5" x14ac:dyDescent="0.2">
      <c r="A130" s="79">
        <v>42217</v>
      </c>
      <c r="B130">
        <v>50.7</v>
      </c>
      <c r="C130">
        <v>48.825416564941413</v>
      </c>
      <c r="D130">
        <v>30.672946929931641</v>
      </c>
      <c r="E130">
        <v>26.39157676696777</v>
      </c>
    </row>
    <row r="131" spans="1:5" x14ac:dyDescent="0.2">
      <c r="A131" s="79">
        <v>42248</v>
      </c>
      <c r="B131">
        <v>50.6</v>
      </c>
      <c r="C131">
        <v>47.147201538085938</v>
      </c>
      <c r="D131">
        <v>29.24233245849609</v>
      </c>
      <c r="E131">
        <v>25.355096817016602</v>
      </c>
    </row>
    <row r="132" spans="1:5" x14ac:dyDescent="0.2">
      <c r="A132" s="79">
        <v>42278</v>
      </c>
      <c r="B132">
        <v>51.4</v>
      </c>
      <c r="C132">
        <v>50.757095336914062</v>
      </c>
      <c r="D132">
        <v>31.379730224609379</v>
      </c>
      <c r="E132">
        <v>27.02584266662598</v>
      </c>
    </row>
    <row r="133" spans="1:5" x14ac:dyDescent="0.2">
      <c r="A133" s="79">
        <v>42309</v>
      </c>
      <c r="B133">
        <v>51.2</v>
      </c>
      <c r="C133">
        <v>50.486141204833977</v>
      </c>
      <c r="D133">
        <v>31.132780075073239</v>
      </c>
      <c r="E133">
        <v>26.577217102050781</v>
      </c>
    </row>
    <row r="134" spans="1:5" x14ac:dyDescent="0.2">
      <c r="A134" s="79">
        <v>42339</v>
      </c>
      <c r="B134">
        <v>50.9</v>
      </c>
      <c r="C134">
        <v>48.790451049804688</v>
      </c>
      <c r="D134">
        <v>29.838420867919918</v>
      </c>
      <c r="E134">
        <v>24.968349456787109</v>
      </c>
    </row>
    <row r="135" spans="1:5" x14ac:dyDescent="0.2">
      <c r="A135" s="79">
        <v>42370</v>
      </c>
      <c r="B135">
        <v>50.9</v>
      </c>
      <c r="C135">
        <v>46.802230834960938</v>
      </c>
      <c r="D135">
        <v>28.333881378173832</v>
      </c>
      <c r="E135">
        <v>24.239229202270511</v>
      </c>
    </row>
    <row r="136" spans="1:5" x14ac:dyDescent="0.2">
      <c r="A136" s="79">
        <v>42401</v>
      </c>
      <c r="B136">
        <v>50</v>
      </c>
      <c r="C136">
        <v>46.217876434326172</v>
      </c>
      <c r="D136">
        <v>27.139078140258789</v>
      </c>
      <c r="E136">
        <v>23.481758117675781</v>
      </c>
    </row>
    <row r="137" spans="1:5" x14ac:dyDescent="0.2">
      <c r="A137" s="79">
        <v>42430</v>
      </c>
      <c r="B137">
        <v>50.5</v>
      </c>
      <c r="C137">
        <v>49.635517120361328</v>
      </c>
      <c r="D137">
        <v>29.349466323852539</v>
      </c>
      <c r="E137">
        <v>24.744216918945309</v>
      </c>
    </row>
    <row r="138" spans="1:5" x14ac:dyDescent="0.2">
      <c r="A138" s="79">
        <v>42461</v>
      </c>
      <c r="B138">
        <v>50.1</v>
      </c>
      <c r="C138">
        <v>50.299568176269531</v>
      </c>
      <c r="D138">
        <v>30.100481033325199</v>
      </c>
      <c r="E138">
        <v>25.7384033203125</v>
      </c>
    </row>
    <row r="139" spans="1:5" x14ac:dyDescent="0.2">
      <c r="A139" s="79">
        <v>42491</v>
      </c>
      <c r="B139">
        <v>50</v>
      </c>
      <c r="C139">
        <v>50.467784881591797</v>
      </c>
      <c r="D139">
        <v>29.00809478759766</v>
      </c>
      <c r="E139">
        <v>25.43857383728027</v>
      </c>
    </row>
    <row r="140" spans="1:5" x14ac:dyDescent="0.2">
      <c r="A140" s="79">
        <v>42522</v>
      </c>
      <c r="B140">
        <v>50.9</v>
      </c>
      <c r="C140">
        <v>49.786022186279297</v>
      </c>
      <c r="D140">
        <v>27.540191650390621</v>
      </c>
      <c r="E140">
        <v>24.255014419555661</v>
      </c>
    </row>
    <row r="141" spans="1:5" x14ac:dyDescent="0.2">
      <c r="A141" s="79">
        <v>42552</v>
      </c>
      <c r="B141">
        <v>51</v>
      </c>
      <c r="C141">
        <v>52.344524383544922</v>
      </c>
      <c r="D141">
        <v>29.590147018432621</v>
      </c>
      <c r="E141">
        <v>25.230653762817379</v>
      </c>
    </row>
    <row r="142" spans="1:5" x14ac:dyDescent="0.2">
      <c r="A142" s="79">
        <v>42583</v>
      </c>
      <c r="B142">
        <v>50.9</v>
      </c>
      <c r="C142">
        <v>52.523929595947273</v>
      </c>
      <c r="D142">
        <v>29.922525405883789</v>
      </c>
      <c r="E142">
        <v>25.505599975585941</v>
      </c>
    </row>
    <row r="143" spans="1:5" x14ac:dyDescent="0.2">
      <c r="A143" s="79">
        <v>42614</v>
      </c>
      <c r="B143">
        <v>51</v>
      </c>
      <c r="C143">
        <v>53.017326354980469</v>
      </c>
      <c r="D143">
        <v>30.16743087768555</v>
      </c>
      <c r="E143">
        <v>25.618814468383789</v>
      </c>
    </row>
    <row r="144" spans="1:5" x14ac:dyDescent="0.2">
      <c r="A144" s="79">
        <v>42644</v>
      </c>
      <c r="B144">
        <v>52</v>
      </c>
      <c r="C144">
        <v>52.003635406494141</v>
      </c>
      <c r="D144">
        <v>29.861297607421879</v>
      </c>
      <c r="E144">
        <v>24.260238647460941</v>
      </c>
    </row>
    <row r="145" spans="1:5" x14ac:dyDescent="0.2">
      <c r="A145" s="79">
        <v>42675</v>
      </c>
      <c r="B145">
        <v>52.1</v>
      </c>
      <c r="C145">
        <v>52.541877746582031</v>
      </c>
      <c r="D145">
        <v>28.6717414855957</v>
      </c>
      <c r="E145">
        <v>24.308759689331051</v>
      </c>
    </row>
    <row r="146" spans="1:5" x14ac:dyDescent="0.2">
      <c r="A146" s="79">
        <v>42705</v>
      </c>
      <c r="B146">
        <v>52.7</v>
      </c>
      <c r="C146">
        <v>53.080120086669922</v>
      </c>
      <c r="D146">
        <v>30.26364707946777</v>
      </c>
      <c r="E146">
        <v>24.8182258605957</v>
      </c>
    </row>
    <row r="147" spans="1:5" x14ac:dyDescent="0.2">
      <c r="A147" s="79">
        <v>42736</v>
      </c>
      <c r="B147">
        <v>52.7</v>
      </c>
      <c r="C147">
        <v>55.130203247070312</v>
      </c>
      <c r="D147">
        <v>31.112882614135739</v>
      </c>
      <c r="E147">
        <v>25.784965515136719</v>
      </c>
    </row>
    <row r="148" spans="1:5" x14ac:dyDescent="0.2">
      <c r="A148" s="79">
        <v>42767</v>
      </c>
      <c r="B148">
        <v>53</v>
      </c>
      <c r="C148">
        <v>56.515472412109382</v>
      </c>
      <c r="D148">
        <v>31.174518585205082</v>
      </c>
      <c r="E148">
        <v>26.162105560302731</v>
      </c>
    </row>
    <row r="149" spans="1:5" x14ac:dyDescent="0.2">
      <c r="A149" s="79">
        <v>42795</v>
      </c>
      <c r="B149">
        <v>53</v>
      </c>
      <c r="C149">
        <v>57.276012420654297</v>
      </c>
      <c r="D149">
        <v>33.102565765380859</v>
      </c>
      <c r="E149">
        <v>26.686822891235352</v>
      </c>
    </row>
    <row r="150" spans="1:5" x14ac:dyDescent="0.2">
      <c r="A150" s="79">
        <v>42826</v>
      </c>
      <c r="B150">
        <v>52.7</v>
      </c>
      <c r="C150">
        <v>58.199527740478523</v>
      </c>
      <c r="D150">
        <v>34.546405792236328</v>
      </c>
      <c r="E150">
        <v>27.137750625610352</v>
      </c>
    </row>
    <row r="151" spans="1:5" x14ac:dyDescent="0.2">
      <c r="A151" s="79">
        <v>42856</v>
      </c>
      <c r="B151">
        <v>52.6</v>
      </c>
      <c r="C151">
        <v>59.485206604003913</v>
      </c>
      <c r="D151">
        <v>36.254356384277337</v>
      </c>
      <c r="E151">
        <v>28.37575721740723</v>
      </c>
    </row>
    <row r="152" spans="1:5" x14ac:dyDescent="0.2">
      <c r="A152" s="79">
        <v>42887</v>
      </c>
      <c r="B152">
        <v>52.6</v>
      </c>
      <c r="C152">
        <v>59.295070648193359</v>
      </c>
      <c r="D152">
        <v>35.506023406982422</v>
      </c>
      <c r="E152">
        <v>27.326322555541989</v>
      </c>
    </row>
    <row r="153" spans="1:5" x14ac:dyDescent="0.2">
      <c r="A153" s="79">
        <v>42917</v>
      </c>
      <c r="B153">
        <v>52.8</v>
      </c>
      <c r="C153">
        <v>61.592098236083977</v>
      </c>
      <c r="D153">
        <v>37.222629547119141</v>
      </c>
      <c r="E153">
        <v>28.591032028198239</v>
      </c>
    </row>
    <row r="154" spans="1:5" x14ac:dyDescent="0.2">
      <c r="A154" s="79">
        <v>42948</v>
      </c>
      <c r="B154">
        <v>53.2</v>
      </c>
      <c r="C154">
        <v>61.839275360107422</v>
      </c>
      <c r="D154">
        <v>37.401454925537109</v>
      </c>
      <c r="E154">
        <v>28.356405258178711</v>
      </c>
    </row>
    <row r="155" spans="1:5" x14ac:dyDescent="0.2">
      <c r="A155" s="79">
        <v>42979</v>
      </c>
      <c r="B155">
        <v>53.3</v>
      </c>
      <c r="C155">
        <v>63.001903533935547</v>
      </c>
      <c r="D155">
        <v>38.73370361328125</v>
      </c>
      <c r="E155">
        <v>29.202739715576168</v>
      </c>
    </row>
    <row r="156" spans="1:5" x14ac:dyDescent="0.2">
      <c r="A156" s="79">
        <v>43009</v>
      </c>
      <c r="B156">
        <v>53.5</v>
      </c>
      <c r="C156">
        <v>64.356796264648438</v>
      </c>
      <c r="D156">
        <v>39.189716339111328</v>
      </c>
      <c r="E156">
        <v>29.378707885742191</v>
      </c>
    </row>
    <row r="157" spans="1:5" x14ac:dyDescent="0.2">
      <c r="A157" s="79">
        <v>43040</v>
      </c>
      <c r="B157">
        <v>54.1</v>
      </c>
      <c r="C157">
        <v>65.656745910644531</v>
      </c>
      <c r="D157">
        <v>39.091354370117188</v>
      </c>
      <c r="E157">
        <v>29.34519004821777</v>
      </c>
    </row>
    <row r="158" spans="1:5" x14ac:dyDescent="0.2">
      <c r="A158" s="79">
        <v>43070</v>
      </c>
      <c r="B158">
        <v>54.5</v>
      </c>
      <c r="C158">
        <v>65.995445251464844</v>
      </c>
      <c r="D158">
        <v>38.787357330322273</v>
      </c>
      <c r="E158">
        <v>30.015560150146481</v>
      </c>
    </row>
    <row r="159" spans="1:5" x14ac:dyDescent="0.2">
      <c r="A159" s="79">
        <v>43101</v>
      </c>
      <c r="B159">
        <v>54.4</v>
      </c>
      <c r="C159">
        <v>70.406509399414062</v>
      </c>
      <c r="D159">
        <v>41.687213897705078</v>
      </c>
      <c r="E159">
        <v>31.72566986083984</v>
      </c>
    </row>
    <row r="160" spans="1:5" x14ac:dyDescent="0.2">
      <c r="A160" s="79">
        <v>43132</v>
      </c>
      <c r="B160">
        <v>54.1</v>
      </c>
      <c r="C160">
        <v>67.255775451660156</v>
      </c>
      <c r="D160">
        <v>39.190650939941413</v>
      </c>
      <c r="E160">
        <v>29.59980392456055</v>
      </c>
    </row>
    <row r="161" spans="1:5" x14ac:dyDescent="0.2">
      <c r="A161" s="79">
        <v>43160</v>
      </c>
      <c r="B161">
        <v>53.3</v>
      </c>
      <c r="C161">
        <v>66.248641967773438</v>
      </c>
      <c r="D161">
        <v>38.930217742919922</v>
      </c>
      <c r="E161">
        <v>29.668109893798832</v>
      </c>
    </row>
    <row r="162" spans="1:5" x14ac:dyDescent="0.2">
      <c r="A162" s="79">
        <v>43191</v>
      </c>
      <c r="B162">
        <v>53.5</v>
      </c>
      <c r="C162">
        <v>66.5166015625</v>
      </c>
      <c r="D162">
        <v>39.810310363769531</v>
      </c>
      <c r="E162">
        <v>30.948745727539059</v>
      </c>
    </row>
    <row r="163" spans="1:5" x14ac:dyDescent="0.2">
      <c r="A163" s="79">
        <v>43221</v>
      </c>
      <c r="B163">
        <v>53.1</v>
      </c>
      <c r="C163">
        <v>66.83074951171875</v>
      </c>
      <c r="D163">
        <v>38.382411956787109</v>
      </c>
      <c r="E163">
        <v>30.760917663574219</v>
      </c>
    </row>
    <row r="164" spans="1:5" x14ac:dyDescent="0.2">
      <c r="A164" s="79">
        <v>43252</v>
      </c>
      <c r="B164">
        <v>53</v>
      </c>
      <c r="C164">
        <v>65.712745666503906</v>
      </c>
      <c r="D164">
        <v>36.82879638671875</v>
      </c>
      <c r="E164">
        <v>29.693719863891602</v>
      </c>
    </row>
    <row r="165" spans="1:5" x14ac:dyDescent="0.2">
      <c r="A165" s="79">
        <v>43282</v>
      </c>
      <c r="B165">
        <v>52.8</v>
      </c>
      <c r="C165">
        <v>68.476127624511719</v>
      </c>
      <c r="D165">
        <v>39.162887573242188</v>
      </c>
      <c r="E165">
        <v>30.68381309509277</v>
      </c>
    </row>
    <row r="166" spans="1:5" x14ac:dyDescent="0.2">
      <c r="A166" s="79">
        <v>43313</v>
      </c>
      <c r="B166">
        <v>52.6</v>
      </c>
      <c r="C166">
        <v>68.952545166015625</v>
      </c>
      <c r="D166">
        <v>37.920932769775391</v>
      </c>
      <c r="E166">
        <v>29.337955474853519</v>
      </c>
    </row>
    <row r="167" spans="1:5" x14ac:dyDescent="0.2">
      <c r="A167" s="79">
        <v>43344</v>
      </c>
      <c r="B167">
        <v>52.2</v>
      </c>
      <c r="C167">
        <v>69.372932434082031</v>
      </c>
      <c r="D167">
        <v>37.727745056152337</v>
      </c>
      <c r="E167">
        <v>29.818618774414059</v>
      </c>
    </row>
    <row r="168" spans="1:5" x14ac:dyDescent="0.2">
      <c r="A168" s="79">
        <v>43374</v>
      </c>
      <c r="B168">
        <v>52</v>
      </c>
      <c r="C168">
        <v>64.216201782226562</v>
      </c>
      <c r="D168">
        <v>34.379070281982422</v>
      </c>
      <c r="E168">
        <v>27.799833297729489</v>
      </c>
    </row>
    <row r="169" spans="1:5" x14ac:dyDescent="0.2">
      <c r="A169" s="79">
        <v>43405</v>
      </c>
      <c r="B169">
        <v>52</v>
      </c>
      <c r="C169">
        <v>65.234481811523438</v>
      </c>
      <c r="D169">
        <v>34.259479522705078</v>
      </c>
      <c r="E169">
        <v>27.46773719787598</v>
      </c>
    </row>
    <row r="170" spans="1:5" x14ac:dyDescent="0.2">
      <c r="A170" s="79">
        <v>43435</v>
      </c>
      <c r="B170">
        <v>51.5</v>
      </c>
      <c r="C170">
        <v>59.9376220703125</v>
      </c>
      <c r="D170">
        <v>32.253959655761719</v>
      </c>
      <c r="E170">
        <v>25.649955749511719</v>
      </c>
    </row>
    <row r="171" spans="1:5" x14ac:dyDescent="0.2">
      <c r="A171" s="79">
        <v>43466</v>
      </c>
      <c r="B171">
        <v>50.7</v>
      </c>
      <c r="C171">
        <v>65.399131774902344</v>
      </c>
      <c r="D171">
        <v>34.547416687011719</v>
      </c>
      <c r="E171">
        <v>28.120260238647461</v>
      </c>
    </row>
    <row r="172" spans="1:5" x14ac:dyDescent="0.2">
      <c r="A172" s="79">
        <v>43497</v>
      </c>
      <c r="B172">
        <v>50.6</v>
      </c>
      <c r="C172">
        <v>67.012397766113281</v>
      </c>
      <c r="D172">
        <v>35.629627227783203</v>
      </c>
      <c r="E172">
        <v>29.08469200134277</v>
      </c>
    </row>
    <row r="173" spans="1:5" x14ac:dyDescent="0.2">
      <c r="A173" s="79">
        <v>43525</v>
      </c>
      <c r="B173">
        <v>50.5</v>
      </c>
      <c r="C173">
        <v>68.069046020507812</v>
      </c>
      <c r="D173">
        <v>35.703620910644531</v>
      </c>
      <c r="E173">
        <v>29.477603912353519</v>
      </c>
    </row>
    <row r="174" spans="1:5" x14ac:dyDescent="0.2">
      <c r="A174" s="79">
        <v>43556</v>
      </c>
      <c r="B174">
        <v>50.4</v>
      </c>
      <c r="C174">
        <v>70.399345397949219</v>
      </c>
      <c r="D174">
        <v>37.488803863525391</v>
      </c>
      <c r="E174">
        <v>30.147346496582031</v>
      </c>
    </row>
    <row r="175" spans="1:5" x14ac:dyDescent="0.2">
      <c r="A175" s="79">
        <v>43586</v>
      </c>
      <c r="B175">
        <v>49.8</v>
      </c>
      <c r="C175">
        <v>66.125564575195312</v>
      </c>
      <c r="D175">
        <v>35.074642181396477</v>
      </c>
      <c r="E175">
        <v>28.298860549926761</v>
      </c>
    </row>
    <row r="176" spans="1:5" x14ac:dyDescent="0.2">
      <c r="A176" s="79">
        <v>43617</v>
      </c>
      <c r="B176">
        <v>49.4</v>
      </c>
      <c r="C176">
        <v>69.540817260742188</v>
      </c>
      <c r="D176">
        <v>36.591590881347663</v>
      </c>
      <c r="E176">
        <v>28.861440658569339</v>
      </c>
    </row>
    <row r="177" spans="1:5" x14ac:dyDescent="0.2">
      <c r="A177" s="79">
        <v>43647</v>
      </c>
      <c r="B177">
        <v>49.3</v>
      </c>
      <c r="C177">
        <v>70.465171813964844</v>
      </c>
      <c r="D177">
        <v>36.554458618164062</v>
      </c>
      <c r="E177">
        <v>28.885261535644531</v>
      </c>
    </row>
    <row r="178" spans="1:5" x14ac:dyDescent="0.2">
      <c r="A178" s="79">
        <v>43678</v>
      </c>
      <c r="B178">
        <v>49.5</v>
      </c>
      <c r="C178">
        <v>68.907981872558594</v>
      </c>
      <c r="D178">
        <v>36.003623962402337</v>
      </c>
      <c r="E178">
        <v>27.7862663269043</v>
      </c>
    </row>
    <row r="179" spans="1:5" x14ac:dyDescent="0.2">
      <c r="A179" s="79">
        <v>43709</v>
      </c>
      <c r="B179">
        <v>49.7</v>
      </c>
      <c r="C179">
        <v>70.455612182617188</v>
      </c>
      <c r="D179">
        <v>36.934345245361328</v>
      </c>
      <c r="E179">
        <v>28.78452110290527</v>
      </c>
    </row>
    <row r="180" spans="1:5" x14ac:dyDescent="0.2">
      <c r="A180" s="79">
        <v>43739</v>
      </c>
      <c r="B180">
        <v>49.8</v>
      </c>
      <c r="C180">
        <v>72.385391235351562</v>
      </c>
      <c r="D180">
        <v>38.387401580810547</v>
      </c>
      <c r="E180">
        <v>29.791933059692379</v>
      </c>
    </row>
    <row r="181" spans="1:5" x14ac:dyDescent="0.2">
      <c r="A181" s="79">
        <v>43770</v>
      </c>
      <c r="B181">
        <v>50.3</v>
      </c>
      <c r="C181">
        <v>74.076316833496094</v>
      </c>
      <c r="D181">
        <v>38.738792419433587</v>
      </c>
      <c r="E181">
        <v>30.158267974853519</v>
      </c>
    </row>
    <row r="182" spans="1:5" x14ac:dyDescent="0.2">
      <c r="A182" s="79">
        <v>43800</v>
      </c>
      <c r="B182">
        <v>50.1</v>
      </c>
      <c r="C182">
        <v>75.709938049316406</v>
      </c>
      <c r="D182">
        <v>39.811969757080078</v>
      </c>
      <c r="E182">
        <v>31.22978591918945</v>
      </c>
    </row>
    <row r="183" spans="1:5" x14ac:dyDescent="0.2">
      <c r="A183" s="79">
        <v>43831</v>
      </c>
      <c r="B183">
        <v>50.4</v>
      </c>
      <c r="C183">
        <v>75.523735046386719</v>
      </c>
      <c r="D183">
        <v>38.602436065673828</v>
      </c>
      <c r="E183">
        <v>30.427158355712891</v>
      </c>
    </row>
    <row r="184" spans="1:5" x14ac:dyDescent="0.2">
      <c r="A184" s="79">
        <v>43862</v>
      </c>
      <c r="B184">
        <v>47.1</v>
      </c>
      <c r="C184">
        <v>69.867439270019531</v>
      </c>
      <c r="D184">
        <v>35.751121520996087</v>
      </c>
      <c r="E184">
        <v>27.313592910766602</v>
      </c>
    </row>
    <row r="185" spans="1:5" x14ac:dyDescent="0.2">
      <c r="A185" s="79">
        <v>43891</v>
      </c>
      <c r="B185">
        <v>47.3</v>
      </c>
      <c r="C185">
        <v>60.498271942138672</v>
      </c>
      <c r="D185">
        <v>29.09487152099609</v>
      </c>
      <c r="E185">
        <v>22.261043548583981</v>
      </c>
    </row>
    <row r="186" spans="1:5" x14ac:dyDescent="0.2">
      <c r="A186" s="79">
        <v>43922</v>
      </c>
      <c r="B186">
        <v>39.6</v>
      </c>
      <c r="C186">
        <v>66.444648742675781</v>
      </c>
      <c r="D186">
        <v>30.88767051696777</v>
      </c>
      <c r="E186">
        <v>23.538166046142582</v>
      </c>
    </row>
    <row r="187" spans="1:5" x14ac:dyDescent="0.2">
      <c r="A187" s="79">
        <v>43952</v>
      </c>
      <c r="B187">
        <v>42.4</v>
      </c>
      <c r="C187">
        <v>69.828758239746094</v>
      </c>
      <c r="D187">
        <v>33.166816711425781</v>
      </c>
      <c r="E187">
        <v>23.985622406005859</v>
      </c>
    </row>
    <row r="188" spans="1:5" x14ac:dyDescent="0.2">
      <c r="A188" s="79">
        <v>43983</v>
      </c>
      <c r="B188">
        <v>47.8</v>
      </c>
      <c r="C188">
        <v>71.279090881347656</v>
      </c>
      <c r="D188">
        <v>34.787971496582031</v>
      </c>
      <c r="E188">
        <v>24.013591766357418</v>
      </c>
    </row>
    <row r="189" spans="1:5" x14ac:dyDescent="0.2">
      <c r="A189" s="79">
        <v>44013</v>
      </c>
      <c r="B189">
        <v>50.6</v>
      </c>
      <c r="C189">
        <v>75.733634948730469</v>
      </c>
      <c r="D189">
        <v>36.242023468017578</v>
      </c>
      <c r="E189">
        <v>24.541494369506839</v>
      </c>
    </row>
    <row r="190" spans="1:5" x14ac:dyDescent="0.2">
      <c r="A190" s="79">
        <v>44044</v>
      </c>
      <c r="B190">
        <v>51.8</v>
      </c>
      <c r="C190">
        <v>80.296966552734375</v>
      </c>
      <c r="D190">
        <v>37.896823883056641</v>
      </c>
      <c r="E190">
        <v>25.213474273681641</v>
      </c>
    </row>
    <row r="191" spans="1:5" x14ac:dyDescent="0.2">
      <c r="A191" s="79">
        <v>44075</v>
      </c>
      <c r="B191">
        <v>52.4</v>
      </c>
      <c r="C191">
        <v>77.927543640136719</v>
      </c>
      <c r="D191">
        <v>36.4825439453125</v>
      </c>
      <c r="E191">
        <v>24.125057220458981</v>
      </c>
    </row>
    <row r="192" spans="1:5" x14ac:dyDescent="0.2">
      <c r="A192" s="79">
        <v>44105</v>
      </c>
      <c r="B192">
        <v>53</v>
      </c>
      <c r="C192">
        <v>76.191925048828125</v>
      </c>
      <c r="D192">
        <v>34.519878387451172</v>
      </c>
      <c r="E192">
        <v>23.036638259887699</v>
      </c>
    </row>
    <row r="193" spans="1:5" x14ac:dyDescent="0.2">
      <c r="A193" s="79">
        <v>44136</v>
      </c>
      <c r="B193">
        <v>53.8</v>
      </c>
      <c r="C193">
        <v>85.152816772460938</v>
      </c>
      <c r="D193">
        <v>41.312252044677727</v>
      </c>
      <c r="E193">
        <v>26.74672698974609</v>
      </c>
    </row>
    <row r="194" spans="1:5" x14ac:dyDescent="0.2">
      <c r="A194" s="79">
        <v>44166</v>
      </c>
      <c r="B194">
        <v>53.8</v>
      </c>
      <c r="C194">
        <v>88.458297729492188</v>
      </c>
      <c r="D194">
        <v>42.409034729003913</v>
      </c>
      <c r="E194">
        <v>27.721574783325199</v>
      </c>
    </row>
    <row r="195" spans="1:5" x14ac:dyDescent="0.2">
      <c r="A195" s="79">
        <v>44197</v>
      </c>
      <c r="B195">
        <v>53.6</v>
      </c>
      <c r="C195">
        <v>88.869033813476562</v>
      </c>
      <c r="D195">
        <v>42.26904296875</v>
      </c>
      <c r="E195">
        <v>27.971511840820309</v>
      </c>
    </row>
    <row r="196" spans="1:5" x14ac:dyDescent="0.2">
      <c r="A196" s="79">
        <v>44228</v>
      </c>
      <c r="B196">
        <v>53.9</v>
      </c>
      <c r="C196">
        <v>90.903083801269531</v>
      </c>
      <c r="D196">
        <v>43.703704833984382</v>
      </c>
      <c r="E196">
        <v>29.0723762512207</v>
      </c>
    </row>
    <row r="197" spans="1:5" x14ac:dyDescent="0.2">
      <c r="A197" s="79">
        <v>44256</v>
      </c>
      <c r="B197">
        <v>55</v>
      </c>
      <c r="C197">
        <v>93.497222900390625</v>
      </c>
      <c r="D197">
        <v>45.314048767089837</v>
      </c>
      <c r="E197">
        <v>29.972211837768551</v>
      </c>
    </row>
    <row r="198" spans="1:5" x14ac:dyDescent="0.2">
      <c r="A198" s="79">
        <v>44287</v>
      </c>
      <c r="B198">
        <v>55.9</v>
      </c>
      <c r="C198">
        <v>97.467048645019531</v>
      </c>
      <c r="D198">
        <v>47.422134399414062</v>
      </c>
      <c r="E198">
        <v>31.140083312988281</v>
      </c>
    </row>
    <row r="199" spans="1:5" x14ac:dyDescent="0.2">
      <c r="A199" s="79">
        <v>44317</v>
      </c>
      <c r="B199">
        <v>56</v>
      </c>
      <c r="C199">
        <v>98.901679992675781</v>
      </c>
      <c r="D199">
        <v>49.500938415527337</v>
      </c>
      <c r="E199">
        <v>32.34625244140625</v>
      </c>
    </row>
    <row r="200" spans="1:5" x14ac:dyDescent="0.2">
      <c r="A200" s="79">
        <v>44348</v>
      </c>
      <c r="B200">
        <v>55.5</v>
      </c>
      <c r="C200">
        <v>99.43231201171875</v>
      </c>
      <c r="D200">
        <v>48.163864135742188</v>
      </c>
      <c r="E200">
        <v>31.302822113037109</v>
      </c>
    </row>
    <row r="201" spans="1:5" x14ac:dyDescent="0.2">
      <c r="A201" s="79">
        <v>44378</v>
      </c>
      <c r="B201">
        <v>55.4</v>
      </c>
      <c r="C201">
        <v>101.0592498779297</v>
      </c>
      <c r="D201">
        <v>49.115421295166023</v>
      </c>
      <c r="E201">
        <v>31.9211540222168</v>
      </c>
    </row>
    <row r="202" spans="1:5" x14ac:dyDescent="0.2">
      <c r="A202" s="79">
        <v>44409</v>
      </c>
      <c r="B202">
        <v>54.1</v>
      </c>
      <c r="C202">
        <v>103.2564010620117</v>
      </c>
      <c r="D202">
        <v>50.080982208251953</v>
      </c>
      <c r="E202">
        <v>32.135322570800781</v>
      </c>
    </row>
    <row r="203" spans="1:5" x14ac:dyDescent="0.2">
      <c r="A203" s="79">
        <v>44440</v>
      </c>
      <c r="B203">
        <v>54.1</v>
      </c>
      <c r="C203">
        <v>98.89178466796875</v>
      </c>
      <c r="D203">
        <v>47.410911560058587</v>
      </c>
      <c r="E203">
        <v>31.395462036132809</v>
      </c>
    </row>
    <row r="204" spans="1:5" x14ac:dyDescent="0.2">
      <c r="A204" s="79">
        <v>44470</v>
      </c>
      <c r="B204">
        <v>54.2</v>
      </c>
      <c r="C204">
        <v>104.226318359375</v>
      </c>
      <c r="D204">
        <v>49.578495025634773</v>
      </c>
      <c r="E204">
        <v>32.787570953369141</v>
      </c>
    </row>
    <row r="205" spans="1:5" x14ac:dyDescent="0.2">
      <c r="A205" s="79">
        <v>44501</v>
      </c>
      <c r="B205">
        <v>54.2</v>
      </c>
      <c r="C205">
        <v>101.8213195800781</v>
      </c>
      <c r="D205">
        <v>46.898574829101562</v>
      </c>
      <c r="E205">
        <v>31.19102668762207</v>
      </c>
    </row>
    <row r="206" spans="1:5" x14ac:dyDescent="0.2">
      <c r="A206" s="79">
        <v>44531</v>
      </c>
      <c r="B206">
        <v>54.2</v>
      </c>
      <c r="C206">
        <v>104.6914825439453</v>
      </c>
      <c r="D206">
        <v>48.287796020507812</v>
      </c>
      <c r="E206">
        <v>32.261878967285163</v>
      </c>
    </row>
    <row r="207" spans="1:5" x14ac:dyDescent="0.2">
      <c r="A207" s="79">
        <v>44562</v>
      </c>
      <c r="C207">
        <v>100.9700012207031</v>
      </c>
      <c r="D207">
        <v>47.380001068115227</v>
      </c>
      <c r="E207">
        <v>33.889999389648438</v>
      </c>
    </row>
    <row r="208" spans="1:5" x14ac:dyDescent="0.2">
      <c r="A208" s="79">
        <v>44593</v>
      </c>
      <c r="C208">
        <v>101.75</v>
      </c>
      <c r="D208">
        <v>47.860000610351562</v>
      </c>
      <c r="E208">
        <v>34.279998779296882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206"/>
  <sheetViews>
    <sheetView zoomScale="200" zoomScaleNormal="200" workbookViewId="0">
      <selection activeCell="J199" sqref="J199"/>
    </sheetView>
  </sheetViews>
  <sheetFormatPr baseColWidth="10" defaultRowHeight="15" x14ac:dyDescent="0.2"/>
  <cols>
    <col min="1" max="5" width="10.83203125" style="76" customWidth="1"/>
    <col min="6" max="16384" width="10.83203125" style="76"/>
  </cols>
  <sheetData>
    <row r="1" spans="1:2" x14ac:dyDescent="0.2">
      <c r="A1" t="s">
        <v>85</v>
      </c>
      <c r="B1" t="s">
        <v>89</v>
      </c>
    </row>
    <row r="2" spans="1:2" x14ac:dyDescent="0.2">
      <c r="A2" s="79">
        <v>38353</v>
      </c>
      <c r="B2">
        <v>55.7</v>
      </c>
    </row>
    <row r="3" spans="1:2" x14ac:dyDescent="0.2">
      <c r="A3" s="79">
        <v>38384</v>
      </c>
      <c r="B3">
        <v>54.4</v>
      </c>
    </row>
    <row r="4" spans="1:2" x14ac:dyDescent="0.2">
      <c r="A4" s="79">
        <v>38412</v>
      </c>
      <c r="B4">
        <v>63.4</v>
      </c>
    </row>
    <row r="5" spans="1:2" x14ac:dyDescent="0.2">
      <c r="A5" s="79">
        <v>38443</v>
      </c>
      <c r="B5">
        <v>56.9</v>
      </c>
    </row>
    <row r="6" spans="1:2" x14ac:dyDescent="0.2">
      <c r="A6" s="79">
        <v>38473</v>
      </c>
      <c r="B6">
        <v>52.1</v>
      </c>
    </row>
    <row r="7" spans="1:2" x14ac:dyDescent="0.2">
      <c r="A7" s="79">
        <v>38504</v>
      </c>
      <c r="B7">
        <v>52.1</v>
      </c>
    </row>
    <row r="8" spans="1:2" x14ac:dyDescent="0.2">
      <c r="A8" s="79">
        <v>38534</v>
      </c>
      <c r="B8">
        <v>51.2</v>
      </c>
    </row>
    <row r="9" spans="1:2" x14ac:dyDescent="0.2">
      <c r="A9" s="79">
        <v>38565</v>
      </c>
      <c r="B9">
        <v>54.1</v>
      </c>
    </row>
    <row r="10" spans="1:2" x14ac:dyDescent="0.2">
      <c r="A10" s="79">
        <v>38596</v>
      </c>
      <c r="B10">
        <v>56.9</v>
      </c>
    </row>
    <row r="11" spans="1:2" x14ac:dyDescent="0.2">
      <c r="A11" s="79">
        <v>38626</v>
      </c>
      <c r="B11">
        <v>54.1</v>
      </c>
    </row>
    <row r="12" spans="1:2" x14ac:dyDescent="0.2">
      <c r="A12" s="79">
        <v>38657</v>
      </c>
      <c r="B12">
        <v>54.1</v>
      </c>
    </row>
    <row r="13" spans="1:2" x14ac:dyDescent="0.2">
      <c r="A13" s="79">
        <v>38687</v>
      </c>
      <c r="B13">
        <v>54.3</v>
      </c>
    </row>
    <row r="14" spans="1:2" x14ac:dyDescent="0.2">
      <c r="A14" s="79">
        <v>38718</v>
      </c>
      <c r="B14">
        <v>52.1</v>
      </c>
    </row>
    <row r="15" spans="1:2" x14ac:dyDescent="0.2">
      <c r="A15" s="79">
        <v>38749</v>
      </c>
      <c r="B15">
        <v>52.1</v>
      </c>
    </row>
    <row r="16" spans="1:2" x14ac:dyDescent="0.2">
      <c r="A16" s="79">
        <v>38777</v>
      </c>
      <c r="B16">
        <v>55.3</v>
      </c>
    </row>
    <row r="17" spans="1:2" x14ac:dyDescent="0.2">
      <c r="A17" s="79">
        <v>38808</v>
      </c>
      <c r="B17">
        <v>58.1</v>
      </c>
    </row>
    <row r="18" spans="1:2" x14ac:dyDescent="0.2">
      <c r="A18" s="79">
        <v>38838</v>
      </c>
      <c r="B18">
        <v>54.8</v>
      </c>
    </row>
    <row r="19" spans="1:2" x14ac:dyDescent="0.2">
      <c r="A19" s="79">
        <v>38869</v>
      </c>
      <c r="B19">
        <v>54.1</v>
      </c>
    </row>
    <row r="20" spans="1:2" x14ac:dyDescent="0.2">
      <c r="A20" s="79">
        <v>38899</v>
      </c>
      <c r="B20">
        <v>52.4</v>
      </c>
    </row>
    <row r="21" spans="1:2" x14ac:dyDescent="0.2">
      <c r="A21" s="79">
        <v>38930</v>
      </c>
      <c r="B21">
        <v>53.1</v>
      </c>
    </row>
    <row r="22" spans="1:2" x14ac:dyDescent="0.2">
      <c r="A22" s="79">
        <v>38961</v>
      </c>
      <c r="B22">
        <v>57</v>
      </c>
    </row>
    <row r="23" spans="1:2" x14ac:dyDescent="0.2">
      <c r="A23" s="79">
        <v>38991</v>
      </c>
      <c r="B23">
        <v>54.7</v>
      </c>
    </row>
    <row r="24" spans="1:2" x14ac:dyDescent="0.2">
      <c r="A24" s="79">
        <v>39022</v>
      </c>
      <c r="B24">
        <v>55.3</v>
      </c>
    </row>
    <row r="25" spans="1:2" x14ac:dyDescent="0.2">
      <c r="A25" s="79">
        <v>39052</v>
      </c>
      <c r="B25">
        <v>54.8</v>
      </c>
    </row>
    <row r="26" spans="1:2" x14ac:dyDescent="0.2">
      <c r="A26" s="79">
        <v>39083</v>
      </c>
      <c r="B26">
        <v>55.1</v>
      </c>
    </row>
    <row r="27" spans="1:2" x14ac:dyDescent="0.2">
      <c r="A27" s="79">
        <v>39114</v>
      </c>
      <c r="B27">
        <v>53.1</v>
      </c>
    </row>
    <row r="28" spans="1:2" x14ac:dyDescent="0.2">
      <c r="A28" s="79">
        <v>39142</v>
      </c>
      <c r="B28">
        <v>56.1</v>
      </c>
    </row>
    <row r="29" spans="1:2" x14ac:dyDescent="0.2">
      <c r="A29" s="79">
        <v>39173</v>
      </c>
      <c r="B29">
        <v>58.6</v>
      </c>
    </row>
    <row r="30" spans="1:2" x14ac:dyDescent="0.2">
      <c r="A30" s="79">
        <v>39203</v>
      </c>
      <c r="B30">
        <v>55.7</v>
      </c>
    </row>
    <row r="31" spans="1:2" x14ac:dyDescent="0.2">
      <c r="A31" s="79">
        <v>39234</v>
      </c>
      <c r="B31">
        <v>54.5</v>
      </c>
    </row>
    <row r="32" spans="1:2" x14ac:dyDescent="0.2">
      <c r="A32" s="79">
        <v>39264</v>
      </c>
      <c r="B32">
        <v>53.3</v>
      </c>
    </row>
    <row r="33" spans="1:2" x14ac:dyDescent="0.2">
      <c r="A33" s="79">
        <v>39295</v>
      </c>
      <c r="B33">
        <v>54</v>
      </c>
    </row>
    <row r="34" spans="1:2" x14ac:dyDescent="0.2">
      <c r="A34" s="79">
        <v>39326</v>
      </c>
      <c r="B34">
        <v>56.1</v>
      </c>
    </row>
    <row r="35" spans="1:2" x14ac:dyDescent="0.2">
      <c r="A35" s="79">
        <v>39356</v>
      </c>
      <c r="B35">
        <v>53.2</v>
      </c>
    </row>
    <row r="36" spans="1:2" x14ac:dyDescent="0.2">
      <c r="A36" s="79">
        <v>39387</v>
      </c>
      <c r="B36">
        <v>55.4</v>
      </c>
    </row>
    <row r="37" spans="1:2" x14ac:dyDescent="0.2">
      <c r="A37" s="79">
        <v>39417</v>
      </c>
      <c r="B37">
        <v>55.3</v>
      </c>
    </row>
    <row r="38" spans="1:2" x14ac:dyDescent="0.2">
      <c r="A38" s="79">
        <v>39448</v>
      </c>
      <c r="B38">
        <v>53</v>
      </c>
    </row>
    <row r="39" spans="1:2" x14ac:dyDescent="0.2">
      <c r="A39" s="79">
        <v>39479</v>
      </c>
      <c r="B39">
        <v>53.4</v>
      </c>
    </row>
    <row r="40" spans="1:2" x14ac:dyDescent="0.2">
      <c r="A40" s="79">
        <v>39508</v>
      </c>
      <c r="B40">
        <v>58.4</v>
      </c>
    </row>
    <row r="41" spans="1:2" x14ac:dyDescent="0.2">
      <c r="A41" s="79">
        <v>39539</v>
      </c>
      <c r="B41">
        <v>59.2</v>
      </c>
    </row>
    <row r="42" spans="1:2" x14ac:dyDescent="0.2">
      <c r="A42" s="79">
        <v>39569</v>
      </c>
      <c r="B42">
        <v>53.3</v>
      </c>
    </row>
    <row r="43" spans="1:2" x14ac:dyDescent="0.2">
      <c r="A43" s="79">
        <v>39600</v>
      </c>
      <c r="B43">
        <v>52</v>
      </c>
    </row>
    <row r="44" spans="1:2" x14ac:dyDescent="0.2">
      <c r="A44" s="79">
        <v>39630</v>
      </c>
      <c r="B44">
        <v>48.4</v>
      </c>
    </row>
    <row r="45" spans="1:2" x14ac:dyDescent="0.2">
      <c r="A45" s="79">
        <v>39661</v>
      </c>
      <c r="B45">
        <v>48.4</v>
      </c>
    </row>
    <row r="46" spans="1:2" x14ac:dyDescent="0.2">
      <c r="A46" s="79">
        <v>39692</v>
      </c>
      <c r="B46">
        <v>51.2</v>
      </c>
    </row>
    <row r="47" spans="1:2" x14ac:dyDescent="0.2">
      <c r="A47" s="79">
        <v>39722</v>
      </c>
      <c r="B47">
        <v>44.6</v>
      </c>
    </row>
    <row r="48" spans="1:2" x14ac:dyDescent="0.2">
      <c r="A48" s="79">
        <v>39753</v>
      </c>
      <c r="B48">
        <v>38.799999999999997</v>
      </c>
    </row>
    <row r="49" spans="1:2" x14ac:dyDescent="0.2">
      <c r="A49" s="79">
        <v>39783</v>
      </c>
      <c r="B49">
        <v>41.2</v>
      </c>
    </row>
    <row r="50" spans="1:2" x14ac:dyDescent="0.2">
      <c r="A50" s="79">
        <v>39814</v>
      </c>
      <c r="B50">
        <v>45.3</v>
      </c>
    </row>
    <row r="51" spans="1:2" x14ac:dyDescent="0.2">
      <c r="A51" s="79">
        <v>39845</v>
      </c>
      <c r="B51">
        <v>49</v>
      </c>
    </row>
    <row r="52" spans="1:2" x14ac:dyDescent="0.2">
      <c r="A52" s="79">
        <v>39873</v>
      </c>
      <c r="B52">
        <v>52.4</v>
      </c>
    </row>
    <row r="53" spans="1:2" x14ac:dyDescent="0.2">
      <c r="A53" s="79">
        <v>39904</v>
      </c>
      <c r="B53">
        <v>53.5</v>
      </c>
    </row>
    <row r="54" spans="1:2" x14ac:dyDescent="0.2">
      <c r="A54" s="79">
        <v>39934</v>
      </c>
      <c r="B54">
        <v>53.1</v>
      </c>
    </row>
    <row r="55" spans="1:2" x14ac:dyDescent="0.2">
      <c r="A55" s="79">
        <v>39965</v>
      </c>
      <c r="B55">
        <v>53.2</v>
      </c>
    </row>
    <row r="56" spans="1:2" x14ac:dyDescent="0.2">
      <c r="A56" s="79">
        <v>39995</v>
      </c>
      <c r="B56">
        <v>53.3</v>
      </c>
    </row>
    <row r="57" spans="1:2" x14ac:dyDescent="0.2">
      <c r="A57" s="79">
        <v>40026</v>
      </c>
      <c r="B57">
        <v>54</v>
      </c>
    </row>
    <row r="58" spans="1:2" x14ac:dyDescent="0.2">
      <c r="A58" s="79">
        <v>40057</v>
      </c>
      <c r="B58">
        <v>54.3</v>
      </c>
    </row>
    <row r="59" spans="1:2" x14ac:dyDescent="0.2">
      <c r="A59" s="79">
        <v>40087</v>
      </c>
      <c r="B59">
        <v>55.2</v>
      </c>
    </row>
    <row r="60" spans="1:2" x14ac:dyDescent="0.2">
      <c r="A60" s="79">
        <v>40118</v>
      </c>
      <c r="B60">
        <v>55.2</v>
      </c>
    </row>
    <row r="61" spans="1:2" x14ac:dyDescent="0.2">
      <c r="A61" s="79">
        <v>40148</v>
      </c>
      <c r="B61">
        <v>56.6</v>
      </c>
    </row>
    <row r="62" spans="1:2" x14ac:dyDescent="0.2">
      <c r="A62" s="79">
        <v>40179</v>
      </c>
      <c r="B62">
        <v>55.8</v>
      </c>
    </row>
    <row r="63" spans="1:2" x14ac:dyDescent="0.2">
      <c r="A63" s="79">
        <v>40210</v>
      </c>
      <c r="B63">
        <v>52</v>
      </c>
    </row>
    <row r="64" spans="1:2" x14ac:dyDescent="0.2">
      <c r="A64" s="79">
        <v>40238</v>
      </c>
      <c r="B64">
        <v>55.1</v>
      </c>
    </row>
    <row r="65" spans="1:2" x14ac:dyDescent="0.2">
      <c r="A65" s="79">
        <v>40269</v>
      </c>
      <c r="B65">
        <v>55.7</v>
      </c>
    </row>
    <row r="66" spans="1:2" x14ac:dyDescent="0.2">
      <c r="A66" s="79">
        <v>40299</v>
      </c>
      <c r="B66">
        <v>53.9</v>
      </c>
    </row>
    <row r="67" spans="1:2" x14ac:dyDescent="0.2">
      <c r="A67" s="79">
        <v>40330</v>
      </c>
      <c r="B67">
        <v>52.1</v>
      </c>
    </row>
    <row r="68" spans="1:2" x14ac:dyDescent="0.2">
      <c r="A68" s="79">
        <v>40360</v>
      </c>
      <c r="B68">
        <v>51.2</v>
      </c>
    </row>
    <row r="69" spans="1:2" x14ac:dyDescent="0.2">
      <c r="A69" s="79">
        <v>40391</v>
      </c>
      <c r="B69">
        <v>51.7</v>
      </c>
    </row>
    <row r="70" spans="1:2" x14ac:dyDescent="0.2">
      <c r="A70" s="79">
        <v>40422</v>
      </c>
      <c r="B70">
        <v>53.8</v>
      </c>
    </row>
    <row r="71" spans="1:2" x14ac:dyDescent="0.2">
      <c r="A71" s="79">
        <v>40452</v>
      </c>
      <c r="B71">
        <v>54.7</v>
      </c>
    </row>
    <row r="72" spans="1:2" x14ac:dyDescent="0.2">
      <c r="A72" s="79">
        <v>40483</v>
      </c>
      <c r="B72">
        <v>55.2</v>
      </c>
    </row>
    <row r="73" spans="1:2" x14ac:dyDescent="0.2">
      <c r="A73" s="79">
        <v>40513</v>
      </c>
      <c r="B73">
        <v>53.9</v>
      </c>
    </row>
    <row r="74" spans="1:2" x14ac:dyDescent="0.2">
      <c r="A74" s="79">
        <v>40544</v>
      </c>
      <c r="B74">
        <v>52.9</v>
      </c>
    </row>
    <row r="75" spans="1:2" x14ac:dyDescent="0.2">
      <c r="A75" s="79">
        <v>40575</v>
      </c>
      <c r="B75">
        <v>52.2</v>
      </c>
    </row>
    <row r="76" spans="1:2" x14ac:dyDescent="0.2">
      <c r="A76" s="79">
        <v>40603</v>
      </c>
      <c r="B76">
        <v>53.4</v>
      </c>
    </row>
    <row r="77" spans="1:2" x14ac:dyDescent="0.2">
      <c r="A77" s="79">
        <v>40634</v>
      </c>
      <c r="B77">
        <v>52.9</v>
      </c>
    </row>
    <row r="78" spans="1:2" x14ac:dyDescent="0.2">
      <c r="A78" s="79">
        <v>40664</v>
      </c>
      <c r="B78">
        <v>52</v>
      </c>
    </row>
    <row r="79" spans="1:2" x14ac:dyDescent="0.2">
      <c r="A79" s="79">
        <v>40695</v>
      </c>
      <c r="B79">
        <v>50.9</v>
      </c>
    </row>
    <row r="80" spans="1:2" x14ac:dyDescent="0.2">
      <c r="A80" s="79">
        <v>40725</v>
      </c>
      <c r="B80">
        <v>50.7</v>
      </c>
    </row>
    <row r="81" spans="1:2" x14ac:dyDescent="0.2">
      <c r="A81" s="79">
        <v>40756</v>
      </c>
      <c r="B81">
        <v>50.9</v>
      </c>
    </row>
    <row r="82" spans="1:2" x14ac:dyDescent="0.2">
      <c r="A82" s="79">
        <v>40787</v>
      </c>
      <c r="B82">
        <v>51.2</v>
      </c>
    </row>
    <row r="83" spans="1:2" x14ac:dyDescent="0.2">
      <c r="A83" s="79">
        <v>40817</v>
      </c>
      <c r="B83">
        <v>50.4</v>
      </c>
    </row>
    <row r="84" spans="1:2" x14ac:dyDescent="0.2">
      <c r="A84" s="79">
        <v>40848</v>
      </c>
      <c r="B84">
        <v>49</v>
      </c>
    </row>
    <row r="85" spans="1:2" x14ac:dyDescent="0.2">
      <c r="A85" s="79">
        <v>40878</v>
      </c>
      <c r="B85">
        <v>50.3</v>
      </c>
    </row>
    <row r="86" spans="1:2" x14ac:dyDescent="0.2">
      <c r="A86" s="79">
        <v>40909</v>
      </c>
      <c r="B86">
        <v>50.5</v>
      </c>
    </row>
    <row r="87" spans="1:2" x14ac:dyDescent="0.2">
      <c r="A87" s="79">
        <v>40940</v>
      </c>
      <c r="B87">
        <v>51</v>
      </c>
    </row>
    <row r="88" spans="1:2" x14ac:dyDescent="0.2">
      <c r="A88" s="79">
        <v>40969</v>
      </c>
      <c r="B88">
        <v>53.1</v>
      </c>
    </row>
    <row r="89" spans="1:2" x14ac:dyDescent="0.2">
      <c r="A89" s="79">
        <v>41000</v>
      </c>
      <c r="B89">
        <v>53.3</v>
      </c>
    </row>
    <row r="90" spans="1:2" x14ac:dyDescent="0.2">
      <c r="A90" s="79">
        <v>41030</v>
      </c>
      <c r="B90">
        <v>50.4</v>
      </c>
    </row>
    <row r="91" spans="1:2" x14ac:dyDescent="0.2">
      <c r="A91" s="79">
        <v>41061</v>
      </c>
      <c r="B91">
        <v>50.2</v>
      </c>
    </row>
    <row r="92" spans="1:2" x14ac:dyDescent="0.2">
      <c r="A92" s="79">
        <v>41091</v>
      </c>
      <c r="B92">
        <v>50.1</v>
      </c>
    </row>
    <row r="93" spans="1:2" x14ac:dyDescent="0.2">
      <c r="A93" s="79">
        <v>41122</v>
      </c>
      <c r="B93">
        <v>49.2</v>
      </c>
    </row>
    <row r="94" spans="1:2" x14ac:dyDescent="0.2">
      <c r="A94" s="79">
        <v>41153</v>
      </c>
      <c r="B94">
        <v>49.8</v>
      </c>
    </row>
    <row r="95" spans="1:2" x14ac:dyDescent="0.2">
      <c r="A95" s="79">
        <v>41183</v>
      </c>
      <c r="B95">
        <v>50.2</v>
      </c>
    </row>
    <row r="96" spans="1:2" x14ac:dyDescent="0.2">
      <c r="A96" s="79">
        <v>41214</v>
      </c>
      <c r="B96">
        <v>50.6</v>
      </c>
    </row>
    <row r="97" spans="1:2" x14ac:dyDescent="0.2">
      <c r="A97" s="79">
        <v>41244</v>
      </c>
      <c r="B97">
        <v>50.6</v>
      </c>
    </row>
    <row r="98" spans="1:2" x14ac:dyDescent="0.2">
      <c r="A98" s="79">
        <v>41275</v>
      </c>
      <c r="B98">
        <v>50.4</v>
      </c>
    </row>
    <row r="99" spans="1:2" x14ac:dyDescent="0.2">
      <c r="A99" s="79">
        <v>41306</v>
      </c>
      <c r="B99">
        <v>50.1</v>
      </c>
    </row>
    <row r="100" spans="1:2" x14ac:dyDescent="0.2">
      <c r="A100" s="79">
        <v>41334</v>
      </c>
      <c r="B100">
        <v>50.9</v>
      </c>
    </row>
    <row r="101" spans="1:2" x14ac:dyDescent="0.2">
      <c r="A101" s="79">
        <v>41365</v>
      </c>
      <c r="B101">
        <v>50.6</v>
      </c>
    </row>
    <row r="102" spans="1:2" x14ac:dyDescent="0.2">
      <c r="A102" s="79">
        <v>41395</v>
      </c>
      <c r="B102">
        <v>50.8</v>
      </c>
    </row>
    <row r="103" spans="1:2" x14ac:dyDescent="0.2">
      <c r="A103" s="79">
        <v>41426</v>
      </c>
      <c r="B103">
        <v>50.1</v>
      </c>
    </row>
    <row r="104" spans="1:2" x14ac:dyDescent="0.2">
      <c r="A104" s="79">
        <v>41456</v>
      </c>
      <c r="B104">
        <v>50.3</v>
      </c>
    </row>
    <row r="105" spans="1:2" x14ac:dyDescent="0.2">
      <c r="A105" s="79">
        <v>41487</v>
      </c>
      <c r="B105">
        <v>51</v>
      </c>
    </row>
    <row r="106" spans="1:2" x14ac:dyDescent="0.2">
      <c r="A106" s="79">
        <v>41518</v>
      </c>
      <c r="B106">
        <v>51.1</v>
      </c>
    </row>
    <row r="107" spans="1:2" x14ac:dyDescent="0.2">
      <c r="A107" s="79">
        <v>41548</v>
      </c>
      <c r="B107">
        <v>51.4</v>
      </c>
    </row>
    <row r="108" spans="1:2" x14ac:dyDescent="0.2">
      <c r="A108" s="79">
        <v>41579</v>
      </c>
      <c r="B108">
        <v>51.4</v>
      </c>
    </row>
    <row r="109" spans="1:2" x14ac:dyDescent="0.2">
      <c r="A109" s="79">
        <v>41609</v>
      </c>
      <c r="B109">
        <v>51</v>
      </c>
    </row>
    <row r="110" spans="1:2" x14ac:dyDescent="0.2">
      <c r="A110" s="79">
        <v>41640</v>
      </c>
      <c r="B110">
        <v>50.5</v>
      </c>
    </row>
    <row r="111" spans="1:2" x14ac:dyDescent="0.2">
      <c r="A111" s="79">
        <v>41671</v>
      </c>
      <c r="B111">
        <v>50.2</v>
      </c>
    </row>
    <row r="112" spans="1:2" x14ac:dyDescent="0.2">
      <c r="A112" s="79">
        <v>41699</v>
      </c>
      <c r="B112">
        <v>50.3</v>
      </c>
    </row>
    <row r="113" spans="1:2" x14ac:dyDescent="0.2">
      <c r="A113" s="79">
        <v>41730</v>
      </c>
      <c r="B113">
        <v>50.4</v>
      </c>
    </row>
    <row r="114" spans="1:2" x14ac:dyDescent="0.2">
      <c r="A114" s="79">
        <v>41760</v>
      </c>
      <c r="B114">
        <v>50.8</v>
      </c>
    </row>
    <row r="115" spans="1:2" x14ac:dyDescent="0.2">
      <c r="A115" s="79">
        <v>41791</v>
      </c>
      <c r="B115">
        <v>51</v>
      </c>
    </row>
    <row r="116" spans="1:2" x14ac:dyDescent="0.2">
      <c r="A116" s="79">
        <v>41821</v>
      </c>
      <c r="B116">
        <v>51.7</v>
      </c>
    </row>
    <row r="117" spans="1:2" x14ac:dyDescent="0.2">
      <c r="A117" s="79">
        <v>41852</v>
      </c>
      <c r="B117">
        <v>51.1</v>
      </c>
    </row>
    <row r="118" spans="1:2" x14ac:dyDescent="0.2">
      <c r="A118" s="79">
        <v>41883</v>
      </c>
      <c r="B118">
        <v>51.1</v>
      </c>
    </row>
    <row r="119" spans="1:2" x14ac:dyDescent="0.2">
      <c r="A119" s="79">
        <v>41913</v>
      </c>
      <c r="B119">
        <v>50.8</v>
      </c>
    </row>
    <row r="120" spans="1:2" x14ac:dyDescent="0.2">
      <c r="A120" s="79">
        <v>41944</v>
      </c>
      <c r="B120">
        <v>50.3</v>
      </c>
    </row>
    <row r="121" spans="1:2" x14ac:dyDescent="0.2">
      <c r="A121" s="79">
        <v>41974</v>
      </c>
      <c r="B121">
        <v>50.1</v>
      </c>
    </row>
    <row r="122" spans="1:2" x14ac:dyDescent="0.2">
      <c r="A122" s="79">
        <v>42005</v>
      </c>
      <c r="B122">
        <v>49.8</v>
      </c>
    </row>
    <row r="123" spans="1:2" x14ac:dyDescent="0.2">
      <c r="A123" s="79">
        <v>42036</v>
      </c>
      <c r="B123">
        <v>49.9</v>
      </c>
    </row>
    <row r="124" spans="1:2" x14ac:dyDescent="0.2">
      <c r="A124" s="79">
        <v>42064</v>
      </c>
      <c r="B124">
        <v>50.1</v>
      </c>
    </row>
    <row r="125" spans="1:2" x14ac:dyDescent="0.2">
      <c r="A125" s="79">
        <v>42095</v>
      </c>
      <c r="B125">
        <v>50.1</v>
      </c>
    </row>
    <row r="126" spans="1:2" x14ac:dyDescent="0.2">
      <c r="A126" s="79">
        <v>42125</v>
      </c>
      <c r="B126">
        <v>50.2</v>
      </c>
    </row>
    <row r="127" spans="1:2" x14ac:dyDescent="0.2">
      <c r="A127" s="79">
        <v>42156</v>
      </c>
      <c r="B127">
        <v>50.2</v>
      </c>
    </row>
    <row r="128" spans="1:2" x14ac:dyDescent="0.2">
      <c r="A128" s="79">
        <v>42186</v>
      </c>
      <c r="B128">
        <v>50</v>
      </c>
    </row>
    <row r="129" spans="1:2" x14ac:dyDescent="0.2">
      <c r="A129" s="79">
        <v>42217</v>
      </c>
      <c r="B129">
        <v>49.7</v>
      </c>
    </row>
    <row r="130" spans="1:2" x14ac:dyDescent="0.2">
      <c r="A130" s="79">
        <v>42248</v>
      </c>
      <c r="B130">
        <v>49.8</v>
      </c>
    </row>
    <row r="131" spans="1:2" x14ac:dyDescent="0.2">
      <c r="A131" s="79">
        <v>42278</v>
      </c>
      <c r="B131">
        <v>49.8</v>
      </c>
    </row>
    <row r="132" spans="1:2" x14ac:dyDescent="0.2">
      <c r="A132" s="79">
        <v>42309</v>
      </c>
      <c r="B132">
        <v>49.6</v>
      </c>
    </row>
    <row r="133" spans="1:2" x14ac:dyDescent="0.2">
      <c r="A133" s="79">
        <v>42339</v>
      </c>
      <c r="B133">
        <v>49.7</v>
      </c>
    </row>
    <row r="134" spans="1:2" x14ac:dyDescent="0.2">
      <c r="A134" s="79">
        <v>42370</v>
      </c>
      <c r="B134">
        <v>49.4</v>
      </c>
    </row>
    <row r="135" spans="1:2" x14ac:dyDescent="0.2">
      <c r="A135" s="79">
        <v>42401</v>
      </c>
      <c r="B135">
        <v>49</v>
      </c>
    </row>
    <row r="136" spans="1:2" x14ac:dyDescent="0.2">
      <c r="A136" s="79">
        <v>42430</v>
      </c>
      <c r="B136">
        <v>50.2</v>
      </c>
    </row>
    <row r="137" spans="1:2" x14ac:dyDescent="0.2">
      <c r="A137" s="79">
        <v>42461</v>
      </c>
      <c r="B137">
        <v>50.1</v>
      </c>
    </row>
    <row r="138" spans="1:2" x14ac:dyDescent="0.2">
      <c r="A138" s="79">
        <v>42491</v>
      </c>
      <c r="B138">
        <v>50.1</v>
      </c>
    </row>
    <row r="139" spans="1:2" x14ac:dyDescent="0.2">
      <c r="A139" s="79">
        <v>42522</v>
      </c>
      <c r="B139">
        <v>50</v>
      </c>
    </row>
    <row r="140" spans="1:2" x14ac:dyDescent="0.2">
      <c r="A140" s="79">
        <v>42552</v>
      </c>
      <c r="B140">
        <v>49.9</v>
      </c>
    </row>
    <row r="141" spans="1:2" x14ac:dyDescent="0.2">
      <c r="A141" s="79">
        <v>42583</v>
      </c>
      <c r="B141">
        <v>50.4</v>
      </c>
    </row>
    <row r="142" spans="1:2" x14ac:dyDescent="0.2">
      <c r="A142" s="79">
        <v>42614</v>
      </c>
      <c r="B142">
        <v>50.4</v>
      </c>
    </row>
    <row r="143" spans="1:2" x14ac:dyDescent="0.2">
      <c r="A143" s="79">
        <v>42644</v>
      </c>
      <c r="B143">
        <v>51.2</v>
      </c>
    </row>
    <row r="144" spans="1:2" x14ac:dyDescent="0.2">
      <c r="A144" s="79">
        <v>42675</v>
      </c>
      <c r="B144">
        <v>51.7</v>
      </c>
    </row>
    <row r="145" spans="1:2" x14ac:dyDescent="0.2">
      <c r="A145" s="79">
        <v>42705</v>
      </c>
      <c r="B145">
        <v>51.4</v>
      </c>
    </row>
    <row r="146" spans="1:2" x14ac:dyDescent="0.2">
      <c r="A146" s="79">
        <v>42736</v>
      </c>
      <c r="B146">
        <v>51.3</v>
      </c>
    </row>
    <row r="147" spans="1:2" x14ac:dyDescent="0.2">
      <c r="A147" s="79">
        <v>42767</v>
      </c>
      <c r="B147">
        <v>51.6</v>
      </c>
    </row>
    <row r="148" spans="1:2" x14ac:dyDescent="0.2">
      <c r="A148" s="79">
        <v>42795</v>
      </c>
      <c r="B148">
        <v>51.8</v>
      </c>
    </row>
    <row r="149" spans="1:2" x14ac:dyDescent="0.2">
      <c r="A149" s="79">
        <v>42826</v>
      </c>
      <c r="B149">
        <v>51.2</v>
      </c>
    </row>
    <row r="150" spans="1:2" x14ac:dyDescent="0.2">
      <c r="A150" s="79">
        <v>42856</v>
      </c>
      <c r="B150">
        <v>51.2</v>
      </c>
    </row>
    <row r="151" spans="1:2" x14ac:dyDescent="0.2">
      <c r="A151" s="79">
        <v>42887</v>
      </c>
      <c r="B151">
        <v>51.7</v>
      </c>
    </row>
    <row r="152" spans="1:2" x14ac:dyDescent="0.2">
      <c r="A152" s="79">
        <v>42917</v>
      </c>
      <c r="B152">
        <v>51.4</v>
      </c>
    </row>
    <row r="153" spans="1:2" x14ac:dyDescent="0.2">
      <c r="A153" s="79">
        <v>42948</v>
      </c>
      <c r="B153">
        <v>51.7</v>
      </c>
    </row>
    <row r="154" spans="1:2" x14ac:dyDescent="0.2">
      <c r="A154" s="79">
        <v>42979</v>
      </c>
      <c r="B154">
        <v>52.4</v>
      </c>
    </row>
    <row r="155" spans="1:2" x14ac:dyDescent="0.2">
      <c r="A155" s="79">
        <v>43009</v>
      </c>
      <c r="B155">
        <v>51.6</v>
      </c>
    </row>
    <row r="156" spans="1:2" x14ac:dyDescent="0.2">
      <c r="A156" s="79">
        <v>43040</v>
      </c>
      <c r="B156">
        <v>51.8</v>
      </c>
    </row>
    <row r="157" spans="1:2" x14ac:dyDescent="0.2">
      <c r="A157" s="79">
        <v>43070</v>
      </c>
      <c r="B157">
        <v>51.6</v>
      </c>
    </row>
    <row r="158" spans="1:2" x14ac:dyDescent="0.2">
      <c r="A158" s="79">
        <v>43101</v>
      </c>
      <c r="B158">
        <v>51.3</v>
      </c>
    </row>
    <row r="159" spans="1:2" x14ac:dyDescent="0.2">
      <c r="A159" s="79">
        <v>43132</v>
      </c>
      <c r="B159">
        <v>50.3</v>
      </c>
    </row>
    <row r="160" spans="1:2" x14ac:dyDescent="0.2">
      <c r="A160" s="79">
        <v>43160</v>
      </c>
      <c r="B160">
        <v>51.5</v>
      </c>
    </row>
    <row r="161" spans="1:2" x14ac:dyDescent="0.2">
      <c r="A161" s="79">
        <v>43191</v>
      </c>
      <c r="B161">
        <v>51.4</v>
      </c>
    </row>
    <row r="162" spans="1:2" x14ac:dyDescent="0.2">
      <c r="A162" s="79">
        <v>43221</v>
      </c>
      <c r="B162">
        <v>51.9</v>
      </c>
    </row>
    <row r="163" spans="1:2" x14ac:dyDescent="0.2">
      <c r="A163" s="79">
        <v>43252</v>
      </c>
      <c r="B163">
        <v>51.5</v>
      </c>
    </row>
    <row r="164" spans="1:2" x14ac:dyDescent="0.2">
      <c r="A164" s="79">
        <v>43282</v>
      </c>
      <c r="B164">
        <v>51.2</v>
      </c>
    </row>
    <row r="165" spans="1:2" x14ac:dyDescent="0.2">
      <c r="A165" s="79">
        <v>43313</v>
      </c>
      <c r="B165">
        <v>51.3</v>
      </c>
    </row>
    <row r="166" spans="1:2" x14ac:dyDescent="0.2">
      <c r="A166" s="79">
        <v>43344</v>
      </c>
      <c r="B166">
        <v>50.8</v>
      </c>
    </row>
    <row r="167" spans="1:2" x14ac:dyDescent="0.2">
      <c r="A167" s="79">
        <v>43374</v>
      </c>
      <c r="B167">
        <v>50.2</v>
      </c>
    </row>
    <row r="168" spans="1:2" x14ac:dyDescent="0.2">
      <c r="A168" s="79">
        <v>43405</v>
      </c>
      <c r="B168">
        <v>50</v>
      </c>
    </row>
    <row r="169" spans="1:2" x14ac:dyDescent="0.2">
      <c r="A169" s="79">
        <v>43435</v>
      </c>
      <c r="B169">
        <v>49.4</v>
      </c>
    </row>
    <row r="170" spans="1:2" x14ac:dyDescent="0.2">
      <c r="A170" s="79">
        <v>43466</v>
      </c>
      <c r="B170">
        <v>49.5</v>
      </c>
    </row>
    <row r="171" spans="1:2" x14ac:dyDescent="0.2">
      <c r="A171" s="79">
        <v>43497</v>
      </c>
      <c r="B171">
        <v>49.2</v>
      </c>
    </row>
    <row r="172" spans="1:2" x14ac:dyDescent="0.2">
      <c r="A172" s="79">
        <v>43525</v>
      </c>
      <c r="B172">
        <v>50.5</v>
      </c>
    </row>
    <row r="173" spans="1:2" x14ac:dyDescent="0.2">
      <c r="A173" s="79">
        <v>43556</v>
      </c>
      <c r="B173">
        <v>50.1</v>
      </c>
    </row>
    <row r="174" spans="1:2" x14ac:dyDescent="0.2">
      <c r="A174" s="79">
        <v>43586</v>
      </c>
      <c r="B174">
        <v>49.4</v>
      </c>
    </row>
    <row r="175" spans="1:2" x14ac:dyDescent="0.2">
      <c r="A175" s="79">
        <v>43617</v>
      </c>
      <c r="B175">
        <v>49.4</v>
      </c>
    </row>
    <row r="176" spans="1:2" x14ac:dyDescent="0.2">
      <c r="A176" s="79">
        <v>43647</v>
      </c>
      <c r="B176">
        <v>49.7</v>
      </c>
    </row>
    <row r="177" spans="1:2" x14ac:dyDescent="0.2">
      <c r="A177" s="79">
        <v>43678</v>
      </c>
      <c r="B177">
        <v>49.5</v>
      </c>
    </row>
    <row r="178" spans="1:2" x14ac:dyDescent="0.2">
      <c r="A178" s="79">
        <v>43709</v>
      </c>
      <c r="B178">
        <v>49.8</v>
      </c>
    </row>
    <row r="179" spans="1:2" x14ac:dyDescent="0.2">
      <c r="A179" s="79">
        <v>43739</v>
      </c>
      <c r="B179">
        <v>49.3</v>
      </c>
    </row>
    <row r="180" spans="1:2" x14ac:dyDescent="0.2">
      <c r="A180" s="79">
        <v>43770</v>
      </c>
      <c r="B180">
        <v>50.2</v>
      </c>
    </row>
    <row r="181" spans="1:2" x14ac:dyDescent="0.2">
      <c r="A181" s="79">
        <v>43800</v>
      </c>
      <c r="B181">
        <v>50.2</v>
      </c>
    </row>
    <row r="182" spans="1:2" x14ac:dyDescent="0.2">
      <c r="A182" s="79">
        <v>43831</v>
      </c>
      <c r="B182">
        <v>50</v>
      </c>
    </row>
    <row r="183" spans="1:2" x14ac:dyDescent="0.2">
      <c r="A183" s="79">
        <v>43862</v>
      </c>
      <c r="B183">
        <v>35.700000000000003</v>
      </c>
    </row>
    <row r="184" spans="1:2" x14ac:dyDescent="0.2">
      <c r="A184" s="79">
        <v>43891</v>
      </c>
      <c r="B184">
        <v>52</v>
      </c>
    </row>
    <row r="185" spans="1:2" x14ac:dyDescent="0.2">
      <c r="A185" s="79">
        <v>43922</v>
      </c>
      <c r="B185">
        <v>50.8</v>
      </c>
    </row>
    <row r="186" spans="1:2" x14ac:dyDescent="0.2">
      <c r="A186" s="79">
        <v>43952</v>
      </c>
      <c r="B186">
        <v>50.6</v>
      </c>
    </row>
    <row r="187" spans="1:2" x14ac:dyDescent="0.2">
      <c r="A187" s="79">
        <v>43983</v>
      </c>
      <c r="B187">
        <v>50.9</v>
      </c>
    </row>
    <row r="188" spans="1:2" x14ac:dyDescent="0.2">
      <c r="A188" s="79">
        <v>44013</v>
      </c>
      <c r="B188">
        <v>51.1</v>
      </c>
    </row>
    <row r="189" spans="1:2" x14ac:dyDescent="0.2">
      <c r="A189" s="79">
        <v>44044</v>
      </c>
      <c r="B189">
        <v>51</v>
      </c>
    </row>
    <row r="190" spans="1:2" x14ac:dyDescent="0.2">
      <c r="A190" s="79">
        <v>44075</v>
      </c>
      <c r="B190">
        <v>51.5</v>
      </c>
    </row>
    <row r="191" spans="1:2" x14ac:dyDescent="0.2">
      <c r="A191" s="79">
        <v>44105</v>
      </c>
      <c r="B191">
        <v>51.4</v>
      </c>
    </row>
    <row r="192" spans="1:2" x14ac:dyDescent="0.2">
      <c r="A192" s="79">
        <v>44136</v>
      </c>
      <c r="B192">
        <v>52.1</v>
      </c>
    </row>
    <row r="193" spans="1:2" x14ac:dyDescent="0.2">
      <c r="A193" s="79">
        <v>44166</v>
      </c>
      <c r="B193">
        <v>51.9</v>
      </c>
    </row>
    <row r="194" spans="1:2" x14ac:dyDescent="0.2">
      <c r="A194" s="79">
        <v>44197</v>
      </c>
      <c r="B194">
        <v>51.3</v>
      </c>
    </row>
    <row r="195" spans="1:2" x14ac:dyDescent="0.2">
      <c r="A195" s="79">
        <v>44228</v>
      </c>
      <c r="B195">
        <v>50.6</v>
      </c>
    </row>
    <row r="196" spans="1:2" x14ac:dyDescent="0.2">
      <c r="A196" s="79">
        <v>44256</v>
      </c>
      <c r="B196">
        <v>51.9</v>
      </c>
    </row>
    <row r="197" spans="1:2" x14ac:dyDescent="0.2">
      <c r="A197" s="79">
        <v>44287</v>
      </c>
      <c r="B197">
        <v>51.1</v>
      </c>
    </row>
    <row r="198" spans="1:2" x14ac:dyDescent="0.2">
      <c r="A198" s="79">
        <v>44317</v>
      </c>
      <c r="B198">
        <v>51</v>
      </c>
    </row>
    <row r="199" spans="1:2" x14ac:dyDescent="0.2">
      <c r="A199" s="79">
        <v>44348</v>
      </c>
      <c r="B199">
        <v>50.9</v>
      </c>
    </row>
    <row r="200" spans="1:2" x14ac:dyDescent="0.2">
      <c r="A200" s="79">
        <v>44378</v>
      </c>
      <c r="B200">
        <v>50.4</v>
      </c>
    </row>
    <row r="201" spans="1:2" x14ac:dyDescent="0.2">
      <c r="A201" s="79">
        <v>44409</v>
      </c>
      <c r="B201">
        <v>50.1</v>
      </c>
    </row>
    <row r="202" spans="1:2" x14ac:dyDescent="0.2">
      <c r="A202" s="79">
        <v>44440</v>
      </c>
      <c r="B202">
        <v>49.6</v>
      </c>
    </row>
    <row r="203" spans="1:2" x14ac:dyDescent="0.2">
      <c r="A203" s="79">
        <v>44470</v>
      </c>
      <c r="B203">
        <v>49.2</v>
      </c>
    </row>
    <row r="204" spans="1:2" x14ac:dyDescent="0.2">
      <c r="A204" s="79">
        <v>44501</v>
      </c>
      <c r="B204">
        <v>50.1</v>
      </c>
    </row>
    <row r="205" spans="1:2" x14ac:dyDescent="0.2">
      <c r="A205" s="79">
        <v>44531</v>
      </c>
      <c r="B205">
        <v>50.3</v>
      </c>
    </row>
    <row r="206" spans="1:2" x14ac:dyDescent="0.2">
      <c r="A206" s="79">
        <v>44562</v>
      </c>
      <c r="B206">
        <v>50.1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topLeftCell="A122" zoomScale="200" zoomScaleNormal="200" workbookViewId="0">
      <selection activeCell="G130" sqref="G130"/>
    </sheetView>
  </sheetViews>
  <sheetFormatPr baseColWidth="10" defaultRowHeight="15" x14ac:dyDescent="0.2"/>
  <cols>
    <col min="1" max="5" width="10.83203125" style="76" customWidth="1"/>
    <col min="6" max="16384" width="10.83203125" style="76"/>
  </cols>
  <sheetData>
    <row r="1" spans="1:2" x14ac:dyDescent="0.2">
      <c r="A1" t="s">
        <v>85</v>
      </c>
      <c r="B1" t="s">
        <v>90</v>
      </c>
    </row>
    <row r="2" spans="1:2" x14ac:dyDescent="0.2">
      <c r="A2" s="79">
        <v>40452</v>
      </c>
      <c r="B2">
        <v>56.9</v>
      </c>
    </row>
    <row r="3" spans="1:2" x14ac:dyDescent="0.2">
      <c r="A3" s="79">
        <v>40483</v>
      </c>
      <c r="B3">
        <v>57.3</v>
      </c>
    </row>
    <row r="4" spans="1:2" x14ac:dyDescent="0.2">
      <c r="A4" s="79">
        <v>40513</v>
      </c>
      <c r="B4">
        <v>56.6</v>
      </c>
    </row>
    <row r="5" spans="1:2" x14ac:dyDescent="0.2">
      <c r="A5" s="79">
        <v>40544</v>
      </c>
      <c r="B5">
        <v>59.1</v>
      </c>
    </row>
    <row r="6" spans="1:2" x14ac:dyDescent="0.2">
      <c r="A6" s="79">
        <v>40575</v>
      </c>
      <c r="B6">
        <v>59.2</v>
      </c>
    </row>
    <row r="7" spans="1:2" x14ac:dyDescent="0.2">
      <c r="A7" s="79">
        <v>40603</v>
      </c>
      <c r="B7">
        <v>58.4</v>
      </c>
    </row>
    <row r="8" spans="1:2" x14ac:dyDescent="0.2">
      <c r="A8" s="79">
        <v>40634</v>
      </c>
      <c r="B8">
        <v>57.9</v>
      </c>
    </row>
    <row r="9" spans="1:2" x14ac:dyDescent="0.2">
      <c r="A9" s="79">
        <v>40664</v>
      </c>
      <c r="B9">
        <v>54.8</v>
      </c>
    </row>
    <row r="10" spans="1:2" x14ac:dyDescent="0.2">
      <c r="A10" s="79">
        <v>40695</v>
      </c>
      <c r="B10">
        <v>55.8</v>
      </c>
    </row>
    <row r="11" spans="1:2" x14ac:dyDescent="0.2">
      <c r="A11" s="79">
        <v>40725</v>
      </c>
      <c r="B11">
        <v>52.9</v>
      </c>
    </row>
    <row r="12" spans="1:2" x14ac:dyDescent="0.2">
      <c r="A12" s="79">
        <v>40756</v>
      </c>
      <c r="B12">
        <v>52.6</v>
      </c>
    </row>
    <row r="13" spans="1:2" x14ac:dyDescent="0.2">
      <c r="A13" s="79">
        <v>40787</v>
      </c>
      <c r="B13">
        <v>53.7</v>
      </c>
    </row>
    <row r="14" spans="1:2" x14ac:dyDescent="0.2">
      <c r="A14" s="79">
        <v>40817</v>
      </c>
      <c r="B14">
        <v>51.4</v>
      </c>
    </row>
    <row r="15" spans="1:2" x14ac:dyDescent="0.2">
      <c r="A15" s="79">
        <v>40848</v>
      </c>
      <c r="B15">
        <v>51.8</v>
      </c>
    </row>
    <row r="16" spans="1:2" x14ac:dyDescent="0.2">
      <c r="A16" s="79">
        <v>40878</v>
      </c>
      <c r="B16">
        <v>53</v>
      </c>
    </row>
    <row r="17" spans="1:2" x14ac:dyDescent="0.2">
      <c r="A17" s="79">
        <v>40909</v>
      </c>
      <c r="B17">
        <v>52.6</v>
      </c>
    </row>
    <row r="18" spans="1:2" x14ac:dyDescent="0.2">
      <c r="A18" s="79">
        <v>40940</v>
      </c>
      <c r="B18">
        <v>53.1</v>
      </c>
    </row>
    <row r="19" spans="1:2" x14ac:dyDescent="0.2">
      <c r="A19" s="79">
        <v>40969</v>
      </c>
      <c r="B19">
        <v>53.5</v>
      </c>
    </row>
    <row r="20" spans="1:2" x14ac:dyDescent="0.2">
      <c r="A20" s="79">
        <v>41000</v>
      </c>
      <c r="B20">
        <v>53.5</v>
      </c>
    </row>
    <row r="21" spans="1:2" x14ac:dyDescent="0.2">
      <c r="A21" s="79">
        <v>41030</v>
      </c>
      <c r="B21">
        <v>52.6</v>
      </c>
    </row>
    <row r="22" spans="1:2" x14ac:dyDescent="0.2">
      <c r="A22" s="79">
        <v>41061</v>
      </c>
      <c r="B22">
        <v>49.7</v>
      </c>
    </row>
    <row r="23" spans="1:2" x14ac:dyDescent="0.2">
      <c r="A23" s="79">
        <v>41091</v>
      </c>
      <c r="B23">
        <v>50</v>
      </c>
    </row>
    <row r="24" spans="1:2" x14ac:dyDescent="0.2">
      <c r="A24" s="79">
        <v>41122</v>
      </c>
      <c r="B24">
        <v>50.2</v>
      </c>
    </row>
    <row r="25" spans="1:2" x14ac:dyDescent="0.2">
      <c r="A25" s="79">
        <v>41153</v>
      </c>
      <c r="B25">
        <v>51.8</v>
      </c>
    </row>
    <row r="26" spans="1:2" x14ac:dyDescent="0.2">
      <c r="A26" s="79">
        <v>41183</v>
      </c>
      <c r="B26">
        <v>50.7</v>
      </c>
    </row>
    <row r="27" spans="1:2" x14ac:dyDescent="0.2">
      <c r="A27" s="79">
        <v>41214</v>
      </c>
      <c r="B27">
        <v>48.9</v>
      </c>
    </row>
    <row r="28" spans="1:2" x14ac:dyDescent="0.2">
      <c r="A28" s="79">
        <v>41244</v>
      </c>
      <c r="B28">
        <v>49.8</v>
      </c>
    </row>
    <row r="29" spans="1:2" x14ac:dyDescent="0.2">
      <c r="A29" s="79">
        <v>41275</v>
      </c>
      <c r="B29">
        <v>52</v>
      </c>
    </row>
    <row r="30" spans="1:2" x14ac:dyDescent="0.2">
      <c r="A30" s="79">
        <v>41306</v>
      </c>
      <c r="B30">
        <v>53.6</v>
      </c>
    </row>
    <row r="31" spans="1:2" x14ac:dyDescent="0.2">
      <c r="A31" s="79">
        <v>41334</v>
      </c>
      <c r="B31">
        <v>52</v>
      </c>
    </row>
    <row r="32" spans="1:2" x14ac:dyDescent="0.2">
      <c r="A32" s="79">
        <v>41365</v>
      </c>
      <c r="B32">
        <v>49.7</v>
      </c>
    </row>
    <row r="33" spans="1:2" x14ac:dyDescent="0.2">
      <c r="A33" s="79">
        <v>41395</v>
      </c>
      <c r="B33">
        <v>50.5</v>
      </c>
    </row>
    <row r="34" spans="1:2" x14ac:dyDescent="0.2">
      <c r="A34" s="79">
        <v>41426</v>
      </c>
      <c r="B34">
        <v>51.5</v>
      </c>
    </row>
    <row r="35" spans="1:2" x14ac:dyDescent="0.2">
      <c r="A35" s="79">
        <v>41456</v>
      </c>
      <c r="B35">
        <v>53.5</v>
      </c>
    </row>
    <row r="36" spans="1:2" x14ac:dyDescent="0.2">
      <c r="A36" s="79">
        <v>41487</v>
      </c>
      <c r="B36">
        <v>55.9</v>
      </c>
    </row>
    <row r="37" spans="1:2" x14ac:dyDescent="0.2">
      <c r="A37" s="79">
        <v>41518</v>
      </c>
      <c r="B37">
        <v>54.8</v>
      </c>
    </row>
    <row r="38" spans="1:2" x14ac:dyDescent="0.2">
      <c r="A38" s="79">
        <v>41548</v>
      </c>
      <c r="B38">
        <v>55.3</v>
      </c>
    </row>
    <row r="39" spans="1:2" x14ac:dyDescent="0.2">
      <c r="A39" s="79">
        <v>41579</v>
      </c>
      <c r="B39">
        <v>56.3</v>
      </c>
    </row>
    <row r="40" spans="1:2" x14ac:dyDescent="0.2">
      <c r="A40" s="79">
        <v>41609</v>
      </c>
      <c r="B40">
        <v>55.9</v>
      </c>
    </row>
    <row r="41" spans="1:2" x14ac:dyDescent="0.2">
      <c r="A41" s="79">
        <v>41640</v>
      </c>
      <c r="B41">
        <v>51.7</v>
      </c>
    </row>
    <row r="42" spans="1:2" x14ac:dyDescent="0.2">
      <c r="A42" s="79">
        <v>41671</v>
      </c>
      <c r="B42">
        <v>54.6</v>
      </c>
    </row>
    <row r="43" spans="1:2" x14ac:dyDescent="0.2">
      <c r="A43" s="79">
        <v>41699</v>
      </c>
      <c r="B43">
        <v>55.3</v>
      </c>
    </row>
    <row r="44" spans="1:2" x14ac:dyDescent="0.2">
      <c r="A44" s="79">
        <v>41730</v>
      </c>
      <c r="B44">
        <v>55.7</v>
      </c>
    </row>
    <row r="45" spans="1:2" x14ac:dyDescent="0.2">
      <c r="A45" s="79">
        <v>41760</v>
      </c>
      <c r="B45">
        <v>55.8</v>
      </c>
    </row>
    <row r="46" spans="1:2" x14ac:dyDescent="0.2">
      <c r="A46" s="79">
        <v>41791</v>
      </c>
      <c r="B46">
        <v>54.9</v>
      </c>
    </row>
    <row r="47" spans="1:2" x14ac:dyDescent="0.2">
      <c r="A47" s="79">
        <v>41821</v>
      </c>
      <c r="B47">
        <v>55.3</v>
      </c>
    </row>
    <row r="48" spans="1:2" x14ac:dyDescent="0.2">
      <c r="A48" s="79">
        <v>41852</v>
      </c>
      <c r="B48">
        <v>58.2</v>
      </c>
    </row>
    <row r="49" spans="1:2" x14ac:dyDescent="0.2">
      <c r="A49" s="79">
        <v>41883</v>
      </c>
      <c r="B49">
        <v>55.5</v>
      </c>
    </row>
    <row r="50" spans="1:2" x14ac:dyDescent="0.2">
      <c r="A50" s="79">
        <v>41913</v>
      </c>
      <c r="B50">
        <v>56.8</v>
      </c>
    </row>
    <row r="51" spans="1:2" x14ac:dyDescent="0.2">
      <c r="A51" s="79">
        <v>41944</v>
      </c>
      <c r="B51">
        <v>57</v>
      </c>
    </row>
    <row r="52" spans="1:2" x14ac:dyDescent="0.2">
      <c r="A52" s="79">
        <v>41974</v>
      </c>
      <c r="B52">
        <v>54.7</v>
      </c>
    </row>
    <row r="53" spans="1:2" x14ac:dyDescent="0.2">
      <c r="A53" s="79">
        <v>42005</v>
      </c>
      <c r="B53">
        <v>53.9</v>
      </c>
    </row>
    <row r="54" spans="1:2" x14ac:dyDescent="0.2">
      <c r="A54" s="79">
        <v>42036</v>
      </c>
      <c r="B54">
        <v>53</v>
      </c>
    </row>
    <row r="55" spans="1:2" x14ac:dyDescent="0.2">
      <c r="A55" s="79">
        <v>42064</v>
      </c>
      <c r="B55">
        <v>51.8</v>
      </c>
    </row>
    <row r="56" spans="1:2" x14ac:dyDescent="0.2">
      <c r="A56" s="79">
        <v>42095</v>
      </c>
      <c r="B56">
        <v>51.6</v>
      </c>
    </row>
    <row r="57" spans="1:2" x14ac:dyDescent="0.2">
      <c r="A57" s="79">
        <v>42125</v>
      </c>
      <c r="B57">
        <v>52.9</v>
      </c>
    </row>
    <row r="58" spans="1:2" x14ac:dyDescent="0.2">
      <c r="A58" s="79">
        <v>42156</v>
      </c>
      <c r="B58">
        <v>52.3</v>
      </c>
    </row>
    <row r="59" spans="1:2" x14ac:dyDescent="0.2">
      <c r="A59" s="79">
        <v>42186</v>
      </c>
      <c r="B59">
        <v>51.9</v>
      </c>
    </row>
    <row r="60" spans="1:2" x14ac:dyDescent="0.2">
      <c r="A60" s="79">
        <v>42217</v>
      </c>
      <c r="B60">
        <v>50.8</v>
      </c>
    </row>
    <row r="61" spans="1:2" x14ac:dyDescent="0.2">
      <c r="A61" s="79">
        <v>42248</v>
      </c>
      <c r="B61">
        <v>50.1</v>
      </c>
    </row>
    <row r="62" spans="1:2" x14ac:dyDescent="0.2">
      <c r="A62" s="79">
        <v>42278</v>
      </c>
      <c r="B62">
        <v>49.6</v>
      </c>
    </row>
    <row r="63" spans="1:2" x14ac:dyDescent="0.2">
      <c r="A63" s="79">
        <v>42309</v>
      </c>
      <c r="B63">
        <v>49.1</v>
      </c>
    </row>
    <row r="64" spans="1:2" x14ac:dyDescent="0.2">
      <c r="A64" s="79">
        <v>42339</v>
      </c>
      <c r="B64">
        <v>48.4</v>
      </c>
    </row>
    <row r="65" spans="1:2" x14ac:dyDescent="0.2">
      <c r="A65" s="79">
        <v>42370</v>
      </c>
      <c r="B65">
        <v>47.8</v>
      </c>
    </row>
    <row r="66" spans="1:2" x14ac:dyDescent="0.2">
      <c r="A66" s="79">
        <v>42401</v>
      </c>
      <c r="B66">
        <v>49.4</v>
      </c>
    </row>
    <row r="67" spans="1:2" x14ac:dyDescent="0.2">
      <c r="A67" s="79">
        <v>42430</v>
      </c>
      <c r="B67">
        <v>51.2</v>
      </c>
    </row>
    <row r="68" spans="1:2" x14ac:dyDescent="0.2">
      <c r="A68" s="79">
        <v>42461</v>
      </c>
      <c r="B68">
        <v>50.8</v>
      </c>
    </row>
    <row r="69" spans="1:2" x14ac:dyDescent="0.2">
      <c r="A69" s="79">
        <v>42491</v>
      </c>
      <c r="B69">
        <v>50.9</v>
      </c>
    </row>
    <row r="70" spans="1:2" x14ac:dyDescent="0.2">
      <c r="A70" s="79">
        <v>42522</v>
      </c>
      <c r="B70">
        <v>52.5</v>
      </c>
    </row>
    <row r="71" spans="1:2" x14ac:dyDescent="0.2">
      <c r="A71" s="79">
        <v>42552</v>
      </c>
      <c r="B71">
        <v>52.9</v>
      </c>
    </row>
    <row r="72" spans="1:2" x14ac:dyDescent="0.2">
      <c r="A72" s="79">
        <v>42583</v>
      </c>
      <c r="B72">
        <v>49.9</v>
      </c>
    </row>
    <row r="73" spans="1:2" x14ac:dyDescent="0.2">
      <c r="A73" s="79">
        <v>42614</v>
      </c>
      <c r="B73">
        <v>51.4</v>
      </c>
    </row>
    <row r="74" spans="1:2" x14ac:dyDescent="0.2">
      <c r="A74" s="79">
        <v>42644</v>
      </c>
      <c r="B74">
        <v>51.8</v>
      </c>
    </row>
    <row r="75" spans="1:2" x14ac:dyDescent="0.2">
      <c r="A75" s="79">
        <v>42675</v>
      </c>
      <c r="B75">
        <v>53.4</v>
      </c>
    </row>
    <row r="76" spans="1:2" x14ac:dyDescent="0.2">
      <c r="A76" s="79">
        <v>42705</v>
      </c>
      <c r="B76">
        <v>54.3</v>
      </c>
    </row>
    <row r="77" spans="1:2" x14ac:dyDescent="0.2">
      <c r="A77" s="79">
        <v>42736</v>
      </c>
      <c r="B77">
        <v>55.6</v>
      </c>
    </row>
    <row r="78" spans="1:2" x14ac:dyDescent="0.2">
      <c r="A78" s="79">
        <v>42767</v>
      </c>
      <c r="B78">
        <v>57.6</v>
      </c>
    </row>
    <row r="79" spans="1:2" x14ac:dyDescent="0.2">
      <c r="A79" s="79">
        <v>42795</v>
      </c>
      <c r="B79">
        <v>56.6</v>
      </c>
    </row>
    <row r="80" spans="1:2" x14ac:dyDescent="0.2">
      <c r="A80" s="79">
        <v>42826</v>
      </c>
      <c r="B80">
        <v>55.3</v>
      </c>
    </row>
    <row r="81" spans="1:2" x14ac:dyDescent="0.2">
      <c r="A81" s="79">
        <v>42856</v>
      </c>
      <c r="B81">
        <v>55.5</v>
      </c>
    </row>
    <row r="82" spans="1:2" x14ac:dyDescent="0.2">
      <c r="A82" s="79">
        <v>42887</v>
      </c>
      <c r="B82">
        <v>56.7</v>
      </c>
    </row>
    <row r="83" spans="1:2" x14ac:dyDescent="0.2">
      <c r="A83" s="79">
        <v>42917</v>
      </c>
      <c r="B83">
        <v>56.5</v>
      </c>
    </row>
    <row r="84" spans="1:2" x14ac:dyDescent="0.2">
      <c r="A84" s="79">
        <v>42948</v>
      </c>
      <c r="B84">
        <v>59.3</v>
      </c>
    </row>
    <row r="85" spans="1:2" x14ac:dyDescent="0.2">
      <c r="A85" s="79">
        <v>42979</v>
      </c>
      <c r="B85">
        <v>60.2</v>
      </c>
    </row>
    <row r="86" spans="1:2" x14ac:dyDescent="0.2">
      <c r="A86" s="79">
        <v>43009</v>
      </c>
      <c r="B86">
        <v>58.5</v>
      </c>
    </row>
    <row r="87" spans="1:2" x14ac:dyDescent="0.2">
      <c r="A87" s="79">
        <v>43040</v>
      </c>
      <c r="B87">
        <v>58.2</v>
      </c>
    </row>
    <row r="88" spans="1:2" x14ac:dyDescent="0.2">
      <c r="A88" s="79">
        <v>43070</v>
      </c>
      <c r="B88">
        <v>59.3</v>
      </c>
    </row>
    <row r="89" spans="1:2" x14ac:dyDescent="0.2">
      <c r="A89" s="79">
        <v>43101</v>
      </c>
      <c r="B89">
        <v>59.1</v>
      </c>
    </row>
    <row r="90" spans="1:2" x14ac:dyDescent="0.2">
      <c r="A90" s="79">
        <v>43132</v>
      </c>
      <c r="B90">
        <v>60.8</v>
      </c>
    </row>
    <row r="91" spans="1:2" x14ac:dyDescent="0.2">
      <c r="A91" s="79">
        <v>43160</v>
      </c>
      <c r="B91">
        <v>59.3</v>
      </c>
    </row>
    <row r="92" spans="1:2" x14ac:dyDescent="0.2">
      <c r="A92" s="79">
        <v>43191</v>
      </c>
      <c r="B92">
        <v>57.3</v>
      </c>
    </row>
    <row r="93" spans="1:2" x14ac:dyDescent="0.2">
      <c r="A93" s="79">
        <v>43221</v>
      </c>
      <c r="B93">
        <v>58.7</v>
      </c>
    </row>
    <row r="94" spans="1:2" x14ac:dyDescent="0.2">
      <c r="A94" s="79">
        <v>43252</v>
      </c>
      <c r="B94">
        <v>60.2</v>
      </c>
    </row>
    <row r="95" spans="1:2" x14ac:dyDescent="0.2">
      <c r="A95" s="79">
        <v>43282</v>
      </c>
      <c r="B95">
        <v>58.1</v>
      </c>
    </row>
    <row r="96" spans="1:2" x14ac:dyDescent="0.2">
      <c r="A96" s="79">
        <v>43313</v>
      </c>
      <c r="B96">
        <v>61.3</v>
      </c>
    </row>
    <row r="97" spans="1:2" x14ac:dyDescent="0.2">
      <c r="A97" s="79">
        <v>43344</v>
      </c>
      <c r="B97">
        <v>59.8</v>
      </c>
    </row>
    <row r="98" spans="1:2" x14ac:dyDescent="0.2">
      <c r="A98" s="79">
        <v>43374</v>
      </c>
      <c r="B98">
        <v>57.7</v>
      </c>
    </row>
    <row r="99" spans="1:2" x14ac:dyDescent="0.2">
      <c r="A99" s="79">
        <v>43405</v>
      </c>
      <c r="B99">
        <v>59.3</v>
      </c>
    </row>
    <row r="100" spans="1:2" x14ac:dyDescent="0.2">
      <c r="A100" s="79">
        <v>43435</v>
      </c>
      <c r="B100">
        <v>54.3</v>
      </c>
    </row>
    <row r="101" spans="1:2" x14ac:dyDescent="0.2">
      <c r="A101" s="79">
        <v>43466</v>
      </c>
      <c r="B101">
        <v>56.6</v>
      </c>
    </row>
    <row r="102" spans="1:2" x14ac:dyDescent="0.2">
      <c r="A102" s="79">
        <v>43497</v>
      </c>
      <c r="B102">
        <v>54.3</v>
      </c>
    </row>
    <row r="103" spans="1:2" x14ac:dyDescent="0.2">
      <c r="A103" s="79">
        <v>43525</v>
      </c>
      <c r="B103">
        <v>54.3</v>
      </c>
    </row>
    <row r="104" spans="1:2" x14ac:dyDescent="0.2">
      <c r="A104" s="79">
        <v>43556</v>
      </c>
      <c r="B104">
        <v>52.8</v>
      </c>
    </row>
    <row r="105" spans="1:2" x14ac:dyDescent="0.2">
      <c r="A105" s="79">
        <v>43586</v>
      </c>
      <c r="B105">
        <v>52.1</v>
      </c>
    </row>
    <row r="106" spans="1:2" x14ac:dyDescent="0.2">
      <c r="A106" s="79">
        <v>43617</v>
      </c>
      <c r="B106">
        <v>51.7</v>
      </c>
    </row>
    <row r="107" spans="1:2" x14ac:dyDescent="0.2">
      <c r="A107" s="79">
        <v>43647</v>
      </c>
      <c r="B107">
        <v>51.2</v>
      </c>
    </row>
    <row r="108" spans="1:2" x14ac:dyDescent="0.2">
      <c r="A108" s="79">
        <v>43678</v>
      </c>
      <c r="B108">
        <v>49.1</v>
      </c>
    </row>
    <row r="109" spans="1:2" x14ac:dyDescent="0.2">
      <c r="A109" s="79">
        <v>43709</v>
      </c>
      <c r="B109">
        <v>47.8</v>
      </c>
    </row>
    <row r="110" spans="1:2" x14ac:dyDescent="0.2">
      <c r="A110" s="79">
        <v>43739</v>
      </c>
      <c r="B110">
        <v>48.3</v>
      </c>
    </row>
    <row r="111" spans="1:2" x14ac:dyDescent="0.2">
      <c r="A111" s="79">
        <v>43770</v>
      </c>
      <c r="B111">
        <v>48.1</v>
      </c>
    </row>
    <row r="112" spans="1:2" x14ac:dyDescent="0.2">
      <c r="A112" s="79">
        <v>43800</v>
      </c>
      <c r="B112">
        <v>47.8</v>
      </c>
    </row>
    <row r="113" spans="1:2" x14ac:dyDescent="0.2">
      <c r="A113" s="79">
        <v>43831</v>
      </c>
      <c r="B113">
        <v>50.9</v>
      </c>
    </row>
    <row r="114" spans="1:2" x14ac:dyDescent="0.2">
      <c r="A114" s="79">
        <v>43862</v>
      </c>
      <c r="B114">
        <v>50.1</v>
      </c>
    </row>
    <row r="115" spans="1:2" x14ac:dyDescent="0.2">
      <c r="A115" s="79">
        <v>43891</v>
      </c>
      <c r="B115">
        <v>49.1</v>
      </c>
    </row>
    <row r="116" spans="1:2" x14ac:dyDescent="0.2">
      <c r="A116" s="79">
        <v>43922</v>
      </c>
      <c r="B116">
        <v>41.5</v>
      </c>
    </row>
    <row r="117" spans="1:2" x14ac:dyDescent="0.2">
      <c r="A117" s="79">
        <v>43952</v>
      </c>
      <c r="B117">
        <v>43.1</v>
      </c>
    </row>
    <row r="118" spans="1:2" x14ac:dyDescent="0.2">
      <c r="A118" s="79">
        <v>43983</v>
      </c>
      <c r="B118">
        <v>52.6</v>
      </c>
    </row>
    <row r="119" spans="1:2" x14ac:dyDescent="0.2">
      <c r="A119" s="79">
        <v>44013</v>
      </c>
      <c r="B119">
        <v>54.2</v>
      </c>
    </row>
    <row r="120" spans="1:2" x14ac:dyDescent="0.2">
      <c r="A120" s="79">
        <v>44044</v>
      </c>
      <c r="B120">
        <v>56</v>
      </c>
    </row>
    <row r="121" spans="1:2" x14ac:dyDescent="0.2">
      <c r="A121" s="79">
        <v>44075</v>
      </c>
      <c r="B121">
        <v>57.8</v>
      </c>
    </row>
    <row r="122" spans="1:2" x14ac:dyDescent="0.2">
      <c r="A122" s="79">
        <v>44105</v>
      </c>
      <c r="B122">
        <v>59.3</v>
      </c>
    </row>
    <row r="123" spans="1:2" x14ac:dyDescent="0.2">
      <c r="A123" s="79">
        <v>44136</v>
      </c>
      <c r="B123">
        <v>57.5</v>
      </c>
    </row>
    <row r="124" spans="1:2" x14ac:dyDescent="0.2">
      <c r="A124" s="79">
        <v>44166</v>
      </c>
      <c r="B124">
        <v>60.5</v>
      </c>
    </row>
    <row r="125" spans="1:2" x14ac:dyDescent="0.2">
      <c r="A125" s="79">
        <v>44197</v>
      </c>
      <c r="B125">
        <v>58.7</v>
      </c>
    </row>
    <row r="126" spans="1:2" x14ac:dyDescent="0.2">
      <c r="A126" s="79">
        <v>44228</v>
      </c>
      <c r="B126">
        <v>60.8</v>
      </c>
    </row>
    <row r="127" spans="1:2" x14ac:dyDescent="0.2">
      <c r="A127" s="79">
        <v>44256</v>
      </c>
      <c r="B127">
        <v>64.7</v>
      </c>
    </row>
    <row r="128" spans="1:2" x14ac:dyDescent="0.2">
      <c r="A128" s="79">
        <v>44287</v>
      </c>
      <c r="B128">
        <v>60.7</v>
      </c>
    </row>
    <row r="129" spans="1:2" x14ac:dyDescent="0.2">
      <c r="A129" s="79">
        <v>44317</v>
      </c>
      <c r="B129">
        <v>61.2</v>
      </c>
    </row>
    <row r="130" spans="1:2" x14ac:dyDescent="0.2">
      <c r="A130" s="79">
        <v>44348</v>
      </c>
      <c r="B130">
        <v>60.6</v>
      </c>
    </row>
    <row r="131" spans="1:2" x14ac:dyDescent="0.2">
      <c r="A131" s="79">
        <v>44378</v>
      </c>
      <c r="B131">
        <v>59.5</v>
      </c>
    </row>
    <row r="132" spans="1:2" x14ac:dyDescent="0.2">
      <c r="A132" s="79">
        <v>44409</v>
      </c>
      <c r="B132">
        <v>59.9</v>
      </c>
    </row>
    <row r="133" spans="1:2" x14ac:dyDescent="0.2">
      <c r="A133" s="79">
        <v>44440</v>
      </c>
      <c r="B133">
        <v>60.3</v>
      </c>
    </row>
    <row r="134" spans="1:2" x14ac:dyDescent="0.2">
      <c r="A134" s="79">
        <v>44470</v>
      </c>
      <c r="B134">
        <v>60.7</v>
      </c>
    </row>
    <row r="135" spans="1:2" x14ac:dyDescent="0.2">
      <c r="A135" s="79">
        <v>44501</v>
      </c>
      <c r="B135">
        <v>61.1</v>
      </c>
    </row>
    <row r="136" spans="1:2" x14ac:dyDescent="0.2">
      <c r="A136" s="79">
        <v>44531</v>
      </c>
      <c r="B136">
        <v>61.5</v>
      </c>
    </row>
    <row r="137" spans="1:2" x14ac:dyDescent="0.2">
      <c r="A137" s="79">
        <v>44562</v>
      </c>
      <c r="B137">
        <v>57.6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7" customWidth="1"/>
    <col min="2" max="2" width="17.83203125" style="76" customWidth="1"/>
    <col min="3" max="27" width="6.1640625" style="76" customWidth="1"/>
    <col min="28" max="28" width="7.33203125" style="76" customWidth="1"/>
    <col min="29" max="29" width="9.1640625" style="77" customWidth="1"/>
    <col min="30" max="30" width="12.33203125" style="77" customWidth="1"/>
    <col min="31" max="31" width="9.1640625" style="77" customWidth="1"/>
    <col min="32" max="32" width="10.5" style="77" customWidth="1"/>
    <col min="33" max="33" width="10.6640625" style="77" bestFit="1" customWidth="1"/>
    <col min="34" max="74" width="9.1640625" style="77" customWidth="1"/>
    <col min="75" max="92" width="9.1640625" style="76" customWidth="1"/>
    <col min="93" max="16384" width="9.1640625" style="76"/>
  </cols>
  <sheetData>
    <row r="1" spans="2:36" s="77" customFormat="1" ht="16" customHeight="1" thickBot="1" x14ac:dyDescent="0.25">
      <c r="AD1" s="33" t="s">
        <v>91</v>
      </c>
      <c r="AE1" s="77" t="s">
        <v>92</v>
      </c>
      <c r="AG1" s="34">
        <v>44531</v>
      </c>
      <c r="AJ1" s="4" t="s">
        <v>93</v>
      </c>
    </row>
    <row r="2" spans="2:36" ht="72.75" customHeight="1" thickBot="1" x14ac:dyDescent="0.25">
      <c r="B2" s="39"/>
      <c r="C2" s="40" t="s">
        <v>16</v>
      </c>
      <c r="D2" s="40" t="s">
        <v>94</v>
      </c>
      <c r="E2" s="40" t="s">
        <v>19</v>
      </c>
      <c r="F2" s="40" t="s">
        <v>21</v>
      </c>
      <c r="G2" s="40" t="s">
        <v>22</v>
      </c>
      <c r="H2" s="40" t="s">
        <v>23</v>
      </c>
      <c r="I2" s="40" t="s">
        <v>24</v>
      </c>
      <c r="J2" s="40" t="s">
        <v>25</v>
      </c>
      <c r="K2" s="40" t="s">
        <v>26</v>
      </c>
      <c r="L2" s="40" t="s">
        <v>27</v>
      </c>
      <c r="M2" s="40" t="s">
        <v>28</v>
      </c>
      <c r="N2" s="40" t="s">
        <v>29</v>
      </c>
      <c r="O2" s="40" t="s">
        <v>30</v>
      </c>
      <c r="P2" s="40" t="s">
        <v>31</v>
      </c>
      <c r="Q2" s="40" t="s">
        <v>32</v>
      </c>
      <c r="R2" s="40" t="s">
        <v>33</v>
      </c>
      <c r="S2" s="40" t="s">
        <v>34</v>
      </c>
      <c r="T2" s="41" t="s">
        <v>35</v>
      </c>
      <c r="U2" s="40" t="s">
        <v>36</v>
      </c>
      <c r="V2" s="40" t="s">
        <v>37</v>
      </c>
      <c r="W2" s="40" t="s">
        <v>38</v>
      </c>
      <c r="X2" s="40" t="s">
        <v>39</v>
      </c>
      <c r="Y2" s="40" t="s">
        <v>40</v>
      </c>
      <c r="Z2" s="40" t="s">
        <v>41</v>
      </c>
      <c r="AA2" s="40" t="s">
        <v>42</v>
      </c>
      <c r="AB2" s="42" t="s">
        <v>43</v>
      </c>
      <c r="AE2" s="77" t="s">
        <v>95</v>
      </c>
      <c r="AG2" s="29">
        <f>DATE(YEAR(AG1),MONTH(AG1)-1,DAY(AG1))</f>
        <v>44501</v>
      </c>
    </row>
    <row r="3" spans="2:36" hidden="1" x14ac:dyDescent="0.2">
      <c r="B3" s="35" t="s">
        <v>96</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7" t="s">
        <v>97</v>
      </c>
      <c r="AG3" s="29">
        <f>DATE(YEAR(AG1),MONTH(AG1)-12,DAY(AG1))</f>
        <v>44166</v>
      </c>
    </row>
    <row r="4" spans="2:36" hidden="1" x14ac:dyDescent="0.2">
      <c r="B4" s="35" t="s">
        <v>98</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99</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100</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101</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102</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103</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104</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7"/>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7"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7"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7"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7"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7"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7"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7"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7"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7"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7"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7"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7"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7"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7"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7"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7"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7"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7"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7"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7"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7"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7"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7"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7"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7"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7"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7"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7"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7"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7"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7"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7"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7"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7"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7"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7"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7"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7"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7"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7"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7"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7"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7"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7"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7" customFormat="1" x14ac:dyDescent="0.2"/>
    <row r="95" spans="2:28" s="77" customFormat="1" x14ac:dyDescent="0.2"/>
    <row r="96" spans="2:28" s="77" customFormat="1" x14ac:dyDescent="0.2"/>
    <row r="97" s="77" customFormat="1" x14ac:dyDescent="0.2"/>
    <row r="98" s="77" customFormat="1" x14ac:dyDescent="0.2"/>
    <row r="99" s="77" customFormat="1" x14ac:dyDescent="0.2"/>
    <row r="100" s="77" customFormat="1" x14ac:dyDescent="0.2"/>
    <row r="101" s="77" customFormat="1" x14ac:dyDescent="0.2"/>
    <row r="102" s="77" customFormat="1" x14ac:dyDescent="0.2"/>
    <row r="103" s="77" customFormat="1" x14ac:dyDescent="0.2"/>
    <row r="104" s="77" customFormat="1" x14ac:dyDescent="0.2"/>
    <row r="105" s="77" customFormat="1" x14ac:dyDescent="0.2"/>
    <row r="106" s="77" customFormat="1" x14ac:dyDescent="0.2"/>
    <row r="107" s="77" customFormat="1" x14ac:dyDescent="0.2"/>
    <row r="108" s="77" customFormat="1" x14ac:dyDescent="0.2"/>
    <row r="109" s="77" customFormat="1" x14ac:dyDescent="0.2"/>
    <row r="110" s="77" customFormat="1" x14ac:dyDescent="0.2"/>
    <row r="111" s="77" customFormat="1" x14ac:dyDescent="0.2"/>
    <row r="112" s="77" customFormat="1" x14ac:dyDescent="0.2"/>
    <row r="113" s="77" customFormat="1" x14ac:dyDescent="0.2"/>
    <row r="114" s="77" customFormat="1" x14ac:dyDescent="0.2"/>
    <row r="115" s="77" customFormat="1" x14ac:dyDescent="0.2"/>
    <row r="116" s="77" customFormat="1" x14ac:dyDescent="0.2"/>
    <row r="117" s="77" customFormat="1" x14ac:dyDescent="0.2"/>
    <row r="118" s="77" customFormat="1" x14ac:dyDescent="0.2"/>
    <row r="119" s="77" customFormat="1" x14ac:dyDescent="0.2"/>
    <row r="120" s="77" customFormat="1" x14ac:dyDescent="0.2"/>
    <row r="121" s="77" customFormat="1" x14ac:dyDescent="0.2"/>
    <row r="122" s="77" customFormat="1" x14ac:dyDescent="0.2"/>
    <row r="123" s="77" customFormat="1" x14ac:dyDescent="0.2"/>
    <row r="124" s="77" customFormat="1" x14ac:dyDescent="0.2"/>
    <row r="125" s="77" customFormat="1" x14ac:dyDescent="0.2"/>
    <row r="126" s="77" customFormat="1" x14ac:dyDescent="0.2"/>
    <row r="127" s="77" customFormat="1" x14ac:dyDescent="0.2"/>
    <row r="128" s="77" customFormat="1" x14ac:dyDescent="0.2"/>
    <row r="129" s="77" customFormat="1" x14ac:dyDescent="0.2"/>
    <row r="130" s="77" customFormat="1" x14ac:dyDescent="0.2"/>
    <row r="131" s="77" customFormat="1" x14ac:dyDescent="0.2"/>
    <row r="132" s="77" customFormat="1" x14ac:dyDescent="0.2"/>
    <row r="133" s="77" customFormat="1" x14ac:dyDescent="0.2"/>
    <row r="134" s="77" customFormat="1" x14ac:dyDescent="0.2"/>
    <row r="135" s="77" customFormat="1" x14ac:dyDescent="0.2"/>
    <row r="136" s="77" customFormat="1" x14ac:dyDescent="0.2"/>
    <row r="137" s="77" customFormat="1" x14ac:dyDescent="0.2"/>
    <row r="138" s="77" customFormat="1" x14ac:dyDescent="0.2"/>
    <row r="139" s="77" customFormat="1" x14ac:dyDescent="0.2"/>
    <row r="140" s="77" customFormat="1" x14ac:dyDescent="0.2"/>
    <row r="141" s="77" customFormat="1" x14ac:dyDescent="0.2"/>
    <row r="142" s="77" customFormat="1" x14ac:dyDescent="0.2"/>
    <row r="143" s="77" customFormat="1" x14ac:dyDescent="0.2"/>
    <row r="144" s="77" customFormat="1" x14ac:dyDescent="0.2"/>
    <row r="145" s="77" customFormat="1" x14ac:dyDescent="0.2"/>
    <row r="146" s="77" customFormat="1" x14ac:dyDescent="0.2"/>
    <row r="147" s="77" customFormat="1" x14ac:dyDescent="0.2"/>
    <row r="148" s="77" customFormat="1" x14ac:dyDescent="0.2"/>
    <row r="149" s="77" customFormat="1" x14ac:dyDescent="0.2"/>
    <row r="150" s="77" customFormat="1" x14ac:dyDescent="0.2"/>
    <row r="151" s="77" customFormat="1" x14ac:dyDescent="0.2"/>
    <row r="152" s="77" customFormat="1" x14ac:dyDescent="0.2"/>
    <row r="153" s="77" customFormat="1" x14ac:dyDescent="0.2"/>
    <row r="154" s="77" customFormat="1" x14ac:dyDescent="0.2"/>
    <row r="155" s="77" customFormat="1" x14ac:dyDescent="0.2"/>
    <row r="156" s="77" customFormat="1" x14ac:dyDescent="0.2"/>
    <row r="157" s="77" customFormat="1" x14ac:dyDescent="0.2"/>
    <row r="158" s="77" customFormat="1" x14ac:dyDescent="0.2"/>
    <row r="159" s="77" customFormat="1" x14ac:dyDescent="0.2"/>
    <row r="160" s="77" customFormat="1" x14ac:dyDescent="0.2"/>
    <row r="161" s="77" customFormat="1" x14ac:dyDescent="0.2"/>
    <row r="162" s="77" customFormat="1" x14ac:dyDescent="0.2"/>
    <row r="163" s="77" customFormat="1" x14ac:dyDescent="0.2"/>
    <row r="164" s="77" customFormat="1" x14ac:dyDescent="0.2"/>
    <row r="165" s="77" customFormat="1" x14ac:dyDescent="0.2"/>
    <row r="166" s="77" customFormat="1" x14ac:dyDescent="0.2"/>
    <row r="167" s="77" customFormat="1" x14ac:dyDescent="0.2"/>
    <row r="168" s="77" customFormat="1" x14ac:dyDescent="0.2"/>
    <row r="169" s="77" customFormat="1" x14ac:dyDescent="0.2"/>
    <row r="170" s="77" customFormat="1" x14ac:dyDescent="0.2"/>
    <row r="171" s="77" customFormat="1" x14ac:dyDescent="0.2"/>
    <row r="172" s="77" customFormat="1" x14ac:dyDescent="0.2"/>
    <row r="173" s="77" customFormat="1" x14ac:dyDescent="0.2"/>
    <row r="174" s="77" customFormat="1" x14ac:dyDescent="0.2"/>
    <row r="175" s="77" customFormat="1" x14ac:dyDescent="0.2"/>
    <row r="176" s="77" customFormat="1" x14ac:dyDescent="0.2"/>
    <row r="177" s="77" customFormat="1" x14ac:dyDescent="0.2"/>
    <row r="178" s="77" customFormat="1" x14ac:dyDescent="0.2"/>
    <row r="179" s="77" customFormat="1" x14ac:dyDescent="0.2"/>
    <row r="180" s="77" customFormat="1" x14ac:dyDescent="0.2"/>
    <row r="181" s="77" customFormat="1" x14ac:dyDescent="0.2"/>
    <row r="182" s="77" customFormat="1" x14ac:dyDescent="0.2"/>
    <row r="183" s="77" customFormat="1" x14ac:dyDescent="0.2"/>
    <row r="184" s="77" customFormat="1" x14ac:dyDescent="0.2"/>
    <row r="185" s="77" customFormat="1" x14ac:dyDescent="0.2"/>
    <row r="186" s="77" customFormat="1" x14ac:dyDescent="0.2"/>
    <row r="187" s="77" customFormat="1" x14ac:dyDescent="0.2"/>
    <row r="188" s="77" customFormat="1" x14ac:dyDescent="0.2"/>
    <row r="189" s="77" customFormat="1" x14ac:dyDescent="0.2"/>
    <row r="190" s="77" customFormat="1" x14ac:dyDescent="0.2"/>
    <row r="191" s="77" customFormat="1" x14ac:dyDescent="0.2"/>
    <row r="192" s="77" customFormat="1" x14ac:dyDescent="0.2"/>
    <row r="193" s="77" customFormat="1" x14ac:dyDescent="0.2"/>
    <row r="194" s="77" customFormat="1" x14ac:dyDescent="0.2"/>
    <row r="195" s="77" customFormat="1" x14ac:dyDescent="0.2"/>
    <row r="196" s="77" customFormat="1" x14ac:dyDescent="0.2"/>
    <row r="197" s="77" customFormat="1" x14ac:dyDescent="0.2"/>
    <row r="198" s="77" customFormat="1" x14ac:dyDescent="0.2"/>
    <row r="199" s="77" customFormat="1" x14ac:dyDescent="0.2"/>
    <row r="200" s="77" customFormat="1" x14ac:dyDescent="0.2"/>
    <row r="201" s="77" customFormat="1" x14ac:dyDescent="0.2"/>
    <row r="202" s="77" customFormat="1" x14ac:dyDescent="0.2"/>
    <row r="203" s="77" customFormat="1" x14ac:dyDescent="0.2"/>
    <row r="204" s="77" customFormat="1" x14ac:dyDescent="0.2"/>
    <row r="205" s="77" customFormat="1" x14ac:dyDescent="0.2"/>
    <row r="206" s="77" customFormat="1" x14ac:dyDescent="0.2"/>
    <row r="207" s="77" customFormat="1" x14ac:dyDescent="0.2"/>
    <row r="208" s="77" customFormat="1" x14ac:dyDescent="0.2"/>
    <row r="209" s="77" customFormat="1" x14ac:dyDescent="0.2"/>
    <row r="210" s="77" customFormat="1" x14ac:dyDescent="0.2"/>
    <row r="211" s="77" customFormat="1" x14ac:dyDescent="0.2"/>
    <row r="212" s="77" customFormat="1" x14ac:dyDescent="0.2"/>
    <row r="213" s="77" customFormat="1" x14ac:dyDescent="0.2"/>
    <row r="214" s="77" customFormat="1" x14ac:dyDescent="0.2"/>
    <row r="215" s="77" customFormat="1" x14ac:dyDescent="0.2"/>
    <row r="216" s="77" customFormat="1" x14ac:dyDescent="0.2"/>
    <row r="217" s="77" customFormat="1" x14ac:dyDescent="0.2"/>
    <row r="218" s="77" customFormat="1" x14ac:dyDescent="0.2"/>
    <row r="219" s="77" customFormat="1" x14ac:dyDescent="0.2"/>
    <row r="220" s="77" customFormat="1" x14ac:dyDescent="0.2"/>
    <row r="221" s="77" customFormat="1" x14ac:dyDescent="0.2"/>
    <row r="222" s="77" customFormat="1" x14ac:dyDescent="0.2"/>
    <row r="223" s="77" customFormat="1" x14ac:dyDescent="0.2"/>
    <row r="224" s="77" customFormat="1" x14ac:dyDescent="0.2"/>
    <row r="225" s="77" customFormat="1" x14ac:dyDescent="0.2"/>
    <row r="226" s="77" customFormat="1" x14ac:dyDescent="0.2"/>
    <row r="227" s="77" customFormat="1" x14ac:dyDescent="0.2"/>
    <row r="228" s="77" customFormat="1" x14ac:dyDescent="0.2"/>
    <row r="229" s="77" customFormat="1" x14ac:dyDescent="0.2"/>
    <row r="230" s="77" customFormat="1" x14ac:dyDescent="0.2"/>
    <row r="231" s="77" customFormat="1" x14ac:dyDescent="0.2"/>
    <row r="232" s="77" customFormat="1" x14ac:dyDescent="0.2"/>
    <row r="233" s="77" customFormat="1" x14ac:dyDescent="0.2"/>
    <row r="234" s="77" customFormat="1" x14ac:dyDescent="0.2"/>
    <row r="235" s="77" customFormat="1" x14ac:dyDescent="0.2"/>
    <row r="236" s="77" customFormat="1" x14ac:dyDescent="0.2"/>
    <row r="237" s="77" customFormat="1" x14ac:dyDescent="0.2"/>
    <row r="238" s="77" customFormat="1" x14ac:dyDescent="0.2"/>
    <row r="239" s="77" customFormat="1" x14ac:dyDescent="0.2"/>
    <row r="240" s="77" customFormat="1" x14ac:dyDescent="0.2"/>
    <row r="241" s="77" customFormat="1" x14ac:dyDescent="0.2"/>
    <row r="242" s="77" customFormat="1" x14ac:dyDescent="0.2"/>
    <row r="243" s="77" customFormat="1" x14ac:dyDescent="0.2"/>
    <row r="244" s="77" customFormat="1" x14ac:dyDescent="0.2"/>
    <row r="245" s="77" customFormat="1" x14ac:dyDescent="0.2"/>
    <row r="246" s="77" customFormat="1" x14ac:dyDescent="0.2"/>
    <row r="247" s="77" customFormat="1" x14ac:dyDescent="0.2"/>
    <row r="248" s="77" customFormat="1" x14ac:dyDescent="0.2"/>
    <row r="249" s="77" customFormat="1" x14ac:dyDescent="0.2"/>
    <row r="250" s="77" customFormat="1" x14ac:dyDescent="0.2"/>
    <row r="251" s="77" customFormat="1" x14ac:dyDescent="0.2"/>
    <row r="252" s="77" customFormat="1" x14ac:dyDescent="0.2"/>
    <row r="253" s="77" customFormat="1" x14ac:dyDescent="0.2"/>
    <row r="254" s="77" customFormat="1" x14ac:dyDescent="0.2"/>
    <row r="255" s="77" customFormat="1" x14ac:dyDescent="0.2"/>
    <row r="256" s="77" customFormat="1" x14ac:dyDescent="0.2"/>
    <row r="257" s="77" customFormat="1" x14ac:dyDescent="0.2"/>
    <row r="258" s="77" customFormat="1" x14ac:dyDescent="0.2"/>
    <row r="259" s="77" customFormat="1" x14ac:dyDescent="0.2"/>
    <row r="260" s="77" customFormat="1" x14ac:dyDescent="0.2"/>
    <row r="261" s="77" customFormat="1" x14ac:dyDescent="0.2"/>
    <row r="262" s="77" customFormat="1" x14ac:dyDescent="0.2"/>
    <row r="263" s="77" customFormat="1" x14ac:dyDescent="0.2"/>
    <row r="264" s="77" customFormat="1" x14ac:dyDescent="0.2"/>
    <row r="265" s="77" customFormat="1" x14ac:dyDescent="0.2"/>
    <row r="266" s="77" customFormat="1" x14ac:dyDescent="0.2"/>
    <row r="267" s="77" customFormat="1" x14ac:dyDescent="0.2"/>
    <row r="268" s="77" customFormat="1" x14ac:dyDescent="0.2"/>
    <row r="269" s="77" customFormat="1" x14ac:dyDescent="0.2"/>
    <row r="270" s="77" customFormat="1" x14ac:dyDescent="0.2"/>
    <row r="271" s="77" customFormat="1" x14ac:dyDescent="0.2"/>
    <row r="272" s="77" customFormat="1" x14ac:dyDescent="0.2"/>
    <row r="273" s="77" customFormat="1" x14ac:dyDescent="0.2"/>
    <row r="274" s="77" customFormat="1" x14ac:dyDescent="0.2"/>
    <row r="275" s="77" customFormat="1" x14ac:dyDescent="0.2"/>
    <row r="276" s="77" customFormat="1" x14ac:dyDescent="0.2"/>
    <row r="277" s="77" customFormat="1" x14ac:dyDescent="0.2"/>
    <row r="278" s="77" customFormat="1" x14ac:dyDescent="0.2"/>
    <row r="279" s="77" customFormat="1" x14ac:dyDescent="0.2"/>
    <row r="280" s="77" customFormat="1" x14ac:dyDescent="0.2"/>
    <row r="281" s="77" customFormat="1" x14ac:dyDescent="0.2"/>
    <row r="282" s="77" customFormat="1" x14ac:dyDescent="0.2"/>
    <row r="283" s="77" customFormat="1" x14ac:dyDescent="0.2"/>
    <row r="284" s="77" customFormat="1" x14ac:dyDescent="0.2"/>
    <row r="285" s="77" customFormat="1" x14ac:dyDescent="0.2"/>
    <row r="286" s="77" customFormat="1" x14ac:dyDescent="0.2"/>
    <row r="287" s="77" customFormat="1" x14ac:dyDescent="0.2"/>
    <row r="288" s="77" customFormat="1" x14ac:dyDescent="0.2"/>
    <row r="289" s="77" customFormat="1" x14ac:dyDescent="0.2"/>
    <row r="290" s="77" customFormat="1" x14ac:dyDescent="0.2"/>
    <row r="291" s="77" customFormat="1" x14ac:dyDescent="0.2"/>
    <row r="292" s="77" customFormat="1" x14ac:dyDescent="0.2"/>
    <row r="293" s="77" customFormat="1" x14ac:dyDescent="0.2"/>
    <row r="294" s="77" customFormat="1" x14ac:dyDescent="0.2"/>
    <row r="295" s="77" customFormat="1" x14ac:dyDescent="0.2"/>
    <row r="296" s="77" customFormat="1" x14ac:dyDescent="0.2"/>
    <row r="297" s="77" customFormat="1" x14ac:dyDescent="0.2"/>
    <row r="298" s="77" customFormat="1" x14ac:dyDescent="0.2"/>
    <row r="299" s="77" customFormat="1" x14ac:dyDescent="0.2"/>
    <row r="300" s="77" customFormat="1" x14ac:dyDescent="0.2"/>
    <row r="301" s="77" customFormat="1" x14ac:dyDescent="0.2"/>
    <row r="302" s="77" customFormat="1" x14ac:dyDescent="0.2"/>
    <row r="303" s="77" customFormat="1" x14ac:dyDescent="0.2"/>
    <row r="304" s="77" customFormat="1" x14ac:dyDescent="0.2"/>
    <row r="305" s="77" customFormat="1" x14ac:dyDescent="0.2"/>
    <row r="306" s="77" customFormat="1" x14ac:dyDescent="0.2"/>
    <row r="307" s="77" customFormat="1" x14ac:dyDescent="0.2"/>
    <row r="308" s="77" customFormat="1" x14ac:dyDescent="0.2"/>
    <row r="309" s="77" customFormat="1" x14ac:dyDescent="0.2"/>
    <row r="310" s="77" customFormat="1" x14ac:dyDescent="0.2"/>
    <row r="311" s="77" customFormat="1" x14ac:dyDescent="0.2"/>
    <row r="312" s="77" customFormat="1" x14ac:dyDescent="0.2"/>
    <row r="313" s="77" customFormat="1" x14ac:dyDescent="0.2"/>
    <row r="314" s="77" customFormat="1" x14ac:dyDescent="0.2"/>
    <row r="315" s="77" customFormat="1" x14ac:dyDescent="0.2"/>
    <row r="316" s="77" customFormat="1" x14ac:dyDescent="0.2"/>
    <row r="317" s="77" customFormat="1" x14ac:dyDescent="0.2"/>
    <row r="318" s="77" customFormat="1" x14ac:dyDescent="0.2"/>
    <row r="319" s="77" customFormat="1" x14ac:dyDescent="0.2"/>
    <row r="320" s="77" customFormat="1" x14ac:dyDescent="0.2"/>
    <row r="321" s="77" customFormat="1" x14ac:dyDescent="0.2"/>
    <row r="322" s="77" customFormat="1" x14ac:dyDescent="0.2"/>
    <row r="323" s="77" customFormat="1" x14ac:dyDescent="0.2"/>
    <row r="324" s="77" customFormat="1" x14ac:dyDescent="0.2"/>
    <row r="325" s="77" customFormat="1" x14ac:dyDescent="0.2"/>
    <row r="326" s="77" customFormat="1" x14ac:dyDescent="0.2"/>
    <row r="327" s="77" customFormat="1" x14ac:dyDescent="0.2"/>
    <row r="328" s="77" customFormat="1" x14ac:dyDescent="0.2"/>
    <row r="329" s="77" customFormat="1" x14ac:dyDescent="0.2"/>
    <row r="330" s="77" customFormat="1" x14ac:dyDescent="0.2"/>
    <row r="331" s="77" customFormat="1" x14ac:dyDescent="0.2"/>
    <row r="332" s="77" customFormat="1" x14ac:dyDescent="0.2"/>
    <row r="333" s="77" customFormat="1" x14ac:dyDescent="0.2"/>
    <row r="334" s="77" customFormat="1" x14ac:dyDescent="0.2"/>
    <row r="335" s="77" customFormat="1" x14ac:dyDescent="0.2"/>
    <row r="336" s="77" customFormat="1" x14ac:dyDescent="0.2"/>
    <row r="337" s="77" customFormat="1" x14ac:dyDescent="0.2"/>
    <row r="338" s="77" customFormat="1" x14ac:dyDescent="0.2"/>
    <row r="339" s="77" customFormat="1" x14ac:dyDescent="0.2"/>
    <row r="340" s="77" customFormat="1" x14ac:dyDescent="0.2"/>
    <row r="341" s="77" customFormat="1" x14ac:dyDescent="0.2"/>
    <row r="342" s="77" customFormat="1" x14ac:dyDescent="0.2"/>
    <row r="343" s="77" customFormat="1" x14ac:dyDescent="0.2"/>
    <row r="344" s="77" customFormat="1" x14ac:dyDescent="0.2"/>
    <row r="345" s="77" customFormat="1" x14ac:dyDescent="0.2"/>
    <row r="346" s="77" customFormat="1" x14ac:dyDescent="0.2"/>
    <row r="347" s="77"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3" style="77" customWidth="1"/>
    <col min="5" max="22" width="9.1640625" style="77" customWidth="1"/>
    <col min="23" max="16384" width="9.1640625" style="77"/>
  </cols>
  <sheetData>
    <row r="1" spans="1:11" x14ac:dyDescent="0.2">
      <c r="A1" s="77" t="s">
        <v>105</v>
      </c>
    </row>
    <row r="2" spans="1:11" x14ac:dyDescent="0.2">
      <c r="K2" s="77" t="str">
        <f>A1</f>
        <v>Global Manufacturing PMI</v>
      </c>
    </row>
    <row r="4" spans="1:11" ht="16" customHeight="1" thickBot="1" x14ac:dyDescent="0.25"/>
    <row r="5" spans="1:11" ht="16" customHeight="1" thickBot="1" x14ac:dyDescent="0.25">
      <c r="A5" s="22" t="s">
        <v>84</v>
      </c>
      <c r="B5" s="23" t="s">
        <v>106</v>
      </c>
      <c r="C5" s="23" t="s">
        <v>107</v>
      </c>
      <c r="D5" s="23" t="s">
        <v>86</v>
      </c>
      <c r="E5" s="23" t="s">
        <v>108</v>
      </c>
      <c r="F5" s="24" t="s">
        <v>109</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9" style="77" customWidth="1"/>
    <col min="5" max="22" width="9.1640625" style="77" customWidth="1"/>
    <col min="23" max="16384" width="9.1640625" style="77"/>
  </cols>
  <sheetData>
    <row r="1" spans="1:11" x14ac:dyDescent="0.2">
      <c r="A1" s="77" t="s">
        <v>110</v>
      </c>
      <c r="K1" s="77" t="s">
        <v>111</v>
      </c>
    </row>
    <row r="2" spans="1:11" x14ac:dyDescent="0.2">
      <c r="A2" s="77" t="s">
        <v>112</v>
      </c>
      <c r="K2" s="77" t="str">
        <f>A1&amp;K1</f>
        <v>U.S. Manufacturing PMI</v>
      </c>
    </row>
    <row r="4" spans="1:11" ht="16" customHeight="1" thickBot="1" x14ac:dyDescent="0.25"/>
    <row r="5" spans="1:11" ht="16" customHeight="1" thickBot="1" x14ac:dyDescent="0.25">
      <c r="A5" s="22" t="s">
        <v>84</v>
      </c>
      <c r="B5" s="23" t="s">
        <v>106</v>
      </c>
      <c r="C5" s="23" t="s">
        <v>107</v>
      </c>
      <c r="D5" s="27" t="s">
        <v>90</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09"/>
  <sheetViews>
    <sheetView zoomScale="150" zoomScaleNormal="150" workbookViewId="0">
      <pane ySplit="5" topLeftCell="A173" activePane="bottomLeft" state="frozen"/>
      <selection pane="bottomLeft" activeCell="D6" sqref="D6:D209"/>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8.33203125" style="77" customWidth="1"/>
    <col min="5" max="22" width="9.1640625" style="77" customWidth="1"/>
    <col min="23" max="16384" width="9.1640625" style="77"/>
  </cols>
  <sheetData>
    <row r="1" spans="1:11" x14ac:dyDescent="0.2">
      <c r="A1" s="77" t="s">
        <v>113</v>
      </c>
      <c r="K1" s="77" t="s">
        <v>111</v>
      </c>
    </row>
    <row r="2" spans="1:11" x14ac:dyDescent="0.2">
      <c r="K2" s="77" t="str">
        <f>A1&amp;K1</f>
        <v>Caixin China Manufacturing PMI</v>
      </c>
    </row>
    <row r="3" spans="1:11" x14ac:dyDescent="0.2">
      <c r="A3" s="1" t="s">
        <v>114</v>
      </c>
    </row>
    <row r="4" spans="1:11" ht="16" customHeight="1" thickBot="1" x14ac:dyDescent="0.25"/>
    <row r="5" spans="1:11" ht="16" customHeight="1" thickBot="1" x14ac:dyDescent="0.25">
      <c r="A5" s="22" t="s">
        <v>84</v>
      </c>
      <c r="B5" s="23" t="s">
        <v>115</v>
      </c>
      <c r="C5" s="23" t="s">
        <v>107</v>
      </c>
      <c r="D5" s="27" t="s">
        <v>116</v>
      </c>
      <c r="E5" s="27" t="s">
        <v>117</v>
      </c>
      <c r="F5" s="27" t="s">
        <v>118</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0"/>
  <sheetViews>
    <sheetView zoomScale="150" zoomScaleNormal="150" workbookViewId="0">
      <pane ySplit="5" topLeftCell="A173" activePane="bottomLeft" state="frozen"/>
      <selection activeCell="P121" sqref="P121"/>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58</v>
      </c>
      <c r="K1" s="77" t="s">
        <v>111</v>
      </c>
    </row>
    <row r="2" spans="1:11" x14ac:dyDescent="0.2">
      <c r="A2" s="77" t="s">
        <v>119</v>
      </c>
      <c r="K2" s="77" t="str">
        <f>A1&amp;K1</f>
        <v>Euro Area Manufacturing PMI</v>
      </c>
    </row>
    <row r="4" spans="1:11" ht="16" customHeight="1" thickBot="1" x14ac:dyDescent="0.25"/>
    <row r="5" spans="1:11" ht="49" customHeight="1" thickBot="1" x14ac:dyDescent="0.25">
      <c r="A5" s="57" t="s">
        <v>84</v>
      </c>
      <c r="B5" s="58" t="s">
        <v>120</v>
      </c>
      <c r="C5" s="58" t="s">
        <v>107</v>
      </c>
      <c r="D5" s="59" t="s">
        <v>87</v>
      </c>
      <c r="E5" s="59" t="s">
        <v>108</v>
      </c>
      <c r="F5" s="59" t="s">
        <v>121</v>
      </c>
      <c r="G5" s="59" t="s">
        <v>122</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64</v>
      </c>
      <c r="K1" s="77" t="s">
        <v>111</v>
      </c>
    </row>
    <row r="2" spans="1:11" x14ac:dyDescent="0.2">
      <c r="A2" s="77" t="s">
        <v>123</v>
      </c>
      <c r="K2" s="77" t="str">
        <f>A1&amp;K1</f>
        <v>Japan Manufacturing PMI</v>
      </c>
    </row>
    <row r="4" spans="1:11" ht="16" customHeight="1" thickBot="1" x14ac:dyDescent="0.25"/>
    <row r="5" spans="1:11" ht="16" customHeight="1" thickBot="1" x14ac:dyDescent="0.25">
      <c r="A5" s="22" t="s">
        <v>84</v>
      </c>
      <c r="B5" s="23" t="s">
        <v>106</v>
      </c>
      <c r="C5" s="23" t="s">
        <v>107</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24</v>
      </c>
      <c r="K1" s="77" t="s">
        <v>111</v>
      </c>
    </row>
    <row r="2" spans="1:11" x14ac:dyDescent="0.2">
      <c r="A2" s="77" t="s">
        <v>124</v>
      </c>
      <c r="K2" s="77" t="str">
        <f>A1&amp;K1</f>
        <v>Germany Manufacturing PMI</v>
      </c>
    </row>
    <row r="4" spans="1:11" ht="16" customHeight="1" thickBot="1" x14ac:dyDescent="0.25"/>
    <row r="5" spans="1:11" ht="16" customHeight="1" thickBot="1" x14ac:dyDescent="0.25">
      <c r="A5" s="22" t="s">
        <v>84</v>
      </c>
      <c r="B5" s="23" t="s">
        <v>106</v>
      </c>
      <c r="C5" s="23" t="s">
        <v>107</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25</v>
      </c>
      <c r="K1" s="77" t="s">
        <v>111</v>
      </c>
    </row>
    <row r="2" spans="1:11" x14ac:dyDescent="0.2">
      <c r="A2" s="77" t="s">
        <v>125</v>
      </c>
      <c r="K2" s="77" t="str">
        <f>A1&amp;K1</f>
        <v>France Manufacturing PMI</v>
      </c>
    </row>
    <row r="4" spans="1:11" ht="16" customHeight="1" thickBot="1" x14ac:dyDescent="0.25"/>
    <row r="5" spans="1:11" ht="16" customHeight="1" thickBot="1" x14ac:dyDescent="0.25">
      <c r="A5" s="22" t="s">
        <v>84</v>
      </c>
      <c r="B5" s="23" t="s">
        <v>106</v>
      </c>
      <c r="C5" s="23" t="s">
        <v>107</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0"/>
  <sheetViews>
    <sheetView zoomScale="150" zoomScaleNormal="150" workbookViewId="0">
      <pane ySplit="5" topLeftCell="A171" activePane="bottomLeft" state="frozen"/>
      <selection activeCell="P121" sqref="P121"/>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126</v>
      </c>
      <c r="K1" s="77" t="s">
        <v>111</v>
      </c>
    </row>
    <row r="2" spans="1:11" x14ac:dyDescent="0.2">
      <c r="A2" s="77" t="s">
        <v>127</v>
      </c>
      <c r="K2" s="77" t="str">
        <f>A1&amp;K1</f>
        <v>U.K. Manufacturing PMI</v>
      </c>
    </row>
    <row r="4" spans="1:11" ht="16" customHeight="1" thickBot="1" x14ac:dyDescent="0.25"/>
    <row r="5" spans="1:11" ht="16" customHeight="1" thickBot="1" x14ac:dyDescent="0.25">
      <c r="A5" s="22" t="s">
        <v>84</v>
      </c>
      <c r="B5" s="23" t="s">
        <v>106</v>
      </c>
      <c r="C5" s="23" t="s">
        <v>107</v>
      </c>
      <c r="D5" s="27" t="s">
        <v>88</v>
      </c>
      <c r="E5" s="27" t="s">
        <v>108</v>
      </c>
      <c r="F5" s="27" t="s">
        <v>128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52</v>
      </c>
      <c r="K1" s="77" t="s">
        <v>111</v>
      </c>
    </row>
    <row r="2" spans="1:11" x14ac:dyDescent="0.2">
      <c r="A2" s="77" t="s">
        <v>129</v>
      </c>
      <c r="K2" s="77" t="str">
        <f>A1&amp;K1</f>
        <v>Italy Manufacturing PMI</v>
      </c>
    </row>
    <row r="4" spans="1:11" ht="16" customHeight="1" thickBot="1" x14ac:dyDescent="0.25"/>
    <row r="5" spans="1:11" ht="16" customHeight="1" thickBot="1" x14ac:dyDescent="0.25">
      <c r="A5" s="22" t="s">
        <v>84</v>
      </c>
      <c r="B5" s="23" t="s">
        <v>106</v>
      </c>
      <c r="C5" s="23" t="s">
        <v>107</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28</v>
      </c>
      <c r="K1" s="77" t="s">
        <v>111</v>
      </c>
    </row>
    <row r="2" spans="1:11" x14ac:dyDescent="0.2">
      <c r="A2" s="77" t="s">
        <v>130</v>
      </c>
      <c r="K2" s="77" t="str">
        <f>A1&amp;K1</f>
        <v>Spain Manufacturing PMI</v>
      </c>
    </row>
    <row r="4" spans="1:11" ht="16" customHeight="1" thickBot="1" x14ac:dyDescent="0.25"/>
    <row r="5" spans="1:11" ht="16" customHeight="1" thickBot="1" x14ac:dyDescent="0.25">
      <c r="A5" s="22" t="s">
        <v>84</v>
      </c>
      <c r="B5" s="23" t="s">
        <v>106</v>
      </c>
      <c r="C5" s="23" t="s">
        <v>107</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29</v>
      </c>
      <c r="K1" s="77" t="s">
        <v>111</v>
      </c>
    </row>
    <row r="2" spans="1:11" x14ac:dyDescent="0.2">
      <c r="A2" s="77" t="s">
        <v>131</v>
      </c>
      <c r="K2" s="77" t="str">
        <f>A1&amp;K1</f>
        <v>Brazil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30</v>
      </c>
      <c r="K1" s="77" t="s">
        <v>111</v>
      </c>
    </row>
    <row r="2" spans="1:11" x14ac:dyDescent="0.2">
      <c r="A2" s="77" t="s">
        <v>132</v>
      </c>
      <c r="K2" s="77" t="str">
        <f>A1&amp;K1</f>
        <v>Mexico Manufacturing PMI</v>
      </c>
    </row>
    <row r="4" spans="1:11" ht="16" customHeight="1" thickBot="1" x14ac:dyDescent="0.25"/>
    <row r="5" spans="1:11" ht="16" customHeight="1" thickBot="1" x14ac:dyDescent="0.25">
      <c r="A5" s="22" t="s">
        <v>84</v>
      </c>
      <c r="B5" s="23" t="s">
        <v>106</v>
      </c>
      <c r="C5" s="23" t="s">
        <v>107</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31</v>
      </c>
      <c r="K1" s="77" t="s">
        <v>111</v>
      </c>
    </row>
    <row r="2" spans="1:11" x14ac:dyDescent="0.2">
      <c r="A2" s="77" t="s">
        <v>133</v>
      </c>
      <c r="K2" s="77" t="str">
        <f>A1&amp;K1</f>
        <v>Russia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32</v>
      </c>
      <c r="K1" s="77" t="s">
        <v>111</v>
      </c>
    </row>
    <row r="2" spans="1:11" x14ac:dyDescent="0.2">
      <c r="A2" s="77" t="s">
        <v>134</v>
      </c>
      <c r="K2" s="77" t="str">
        <f>A1&amp;K1</f>
        <v>India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33</v>
      </c>
      <c r="K1" s="77" t="s">
        <v>111</v>
      </c>
    </row>
    <row r="2" spans="1:11" x14ac:dyDescent="0.2">
      <c r="A2" s="77" t="s">
        <v>135</v>
      </c>
      <c r="K2" s="77" t="str">
        <f>A1&amp;K1</f>
        <v>Canada Manufacturing PMI</v>
      </c>
    </row>
    <row r="4" spans="1:11" ht="16" customHeight="1" thickBot="1" x14ac:dyDescent="0.25"/>
    <row r="5" spans="1:11" ht="16" customHeight="1" thickBot="1" x14ac:dyDescent="0.25">
      <c r="A5" s="22" t="s">
        <v>84</v>
      </c>
      <c r="B5" s="23" t="s">
        <v>106</v>
      </c>
      <c r="C5" s="23" t="s">
        <v>107</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34</v>
      </c>
      <c r="K1" s="77" t="s">
        <v>111</v>
      </c>
    </row>
    <row r="2" spans="1:11" x14ac:dyDescent="0.2">
      <c r="A2" s="77" t="s">
        <v>136</v>
      </c>
      <c r="K2" s="77" t="str">
        <f>A1&amp;K1</f>
        <v>Australia Manufacturing PMI</v>
      </c>
    </row>
    <row r="4" spans="1:11" ht="16" customHeight="1" thickBot="1" x14ac:dyDescent="0.25"/>
    <row r="5" spans="1:11" ht="16" customHeight="1" thickBot="1" x14ac:dyDescent="0.25">
      <c r="A5" s="22" t="s">
        <v>84</v>
      </c>
      <c r="B5" s="23" t="s">
        <v>106</v>
      </c>
      <c r="C5" s="23" t="s">
        <v>107</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35</v>
      </c>
      <c r="K1" s="77" t="s">
        <v>111</v>
      </c>
    </row>
    <row r="2" spans="1:11" x14ac:dyDescent="0.2">
      <c r="A2" s="77" t="s">
        <v>137</v>
      </c>
      <c r="K2" s="77" t="str">
        <f>A1&amp;K1</f>
        <v>Indonesia Manufacturing PMI</v>
      </c>
    </row>
    <row r="4" spans="1:11" ht="16" customHeight="1" thickBot="1" x14ac:dyDescent="0.25"/>
    <row r="5" spans="1:11" ht="16" customHeight="1" thickBot="1" x14ac:dyDescent="0.25">
      <c r="A5" s="22" t="s">
        <v>84</v>
      </c>
      <c r="B5" s="23" t="s">
        <v>106</v>
      </c>
      <c r="C5" s="23" t="s">
        <v>107</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72</v>
      </c>
      <c r="K1" s="77" t="s">
        <v>111</v>
      </c>
    </row>
    <row r="2" spans="1:11" x14ac:dyDescent="0.2">
      <c r="A2" s="77" t="s">
        <v>138</v>
      </c>
      <c r="K2" s="77" t="str">
        <f>A1&amp;K1</f>
        <v>South Korea Manufacturing PMI</v>
      </c>
    </row>
    <row r="4" spans="1:11" ht="16" customHeight="1" thickBot="1" x14ac:dyDescent="0.25"/>
    <row r="5" spans="1:11" ht="16" customHeight="1" thickBot="1" x14ac:dyDescent="0.25">
      <c r="A5" s="22" t="s">
        <v>84</v>
      </c>
      <c r="B5" s="23" t="s">
        <v>106</v>
      </c>
      <c r="C5" s="23" t="s">
        <v>107</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37</v>
      </c>
      <c r="K1" s="77" t="s">
        <v>111</v>
      </c>
    </row>
    <row r="2" spans="1:11" x14ac:dyDescent="0.2">
      <c r="A2" s="77" t="s">
        <v>139</v>
      </c>
      <c r="K2" s="77" t="str">
        <f>A1&amp;K1</f>
        <v>Taiwan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38</v>
      </c>
      <c r="K1" s="77" t="s">
        <v>111</v>
      </c>
    </row>
    <row r="2" spans="1:11" x14ac:dyDescent="0.2">
      <c r="A2" s="77" t="s">
        <v>140</v>
      </c>
      <c r="K2" s="77" t="str">
        <f>A1&amp;K1</f>
        <v>Greece Manufacturing PMI</v>
      </c>
    </row>
    <row r="4" spans="1:11" ht="16" customHeight="1" thickBot="1" x14ac:dyDescent="0.25"/>
    <row r="5" spans="1:11" ht="16" customHeight="1" thickBot="1" x14ac:dyDescent="0.25">
      <c r="A5" s="22" t="s">
        <v>84</v>
      </c>
      <c r="B5" s="23" t="s">
        <v>106</v>
      </c>
      <c r="C5" s="23" t="s">
        <v>107</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39</v>
      </c>
      <c r="K1" s="77" t="s">
        <v>111</v>
      </c>
    </row>
    <row r="2" spans="1:11" x14ac:dyDescent="0.2">
      <c r="A2" s="77" t="s">
        <v>141</v>
      </c>
      <c r="K2" s="77" t="str">
        <f>A1&amp;K1</f>
        <v>Ireland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40</v>
      </c>
      <c r="K1" s="77" t="s">
        <v>111</v>
      </c>
    </row>
    <row r="2" spans="1:11" x14ac:dyDescent="0.2">
      <c r="A2" s="77" t="s">
        <v>142</v>
      </c>
      <c r="K2" s="77" t="str">
        <f>A1&amp;K1</f>
        <v>Turkey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55</v>
      </c>
      <c r="K1" s="77" t="s">
        <v>111</v>
      </c>
    </row>
    <row r="2" spans="1:11" x14ac:dyDescent="0.2">
      <c r="A2" s="77" t="s">
        <v>143</v>
      </c>
      <c r="K2" s="77" t="str">
        <f>A1&amp;K1</f>
        <v>Czech Republic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42</v>
      </c>
      <c r="K1" s="77" t="s">
        <v>111</v>
      </c>
    </row>
    <row r="2" spans="1:11" x14ac:dyDescent="0.2">
      <c r="A2" s="77" t="s">
        <v>144</v>
      </c>
      <c r="K2" s="77" t="str">
        <f>A1&amp;K1</f>
        <v>Poland Manufacturing PMI</v>
      </c>
    </row>
    <row r="4" spans="1:11" ht="16" customHeight="1" thickBot="1" x14ac:dyDescent="0.25"/>
    <row r="5" spans="1:11" ht="16" customHeight="1" thickBot="1" x14ac:dyDescent="0.25">
      <c r="A5" s="22" t="s">
        <v>84</v>
      </c>
      <c r="B5" s="23" t="s">
        <v>106</v>
      </c>
      <c r="C5" s="23" t="s">
        <v>107</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43</v>
      </c>
      <c r="K1" s="77" t="s">
        <v>111</v>
      </c>
    </row>
    <row r="2" spans="1:11" x14ac:dyDescent="0.2">
      <c r="A2" s="77" t="s">
        <v>145</v>
      </c>
      <c r="K2" s="77" t="str">
        <f>A1&amp;K1</f>
        <v>Denmark Manufacturing PMI</v>
      </c>
    </row>
    <row r="4" spans="1:11" ht="16" customHeight="1" thickBot="1" x14ac:dyDescent="0.25"/>
    <row r="5" spans="1:11" ht="16" customHeight="1" thickBot="1" x14ac:dyDescent="0.25">
      <c r="A5" s="22" t="s">
        <v>84</v>
      </c>
      <c r="B5" s="23" t="s">
        <v>106</v>
      </c>
      <c r="C5" s="23" t="s">
        <v>107</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71</v>
      </c>
      <c r="K1" s="77" t="s">
        <v>111</v>
      </c>
    </row>
    <row r="2" spans="1:11" x14ac:dyDescent="0.2">
      <c r="A2" s="77" t="s">
        <v>146</v>
      </c>
      <c r="K2" s="77" t="str">
        <f>A1&amp;K1</f>
        <v>Vietnam Manufacturing PMI</v>
      </c>
    </row>
    <row r="4" spans="1:11" ht="16" customHeight="1" thickBot="1" x14ac:dyDescent="0.25"/>
    <row r="5" spans="1:11" ht="16" customHeight="1" thickBot="1" x14ac:dyDescent="0.25">
      <c r="A5" s="22" t="s">
        <v>84</v>
      </c>
      <c r="B5" s="23" t="s">
        <v>106</v>
      </c>
      <c r="C5" s="23" t="s">
        <v>107</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79</v>
      </c>
      <c r="K1" s="77" t="s">
        <v>111</v>
      </c>
    </row>
    <row r="2" spans="1:11" x14ac:dyDescent="0.2">
      <c r="A2" s="77" t="s">
        <v>147</v>
      </c>
      <c r="K2" s="77" t="str">
        <f>A1&amp;K1</f>
        <v>Thailand Manufacturing PMI</v>
      </c>
    </row>
    <row r="4" spans="1:11" ht="16" customHeight="1" thickBot="1" x14ac:dyDescent="0.25"/>
    <row r="5" spans="1:11" ht="16" customHeight="1" thickBot="1" x14ac:dyDescent="0.25">
      <c r="A5" s="22" t="s">
        <v>84</v>
      </c>
      <c r="B5" s="23" t="s">
        <v>106</v>
      </c>
      <c r="C5" s="23" t="s">
        <v>107</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62</v>
      </c>
      <c r="K1" s="77" t="s">
        <v>111</v>
      </c>
    </row>
    <row r="2" spans="1:11" x14ac:dyDescent="0.2">
      <c r="A2" s="77" t="s">
        <v>148</v>
      </c>
      <c r="K2" s="77" t="str">
        <f>A1&amp;K1</f>
        <v>South Africa Manufacturing PMI</v>
      </c>
    </row>
    <row r="4" spans="1:11" ht="16" customHeight="1" thickBot="1" x14ac:dyDescent="0.25"/>
    <row r="5" spans="1:11" ht="16" customHeight="1" thickBot="1" x14ac:dyDescent="0.25">
      <c r="A5" s="22" t="s">
        <v>84</v>
      </c>
      <c r="B5" s="23" t="s">
        <v>106</v>
      </c>
      <c r="C5" s="23" t="s">
        <v>107</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149</v>
      </c>
      <c r="K1" s="77" t="s">
        <v>111</v>
      </c>
    </row>
    <row r="2" spans="1:11" x14ac:dyDescent="0.2">
      <c r="A2" s="77" t="s">
        <v>150</v>
      </c>
      <c r="K2" s="77" t="str">
        <f>A1&amp;K1</f>
        <v>Hong-Kong Manufacturing PMI</v>
      </c>
    </row>
    <row r="4" spans="1:11" ht="16" customHeight="1" thickBot="1" x14ac:dyDescent="0.25"/>
    <row r="5" spans="1:11" ht="16" customHeight="1" thickBot="1" x14ac:dyDescent="0.25">
      <c r="A5" s="22" t="s">
        <v>84</v>
      </c>
      <c r="B5" s="23" t="s">
        <v>106</v>
      </c>
      <c r="C5" s="23" t="s">
        <v>107</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65</v>
      </c>
      <c r="K1" s="77" t="s">
        <v>111</v>
      </c>
    </row>
    <row r="2" spans="1:11" x14ac:dyDescent="0.2">
      <c r="A2" s="77" t="s">
        <v>151</v>
      </c>
      <c r="K2" s="77" t="str">
        <f>A1&amp;K1</f>
        <v>Saudi Arabia Manufacturing PMI</v>
      </c>
    </row>
    <row r="4" spans="1:11" ht="16" customHeight="1" thickBot="1" x14ac:dyDescent="0.25"/>
    <row r="5" spans="1:11" ht="16" customHeight="1" thickBot="1" x14ac:dyDescent="0.25">
      <c r="A5" s="22" t="s">
        <v>84</v>
      </c>
      <c r="B5" s="23" t="s">
        <v>106</v>
      </c>
      <c r="C5" s="23" t="s">
        <v>107</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7" customWidth="1"/>
    <col min="2" max="2" width="11.33203125" style="77" customWidth="1"/>
    <col min="3" max="20" width="9.1640625" style="77" customWidth="1"/>
    <col min="21" max="16384" width="9.1640625" style="77"/>
  </cols>
  <sheetData>
    <row r="1" spans="1:11" x14ac:dyDescent="0.2">
      <c r="A1" s="77" t="s">
        <v>76</v>
      </c>
      <c r="K1" s="77" t="s">
        <v>111</v>
      </c>
    </row>
    <row r="2" spans="1:11" x14ac:dyDescent="0.2">
      <c r="A2" s="77" t="s">
        <v>152</v>
      </c>
      <c r="K2" s="77" t="str">
        <f>A1&amp;K1</f>
        <v>New Zealand Manufacturing PMI</v>
      </c>
    </row>
    <row r="4" spans="1:11" ht="16" customHeight="1" thickBot="1" x14ac:dyDescent="0.25"/>
    <row r="5" spans="1:11" ht="16" customHeight="1" thickBot="1" x14ac:dyDescent="0.25">
      <c r="A5" s="22" t="s">
        <v>84</v>
      </c>
      <c r="B5" s="23" t="s">
        <v>106</v>
      </c>
      <c r="C5" s="23" t="s">
        <v>107</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38</vt:i4>
      </vt:variant>
    </vt:vector>
  </HeadingPairs>
  <TitlesOfParts>
    <vt:vector size="38" baseType="lpstr">
      <vt:lpstr>Note</vt:lpstr>
      <vt:lpstr>Database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2022-02-03T04:07:37Z</dcterms:modified>
</cp:coreProperties>
</file>