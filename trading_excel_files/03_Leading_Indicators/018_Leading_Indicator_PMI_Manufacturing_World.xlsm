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868" firstSheet="4"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-0.007386117861764608</v>
                </pt>
                <pt idx="13">
                  <formatCode>0.00%</formatCode>
                  <v>0.003146875660219809</v>
                </pt>
                <pt idx="14">
                  <formatCode>0.00%</formatCode>
                  <v>-0.07949537936015956</v>
                </pt>
                <pt idx="15">
                  <formatCode>0.00%</formatCode>
                  <v>-0.03799483576028798</v>
                </pt>
                <pt idx="16">
                  <formatCode>0.00%</formatCode>
                  <v>-0.02083816257877003</v>
                </pt>
                <pt idx="17">
                  <formatCode>0.00%</formatCode>
                  <v>-0.00133156793547017</v>
                </pt>
                <pt idx="18">
                  <formatCode>0.00%</formatCode>
                  <v>-0.05813686552706403</v>
                </pt>
                <pt idx="19">
                  <formatCode>0.00%</formatCode>
                  <v>-0.1285201333041321</v>
                </pt>
                <pt idx="20">
                  <formatCode>0.00%</formatCode>
                  <v>-0.0696727430645729</v>
                </pt>
                <pt idx="21">
                  <formatCode>0.00%</formatCode>
                  <v>-0.03832869713102024</v>
                </pt>
                <pt idx="22">
                  <formatCode>0.00%</formatCode>
                  <v>0.06693582206837093</v>
                </pt>
                <pt idx="23">
                  <formatCode>0.00%</formatCode>
                  <v>0.2235354346387166</v>
                </pt>
                <pt idx="24">
                  <formatCode>0.00%</formatCode>
                  <v>0.09342540065072895</v>
                </pt>
                <pt idx="25">
                  <formatCode>0.00%</formatCode>
                  <v>0.1237463377744049</v>
                </pt>
                <pt idx="26">
                  <formatCode>0.00%</formatCode>
                  <v>0.1688326030886433</v>
                </pt>
                <pt idx="27">
                  <formatCode>0.00%</formatCode>
                  <v>0.1485123852098094</v>
                </pt>
                <pt idx="28">
                  <formatCode>0.00%</formatCode>
                  <v>0.09328752509478459</v>
                </pt>
                <pt idx="29">
                  <formatCode>0.00%</formatCode>
                  <v>0.1009840733436536</v>
                </pt>
                <pt idx="30">
                  <formatCode>0.00%</formatCode>
                  <v>0.1453276028245222</v>
                </pt>
                <pt idx="31">
                  <formatCode>0.00%</formatCode>
                  <v>0.2576464740519493</v>
                </pt>
                <pt idx="32">
                  <formatCode>0.00%</formatCode>
                  <v>0.1670500825765547</v>
                </pt>
                <pt idx="33">
                  <formatCode>0.00%</formatCode>
                  <v>0.2092644939321253</v>
                </pt>
                <pt idx="34">
                  <formatCode>0.00%</formatCode>
                  <v>0.1495450374475833</v>
                </pt>
                <pt idx="35">
                  <formatCode>0.00%</formatCode>
                  <v>0.1812597831146637</v>
                </pt>
                <pt idx="36">
                  <formatCode>0.00%</formatCode>
                  <v>0.2342672379725679</v>
                </pt>
                <pt idx="37">
                  <formatCode>0.00%</formatCode>
                  <v>0.2337704824561137</v>
                </pt>
                <pt idx="38">
                  <formatCode>0.00%</formatCode>
                  <v>0.2258244753513329</v>
                </pt>
                <pt idx="39">
                  <formatCode>0.00%</formatCode>
                  <v>0.1247134890766963</v>
                </pt>
                <pt idx="40">
                  <formatCode>0.00%</formatCode>
                  <v>0.1844384126998767</v>
                </pt>
                <pt idx="41">
                  <formatCode>0.00%</formatCode>
                  <v>0.1698404586156324</v>
                </pt>
                <pt idx="42">
                  <formatCode>0.00%</formatCode>
                  <v>0.1510630683936212</v>
                </pt>
                <pt idx="43">
                  <formatCode>0.00%</formatCode>
                  <v>0.1786678639852574</v>
                </pt>
                <pt idx="44">
                  <formatCode>0.00%</formatCode>
                  <v>0.2306845975632246</v>
                </pt>
                <pt idx="45">
                  <formatCode>0.00%</formatCode>
                  <v>0.161183836154806</v>
                </pt>
                <pt idx="46">
                  <formatCode>0.00%</formatCode>
                  <v>0.2190749600697622</v>
                </pt>
                <pt idx="47">
                  <formatCode>0.00%</formatCode>
                  <v>0.1167907618201891</v>
                </pt>
                <pt idx="48">
                  <formatCode>0.00%</formatCode>
                  <v>0.08730157484212026</v>
                </pt>
                <pt idx="49">
                  <formatCode>0.00%</formatCode>
                  <v>0.08541057850973406</v>
                </pt>
                <pt idx="50">
                  <formatCode>0.00%</formatCode>
                  <v>0.03797979495966297</v>
                </pt>
                <pt idx="51">
                  <formatCode>0.00%</formatCode>
                  <v>0.07445603793503784</v>
                </pt>
                <pt idx="52">
                  <formatCode>0.00%</formatCode>
                  <v>0.07755753446490378</v>
                </pt>
                <pt idx="53">
                  <formatCode>0.00%</formatCode>
                  <v>0.05578564922306849</v>
                </pt>
                <pt idx="54">
                  <formatCode>0.00%</formatCode>
                  <v>0.0733037260918713</v>
                </pt>
                <pt idx="55">
                  <formatCode>0.00%</formatCode>
                  <v>0.05219888068060791</v>
                </pt>
                <pt idx="56">
                  <formatCode>0.00%</formatCode>
                  <v>0.008968427686292449</v>
                </pt>
                <pt idx="57">
                  <formatCode>0.00%</formatCode>
                  <v>0.02993214121290946</v>
                </pt>
                <pt idx="58">
                  <formatCode>0.00%</formatCode>
                  <v>-0.06427957340727047</v>
                </pt>
                <pt idx="59">
                  <formatCode>0.00%</formatCode>
                  <v>-0.06545374896962818</v>
                </pt>
                <pt idx="60">
                  <formatCode>0.00%</formatCode>
                  <v>-0.005882368586534644</v>
                </pt>
                <pt idx="61">
                  <formatCode>0.00%</formatCode>
                  <v>-0.02460671179094046</v>
                </pt>
                <pt idx="62">
                  <formatCode>0.00%</formatCode>
                  <v>-0.02626866905957296</v>
                </pt>
                <pt idx="63">
                  <formatCode>0.00%</formatCode>
                  <v>-0.06159491404209277</v>
                </pt>
                <pt idx="64">
                  <formatCode>0.00%</formatCode>
                  <v>-0.1216923824122247</v>
                </pt>
                <pt idx="65">
                  <formatCode>0.00%</formatCode>
                  <v>-0.0427577349518178</v>
                </pt>
                <pt idx="66">
                  <formatCode>0.00%</formatCode>
                  <v>-0.05697545538734175</v>
                </pt>
                <pt idx="67">
                  <formatCode>0.00%</formatCode>
                  <v>-0.05382173442214223</v>
                </pt>
                <pt idx="68">
                  <formatCode>0.00%</formatCode>
                  <v>-0.03064910102124653</v>
                </pt>
                <pt idx="69">
                  <formatCode>0.00%</formatCode>
                  <v>-0.0008986025449248961</v>
                </pt>
                <pt idx="70">
                  <formatCode>0.00%</formatCode>
                  <v>0.07575007829353547</v>
                </pt>
                <pt idx="71">
                  <formatCode>0.00%</formatCode>
                  <v>0.124506255103272</v>
                </pt>
                <pt idx="72">
                  <formatCode>0.00%</formatCode>
                  <v>0.02455870955304195</v>
                </pt>
                <pt idx="73">
                  <formatCode>0.00%</formatCode>
                  <v>0.04071892568768011</v>
                </pt>
                <pt idx="74">
                  <formatCode>0.00%</formatCode>
                  <v>0.08792050856931584</v>
                </pt>
                <pt idx="75">
                  <formatCode>0.00%</formatCode>
                  <v>0.177939366185209</v>
                </pt>
                <pt idx="76">
                  <formatCode>0.00%</formatCode>
                  <v>0.222805630323782</v>
                </pt>
                <pt idx="77">
                  <formatCode>0.00%</formatCode>
                  <v>0.1539321273780674</v>
                </pt>
                <pt idx="78">
                  <formatCode>0.00%</formatCode>
                  <v>0.1570582745429515</v>
                </pt>
                <pt idx="79">
                  <formatCode>0.00%</formatCode>
                  <v>0.1786767975526453</v>
                </pt>
                <pt idx="80">
                  <formatCode>0.00%</formatCode>
                  <v>0.1909980181022833</v>
                </pt>
                <pt idx="81">
                  <formatCode>0.00%</formatCode>
                  <v>0.1766675030232995</v>
                </pt>
                <pt idx="82">
                  <formatCode>0.00%</formatCode>
                  <v>0.1773539560633084</v>
                </pt>
                <pt idx="83">
                  <formatCode>0.00%</formatCode>
                  <v>0.1883266061485934</v>
                </pt>
                <pt idx="84">
                  <formatCode>0.00%</formatCode>
                  <v>0.2375442357313092</v>
                </pt>
                <pt idx="85">
                  <formatCode>0.00%</formatCode>
                  <v>0.2496077365691128</v>
                </pt>
                <pt idx="86">
                  <formatCode>0.00%</formatCode>
                  <v>0.2433174020669347</v>
                </pt>
                <pt idx="87">
                  <formatCode>0.00%</formatCode>
                  <v>0.2770950738199997</v>
                </pt>
                <pt idx="88">
                  <formatCode>0.00%</formatCode>
                  <v>0.1900418898539255</v>
                </pt>
                <pt idx="89">
                  <formatCode>0.00%</formatCode>
                  <v>0.1566557440836912</v>
                </pt>
                <pt idx="90">
                  <formatCode>0.00%</formatCode>
                  <v>0.1429062472916847</v>
                </pt>
                <pt idx="91">
                  <formatCode>0.00%</formatCode>
                  <v>0.123485141405935</v>
                </pt>
                <pt idx="92">
                  <formatCode>0.00%</formatCode>
                  <v>0.1082327785076996</v>
                </pt>
                <pt idx="93">
                  <formatCode>0.00%</formatCode>
                  <v>0.1117677762920955</v>
                </pt>
                <pt idx="94">
                  <formatCode>0.00%</formatCode>
                  <v>0.1150284389274089</v>
                </pt>
                <pt idx="95">
                  <formatCode>0.00%</formatCode>
                  <v>0.1011247247863464</v>
                </pt>
                <pt idx="96">
                  <formatCode>0.00%</formatCode>
                  <v>-0.002184295296033175</v>
                </pt>
                <pt idx="97">
                  <formatCode>0.00%</formatCode>
                  <v>-0.006431357643335739</v>
                </pt>
                <pt idx="98">
                  <formatCode>0.00%</formatCode>
                  <v>-0.09179156634949273</v>
                </pt>
                <pt idx="99">
                  <formatCode>0.00%</formatCode>
                  <v>-0.07112094429092654</v>
                </pt>
                <pt idx="100">
                  <formatCode>0.00%</formatCode>
                  <v>-0.003618738382083345</v>
                </pt>
                <pt idx="101">
                  <formatCode>0.00%</formatCode>
                  <v>0.02747876382752433</v>
                </pt>
                <pt idx="102">
                  <formatCode>0.00%</formatCode>
                  <v>0.05837243611475417</v>
                </pt>
                <pt idx="103">
                  <formatCode>0.00%</formatCode>
                  <v>-0.01055195709967656</v>
                </pt>
                <pt idx="104">
                  <formatCode>0.00%</formatCode>
                  <v>0.05825458143059124</v>
                </pt>
                <pt idx="105">
                  <formatCode>0.00%</formatCode>
                  <v>0.02904739612602417</v>
                </pt>
                <pt idx="106">
                  <formatCode>0.00%</formatCode>
                  <v>-0.0006462019542038408</v>
                </pt>
                <pt idx="107">
                  <formatCode>0.00%</formatCode>
                  <v>0.01560647534329917</v>
                </pt>
                <pt idx="108">
                  <formatCode>0.00%</formatCode>
                  <v>0.1272136980348759</v>
                </pt>
                <pt idx="109">
                  <formatCode>0.00%</formatCode>
                  <v>0.1355394814662906</v>
                </pt>
                <pt idx="110">
                  <formatCode>0.00%</formatCode>
                  <v>0.2631455613926041</v>
                </pt>
                <pt idx="111">
                  <formatCode>0.00%</formatCode>
                  <v>0.1548126294666514</v>
                </pt>
                <pt idx="112">
                  <formatCode>0.00%</formatCode>
                  <v>0.04260454656778309</v>
                </pt>
                <pt idx="113">
                  <formatCode>0.00%</formatCode>
                  <v>-0.1112221789654824</v>
                </pt>
                <pt idx="114">
                  <formatCode>0.00%</formatCode>
                  <v>-0.05617526217966199</v>
                </pt>
                <pt idx="115">
                  <formatCode>0.00%</formatCode>
                  <v>0.05600273380415255</v>
                </pt>
                <pt idx="116">
                  <formatCode>0.00%</formatCode>
                  <v>0.02499649615201612</v>
                </pt>
                <pt idx="117">
                  <formatCode>0.00%</formatCode>
                  <v>0.07476706631297865</v>
                </pt>
                <pt idx="118">
                  <formatCode>0.00%</formatCode>
                  <v>0.165278025681234</v>
                </pt>
                <pt idx="119">
                  <formatCode>0.00%</formatCode>
                  <v>0.1060517449047653</v>
                </pt>
                <pt idx="120">
                  <formatCode>0.00%</formatCode>
                  <v>0.0525869489033786</v>
                </pt>
                <pt idx="121">
                  <formatCode>0.00%</formatCode>
                  <v>0.149528004124844</v>
                </pt>
                <pt idx="122">
                  <formatCode>0.00%</formatCode>
                  <v>0.1683843454129101</v>
                </pt>
                <pt idx="123">
                  <formatCode>0.00%</formatCode>
                  <v>0.1767034506666935</v>
                </pt>
                <pt idx="124">
                  <formatCode>0.00%</formatCode>
                  <v>0.3010794379667751</v>
                </pt>
                <pt idx="125">
                  <formatCode>0.00%</formatCode>
                  <v>0.5454527788785516</v>
                </pt>
                <pt idx="126">
                  <formatCode>0.00%</formatCode>
                  <v>0.4668910538646062</v>
                </pt>
                <pt idx="127">
                  <formatCode>0.00%</formatCode>
                  <v>0.4163459901470037</v>
                </pt>
                <pt idx="128">
                  <formatCode>0.00%</formatCode>
                  <v>0.3949717296145787</v>
                </pt>
                <pt idx="129">
                  <formatCode>0.00%</formatCode>
                  <v>0.3344036604655113</v>
                </pt>
                <pt idx="130">
                  <formatCode>0.00%</formatCode>
                  <v>0.2859316149350319</v>
                </pt>
                <pt idx="131">
                  <formatCode>0.00%</formatCode>
                  <v>0.2690222026562091</v>
                </pt>
                <pt idx="132">
                  <formatCode>0.00%</formatCode>
                  <v>0.367944501761437</v>
                </pt>
                <pt idx="133">
                  <formatCode>0.00%</formatCode>
                  <v>0.1957481782639048</v>
                </pt>
                <pt idx="134">
                  <formatCode>0.00%</formatCode>
                  <v>0.1835122852162912</v>
                </pt>
                <pt idx="135">
                  <formatCode>0.00%</formatCode>
                  <v>0.1361661225577531</v>
                </pt>
                <pt idx="136">
                  <formatCode>0.00%</formatCode>
                  <v>0.07675121213171453</v>
                </pt>
                <pt idx="137">
                  <formatCode>0.00%</formatCode>
                  <v>0.06719746417647983</v>
                </pt>
                <pt idx="138">
                  <formatCode>0.00%</formatCode>
                  <v>-0.0588615528266201</v>
                </pt>
                <pt idx="139">
                  <formatCode>0.00%</formatCode>
                  <v>-0.06836782330672211</v>
                </pt>
                <pt idx="140">
                  <formatCode>0.00%</formatCode>
                  <v>-0.1563105068587122</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US!$A$6:$A$158</f>
              <numCache>
                <formatCode>m/d/yyyy</formatCode>
                <ptCount val="15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US!$B$6:$B$158</f>
              <numCache>
                <formatCode>General</formatCode>
                <ptCount val="153"/>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pt idx="146">
                  <v>46.2</v>
                </pt>
                <pt idx="147">
                  <v>46.9</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China!$A$6:$A$229</f>
              <numCache>
                <formatCode>m/d/yyyy</formatCode>
                <ptCount val="22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China!$A$6:$A$229</f>
              <numCache>
                <formatCode>m/d/yyyy</formatCode>
                <ptCount val="22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China!$D$6:$D$229</f>
              <numCache>
                <formatCode>General</formatCode>
                <ptCount val="22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pt idx="215">
                  <v>47</v>
                </pt>
                <pt idx="216">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China!$F$6:$F$223</f>
              <numCache>
                <formatCode>0.0%</formatCode>
                <ptCount val="218"/>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0.187</v>
                </pt>
                <pt idx="196">
                  <v>0</v>
                </pt>
                <pt idx="197">
                  <v>0</v>
                </pt>
                <pt idx="198">
                  <v>0.083</v>
                </pt>
                <pt idx="199">
                  <v>0</v>
                </pt>
                <pt idx="200">
                  <v>0</v>
                </pt>
                <pt idx="201">
                  <v>0.052</v>
                </pt>
                <pt idx="202">
                  <v>0</v>
                </pt>
                <pt idx="203">
                  <v>0</v>
                </pt>
                <pt idx="204">
                  <v>0.043</v>
                </pt>
                <pt idx="205">
                  <v>0</v>
                </pt>
                <pt idx="206">
                  <v>0</v>
                </pt>
                <pt idx="207">
                  <v>0.048</v>
                </pt>
                <pt idx="208">
                  <v>0</v>
                </pt>
                <pt idx="209">
                  <v>0</v>
                </pt>
                <pt idx="210">
                  <v>0.004</v>
                </pt>
                <pt idx="211">
                  <v>0</v>
                </pt>
                <pt idx="212">
                  <v>0</v>
                </pt>
                <pt idx="213">
                  <v>0.039</v>
                </pt>
                <pt idx="214">
                  <v>0</v>
                </pt>
                <pt idx="215">
                  <v>0</v>
                </pt>
                <pt idx="216">
                  <v>0.029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China!$A$6:$A$223</f>
              <numCache>
                <formatCode>m/d/yyyy</formatCode>
                <ptCount val="218"/>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pt idx="215">
                  <v>44896</v>
                </pt>
                <pt idx="216">
                  <v>44927</v>
                </pt>
              </numCache>
            </numRef>
          </cat>
          <val>
            <numRef>
              <f>China!$B$6:$B$223</f>
              <numCache>
                <formatCode>General</formatCode>
                <ptCount val="218"/>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pt idx="215">
                  <v>49</v>
                </pt>
                <pt idx="216">
                  <v>49.2</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Area'!$A$18:$A$227</f>
              <numCache>
                <formatCode>m/d/yyyy</formatCode>
                <ptCount val="21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'Euro Area'!$E$18:$E$227</f>
              <numCache>
                <formatCode>General</formatCode>
                <ptCount val="21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pt idx="204">
                  <v>-10.2</v>
                </pt>
                <pt idx="205">
                  <v>-10.2</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Area'!$A$18:$A$227</f>
              <numCache>
                <formatCode>m/d/yyyy</formatCode>
                <ptCount val="21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'Euro Area'!$F$18:$F$227</f>
              <numCache>
                <formatCode>0.0%</formatCode>
                <ptCount val="210"/>
                <pt idx="0">
                  <v>0.08907500192231038</v>
                </pt>
                <pt idx="1">
                  <v>0.1870939157320392</v>
                </pt>
                <pt idx="2">
                  <v>0.1458203433017112</v>
                </pt>
                <pt idx="3">
                  <v>0.2258087430360421</v>
                </pt>
                <pt idx="4">
                  <v>0.3265334588348474</v>
                </pt>
                <pt idx="5">
                  <v>0.2736721589045592</v>
                </pt>
                <pt idx="6">
                  <v>0.2588052621993691</v>
                </pt>
                <pt idx="7">
                  <v>0.2183274507217435</v>
                </pt>
                <pt idx="8">
                  <v>0.2452084422838371</v>
                </pt>
                <pt idx="9">
                  <v>0.245257203695863</v>
                </pt>
                <pt idx="10">
                  <v>0.338146251097686</v>
                </pt>
                <pt idx="11">
                  <v>0.3747124151791452</v>
                </pt>
                <pt idx="12">
                  <v>0.3535140618469693</v>
                </pt>
                <pt idx="13">
                  <v>0.2878782713134063</v>
                </pt>
                <pt idx="14">
                  <v>0.2670366867051918</v>
                </pt>
                <pt idx="15">
                  <v>0.2641429678092765</v>
                </pt>
                <pt idx="16">
                  <v>0.2858019337102116</v>
                </pt>
                <pt idx="17">
                  <v>0.3836760216591318</v>
                </pt>
                <pt idx="18">
                  <v>0.3641414974813515</v>
                </pt>
                <pt idx="19">
                  <v>0.3056833293881607</v>
                </pt>
                <pt idx="20">
                  <v>0.256551106168877</v>
                </pt>
                <pt idx="21">
                  <v>0.3067050818318941</v>
                </pt>
                <pt idx="22">
                  <v>0.3262468894485487</v>
                </pt>
                <pt idx="23">
                  <v>0.2325125046527773</v>
                </pt>
                <pt idx="24">
                  <v>0.1753273111197102</v>
                </pt>
                <pt idx="25">
                  <v>0.04665841995132317</v>
                </pt>
                <pt idx="26">
                  <v>0.04754188350243763</v>
                </pt>
                <pt idx="27">
                  <v>0.03112431513648899</v>
                </pt>
                <pt idx="28">
                  <v>0.009039562376442005</v>
                </pt>
                <pt idx="29">
                  <v>-0.01622208542712287</v>
                </pt>
                <pt idx="30">
                  <v>-0.1482943089088675</v>
                </pt>
                <pt idx="31">
                  <v>-0.1105890051003642</v>
                </pt>
                <pt idx="32">
                  <v>-0.1453458248305852</v>
                </pt>
                <pt idx="33">
                  <v>-0.3013400301275183</v>
                </pt>
                <pt idx="34">
                  <v>-0.4978917134119454</v>
                </pt>
                <pt idx="35">
                  <v>-0.5220051030129919</v>
                </pt>
                <pt idx="36">
                  <v>-0.4544519097555404</v>
                </pt>
                <pt idx="37">
                  <v>-0.4996889482791098</v>
                </pt>
                <pt idx="38">
                  <v>-0.5564335759761266</v>
                </pt>
                <pt idx="39">
                  <v>-0.5244644306173556</v>
                </pt>
                <pt idx="40">
                  <v>-0.4756984649492066</v>
                </pt>
                <pt idx="41">
                  <v>-0.4133982328429839</v>
                </pt>
                <pt idx="42">
                  <v>-0.346794255927396</v>
                </pt>
                <pt idx="43">
                  <v>-0.2662782720302988</v>
                </pt>
                <pt idx="44">
                  <v>-0.188461102135256</v>
                </pt>
                <pt idx="45">
                  <v>-0.0002379485062715402</v>
                </pt>
                <pt idx="46">
                  <v>0.2647763383689818</v>
                </pt>
                <pt idx="47">
                  <v>0.4331731388056559</v>
                </pt>
                <pt idx="48">
                  <v>0.2788758239632206</v>
                </pt>
                <pt idx="49">
                  <v>0.4067903921271693</v>
                </pt>
                <pt idx="50">
                  <v>0.5521368471830427</v>
                </pt>
                <pt idx="51">
                  <v>0.5163704830143346</v>
                </pt>
                <pt idx="52">
                  <v>0.2570519987453905</v>
                </pt>
                <pt idx="53">
                  <v>-0.02974504437059925</v>
                </pt>
                <pt idx="54">
                  <v>-0.02605524927858651</v>
                </pt>
                <pt idx="55">
                  <v>0.006595176953973481</v>
                </pt>
                <pt idx="56">
                  <v>-0.1187258300996709</v>
                </pt>
                <pt idx="57">
                  <v>-0.06252975965229063</v>
                </pt>
                <pt idx="58">
                  <v>0.04202084699923284</v>
                </pt>
                <pt idx="59">
                  <v>-0.1165568327499534</v>
                </pt>
                <pt idx="60">
                  <v>-0.0314441141954661</v>
                </pt>
                <pt idx="61">
                  <v>0.1192423411745338</v>
                </pt>
                <pt idx="62">
                  <v>0.1875293498188099</v>
                </pt>
                <pt idx="63">
                  <v>0.1096162107667771</v>
                </pt>
                <pt idx="64">
                  <v>0.2605716604280167</v>
                </pt>
                <pt idx="65">
                  <v>0.3740128375971994</v>
                </pt>
                <pt idx="66">
                  <v>0.3996893015033972</v>
                </pt>
                <pt idx="67">
                  <v>0.1270205359945827</v>
                </pt>
                <pt idx="68">
                  <v>0.06369044101715597</v>
                </pt>
                <pt idx="69">
                  <v>-0.1866668450440385</v>
                </pt>
                <pt idx="70">
                  <v>-0.1363320336447468</v>
                </pt>
                <pt idx="71">
                  <v>-0.0697402752510852</v>
                </pt>
                <pt idx="72">
                  <v>-0.1844717054757773</v>
                </pt>
                <pt idx="73">
                  <v>-0.1761630480196707</v>
                </pt>
                <pt idx="74">
                  <v>-0.1556907952812283</v>
                </pt>
                <pt idx="75">
                  <v>-0.1574558007968713</v>
                </pt>
                <pt idx="76">
                  <v>-0.2634709756345799</v>
                </pt>
                <pt idx="77">
                  <v>-0.3263975054195062</v>
                </pt>
                <pt idx="78">
                  <v>-0.2686454765331466</v>
                </pt>
                <pt idx="79">
                  <v>-0.2115341963377026</v>
                </pt>
                <pt idx="80">
                  <v>-0.04249663957707613</v>
                </pt>
                <pt idx="81">
                  <v>0.145491533627268</v>
                </pt>
                <pt idx="82">
                  <v>0.04311750283108376</v>
                </pt>
                <pt idx="83">
                  <v>0.1262375662782017</v>
                </pt>
                <pt idx="84">
                  <v>0.2489637502825629</v>
                </pt>
                <pt idx="85">
                  <v>0.2010151907696131</v>
                </pt>
                <pt idx="86">
                  <v>0.08604029611092924</v>
                </pt>
                <pt idx="87">
                  <v>0.06927127309447682</v>
                </pt>
                <pt idx="88">
                  <v>0.1980526519315274</v>
                </pt>
                <pt idx="89">
                  <v>0.3933297248356491</v>
                </pt>
                <pt idx="90">
                  <v>0.2225812019608848</v>
                </pt>
                <pt idx="91">
                  <v>0.3362880877833333</v>
                </pt>
                <pt idx="92">
                  <v>0.2305785804308641</v>
                </pt>
                <pt idx="93">
                  <v>0.2911333278756061</v>
                </pt>
                <pt idx="94">
                  <v>0.3272749890508215</v>
                </pt>
                <pt idx="95">
                  <v>0.3022605150072658</v>
                </pt>
                <pt idx="96">
                  <v>0.271725444819865</v>
                </pt>
                <pt idx="97">
                  <v>0.1624990357702893</v>
                </pt>
                <pt idx="98">
                  <v>0.303688102099212</v>
                </pt>
                <pt idx="99">
                  <v>0.3306394449699054</v>
                </pt>
                <pt idx="100">
                  <v>0.2814093137070761</v>
                </pt>
                <pt idx="101">
                  <v>0.2755021188873891</v>
                </pt>
                <pt idx="102">
                  <v>0.3391864503115916</v>
                </pt>
                <pt idx="103">
                  <v>0.1522174348870485</v>
                </pt>
                <pt idx="104">
                  <v>0.1755452704379623</v>
                </pt>
                <pt idx="105">
                  <v>0.0433885956208275</v>
                </pt>
                <pt idx="106">
                  <v>-0.03865541531614794</v>
                </pt>
                <pt idx="107">
                  <v>-0.01573533668249948</v>
                </pt>
                <pt idx="108">
                  <v>-0.1022673443573462</v>
                </pt>
                <pt idx="109">
                  <v>-0.04107690074804964</v>
                </pt>
                <pt idx="110">
                  <v>-0.04790215084170672</v>
                </pt>
                <pt idx="111">
                  <v>-0.06298761809037454</v>
                </pt>
                <pt idx="112">
                  <v>-0.05945609162217334</v>
                </pt>
                <pt idx="113">
                  <v>-0.07316813849971739</v>
                </pt>
                <pt idx="114">
                  <v>-0.08932392176678849</v>
                </pt>
                <pt idx="115">
                  <v>-0.003645119266368193</v>
                </pt>
                <pt idx="116">
                  <v>-0.07403200856558906</v>
                </pt>
                <pt idx="117">
                  <v>-0.08580652168599416</v>
                </pt>
                <pt idx="118">
                  <v>0.009866829583538099</v>
                </pt>
                <pt idx="119">
                  <v>-0.03547432105381814</v>
                </pt>
                <pt idx="120">
                  <v>-0.01145359812613604</v>
                </pt>
                <pt idx="121">
                  <v>-0.07695555465334181</v>
                </pt>
                <pt idx="122">
                  <v>-0.1676189931282724</v>
                </pt>
                <pt idx="123">
                  <v>-0.09095800320636259</v>
                </pt>
                <pt idx="124">
                  <v>-0.08802570521384065</v>
                </pt>
                <pt idx="125">
                  <v>-0.11551626646668</v>
                </pt>
                <pt idx="126">
                  <v>-0.1233654407035327</v>
                </pt>
                <pt idx="127">
                  <v>-0.1018751067584586</v>
                </pt>
                <pt idx="128">
                  <v>-0.02446543391670153</v>
                </pt>
                <pt idx="129">
                  <v>0.03163543422733334</v>
                </pt>
                <pt idx="130">
                  <v>-0.0483889137282035</v>
                </pt>
                <pt idx="131">
                  <v>-0.07905006413637455</v>
                </pt>
                <pt idx="132">
                  <v>0.01425096222528992</v>
                </pt>
                <pt idx="133">
                  <v>0.09808093556897987</v>
                </pt>
                <pt idx="134">
                  <v>0.1486946554005492</v>
                </pt>
                <pt idx="135">
                  <v>0.1278761725164385</v>
                </pt>
                <pt idx="136">
                  <v>0.1477027644060667</v>
                </pt>
                <pt idx="137">
                  <v>0.2498010466422596</v>
                </pt>
                <pt idx="138">
                  <v>0.2892442014556793</v>
                </pt>
                <pt idx="139">
                  <v>0.2579398802563814</v>
                </pt>
                <pt idx="140">
                  <v>0.2499431579454713</v>
                </pt>
                <pt idx="141">
                  <v>0.2839574495448955</v>
                </pt>
                <pt idx="142">
                  <v>0.3123916851464957</v>
                </pt>
                <pt idx="143">
                  <v>0.3634108254395433</v>
                </pt>
                <pt idx="144">
                  <v>0.2816485953644635</v>
                </pt>
                <pt idx="145">
                  <v>0.3398694761626025</v>
                </pt>
                <pt idx="146">
                  <v>0.2571376275015774</v>
                </pt>
                <pt idx="147">
                  <v>0.1760484775699842</v>
                </pt>
                <pt idx="148">
                  <v>0.1523716209340688</v>
                </pt>
                <pt idx="149">
                  <v>0.05869837084212667</v>
                </pt>
                <pt idx="150">
                  <v>0.03725478920373283</v>
                </pt>
                <pt idx="151">
                  <v>0.05212580093801552</v>
                </pt>
                <pt idx="152">
                  <v>0.0138892672710256</v>
                </pt>
                <pt idx="153">
                  <v>-0.02597116406131431</v>
                </pt>
                <pt idx="154">
                  <v>-0.1227526308120944</v>
                </pt>
                <pt idx="155">
                  <v>-0.1236048539303496</v>
                </pt>
                <pt idx="156">
                  <v>-0.1684415305312387</v>
                </pt>
                <pt idx="157">
                  <v>-0.171270663695691</v>
                </pt>
                <pt idx="158">
                  <v>-0.0908642095307466</v>
                </pt>
                <pt idx="159">
                  <v>-0.08288177027483588</v>
                </pt>
                <pt idx="160">
                  <v>-0.05831401398474731</v>
                </pt>
                <pt idx="161">
                  <v>-0.08617937579890572</v>
                </pt>
                <pt idx="162">
                  <v>-0.006440907166786166</v>
                </pt>
                <pt idx="163">
                  <v>-0.06660473672955294</v>
                </pt>
                <pt idx="164">
                  <v>-0.05056071608949424</v>
                </pt>
                <pt idx="165">
                  <v>-0.02102980279872448</v>
                </pt>
                <pt idx="166">
                  <v>0.1165919052477384</v>
                </pt>
                <pt idx="167">
                  <v>0.1307468353605016</v>
                </pt>
                <pt idx="168">
                  <v>0.2343282147601493</v>
                </pt>
                <pt idx="169">
                  <v>0.117375519054644</v>
                </pt>
                <pt idx="170">
                  <v>0.003410018229221582</v>
                </pt>
                <pt idx="171">
                  <v>-0.1851000721598765</v>
                </pt>
                <pt idx="172">
                  <v>-0.1760826854378975</v>
                </pt>
                <pt idx="173">
                  <v>-0.05439318762783776</v>
                </pt>
                <pt idx="174">
                  <v>-0.04929052514826665</v>
                </pt>
                <pt idx="175">
                  <v>-0.008547155159871995</v>
                </pt>
                <pt idx="176">
                  <v>0.05258369600641242</v>
                </pt>
                <pt idx="177">
                  <v>-0.01223244348371943</v>
                </pt>
                <pt idx="178">
                  <v>-0.1007496068201202</v>
                </pt>
                <pt idx="179">
                  <v>0.06643088378115895</v>
                </pt>
                <pt idx="180">
                  <v>0.06523346244515504</v>
                </pt>
                <pt idx="181">
                  <v>0.09498380000986822</v>
                </pt>
                <pt idx="182">
                  <v>0.2224427892115373</v>
                </pt>
                <pt idx="183">
                  <v>0.5574582125763943</v>
                </pt>
                <pt idx="184">
                  <v>0.535309332421658</v>
                </pt>
                <pt idx="185">
                  <v>0.4924836559603281</v>
                </pt>
                <pt idx="186">
                  <v>0.3844975911615654</v>
                </pt>
                <pt idx="187">
                  <v>0.3552066090322056</v>
                </pt>
                <pt idx="188">
                  <v>0.3215085318881429</v>
                </pt>
                <pt idx="189">
                  <v>0.2995508364359492</v>
                </pt>
                <pt idx="190">
                  <v>0.4362301648256146</v>
                </pt>
                <pt idx="191">
                  <v>0.1352220224606544</v>
                </pt>
                <pt idx="192">
                  <v>0.1386202550724177</v>
                </pt>
                <pt idx="193">
                  <v>0.1209148645179305</v>
                </pt>
                <pt idx="194">
                  <v>0.00403392424023949</v>
                </pt>
                <pt idx="195">
                  <v>-0.04510846026006662</v>
                </pt>
                <pt idx="196">
                  <v>-0.1541924018589004</v>
                </pt>
                <pt idx="197">
                  <v>-0.154561443441395</v>
                </pt>
                <pt idx="198">
                  <v>-0.2452847491026871</v>
                </pt>
                <pt idx="199">
                  <v>-0.2052528794008883</v>
                </pt>
                <pt idx="200">
                  <v>-0.2783787408838235</v>
                </pt>
                <pt idx="201">
                  <v>-0.3100167024533082</v>
                </pt>
                <pt idx="202">
                  <v>-0.2735409600531701</v>
                </pt>
                <pt idx="203">
                  <v>-0.1157754982851439</v>
                </pt>
                <pt idx="204">
                  <v>-0.1636689352720675</v>
                </pt>
                <pt idx="205">
                  <v>-0.03856750883559395</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Area'!$G$6:$G$223</f>
              <numCache>
                <formatCode>0.0%</formatCode>
                <ptCount val="218"/>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0.01173616137797801</v>
                </pt>
                <pt idx="23">
                  <v>0</v>
                </pt>
                <pt idx="24">
                  <v>0</v>
                </pt>
                <pt idx="25">
                  <v>0.006000641049218996</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-0.03093592353041948</v>
                </pt>
                <pt idx="50">
                  <v>0</v>
                </pt>
                <pt idx="51">
                  <v>0</v>
                </pt>
                <pt idx="52">
                  <v>-0.0002480053371022923</v>
                </pt>
                <pt idx="53">
                  <v>0</v>
                </pt>
                <pt idx="54">
                  <v>0</v>
                </pt>
                <pt idx="55">
                  <v>0.004024979403741463</v>
                </pt>
                <pt idx="56">
                  <v>0</v>
                </pt>
                <pt idx="57">
                  <v>0</v>
                </pt>
                <pt idx="58">
                  <v>0.004231328985635955</v>
                </pt>
                <pt idx="59">
                  <v>0</v>
                </pt>
                <pt idx="60">
                  <v>0</v>
                </pt>
                <pt idx="61">
                  <v>0.004419265756777226</v>
                </pt>
                <pt idx="62">
                  <v>0</v>
                </pt>
                <pt idx="63">
                  <v>0</v>
                </pt>
                <pt idx="64">
                  <v>0.009697817695873613</v>
                </pt>
                <pt idx="65">
                  <v>0</v>
                </pt>
                <pt idx="66">
                  <v>0</v>
                </pt>
                <pt idx="67">
                  <v>0.004179401075044413</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-0.002149659488954449</v>
                </pt>
                <pt idx="86">
                  <v>0</v>
                </pt>
                <pt idx="87">
                  <v>0</v>
                </pt>
                <pt idx="88">
                  <v>-0.002638864828599166</v>
                </pt>
                <pt idx="89">
                  <v>0</v>
                </pt>
                <pt idx="90">
                  <v>0</v>
                </pt>
                <pt idx="91">
                  <v>-0.0009907163742234103</v>
                </pt>
                <pt idx="92">
                  <v>0</v>
                </pt>
                <pt idx="93">
                  <v>0</v>
                </pt>
                <pt idx="94">
                  <v>-0.004449012942242542</v>
                </pt>
                <pt idx="95">
                  <v>0</v>
                </pt>
                <pt idx="96">
                  <v>0</v>
                </pt>
                <pt idx="97">
                  <v>-0.003324045172696367</v>
                </pt>
                <pt idx="98">
                  <v>0</v>
                </pt>
                <pt idx="99">
                  <v>0</v>
                </pt>
                <pt idx="100">
                  <v>0.005147318726932237</v>
                </pt>
                <pt idx="101">
                  <v>0</v>
                </pt>
                <pt idx="102">
                  <v>0</v>
                </pt>
                <pt idx="103">
                  <v>0.003038845538352348</v>
                </pt>
                <pt idx="104">
                  <v>0</v>
                </pt>
                <pt idx="105">
                  <v>0</v>
                </pt>
                <pt idx="106">
                  <v>0.002878766551284823</v>
                </pt>
                <pt idx="107">
                  <v>0</v>
                </pt>
                <pt idx="108">
                  <v>0</v>
                </pt>
                <pt idx="109">
                  <v>0.004141603130332342</v>
                </pt>
                <pt idx="110">
                  <v>0</v>
                </pt>
                <pt idx="111">
                  <v>0</v>
                </pt>
                <pt idx="112">
                  <v>0.001950082321842949</v>
                </pt>
                <pt idx="113">
                  <v>0</v>
                </pt>
                <pt idx="114">
                  <v>0</v>
                </pt>
                <pt idx="115">
                  <v>0.004939140647342279</v>
                </pt>
                <pt idx="116">
                  <v>0</v>
                </pt>
                <pt idx="117">
                  <v>0</v>
                </pt>
                <pt idx="118">
                  <v>0.003558582029745535</v>
                </pt>
                <pt idx="119">
                  <v>0</v>
                </pt>
                <pt idx="120">
                  <v>0</v>
                </pt>
                <pt idx="121">
                  <v>0.006376936063688275</v>
                </pt>
                <pt idx="122">
                  <v>0</v>
                </pt>
                <pt idx="123">
                  <v>0</v>
                </pt>
                <pt idx="124">
                  <v>0.004606940090520169</v>
                </pt>
                <pt idx="125">
                  <v>0</v>
                </pt>
                <pt idx="126">
                  <v>0</v>
                </pt>
                <pt idx="127">
                  <v>0.004168149272968156</v>
                </pt>
                <pt idx="128">
                  <v>0</v>
                </pt>
                <pt idx="129">
                  <v>0</v>
                </pt>
                <pt idx="130">
                  <v>0.004621070599776983</v>
                </pt>
                <pt idx="131">
                  <v>0</v>
                </pt>
                <pt idx="132">
                  <v>0</v>
                </pt>
                <pt idx="133">
                  <v>0.005558304668766573</v>
                </pt>
                <pt idx="134">
                  <v>0</v>
                </pt>
                <pt idx="135">
                  <v>0</v>
                </pt>
                <pt idx="136">
                  <v>0.002338326547601391</v>
                </pt>
                <pt idx="137">
                  <v>0</v>
                </pt>
                <pt idx="138">
                  <v>0</v>
                </pt>
                <pt idx="139">
                  <v>0.00476872353145435</v>
                </pt>
                <pt idx="140">
                  <v>0</v>
                </pt>
                <pt idx="141">
                  <v>0</v>
                </pt>
                <pt idx="142">
                  <v>0.007571283302730314</v>
                </pt>
                <pt idx="143">
                  <v>0</v>
                </pt>
                <pt idx="144">
                  <v>0</v>
                </pt>
                <pt idx="145">
                  <v>0.006829527491024776</v>
                </pt>
                <pt idx="146">
                  <v>0</v>
                </pt>
                <pt idx="147">
                  <v>0</v>
                </pt>
                <pt idx="148">
                  <v>0.007887524293034848</v>
                </pt>
                <pt idx="149">
                  <v>0</v>
                </pt>
                <pt idx="150">
                  <v>0</v>
                </pt>
                <pt idx="151">
                  <v>0.007760403419867896</v>
                </pt>
                <pt idx="152">
                  <v>0</v>
                </pt>
                <pt idx="153">
                  <v>0</v>
                </pt>
                <pt idx="154">
                  <v>0.008091334730406912</v>
                </pt>
                <pt idx="155">
                  <v>0</v>
                </pt>
                <pt idx="156">
                  <v>0</v>
                </pt>
                <pt idx="157">
                  <v>-3.471955177235022e-05</v>
                </pt>
                <pt idx="158">
                  <v>0</v>
                </pt>
                <pt idx="159">
                  <v>0</v>
                </pt>
                <pt idx="160">
                  <v>0.005393151214386117</v>
                </pt>
                <pt idx="161">
                  <v>0</v>
                </pt>
                <pt idx="162">
                  <v>0</v>
                </pt>
                <pt idx="163">
                  <v>8.665848958256819e-05</v>
                </pt>
                <pt idx="164">
                  <v>0</v>
                </pt>
                <pt idx="165">
                  <v>0</v>
                </pt>
                <pt idx="166">
                  <v>0.006466225183837674</v>
                </pt>
                <pt idx="167">
                  <v>0</v>
                </pt>
                <pt idx="168">
                  <v>0</v>
                </pt>
                <pt idx="169">
                  <v>0.0062851080856009</v>
                </pt>
                <pt idx="170">
                  <v>0</v>
                </pt>
                <pt idx="171">
                  <v>0</v>
                </pt>
                <pt idx="172">
                  <v>0.003135501354607775</v>
                </pt>
                <pt idx="173">
                  <v>0</v>
                </pt>
                <pt idx="174">
                  <v>0</v>
                </pt>
                <pt idx="175">
                  <v>0.002071376471619694</v>
                </pt>
                <pt idx="176">
                  <v>0</v>
                </pt>
                <pt idx="177">
                  <v>0</v>
                </pt>
                <pt idx="178">
                  <v>0.0001542157894406365</v>
                </pt>
                <pt idx="179">
                  <v>0</v>
                </pt>
                <pt idx="180">
                  <v>0</v>
                </pt>
                <pt idx="181">
                  <v>-0.03365603589316016</v>
                </pt>
                <pt idx="182">
                  <v>0</v>
                </pt>
                <pt idx="183">
                  <v>0</v>
                </pt>
                <pt idx="184">
                  <v>-0.11450771349771</v>
                </pt>
                <pt idx="185">
                  <v>0</v>
                </pt>
                <pt idx="186">
                  <v>0</v>
                </pt>
                <pt idx="187">
                  <v>0.1235107992140109</v>
                </pt>
                <pt idx="188">
                  <v>0</v>
                </pt>
                <pt idx="189">
                  <v>0</v>
                </pt>
                <pt idx="190">
                  <v>-0.002624307461512466</v>
                </pt>
                <pt idx="191">
                  <v>0</v>
                </pt>
                <pt idx="192">
                  <v>0</v>
                </pt>
                <pt idx="193">
                  <v>-0.0006097294416353623</v>
                </pt>
                <pt idx="194">
                  <v>0</v>
                </pt>
                <pt idx="195">
                  <v>0</v>
                </pt>
                <pt idx="196">
                  <v>0.01985671376328628</v>
                </pt>
                <pt idx="197">
                  <v>0</v>
                </pt>
                <pt idx="198">
                  <v>0</v>
                </pt>
                <pt idx="199">
                  <v>0.02249599232690354</v>
                </pt>
                <pt idx="200">
                  <v>0</v>
                </pt>
                <pt idx="201">
                  <v>0</v>
                </pt>
                <pt idx="202">
                  <v>0.005357789399362019</v>
                </pt>
                <pt idx="203">
                  <v>0</v>
                </pt>
                <pt idx="204">
                  <v>0</v>
                </pt>
                <pt idx="205">
                  <v>0.006356354249545562</v>
                </pt>
                <pt idx="206">
                  <v>0</v>
                </pt>
                <pt idx="207">
                  <v>0</v>
                </pt>
                <pt idx="208">
                  <v>0.008501398520135858</v>
                </pt>
                <pt idx="209">
                  <v>0</v>
                </pt>
                <pt idx="210">
                  <v>0</v>
                </pt>
                <pt idx="211">
                  <v>0.003027427021100531</v>
                </pt>
                <pt idx="212">
                  <v>0</v>
                </pt>
                <pt idx="213">
                  <v>0</v>
                </pt>
                <pt idx="214">
                  <v>0</v>
                </pt>
                <pt idx="215">
                  <v>0</v>
                </pt>
                <pt idx="216">
                  <v>0</v>
                </pt>
                <pt idx="21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Area'!$B$6:$B$223</f>
              <numCache>
                <formatCode>General</formatCode>
                <ptCount val="21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'Euro Area'!$B$6:$B$223</f>
              <numCache>
                <formatCode>General</formatCode>
                <ptCount val="21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pt idx="216">
                  <v>47.8</v>
                </pt>
                <pt idx="217">
                  <v>48.8</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Japan!$A$6:$A$185</f>
              <numCache>
                <formatCode>m/d/yyyy</formatCode>
                <ptCount val="18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pt idx="178">
                  <v>44896</v>
                </pt>
                <pt idx="179">
                  <v>44927</v>
                </pt>
              </numCache>
            </numRef>
          </cat>
          <val>
            <numRef>
              <f>Japan!$B$6:$B$185</f>
              <numCache>
                <formatCode>General</formatCode>
                <ptCount val="18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pt idx="178">
                  <v>48.9</v>
                </pt>
                <pt idx="179">
                  <v>48.9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Germany!$A$6:$A$187</f>
              <numCache>
                <formatCode>m/d/yyyy</formatCode>
                <ptCount val="182"/>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pt idx="179">
                  <v>44896</v>
                </pt>
                <pt idx="180">
                  <v>44927</v>
                </pt>
              </numCache>
            </numRef>
          </cat>
          <val>
            <numRef>
              <f>Germany!$B$6:$B$187</f>
              <numCache>
                <formatCode>General</formatCode>
                <ptCount val="182"/>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pt idx="179">
                  <v>47.1</v>
                </pt>
                <pt idx="180">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France!$A$6:$A$179</f>
              <numCache>
                <formatCode>m/d/yyyy</formatCode>
                <ptCount val="17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numCache>
            </numRef>
          </cat>
          <val>
            <numRef>
              <f>France!$B$6:$B$179</f>
              <numCache>
                <formatCode>General</formatCode>
                <ptCount val="17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pt idx="172">
                  <v>49.2</v>
                </pt>
                <pt idx="173">
                  <v>50.5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UK!$B$18:$B$228</f>
              <numCache>
                <formatCode>General</formatCode>
                <ptCount val="21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pt idx="204">
                  <v>45.3</v>
                </pt>
                <pt idx="205">
                  <v>47</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UK!$A$18:$A$228</f>
              <numCache>
                <formatCode>m/d/yyyy</formatCode>
                <ptCount val="21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pt idx="204">
                  <v>44896</v>
                </pt>
                <pt idx="205">
                  <v>44927</v>
                </pt>
              </numCache>
            </numRef>
          </cat>
          <val>
            <numRef>
              <f>UK!$D$18:$D$228</f>
              <numCache>
                <formatCode>0.00</formatCode>
                <ptCount val="211"/>
                <pt idx="0">
                  <v>18.85319328308105</v>
                </pt>
                <pt idx="1">
                  <v>20.61869239807129</v>
                </pt>
                <pt idx="2">
                  <v>20.50361824035645</v>
                </pt>
                <pt idx="3">
                  <v>21.08943176269531</v>
                </pt>
                <pt idx="4">
                  <v>22.43891334533691</v>
                </pt>
                <pt idx="5">
                  <v>21.84263038635254</v>
                </pt>
                <pt idx="6">
                  <v>22.02047348022461</v>
                </pt>
                <pt idx="7">
                  <v>22.59582138061523</v>
                </pt>
                <pt idx="8">
                  <v>23.08749771118164</v>
                </pt>
                <pt idx="9">
                  <v>22.89919662475586</v>
                </pt>
                <pt idx="10">
                  <v>23.95576095581055</v>
                </pt>
                <pt idx="11">
                  <v>24.63572883605957</v>
                </pt>
                <pt idx="12">
                  <v>24.48927116394043</v>
                </pt>
                <pt idx="13">
                  <v>25.51086807250977</v>
                </pt>
                <pt idx="14">
                  <v>25.13203811645508</v>
                </pt>
                <pt idx="15">
                  <v>26.05203247070312</v>
                </pt>
                <pt idx="16">
                  <v>26.89626884460449</v>
                </pt>
                <pt idx="17">
                  <v>27.46990776062012</v>
                </pt>
                <pt idx="18">
                  <v>27.65390968322754</v>
                </pt>
                <pt idx="19">
                  <v>26.72309112548828</v>
                </pt>
                <pt idx="20">
                  <v>26.77720832824707</v>
                </pt>
                <pt idx="21">
                  <v>27.84873390197754</v>
                </pt>
                <pt idx="22">
                  <v>29.46141815185547</v>
                </pt>
                <pt idx="23">
                  <v>27.72967529296875</v>
                </pt>
                <pt idx="24">
                  <v>26.0628662109375</v>
                </pt>
                <pt idx="25">
                  <v>24.82069778442383</v>
                </pt>
                <pt idx="26">
                  <v>24.52948188781738</v>
                </pt>
                <pt idx="27">
                  <v>24.14865493774414</v>
                </pt>
                <pt idx="28">
                  <v>25.58234977722168</v>
                </pt>
                <pt idx="29">
                  <v>25.52634429931641</v>
                </pt>
                <pt idx="30">
                  <v>23.20780372619629</v>
                </pt>
                <pt idx="31">
                  <v>22.76375007629395</v>
                </pt>
                <pt idx="32">
                  <v>21.99617195129395</v>
                </pt>
                <pt idx="33">
                  <v>19.07481002807617</v>
                </pt>
                <pt idx="34">
                  <v>15.30567169189453</v>
                </pt>
                <pt idx="35">
                  <v>14.32042598724365</v>
                </pt>
                <pt idx="36">
                  <v>14.03401756286621</v>
                </pt>
                <pt idx="37">
                  <v>13.083176612854</v>
                </pt>
                <pt idx="38">
                  <v>11.81021881103516</v>
                </pt>
                <pt idx="39">
                  <v>12.35239696502686</v>
                </pt>
                <pt idx="40">
                  <v>13.82573318481445</v>
                </pt>
                <pt idx="41">
                  <v>16.18305587768555</v>
                </pt>
                <pt idx="42">
                  <v>15.57015609741211</v>
                </pt>
                <pt idx="43">
                  <v>17.19696998596191</v>
                </pt>
                <pt idx="44">
                  <v>17.94101715087891</v>
                </pt>
                <pt idx="45">
                  <v>18.61305236816406</v>
                </pt>
                <pt idx="46">
                  <v>18.58905220031738</v>
                </pt>
                <pt idx="47">
                  <v>19.52510070800781</v>
                </pt>
                <pt idx="48">
                  <v>19.44109916687012</v>
                </pt>
                <pt idx="49">
                  <v>18.73365783691406</v>
                </pt>
                <pt idx="50">
                  <v>18.5758228302002</v>
                </pt>
                <pt idx="51">
                  <v>19.75350761413574</v>
                </pt>
                <pt idx="52">
                  <v>19.32856941223145</v>
                </pt>
                <pt idx="53">
                  <v>17.20388412475586</v>
                </pt>
                <pt idx="54">
                  <v>16.31758308410645</v>
                </pt>
                <pt idx="55">
                  <v>19.01400184631348</v>
                </pt>
                <pt idx="56">
                  <v>18.48274803161621</v>
                </pt>
                <pt idx="57">
                  <v>20.2124195098877</v>
                </pt>
                <pt idx="58">
                  <v>21.06489753723145</v>
                </pt>
                <pt idx="59">
                  <v>19.96532440185547</v>
                </pt>
                <pt idx="60">
                  <v>21.46025085449219</v>
                </pt>
                <pt idx="61">
                  <v>21.91374588012695</v>
                </pt>
                <pt idx="62">
                  <v>22.91209411621094</v>
                </pt>
                <pt idx="63">
                  <v>22.35052299499512</v>
                </pt>
                <pt idx="64">
                  <v>23.84804534912109</v>
                </pt>
                <pt idx="65">
                  <v>23.28647804260254</v>
                </pt>
                <pt idx="66">
                  <v>22.22572898864746</v>
                </pt>
                <pt idx="67">
                  <v>22.52087211608887</v>
                </pt>
                <pt idx="68">
                  <v>20.79435729980469</v>
                </pt>
                <pt idx="69">
                  <v>18.75046920776367</v>
                </pt>
                <pt idx="70">
                  <v>21.17520904541016</v>
                </pt>
                <pt idx="71">
                  <v>20.83244895935059</v>
                </pt>
                <pt idx="72">
                  <v>20.51507186889648</v>
                </pt>
                <pt idx="73">
                  <v>21.49223899841309</v>
                </pt>
                <pt idx="74">
                  <v>22.58746528625488</v>
                </pt>
                <pt idx="75">
                  <v>22.29111099243164</v>
                </pt>
                <pt idx="76">
                  <v>22.61323547363281</v>
                </pt>
                <pt idx="77">
                  <v>20.03623008728027</v>
                </pt>
                <pt idx="78">
                  <v>20.98972320556641</v>
                </pt>
                <pt idx="79">
                  <v>21.67182731628418</v>
                </pt>
                <pt idx="80">
                  <v>22.38410186767578</v>
                </pt>
                <pt idx="81">
                  <v>22.9512939453125</v>
                </pt>
                <pt idx="82">
                  <v>23.05681800842285</v>
                </pt>
                <pt idx="83">
                  <v>23.32062721252441</v>
                </pt>
                <pt idx="84">
                  <v>23.66357803344727</v>
                </pt>
                <pt idx="85">
                  <v>24.70919609069824</v>
                </pt>
                <pt idx="86">
                  <v>24.04029273986816</v>
                </pt>
                <pt idx="87">
                  <v>24.4416332244873</v>
                </pt>
                <pt idx="88">
                  <v>25.13729858398438</v>
                </pt>
                <pt idx="89">
                  <v>25.11054039001465</v>
                </pt>
                <pt idx="90">
                  <v>23.62557792663574</v>
                </pt>
                <pt idx="91">
                  <v>25.50984954833984</v>
                </pt>
                <pt idx="92">
                  <v>25.31977653503418</v>
                </pt>
                <pt idx="93">
                  <v>26.63667678833008</v>
                </pt>
                <pt idx="94">
                  <v>27.62775039672852</v>
                </pt>
                <pt idx="95">
                  <v>27.84496116638184</v>
                </pt>
                <pt idx="96">
                  <v>28.34728813171387</v>
                </pt>
                <pt idx="97">
                  <v>27.35536193847656</v>
                </pt>
                <pt idx="98">
                  <v>29.21019744873047</v>
                </pt>
                <pt idx="99">
                  <v>28.28965187072754</v>
                </pt>
                <pt idx="100">
                  <v>29.56741523742676</v>
                </pt>
                <pt idx="101">
                  <v>29.8559513092041</v>
                </pt>
                <pt idx="102">
                  <v>28.6880931854248</v>
                </pt>
                <pt idx="103">
                  <v>29.37614059448242</v>
                </pt>
                <pt idx="104">
                  <v>29.60677909851074</v>
                </pt>
                <pt idx="105">
                  <v>27.93472290039062</v>
                </pt>
                <pt idx="106">
                  <v>27.40139961242676</v>
                </pt>
                <pt idx="107">
                  <v>27.43023109436035</v>
                </pt>
                <pt idx="108">
                  <v>25.98880386352539</v>
                </pt>
                <pt idx="109">
                  <v>26.52298927307129</v>
                </pt>
                <pt idx="110">
                  <v>28.0814323425293</v>
                </pt>
                <pt idx="111">
                  <v>26.47887992858887</v>
                </pt>
                <pt idx="112">
                  <v>28.24315643310547</v>
                </pt>
                <pt idx="113">
                  <v>28.41958999633789</v>
                </pt>
                <pt idx="114">
                  <v>26.83173179626465</v>
                </pt>
                <pt idx="115">
                  <v>27.75505638122559</v>
                </pt>
                <pt idx="116">
                  <v>25.53944396972656</v>
                </pt>
                <pt idx="117">
                  <v>24.53642845153809</v>
                </pt>
                <pt idx="118">
                  <v>26.15323066711426</v>
                </pt>
                <pt idx="119">
                  <v>25.71909141540527</v>
                </pt>
                <pt idx="120">
                  <v>24.16217041015625</v>
                </pt>
                <pt idx="121">
                  <v>23.45659446716309</v>
                </pt>
                <pt idx="122">
                  <v>22.72357749938965</v>
                </pt>
                <pt idx="123">
                  <v>23.94527435302734</v>
                </pt>
                <pt idx="124">
                  <v>24.9073600769043</v>
                </pt>
                <pt idx="125">
                  <v>24.61721038818359</v>
                </pt>
                <pt idx="126">
                  <v>23.47186851501465</v>
                </pt>
                <pt idx="127">
                  <v>24.41600036621094</v>
                </pt>
                <pt idx="128">
                  <v>24.68207740783691</v>
                </pt>
                <pt idx="129">
                  <v>24.79163360595703</v>
                </pt>
                <pt idx="130">
                  <v>23.4769229888916</v>
                </pt>
                <pt idx="131">
                  <v>23.52387809753418</v>
                </pt>
                <pt idx="132">
                  <v>24.01689529418945</v>
                </pt>
                <pt idx="133">
                  <v>24.95241928100586</v>
                </pt>
                <pt idx="134">
                  <v>25.31737899780273</v>
                </pt>
                <pt idx="135">
                  <v>25.82515907287598</v>
                </pt>
                <pt idx="136">
                  <v>26.26152992248535</v>
                </pt>
                <pt idx="137">
                  <v>27.45956039428711</v>
                </pt>
                <pt idx="138">
                  <v>26.44400978088379</v>
                </pt>
                <pt idx="139">
                  <v>27.66788291931152</v>
                </pt>
                <pt idx="140">
                  <v>27.44083213806152</v>
                </pt>
                <pt idx="141">
                  <v>28.25983810424805</v>
                </pt>
                <pt idx="142">
                  <v>28.43013191223145</v>
                </pt>
                <pt idx="143">
                  <v>28.3976993560791</v>
                </pt>
                <pt idx="144">
                  <v>29.04641342163086</v>
                </pt>
                <pt idx="145">
                  <v>30.70130348205566</v>
                </pt>
                <pt idx="146">
                  <v>28.64408874511719</v>
                </pt>
                <pt idx="147">
                  <v>28.7101879119873</v>
                </pt>
                <pt idx="148">
                  <v>29.94947242736816</v>
                </pt>
                <pt idx="149">
                  <v>29.76770973205566</v>
                </pt>
                <pt idx="150">
                  <v>28.7349681854248</v>
                </pt>
                <pt idx="151">
                  <v>29.69309616088867</v>
                </pt>
                <pt idx="152">
                  <v>28.39068984985352</v>
                </pt>
                <pt idx="153">
                  <v>28.85583114624023</v>
                </pt>
                <pt idx="154">
                  <v>26.90223121643066</v>
                </pt>
                <pt idx="155">
                  <v>26.58086013793945</v>
                </pt>
                <pt idx="156">
                  <v>24.82176971435547</v>
                </pt>
                <pt idx="157">
                  <v>27.21231269836426</v>
                </pt>
                <pt idx="158">
                  <v>28.14560127258301</v>
                </pt>
                <pt idx="159">
                  <v>28.52582931518555</v>
                </pt>
                <pt idx="160">
                  <v>29.17394638061523</v>
                </pt>
                <pt idx="161">
                  <v>27.3851432800293</v>
                </pt>
                <pt idx="162">
                  <v>27.92956161499023</v>
                </pt>
                <pt idx="163">
                  <v>27.95261764526367</v>
                </pt>
                <pt idx="164">
                  <v>26.88910484313965</v>
                </pt>
                <pt idx="165">
                  <v>27.85512924194336</v>
                </pt>
                <pt idx="166">
                  <v>28.83000755310059</v>
                </pt>
                <pt idx="167">
                  <v>29.18451499938965</v>
                </pt>
                <pt idx="168">
                  <v>30.22143745422363</v>
                </pt>
                <pt idx="169">
                  <v>29.44472122192383</v>
                </pt>
                <pt idx="170">
                  <v>26.43169021606445</v>
                </pt>
                <pt idx="171">
                  <v>21.54228019714355</v>
                </pt>
                <pt idx="172">
                  <v>22.77816390991211</v>
                </pt>
                <pt idx="173">
                  <v>23.21117401123047</v>
                </pt>
                <pt idx="174">
                  <v>23.23823738098145</v>
                </pt>
                <pt idx="175">
                  <v>23.74909782409668</v>
                </pt>
                <pt idx="176">
                  <v>24.39938163757324</v>
                </pt>
                <pt idx="177">
                  <v>23.34610557556152</v>
                </pt>
                <pt idx="178">
                  <v>22.29283142089844</v>
                </pt>
                <pt idx="179">
                  <v>25.88312911987305</v>
                </pt>
                <pt idx="180">
                  <v>26.82649993896484</v>
                </pt>
                <pt idx="181">
                  <v>27.06836700439453</v>
                </pt>
                <pt idx="182">
                  <v>28.13368797302246</v>
                </pt>
                <pt idx="183">
                  <v>29.00446891784668</v>
                </pt>
                <pt idx="184">
                  <v>30.1346321105957</v>
                </pt>
                <pt idx="185">
                  <v>31.30185699462891</v>
                </pt>
                <pt idx="186">
                  <v>30.29211616516113</v>
                </pt>
                <pt idx="187">
                  <v>30.89048385620117</v>
                </pt>
                <pt idx="188">
                  <v>31.09773826599121</v>
                </pt>
                <pt idx="189">
                  <v>30.38176536560059</v>
                </pt>
                <pt idx="190">
                  <v>31.72892189025879</v>
                </pt>
                <pt idx="191">
                  <v>30.18393135070801</v>
                </pt>
                <pt idx="192">
                  <v>31.22020530700684</v>
                </pt>
                <pt idx="193">
                  <v>32.79575729370117</v>
                </pt>
                <pt idx="194">
                  <v>32.40867614746094</v>
                </pt>
                <pt idx="195">
                  <v>32.55382919311523</v>
                </pt>
                <pt idx="196">
                  <v>31.25709533691406</v>
                </pt>
                <pt idx="197">
                  <v>32.09900665283203</v>
                </pt>
                <pt idx="198">
                  <v>28.99265098571777</v>
                </pt>
                <pt idx="199">
                  <v>30.44909477233887</v>
                </pt>
                <pt idx="200">
                  <v>28.47891807556152</v>
                </pt>
                <pt idx="201">
                  <v>25.81917762756348</v>
                </pt>
                <pt idx="202">
                  <v>27.62189102172852</v>
                </pt>
                <pt idx="203">
                  <v>31.05985069274902</v>
                </pt>
                <pt idx="204">
                  <v>30.20282363891602</v>
                </pt>
                <pt idx="205">
                  <v>32.56999969482422</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UK!$A$6:$A$223</f>
              <numCache>
                <formatCode>m/d/yyyy</formatCode>
                <ptCount val="21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pt idx="216">
                  <v>44896</v>
                </pt>
                <pt idx="217">
                  <v>44927</v>
                </pt>
              </numCache>
            </numRef>
          </cat>
          <val>
            <numRef>
              <f>UK!$B$6:$B$223</f>
              <numCache>
                <formatCode>General</formatCode>
                <ptCount val="21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pt idx="216">
                  <v>45.3</v>
                </pt>
                <pt idx="217">
                  <v>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Italy!$A$6:$A$199</f>
              <numCache>
                <formatCode>m/d/yyyy</formatCode>
                <ptCount val="19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numCache>
            </numRef>
          </cat>
          <val>
            <numRef>
              <f>Italy!$B$6:$B$199</f>
              <numCache>
                <formatCode>General</formatCode>
                <ptCount val="19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pt idx="192">
                  <v>48.5</v>
                </pt>
                <pt idx="193">
                  <v>50.4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Spain!$A$6:$A$199</f>
              <numCache>
                <formatCode>m/d/yyyy</formatCode>
                <ptCount val="19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pt idx="192">
                  <v>44896</v>
                </pt>
                <pt idx="193">
                  <v>44927</v>
                </pt>
              </numCache>
            </numRef>
          </cat>
          <val>
            <numRef>
              <f>Spain!$B$6:$B$199</f>
              <numCache>
                <formatCode>General</formatCode>
                <ptCount val="19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pt idx="192">
                  <v>46.4</v>
                </pt>
                <pt idx="193">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Brazil!$B$6:$B$153</f>
              <numCache>
                <formatCode>General</formatCode>
                <ptCount val="14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pt idx="146">
                  <v>44.2</v>
                </pt>
                <pt idx="147">
                  <v>47.5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Mexico!$B$6:$B$147</f>
              <numCache>
                <formatCode>General</formatCode>
                <ptCount val="14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pt idx="140">
                  <v>51.3</v>
                </pt>
                <pt idx="141">
                  <v>48.9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Russia!$B$6:$B$153</f>
              <numCache>
                <formatCode>General</formatCode>
                <ptCount val="14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pt idx="146">
                  <v>53</v>
                </pt>
                <pt idx="147">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India!$B$6:$B$153</f>
              <numCache>
                <formatCode>General</formatCode>
                <ptCount val="148"/>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pt idx="146">
                  <v>57.8</v>
                </pt>
                <pt idx="147">
                  <v>55.4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Canada!$B$6:$B$147</f>
              <numCache>
                <formatCode>General</formatCode>
                <ptCount val="14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pt idx="140">
                  <v>49.2</v>
                </pt>
                <pt idx="141">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Australia!$A$6:$A$182</f>
              <numCache>
                <formatCode>m/d/yyyy</formatCode>
                <ptCount val="17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pt idx="175">
                  <v>44896</v>
                </pt>
                <pt idx="176">
                  <v>44927</v>
                </pt>
              </numCache>
            </numRef>
          </cat>
          <val>
            <numRef>
              <f>Australia!$B$6:$B$182</f>
              <numCache>
                <formatCode>General</formatCode>
                <ptCount val="17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pt idx="175">
                  <v>#N/A</v>
                </pt>
                <pt idx="17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Indonesia!$A$6:$A$147</f>
              <numCache>
                <formatCode>m/d/yyyy</formatCode>
                <ptCount val="14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pt idx="140">
                  <v>44896</v>
                </pt>
                <pt idx="141">
                  <v>44927</v>
                </pt>
              </numCache>
            </numRef>
          </cat>
          <val>
            <numRef>
              <f>Indonesia!$B$6:$B$147</f>
              <numCache>
                <formatCode>General</formatCode>
                <ptCount val="14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pt idx="140">
                  <v>50.9</v>
                </pt>
                <pt idx="14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SouthKorea!$A$6:$A$151</f>
              <numCache>
                <formatCode>m/d/yyyy</formatCode>
                <ptCount val="14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pt idx="144">
                  <v>44896</v>
                </pt>
                <pt idx="145">
                  <v>44927</v>
                </pt>
              </numCache>
            </numRef>
          </cat>
          <val>
            <numRef>
              <f>SouthKorea!$B$6:$B$151</f>
              <numCache>
                <formatCode>General</formatCode>
                <ptCount val="14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pt idx="144">
                  <v>48.2</v>
                </pt>
                <pt idx="145">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Taiwan!$B$6:$B$153</f>
              <numCache>
                <formatCode>General</formatCode>
                <ptCount val="14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pt idx="146">
                  <v>44.6</v>
                </pt>
                <pt idx="147">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Greece!$A$6:$A$153</f>
              <numCache>
                <formatCode>m/d/yyyy</formatCode>
                <ptCount val="14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Greece!$B$6:$B$153</f>
              <numCache>
                <formatCode>General</formatCode>
                <ptCount val="14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pt idx="146">
                  <v>47.2</v>
                </pt>
                <pt idx="147">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Ireland!$B$6:$B$153</f>
              <numCache>
                <formatCode>General</formatCode>
                <ptCount val="14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pt idx="146">
                  <v>48.7</v>
                </pt>
                <pt idx="147">
                  <v>50.1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Turkey!$B$6:$B$153</f>
              <numCache>
                <formatCode>General</formatCode>
                <ptCount val="14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pt idx="146">
                  <v>48.1</v>
                </pt>
                <pt idx="147">
                  <v>50.1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CzechRepublic!$B$6:$B$153</f>
              <numCache>
                <formatCode>General</formatCode>
                <ptCount val="14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pt idx="146">
                  <v>42.6</v>
                </pt>
                <pt idx="147">
                  <v>44.6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Poland!$B$6:$B$153</f>
              <numCache>
                <formatCode>General</formatCode>
                <ptCount val="14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pt idx="146">
                  <v>45.6</v>
                </pt>
                <pt idx="147">
                  <v>47.5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Denmark!$A$6:$A$354</f>
              <numCache>
                <formatCode>m/d/yyyy</formatCode>
                <ptCount val="34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pt idx="347">
                  <v>44896</v>
                </pt>
                <pt idx="348">
                  <v>44927</v>
                </pt>
              </numCache>
            </numRef>
          </cat>
          <val>
            <numRef>
              <f>Denmark!$B$6:$B$354</f>
              <numCache>
                <formatCode>General</formatCode>
                <ptCount val="34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pt idx="347">
                  <v>51.2</v>
                </pt>
                <pt idx="348">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Vietnam!$A$6:$A$132</f>
              <numCache>
                <formatCode>m/d/yyyy</formatCode>
                <ptCount val="12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pt idx="126">
                  <v>44927</v>
                </pt>
              </numCache>
            </numRef>
          </cat>
          <val>
            <numRef>
              <f>Vietnam!$B$6:$B$132</f>
              <numCache>
                <formatCode>General</formatCode>
                <ptCount val="12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pt idx="125">
                  <v>46.4</v>
                </pt>
                <pt idx="126">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Thailand!$A$6:$A$84</f>
              <numCache>
                <formatCode>m/d/yyyy</formatCode>
                <ptCount val="79"/>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pt idx="77">
                  <v>44896</v>
                </pt>
                <pt idx="78">
                  <v>44927</v>
                </pt>
              </numCache>
            </numRef>
          </cat>
          <val>
            <numRef>
              <f>Thailand!$B$6:$B$84</f>
              <numCache>
                <formatCode>General</formatCode>
                <ptCount val="79"/>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pt idx="77">
                  <v>52.5</v>
                </pt>
                <pt idx="78">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Africa'!$A$6:$A$282</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'South Africa'!$B$6:$B$282</f>
              <numCache>
                <formatCode>General</formatCode>
                <ptCount val="27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pt idx="275">
                  <v>53.1</v>
                </pt>
                <pt idx="276">
                  <v>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Kong'!$A$6:$A$133</f>
              <numCache>
                <formatCode>m/d/yyyy</formatCode>
                <ptCount val="128"/>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pt idx="125">
                  <v>44866</v>
                </pt>
                <pt idx="126">
                  <v>44896</v>
                </pt>
                <pt idx="127">
                  <v>44927</v>
                </pt>
              </numCache>
            </numRef>
          </cat>
          <val>
            <numRef>
              <f>'Hong Kong'!$B$6:$B$133</f>
              <numCache>
                <formatCode>General</formatCode>
                <ptCount val="128"/>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pt idx="125">
                  <v>48.7</v>
                </pt>
                <pt idx="126">
                  <v>49.6</v>
                </pt>
                <pt idx="127">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Arabia'!$A$6:$A$99</f>
              <numCache>
                <formatCode>m/d/yyyy</formatCode>
                <ptCount val="94"/>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pt idx="91">
                  <v>44866</v>
                </pt>
                <pt idx="92">
                  <v>44896</v>
                </pt>
                <pt idx="93">
                  <v>44927</v>
                </pt>
              </numCache>
            </numRef>
          </cat>
          <val>
            <numRef>
              <f>'Saudi Arabia'!$B$6:$B$99</f>
              <numCache>
                <formatCode>General</formatCode>
                <ptCount val="94"/>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pt idx="91">
                  <v>58.5</v>
                </pt>
                <pt idx="92">
                  <v>56.9</v>
                </pt>
                <pt idx="9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NewZealand!$A$6:$A$251</f>
              <numCache>
                <formatCode>m/d/yyyy</formatCode>
                <ptCount val="24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pt idx="243">
                  <v>44866</v>
                </pt>
                <pt idx="244">
                  <v>44896</v>
                </pt>
                <pt idx="245">
                  <v>44927</v>
                </pt>
              </numCache>
            </numRef>
          </cat>
          <val>
            <numRef>
              <f>NewZealand!$B$6:$B$251</f>
              <numCache>
                <formatCode>0.00</formatCode>
                <ptCount val="24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pt idx="243">
                  <v>47.35</v>
                </pt>
                <pt idx="244">
                  <v>47.2</v>
                </pt>
                <pt idx="24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186</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202</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201</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3" headerRowCount="1" totalsRowShown="0" headerRowDxfId="264" dataDxfId="262" headerRowBorderDxfId="263" tableBorderDxfId="261" totalsRowBorderDxfId="260">
  <autoFilter ref="A5:D15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2" headerRowCount="1" totalsRowShown="0" headerRowDxfId="255" dataDxfId="253" headerRowBorderDxfId="254" tableBorderDxfId="252" totalsRowBorderDxfId="251">
  <autoFilter ref="A5:F222"/>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3" headerRowCount="1" totalsRowShown="0" headerRowDxfId="244" dataDxfId="242" headerRowBorderDxfId="243" tableBorderDxfId="241" totalsRowBorderDxfId="240">
  <autoFilter ref="A5:G22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5" headerRowCount="1" totalsRowShown="0" headerRowDxfId="232" dataDxfId="230" headerRowBorderDxfId="231" tableBorderDxfId="229" totalsRowBorderDxfId="228">
  <autoFilter ref="A5:C18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6" headerRowCount="1" totalsRowShown="0" headerRowDxfId="224" dataDxfId="222" headerRowBorderDxfId="223" tableBorderDxfId="221" totalsRowBorderDxfId="220">
  <autoFilter ref="A5:C18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9" headerRowCount="1" totalsRowShown="0" headerRowDxfId="216" dataDxfId="214" headerRowBorderDxfId="215" tableBorderDxfId="213" totalsRowBorderDxfId="212">
  <autoFilter ref="A5:C17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3" headerRowCount="1" totalsRowShown="0" headerRowDxfId="208" dataDxfId="206" headerRowBorderDxfId="207" tableBorderDxfId="205" totalsRowBorderDxfId="204">
  <autoFilter ref="A5:F22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9" headerRowCount="1" totalsRowShown="0" headerRowDxfId="197" dataDxfId="195" headerRowBorderDxfId="196" tableBorderDxfId="194" totalsRowBorderDxfId="193">
  <autoFilter ref="A5:C19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9" headerRowCount="1" totalsRowShown="0" headerRowDxfId="189" dataDxfId="187" headerRowBorderDxfId="188" tableBorderDxfId="186" totalsRowBorderDxfId="185">
  <autoFilter ref="A5:C19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3" headerRowCount="1" totalsRowShown="0" headerRowDxfId="181" dataDxfId="179" headerRowBorderDxfId="180" tableBorderDxfId="178" totalsRowBorderDxfId="177">
  <autoFilter ref="A5:C15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7" headerRowCount="1" totalsRowShown="0" headerRowDxfId="173" dataDxfId="171" headerRowBorderDxfId="172" tableBorderDxfId="170" totalsRowBorderDxfId="169">
  <autoFilter ref="A5:C14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3" headerRowCount="1" totalsRowShown="0" headerRowDxfId="165" dataDxfId="163" headerRowBorderDxfId="164" tableBorderDxfId="162" totalsRowBorderDxfId="161">
  <autoFilter ref="A5:C15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3" headerRowCount="1" totalsRowShown="0" headerRowDxfId="157" dataDxfId="155" headerRowBorderDxfId="156" tableBorderDxfId="154" totalsRowBorderDxfId="153">
  <autoFilter ref="A5:C153"/>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7" headerRowCount="1" totalsRowShown="0" headerRowDxfId="149" dataDxfId="147" headerRowBorderDxfId="148" tableBorderDxfId="146" totalsRowBorderDxfId="145">
  <autoFilter ref="A5:C14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2" headerRowCount="1" totalsRowShown="0" headerRowDxfId="141" dataDxfId="139" headerRowBorderDxfId="140" tableBorderDxfId="138" totalsRowBorderDxfId="137">
  <autoFilter ref="A5:C18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7" headerRowCount="1" totalsRowShown="0" headerRowDxfId="133" dataDxfId="131" headerRowBorderDxfId="132" tableBorderDxfId="130" totalsRowBorderDxfId="129">
  <autoFilter ref="A5:C14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51" headerRowCount="1" totalsRowShown="0" headerRowDxfId="125" dataDxfId="123" headerRowBorderDxfId="124" tableBorderDxfId="122" totalsRowBorderDxfId="121">
  <autoFilter ref="A5:C15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3" headerRowCount="1" totalsRowShown="0" headerRowDxfId="117" dataDxfId="115" headerRowBorderDxfId="116" tableBorderDxfId="114" totalsRowBorderDxfId="113">
  <autoFilter ref="A5:C15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3" headerRowCount="1" totalsRowShown="0" headerRowDxfId="109" dataDxfId="107" headerRowBorderDxfId="108" tableBorderDxfId="106" totalsRowBorderDxfId="105">
  <autoFilter ref="A5:C15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3" headerRowCount="1" totalsRowShown="0" headerRowDxfId="101" dataDxfId="99" headerRowBorderDxfId="100" tableBorderDxfId="98" totalsRowBorderDxfId="97">
  <autoFilter ref="A5:C15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3" headerRowCount="1" totalsRowShown="0" headerRowDxfId="93" dataDxfId="91" headerRowBorderDxfId="92" tableBorderDxfId="90" totalsRowBorderDxfId="89">
  <autoFilter ref="A5:C15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3" headerRowCount="1" totalsRowShown="0" headerRowDxfId="85" dataDxfId="83" headerRowBorderDxfId="84" tableBorderDxfId="82" totalsRowBorderDxfId="81">
  <autoFilter ref="A5:C15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3" headerRowCount="1" totalsRowShown="0" headerRowDxfId="77" dataDxfId="75" headerRowBorderDxfId="76" tableBorderDxfId="74" totalsRowBorderDxfId="73">
  <autoFilter ref="A5:C15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4" headerRowCount="1" totalsRowShown="0" headerRowDxfId="69" dataDxfId="67" headerRowBorderDxfId="68" tableBorderDxfId="66" totalsRowBorderDxfId="65">
  <autoFilter ref="A5:C35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2" headerRowCount="1" totalsRowShown="0" headerRowDxfId="61" dataDxfId="59" headerRowBorderDxfId="60" tableBorderDxfId="58" totalsRowBorderDxfId="57">
  <autoFilter ref="A5:C13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4" headerRowCount="1" totalsRowShown="0" headerRowDxfId="53" dataDxfId="51" headerRowBorderDxfId="52" tableBorderDxfId="50" totalsRowBorderDxfId="49">
  <autoFilter ref="A5:C84"/>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2" headerRowCount="1" totalsRowShown="0" headerRowDxfId="45" dataDxfId="43" headerRowBorderDxfId="44" tableBorderDxfId="42" totalsRowBorderDxfId="41">
  <autoFilter ref="A5:C28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3" headerRowCount="1" totalsRowShown="0" headerRowDxfId="37" dataDxfId="35" headerRowBorderDxfId="36" tableBorderDxfId="34" totalsRowBorderDxfId="33">
  <autoFilter ref="A5:C133"/>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9" headerRowCount="1" totalsRowShown="0" headerRowDxfId="29" dataDxfId="27" headerRowBorderDxfId="28" tableBorderDxfId="26" totalsRowBorderDxfId="25">
  <autoFilter ref="A5:C99"/>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51" headerRowCount="1" totalsRowShown="0" headerRowDxfId="21" dataDxfId="19" headerRowBorderDxfId="20" tableBorderDxfId="18" totalsRowBorderDxfId="17">
  <autoFilter ref="A5:C25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H345" sqref="H345"/>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74"/>
    <col width="9.1796875" customWidth="1" style="69" min="75"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1" t="n"/>
      <c r="D3" s="71" t="n"/>
      <c r="E3" s="71" t="n"/>
      <c r="F3" s="71" t="n"/>
      <c r="G3" s="71" t="n"/>
      <c r="H3" s="71" t="n"/>
      <c r="I3" s="71" t="n"/>
      <c r="J3" s="72" t="n"/>
    </row>
    <row r="5">
      <c r="B5" s="66" t="inlineStr">
        <is>
          <t>Definition</t>
        </is>
      </c>
      <c r="C5" s="76" t="n"/>
      <c r="D5" s="76" t="n"/>
      <c r="E5" s="76" t="n"/>
      <c r="F5" s="76" t="n"/>
      <c r="G5" s="76" t="n"/>
      <c r="H5" s="76" t="n"/>
      <c r="I5" s="76" t="n"/>
      <c r="J5" s="67" t="n"/>
    </row>
    <row r="7" ht="225.75" customHeight="1">
      <c r="B7" s="7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68" t="n"/>
      <c r="D8" s="68" t="n"/>
      <c r="E8" s="68" t="n"/>
      <c r="F8" s="68" t="n"/>
      <c r="G8" s="68" t="n"/>
      <c r="H8" s="68" t="n"/>
      <c r="I8" s="68" t="n"/>
      <c r="J8" s="68" t="n"/>
    </row>
    <row r="9" ht="16" customHeight="1" thickBot="1">
      <c r="B9" s="2" t="n"/>
      <c r="C9" s="3" t="n"/>
      <c r="D9" s="3" t="n"/>
      <c r="E9" s="3" t="n"/>
    </row>
    <row r="10" ht="16" customHeight="1" thickBot="1">
      <c r="B10" s="66" t="inlineStr">
        <is>
          <t>Process / TO DO LIST</t>
        </is>
      </c>
      <c r="C10" s="76" t="n"/>
      <c r="D10" s="76" t="n"/>
      <c r="E10" s="76" t="n"/>
      <c r="F10" s="76" t="n"/>
      <c r="G10" s="76" t="n"/>
      <c r="H10" s="76" t="n"/>
      <c r="I10" s="76" t="n"/>
      <c r="J10" s="67" t="n"/>
      <c r="N10" s="70" t="inlineStr">
        <is>
          <t>Summary</t>
        </is>
      </c>
      <c r="O10" s="71" t="n"/>
      <c r="P10" s="71" t="n"/>
      <c r="Q10" s="71" t="n"/>
      <c r="R10" s="71" t="n"/>
      <c r="S10" s="72" t="n"/>
    </row>
    <row r="11">
      <c r="N11" s="4" t="inlineStr">
        <is>
          <t>* input new month</t>
        </is>
      </c>
    </row>
    <row r="12" ht="16" customHeight="1" thickBot="1">
      <c r="B12" s="66" t="inlineStr">
        <is>
          <t>TO DO LIST</t>
        </is>
      </c>
      <c r="C12" s="76" t="n"/>
      <c r="D12" s="76" t="n"/>
      <c r="E12" s="76" t="n"/>
      <c r="F12" s="67" t="n"/>
      <c r="G12" s="66" t="inlineStr">
        <is>
          <t>Comments</t>
        </is>
      </c>
      <c r="H12" s="76" t="n"/>
      <c r="I12" s="76" t="n"/>
      <c r="J12" s="67" t="n"/>
    </row>
    <row r="13">
      <c r="P13" s="5" t="n">
        <v>44896</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68"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68"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78" t="n"/>
    </row>
    <row r="45">
      <c r="B45" s="68" t="n"/>
    </row>
    <row r="46">
      <c r="B46" s="79"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2"/>
  <sheetViews>
    <sheetView zoomScale="160" zoomScaleNormal="160" workbookViewId="0">
      <pane ySplit="1" topLeftCell="A346"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I350" t="n">
        <v>54.7</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T351" t="n">
        <v>56.9</v>
      </c>
      <c r="U351" t="n">
        <v>48.5</v>
      </c>
      <c r="V351" t="n">
        <v>48.9</v>
      </c>
      <c r="W351" t="n">
        <v>50.8</v>
      </c>
      <c r="X351" t="n">
        <v>51.6</v>
      </c>
      <c r="Y351" t="n">
        <v>47.3</v>
      </c>
      <c r="Z351" t="n">
        <v>47.8</v>
      </c>
      <c r="AA351" t="n">
        <v>51.3</v>
      </c>
      <c r="AB351" t="n">
        <v>42.1</v>
      </c>
      <c r="AC351" t="n">
        <v>48.6</v>
      </c>
      <c r="AD351" t="n">
        <v>47.2</v>
      </c>
      <c r="AF351" t="n">
        <v>50</v>
      </c>
      <c r="AG351" t="n">
        <v>53.1</v>
      </c>
      <c r="AH351" t="n">
        <v>45.6</v>
      </c>
      <c r="AI351" t="n">
        <v>56.3</v>
      </c>
      <c r="AJ351" t="n">
        <v>49.6</v>
      </c>
      <c r="AK351" t="n">
        <v>53</v>
      </c>
      <c r="AL351" t="n">
        <v>56.9</v>
      </c>
      <c r="AM351" t="n">
        <v>49.7</v>
      </c>
      <c r="AN351" t="n">
        <v>53.1</v>
      </c>
      <c r="AO351" t="n">
        <v>48.2</v>
      </c>
      <c r="AP351" t="n">
        <v>46.4</v>
      </c>
      <c r="AQ351" t="n">
        <v>44.8</v>
      </c>
      <c r="AR351" t="n">
        <v>45.9</v>
      </c>
      <c r="AS351" t="n">
        <v>54.1</v>
      </c>
      <c r="AT351" t="n">
        <v>44.6</v>
      </c>
      <c r="AU351" t="n">
        <v>52.5</v>
      </c>
      <c r="AV351" t="n">
        <v>48.1</v>
      </c>
      <c r="AW351" t="n">
        <v>54.2</v>
      </c>
      <c r="AX351" t="n">
        <v>45.3</v>
      </c>
      <c r="AY351" t="n">
        <v>46.2</v>
      </c>
      <c r="AZ351" t="n">
        <v>46.4</v>
      </c>
      <c r="BA351" t="n">
        <v>48.6</v>
      </c>
    </row>
    <row r="352">
      <c r="A352" s="81" t="n">
        <v>44927</v>
      </c>
      <c r="C352" t="n">
        <v>48.4</v>
      </c>
      <c r="D352" t="n">
        <v>47.5</v>
      </c>
      <c r="E352" t="n">
        <v>51</v>
      </c>
      <c r="F352" t="n">
        <v>49.2</v>
      </c>
      <c r="G352" t="n">
        <v>48.5</v>
      </c>
      <c r="H352" t="n">
        <v>44.6</v>
      </c>
      <c r="I352" t="n">
        <v>54.9</v>
      </c>
      <c r="J352" t="n">
        <v>45.5</v>
      </c>
      <c r="K352" t="n">
        <v>48.8</v>
      </c>
      <c r="L352" t="n">
        <v>50.5</v>
      </c>
      <c r="M352" t="n">
        <v>47.3</v>
      </c>
      <c r="N352" t="n">
        <v>49.2</v>
      </c>
      <c r="O352" t="n">
        <v>51.2</v>
      </c>
      <c r="P352" t="n">
        <v>55</v>
      </c>
      <c r="Q352" t="n">
        <v>55.4</v>
      </c>
      <c r="R352" t="n">
        <v>51.3</v>
      </c>
      <c r="S352" t="n">
        <v>50.1</v>
      </c>
      <c r="U352" t="n">
        <v>50.4</v>
      </c>
      <c r="V352" t="n">
        <v>48.9</v>
      </c>
      <c r="W352" t="n">
        <v>50</v>
      </c>
      <c r="X352" t="n">
        <v>52</v>
      </c>
      <c r="Y352" t="n">
        <v>47.7</v>
      </c>
      <c r="Z352" t="n">
        <v>46.5</v>
      </c>
      <c r="AA352" t="n">
        <v>48.9</v>
      </c>
      <c r="AB352" t="n">
        <v>49.6</v>
      </c>
      <c r="AC352" t="n">
        <v>49.6</v>
      </c>
      <c r="AD352" t="n">
        <v>50.8</v>
      </c>
      <c r="AF352" t="n">
        <v>50</v>
      </c>
      <c r="AG352" t="n">
        <v>53.5</v>
      </c>
      <c r="AH352" t="n">
        <v>47.5</v>
      </c>
      <c r="AJ352" t="n">
        <v>45.7</v>
      </c>
      <c r="AK352" t="n">
        <v>52.6</v>
      </c>
      <c r="AL352" t="n">
        <v>58.2</v>
      </c>
      <c r="AM352" t="n">
        <v>49.8</v>
      </c>
      <c r="AN352" t="n">
        <v>53</v>
      </c>
      <c r="AO352" t="n">
        <v>48.5</v>
      </c>
      <c r="AP352" t="n">
        <v>48.4</v>
      </c>
      <c r="AR352" t="n">
        <v>46.8</v>
      </c>
      <c r="AS352" t="n">
        <v>49.3</v>
      </c>
      <c r="AT352" t="n">
        <v>44.3</v>
      </c>
      <c r="AU352" t="n">
        <v>54.5</v>
      </c>
      <c r="AV352" t="n">
        <v>50.1</v>
      </c>
      <c r="AW352" t="n">
        <v>54.1</v>
      </c>
      <c r="AX352" t="n">
        <v>47</v>
      </c>
      <c r="AY352" t="n">
        <v>46.9</v>
      </c>
      <c r="AZ352" t="n">
        <v>47.4</v>
      </c>
      <c r="BA352" t="n">
        <v>49.1</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9"/>
  <sheetViews>
    <sheetView zoomScale="110" zoomScaleNormal="110" workbookViewId="0">
      <pane ySplit="1" topLeftCell="A325" activePane="bottomLeft" state="frozen"/>
      <selection activeCell="H345" sqref="H345"/>
      <selection pane="bottomLeft" activeCell="H345" sqref="H345"/>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0.005782602280502864</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0.003505802642465175</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0.003599863385537931</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0.001283492734850403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0.006918002573361151</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0.005161014302427137</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0.002551921926102155</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0.0121862726920289</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0.004390255407174725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0.006037199730703739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0.001237609536299537</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0.01109784647093368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0.004517782633251983</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0.01134233033457979</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0.0008252611015844506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0.001039935151126742</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0.001395517854568617</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0.0008971499667636482</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0.005166330656649462</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0.005062027187878806</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0.006132016607897676</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21.58071708679199</v>
      </c>
      <c r="E121" t="n">
        <v>18.00842094421387</v>
      </c>
      <c r="F121" t="n">
        <v/>
      </c>
    </row>
    <row r="122">
      <c r="A122" s="81" t="n">
        <v>38353</v>
      </c>
      <c r="B122" t="n">
        <v/>
      </c>
      <c r="C122" t="n">
        <v/>
      </c>
      <c r="D122" t="n">
        <v>21.49020195007324</v>
      </c>
      <c r="E122" t="n">
        <v>17.90952301025391</v>
      </c>
      <c r="F122" t="n">
        <v>0.002079008425802162</v>
      </c>
    </row>
    <row r="123">
      <c r="A123" s="81" t="n">
        <v>38384</v>
      </c>
      <c r="B123" t="n">
        <v/>
      </c>
      <c r="C123" t="n">
        <v/>
      </c>
      <c r="D123" t="n">
        <v>22.42548179626465</v>
      </c>
      <c r="E123" t="n">
        <v>18.85319900512695</v>
      </c>
      <c r="F123" t="n">
        <v/>
      </c>
    </row>
    <row r="124">
      <c r="A124" s="81" t="n">
        <v>38412</v>
      </c>
      <c r="B124" t="n">
        <v/>
      </c>
      <c r="C124" t="n">
        <v/>
      </c>
      <c r="D124" t="n">
        <v>21.88368797302246</v>
      </c>
      <c r="E124" t="n">
        <v>18.39657592773438</v>
      </c>
      <c r="F124" t="n">
        <v/>
      </c>
    </row>
    <row r="125">
      <c r="A125" s="81" t="n">
        <v>38443</v>
      </c>
      <c r="B125" t="n">
        <v/>
      </c>
      <c r="C125" t="n">
        <v/>
      </c>
      <c r="D125" t="n">
        <v>21.12698936462402</v>
      </c>
      <c r="E125" t="n">
        <v>18.17334175109863</v>
      </c>
      <c r="F125" t="n">
        <v>0.006154369590930122</v>
      </c>
    </row>
    <row r="126">
      <c r="A126" s="81" t="n">
        <v>38473</v>
      </c>
      <c r="B126" t="n">
        <v/>
      </c>
      <c r="C126" t="n">
        <v/>
      </c>
      <c r="D126" t="n">
        <v>21.22082138061523</v>
      </c>
      <c r="E126" t="n">
        <v>18.03128623962402</v>
      </c>
      <c r="F126" t="n">
        <v/>
      </c>
    </row>
    <row r="127">
      <c r="A127" s="81" t="n">
        <v>38504</v>
      </c>
      <c r="B127" t="n">
        <v/>
      </c>
      <c r="C127" t="n">
        <v/>
      </c>
      <c r="D127" t="n">
        <v>21.53257942199707</v>
      </c>
      <c r="E127" t="n">
        <v>18.23422813415527</v>
      </c>
      <c r="F127" t="n">
        <v/>
      </c>
    </row>
    <row r="128">
      <c r="A128" s="81" t="n">
        <v>38534</v>
      </c>
      <c r="B128" t="n">
        <v/>
      </c>
      <c r="C128" t="n">
        <v/>
      </c>
      <c r="D128" t="n">
        <v>22.51326179504395</v>
      </c>
      <c r="E128" t="n">
        <v>18.36613845825195</v>
      </c>
      <c r="F128" t="n">
        <v>0.00732764268577181</v>
      </c>
    </row>
    <row r="129">
      <c r="A129" s="81" t="n">
        <v>38565</v>
      </c>
      <c r="B129" t="n">
        <v/>
      </c>
      <c r="C129" t="n">
        <v/>
      </c>
      <c r="D129" t="n">
        <v>22.88253211975098</v>
      </c>
      <c r="E129" t="n">
        <v>19.09672355651855</v>
      </c>
      <c r="F129" t="n">
        <v/>
      </c>
    </row>
    <row r="130">
      <c r="A130" s="81" t="n">
        <v>38596</v>
      </c>
      <c r="B130" t="n">
        <v/>
      </c>
      <c r="C130" t="n">
        <v/>
      </c>
      <c r="D130" t="n">
        <v>23.28206253051758</v>
      </c>
      <c r="E130" t="n">
        <v>19.2387866973877</v>
      </c>
      <c r="F130" t="n">
        <v/>
      </c>
    </row>
    <row r="131">
      <c r="A131" s="81" t="n">
        <v>38626</v>
      </c>
      <c r="B131" t="n">
        <v/>
      </c>
      <c r="C131" t="n">
        <v/>
      </c>
      <c r="D131" t="n">
        <v>22.4042911529541</v>
      </c>
      <c r="E131" t="n">
        <v>18.77202415466309</v>
      </c>
      <c r="F131" t="n">
        <v>0.006390846493875452</v>
      </c>
    </row>
    <row r="132">
      <c r="A132" s="81" t="n">
        <v>38657</v>
      </c>
      <c r="B132" t="n">
        <v/>
      </c>
      <c r="C132" t="n">
        <v/>
      </c>
      <c r="D132" t="n">
        <v>22.8159351348877</v>
      </c>
      <c r="E132" t="n">
        <v>18.80246162414551</v>
      </c>
      <c r="F132" t="n">
        <v/>
      </c>
    </row>
    <row r="133">
      <c r="A133" s="81" t="n">
        <v>38687</v>
      </c>
      <c r="B133" t="n">
        <v/>
      </c>
      <c r="C133" t="n">
        <v/>
      </c>
      <c r="D133" t="n">
        <v>23.50302124023438</v>
      </c>
      <c r="E133" t="n">
        <v>18.85319900512695</v>
      </c>
      <c r="F133" t="n">
        <v/>
      </c>
    </row>
    <row r="134">
      <c r="A134" s="81" t="n">
        <v>38718</v>
      </c>
      <c r="B134" t="n">
        <v/>
      </c>
      <c r="C134" t="n">
        <v/>
      </c>
      <c r="D134" t="n">
        <v>25.51088905334473</v>
      </c>
      <c r="E134" t="n">
        <v>20.61869049072266</v>
      </c>
      <c r="F134" t="n">
        <v>0.008731075876649541</v>
      </c>
    </row>
    <row r="135">
      <c r="A135" s="81" t="n">
        <v>38749</v>
      </c>
      <c r="B135" t="n">
        <v/>
      </c>
      <c r="C135" t="n">
        <v/>
      </c>
      <c r="D135" t="n">
        <v>25.69558143615723</v>
      </c>
      <c r="E135" t="n">
        <v>20.50362396240234</v>
      </c>
      <c r="F135" t="n">
        <v/>
      </c>
    </row>
    <row r="136">
      <c r="A136" s="81" t="n">
        <v>38777</v>
      </c>
      <c r="B136" t="n">
        <v/>
      </c>
      <c r="C136" t="n">
        <v/>
      </c>
      <c r="D136" t="n">
        <v>26.82521057128906</v>
      </c>
      <c r="E136" t="n">
        <v>21.08943557739258</v>
      </c>
      <c r="F136" t="n">
        <v/>
      </c>
    </row>
    <row r="137">
      <c r="A137" s="81" t="n">
        <v>38808</v>
      </c>
      <c r="B137" t="n">
        <v/>
      </c>
      <c r="C137" t="n">
        <v/>
      </c>
      <c r="D137" t="n">
        <v>28.02565574645996</v>
      </c>
      <c r="E137" t="n">
        <v>22.43890571594238</v>
      </c>
      <c r="F137" t="n">
        <v>0.01104205733804205</v>
      </c>
    </row>
    <row r="138">
      <c r="A138" s="81" t="n">
        <v>38838</v>
      </c>
      <c r="B138" t="n">
        <v/>
      </c>
      <c r="C138" t="n">
        <v/>
      </c>
      <c r="D138" t="n">
        <v>27.02837371826172</v>
      </c>
      <c r="E138" t="n">
        <v>21.84263038635254</v>
      </c>
      <c r="F138" t="n">
        <v/>
      </c>
    </row>
    <row r="139">
      <c r="A139" s="81" t="n">
        <v>38869</v>
      </c>
      <c r="B139" t="n">
        <v/>
      </c>
      <c r="C139" t="n">
        <v/>
      </c>
      <c r="D139" t="n">
        <v>27.10532379150391</v>
      </c>
      <c r="E139" t="n">
        <v>22.02047157287598</v>
      </c>
      <c r="F139" t="n">
        <v/>
      </c>
    </row>
    <row r="140">
      <c r="A140" s="81" t="n">
        <v>38899</v>
      </c>
      <c r="B140" t="n">
        <v/>
      </c>
      <c r="C140" t="n">
        <v/>
      </c>
      <c r="D140" t="n">
        <v>27.42852210998535</v>
      </c>
      <c r="E140" t="n">
        <v>22.59582901000977</v>
      </c>
      <c r="F140" t="n">
        <v>0.005944216053640459</v>
      </c>
    </row>
    <row r="141">
      <c r="A141" s="81" t="n">
        <v>38930</v>
      </c>
      <c r="B141" t="n">
        <v/>
      </c>
      <c r="C141" t="n">
        <v/>
      </c>
      <c r="D141" t="n">
        <v>28.49352836608887</v>
      </c>
      <c r="E141" t="n">
        <v>23.08749580383301</v>
      </c>
      <c r="F141" t="n">
        <v/>
      </c>
    </row>
    <row r="142">
      <c r="A142" s="81" t="n">
        <v>38961</v>
      </c>
      <c r="B142" t="n">
        <v/>
      </c>
      <c r="C142" t="n">
        <v/>
      </c>
      <c r="D142" t="n">
        <v>28.9921703338623</v>
      </c>
      <c r="E142" t="n">
        <v>22.89919853210449</v>
      </c>
      <c r="F142" t="n">
        <v/>
      </c>
    </row>
    <row r="143">
      <c r="A143" s="81" t="n">
        <v>38991</v>
      </c>
      <c r="B143" t="n">
        <v/>
      </c>
      <c r="C143" t="n">
        <v/>
      </c>
      <c r="D143" t="n">
        <v>29.98023223876953</v>
      </c>
      <c r="E143" t="n">
        <v>23.95576095581055</v>
      </c>
      <c r="F143" t="n">
        <v>0.01173616137797801</v>
      </c>
    </row>
    <row r="144">
      <c r="A144" s="81" t="n">
        <v>39022</v>
      </c>
      <c r="B144" t="n">
        <v/>
      </c>
      <c r="C144" t="n">
        <v/>
      </c>
      <c r="D144" t="n">
        <v>31.36534690856934</v>
      </c>
      <c r="E144" t="n">
        <v>24.63571929931641</v>
      </c>
      <c r="F144" t="n">
        <v/>
      </c>
    </row>
    <row r="145">
      <c r="A145" s="81" t="n">
        <v>39052</v>
      </c>
      <c r="B145" t="n">
        <v/>
      </c>
      <c r="C145" t="n">
        <v/>
      </c>
      <c r="D145" t="n">
        <v>31.81166458129883</v>
      </c>
      <c r="E145" t="n">
        <v>24.48927688598633</v>
      </c>
      <c r="F145" t="n">
        <v/>
      </c>
    </row>
    <row r="146">
      <c r="A146" s="81" t="n">
        <v>39083</v>
      </c>
      <c r="B146" t="n">
        <v/>
      </c>
      <c r="C146" t="n">
        <v/>
      </c>
      <c r="D146" t="n">
        <v>32.85492324829102</v>
      </c>
      <c r="E146" t="n">
        <v>25.51085662841797</v>
      </c>
      <c r="F146" t="n">
        <v>0.006000641049218996</v>
      </c>
    </row>
    <row r="147">
      <c r="A147" s="81" t="n">
        <v>39114</v>
      </c>
      <c r="B147" t="n">
        <v/>
      </c>
      <c r="C147" t="n">
        <v/>
      </c>
      <c r="D147" t="n">
        <v>32.5572395324707</v>
      </c>
      <c r="E147" t="n">
        <v>25.13204574584961</v>
      </c>
      <c r="F147" t="n">
        <v/>
      </c>
    </row>
    <row r="148">
      <c r="A148" s="81" t="n">
        <v>39142</v>
      </c>
      <c r="B148" t="n">
        <v/>
      </c>
      <c r="C148" t="n">
        <v/>
      </c>
      <c r="D148" t="n">
        <v>33.91091918945312</v>
      </c>
      <c r="E148" t="n">
        <v>26.05204010009766</v>
      </c>
      <c r="F148" t="n">
        <v/>
      </c>
    </row>
    <row r="149">
      <c r="A149" s="81" t="n">
        <v>39173</v>
      </c>
      <c r="B149" t="n">
        <v/>
      </c>
      <c r="C149" t="n">
        <v/>
      </c>
      <c r="D149" t="n">
        <v>36.03544235229492</v>
      </c>
      <c r="E149" t="n">
        <v>26.89626693725586</v>
      </c>
      <c r="F149" t="n">
        <v>0.007220810725550743</v>
      </c>
    </row>
    <row r="150">
      <c r="A150" s="81" t="n">
        <v>39203</v>
      </c>
      <c r="B150" t="n">
        <v/>
      </c>
      <c r="C150" t="n">
        <v/>
      </c>
      <c r="D150" t="n">
        <v>37.39852905273438</v>
      </c>
      <c r="E150" t="n">
        <v>27.46990776062012</v>
      </c>
      <c r="F150" t="n">
        <v/>
      </c>
    </row>
    <row r="151">
      <c r="A151" s="81" t="n">
        <v>39234</v>
      </c>
      <c r="B151" t="n">
        <v/>
      </c>
      <c r="C151" t="n">
        <v/>
      </c>
      <c r="D151" t="n">
        <v>36.97549819946289</v>
      </c>
      <c r="E151" t="n">
        <v>27.65390396118164</v>
      </c>
      <c r="F151" t="n">
        <v/>
      </c>
    </row>
    <row r="152">
      <c r="A152" s="81" t="n">
        <v>39264</v>
      </c>
      <c r="B152" t="n">
        <v/>
      </c>
      <c r="C152" t="n">
        <v/>
      </c>
      <c r="D152" t="n">
        <v>35.81295776367188</v>
      </c>
      <c r="E152" t="n">
        <v>26.72309494018555</v>
      </c>
      <c r="F152" t="n">
        <v>0.004513588218056784</v>
      </c>
    </row>
    <row r="153">
      <c r="A153" s="81" t="n">
        <v>39295</v>
      </c>
      <c r="B153" t="n">
        <v/>
      </c>
      <c r="C153" t="n">
        <v/>
      </c>
      <c r="D153" t="n">
        <v>35.80356597900391</v>
      </c>
      <c r="E153" t="n">
        <v>26.77721214294434</v>
      </c>
      <c r="F153" t="n">
        <v/>
      </c>
    </row>
    <row r="154">
      <c r="A154" s="81" t="n">
        <v>39326</v>
      </c>
      <c r="B154" t="n">
        <v/>
      </c>
      <c r="C154" t="n">
        <v/>
      </c>
      <c r="D154" t="n">
        <v>37.88422775268555</v>
      </c>
      <c r="E154" t="n">
        <v>27.84872627258301</v>
      </c>
      <c r="F154" t="n">
        <v/>
      </c>
    </row>
    <row r="155">
      <c r="A155" s="81" t="n">
        <v>39356</v>
      </c>
      <c r="B155" t="n">
        <v/>
      </c>
      <c r="C155" t="n">
        <v/>
      </c>
      <c r="D155" t="n">
        <v>39.76118469238281</v>
      </c>
      <c r="E155" t="n">
        <v>29.46142387390137</v>
      </c>
      <c r="F155" t="n">
        <v>0.005090836146678046</v>
      </c>
    </row>
    <row r="156">
      <c r="A156" s="81" t="n">
        <v>39387</v>
      </c>
      <c r="B156" t="n">
        <v/>
      </c>
      <c r="C156" t="n">
        <v/>
      </c>
      <c r="D156" t="n">
        <v>38.6581916809082</v>
      </c>
      <c r="E156" t="n">
        <v>27.72966766357422</v>
      </c>
      <c r="F156" t="n">
        <v/>
      </c>
    </row>
    <row r="157">
      <c r="A157" s="81" t="n">
        <v>39417</v>
      </c>
      <c r="B157" t="n">
        <v/>
      </c>
      <c r="C157" t="n">
        <v/>
      </c>
      <c r="D157" t="n">
        <v>37.38912200927734</v>
      </c>
      <c r="E157" t="n">
        <v>26.06285858154297</v>
      </c>
      <c r="F157" t="n">
        <v/>
      </c>
    </row>
    <row r="158">
      <c r="A158" s="81" t="n">
        <v>39448</v>
      </c>
      <c r="B158" t="n">
        <v/>
      </c>
      <c r="C158" t="n">
        <v/>
      </c>
      <c r="D158" t="n">
        <v>34.38788986206055</v>
      </c>
      <c r="E158" t="n">
        <v>24.8206958770752</v>
      </c>
      <c r="F158" t="n">
        <v>0.005170018134278373</v>
      </c>
    </row>
    <row r="159">
      <c r="A159" s="81" t="n">
        <v>39479</v>
      </c>
      <c r="B159" t="n">
        <v/>
      </c>
      <c r="C159" t="n">
        <v/>
      </c>
      <c r="D159" t="n">
        <v>34.10507202148438</v>
      </c>
      <c r="E159" t="n">
        <v>24.52948188781738</v>
      </c>
      <c r="F159" t="n">
        <v/>
      </c>
    </row>
    <row r="160">
      <c r="A160" s="81" t="n">
        <v>39508</v>
      </c>
      <c r="B160" t="n">
        <v/>
      </c>
      <c r="C160" t="n">
        <v/>
      </c>
      <c r="D160" t="n">
        <v>34.96638107299805</v>
      </c>
      <c r="E160" t="n">
        <v>24.14866256713867</v>
      </c>
      <c r="F160" t="n">
        <v/>
      </c>
    </row>
    <row r="161">
      <c r="A161" s="81" t="n">
        <v>39539</v>
      </c>
      <c r="B161" t="n">
        <v/>
      </c>
      <c r="C161" t="n">
        <v/>
      </c>
      <c r="D161" t="n">
        <v>36.36118316650391</v>
      </c>
      <c r="E161" t="n">
        <v>25.58234405517578</v>
      </c>
      <c r="F161" t="n">
        <v>-0.003375135400820901</v>
      </c>
    </row>
    <row r="162">
      <c r="A162" s="81" t="n">
        <v>39569</v>
      </c>
      <c r="B162" t="n">
        <v/>
      </c>
      <c r="C162" t="n">
        <v/>
      </c>
      <c r="D162" t="n">
        <v>36.79182052612305</v>
      </c>
      <c r="E162" t="n">
        <v>25.52634620666504</v>
      </c>
      <c r="F162" t="n">
        <v/>
      </c>
    </row>
    <row r="163">
      <c r="A163" s="81" t="n">
        <v>39600</v>
      </c>
      <c r="B163" t="n">
        <v/>
      </c>
      <c r="C163" t="n">
        <v/>
      </c>
      <c r="D163" t="n">
        <v>31.49223518371582</v>
      </c>
      <c r="E163" t="n">
        <v>23.20780181884766</v>
      </c>
      <c r="F163" t="n">
        <v/>
      </c>
    </row>
    <row r="164">
      <c r="A164" s="81" t="n">
        <v>39630</v>
      </c>
      <c r="B164" t="n">
        <v/>
      </c>
      <c r="C164" t="n">
        <v/>
      </c>
      <c r="D164" t="n">
        <v>31.85245132446289</v>
      </c>
      <c r="E164" t="n">
        <v>22.76375198364258</v>
      </c>
      <c r="F164" t="n">
        <v>-0.005284995408960556</v>
      </c>
    </row>
    <row r="165">
      <c r="A165" s="81" t="n">
        <v>39661</v>
      </c>
      <c r="B165" t="n">
        <v/>
      </c>
      <c r="C165" t="n">
        <v/>
      </c>
      <c r="D165" t="n">
        <v>30.59967231750488</v>
      </c>
      <c r="E165" t="n">
        <v>21.99617385864258</v>
      </c>
      <c r="F165" t="n">
        <v/>
      </c>
    </row>
    <row r="166">
      <c r="A166" s="81" t="n">
        <v>39692</v>
      </c>
      <c r="B166" t="n">
        <v/>
      </c>
      <c r="C166" t="n">
        <v/>
      </c>
      <c r="D166" t="n">
        <v>26.46817970275879</v>
      </c>
      <c r="E166" t="n">
        <v>19.07480621337891</v>
      </c>
      <c r="F166" t="n">
        <v/>
      </c>
    </row>
    <row r="167">
      <c r="A167" s="81" t="n">
        <v>39722</v>
      </c>
      <c r="B167" t="n">
        <v/>
      </c>
      <c r="C167" t="n">
        <v/>
      </c>
      <c r="D167" t="n">
        <v>19.96442031860352</v>
      </c>
      <c r="E167" t="n">
        <v>15.30566787719727</v>
      </c>
      <c r="F167" t="n">
        <v>-0.01820969430111454</v>
      </c>
    </row>
    <row r="168">
      <c r="A168" s="81" t="n">
        <v>39753</v>
      </c>
      <c r="B168" t="n">
        <v/>
      </c>
      <c r="C168" t="n">
        <v/>
      </c>
      <c r="D168" t="n">
        <v>18.47842025756836</v>
      </c>
      <c r="E168" t="n">
        <v>14.32042694091797</v>
      </c>
      <c r="F168" t="n">
        <v/>
      </c>
    </row>
    <row r="169">
      <c r="A169" s="81" t="n">
        <v>39783</v>
      </c>
      <c r="B169" t="n">
        <v/>
      </c>
      <c r="C169" t="n">
        <v/>
      </c>
      <c r="D169" t="n">
        <v>20.39756011962891</v>
      </c>
      <c r="E169" t="n">
        <v>14.03401756286621</v>
      </c>
      <c r="F169" t="n">
        <v/>
      </c>
    </row>
    <row r="170">
      <c r="A170" s="81" t="n">
        <v>39814</v>
      </c>
      <c r="B170" t="n">
        <v/>
      </c>
      <c r="C170" t="n">
        <v/>
      </c>
      <c r="D170" t="n">
        <v>17.20463562011719</v>
      </c>
      <c r="E170" t="n">
        <v>13.08317470550537</v>
      </c>
      <c r="F170" t="n">
        <v>-0.03093592353041948</v>
      </c>
    </row>
    <row r="171">
      <c r="A171" s="81" t="n">
        <v>39845</v>
      </c>
      <c r="B171" t="n">
        <v/>
      </c>
      <c r="C171" t="n">
        <v/>
      </c>
      <c r="D171" t="n">
        <v>15.12786674499512</v>
      </c>
      <c r="E171" t="n">
        <v>11.81021404266357</v>
      </c>
      <c r="F171" t="n">
        <v/>
      </c>
    </row>
    <row r="172">
      <c r="A172" s="81" t="n">
        <v>39873</v>
      </c>
      <c r="B172" t="n">
        <v/>
      </c>
      <c r="C172" t="n">
        <v/>
      </c>
      <c r="D172" t="n">
        <v>16.62775611877441</v>
      </c>
      <c r="E172" t="n">
        <v>12.35240077972412</v>
      </c>
      <c r="F172" t="n">
        <v/>
      </c>
    </row>
    <row r="173">
      <c r="A173" s="81" t="n">
        <v>39904</v>
      </c>
      <c r="B173" t="n">
        <v/>
      </c>
      <c r="C173" t="n">
        <v/>
      </c>
      <c r="D173" t="n">
        <v>19.06422996520996</v>
      </c>
      <c r="E173" t="n">
        <v>13.8257303237915</v>
      </c>
      <c r="F173" t="n">
        <v>-0.0002480053371022923</v>
      </c>
    </row>
    <row r="174">
      <c r="A174" s="81" t="n">
        <v>39934</v>
      </c>
      <c r="B174" t="n">
        <v/>
      </c>
      <c r="C174" t="n">
        <v/>
      </c>
      <c r="D174" t="n">
        <v>21.58215141296387</v>
      </c>
      <c r="E174" t="n">
        <v>16.18305969238281</v>
      </c>
      <c r="F174" t="n">
        <v/>
      </c>
    </row>
    <row r="175">
      <c r="A175" s="81" t="n">
        <v>39965</v>
      </c>
      <c r="B175" t="n">
        <v/>
      </c>
      <c r="C175" t="n">
        <v/>
      </c>
      <c r="D175" t="n">
        <v>20.5709114074707</v>
      </c>
      <c r="E175" t="n">
        <v>15.57015705108643</v>
      </c>
      <c r="F175" t="n">
        <v/>
      </c>
    </row>
    <row r="176">
      <c r="A176" s="81" t="n">
        <v>39995</v>
      </c>
      <c r="B176" t="n">
        <v/>
      </c>
      <c r="C176" t="n">
        <v/>
      </c>
      <c r="D176" t="n">
        <v>23.37083053588867</v>
      </c>
      <c r="E176" t="n">
        <v>17.19696807861328</v>
      </c>
      <c r="F176" t="n">
        <v>0.004024979403741463</v>
      </c>
    </row>
    <row r="177">
      <c r="A177" s="81" t="n">
        <v>40026</v>
      </c>
      <c r="B177" t="n">
        <v/>
      </c>
      <c r="C177" t="n">
        <v/>
      </c>
      <c r="D177" t="n">
        <v>24.83281326293945</v>
      </c>
      <c r="E177" t="n">
        <v>17.94101333618164</v>
      </c>
      <c r="F177" t="n">
        <v/>
      </c>
    </row>
    <row r="178">
      <c r="A178" s="81" t="n">
        <v>40057</v>
      </c>
      <c r="B178" t="n">
        <v/>
      </c>
      <c r="C178" t="n">
        <v/>
      </c>
      <c r="D178" t="n">
        <v>26.46187973022461</v>
      </c>
      <c r="E178" t="n">
        <v>18.61305236816406</v>
      </c>
      <c r="F178" t="n">
        <v/>
      </c>
    </row>
    <row r="179">
      <c r="A179" s="81" t="n">
        <v>40087</v>
      </c>
      <c r="B179" t="n">
        <v/>
      </c>
      <c r="C179" t="n">
        <v/>
      </c>
      <c r="D179" t="n">
        <v>25.25052452087402</v>
      </c>
      <c r="E179" t="n">
        <v>18.58905220031738</v>
      </c>
      <c r="F179" t="n">
        <v>0.004231328985635955</v>
      </c>
    </row>
    <row r="180">
      <c r="A180" s="81" t="n">
        <v>40118</v>
      </c>
      <c r="B180" t="n">
        <v/>
      </c>
      <c r="C180" t="n">
        <v/>
      </c>
      <c r="D180" t="n">
        <v>26.4827709197998</v>
      </c>
      <c r="E180" t="n">
        <v>19.52510070800781</v>
      </c>
      <c r="F180" t="n">
        <v/>
      </c>
    </row>
    <row r="181">
      <c r="A181" s="81" t="n">
        <v>40148</v>
      </c>
      <c r="B181" t="n">
        <v/>
      </c>
      <c r="C181" t="n">
        <v/>
      </c>
      <c r="D181" t="n">
        <v>26.08594131469727</v>
      </c>
      <c r="E181" t="n">
        <v>19.44110298156738</v>
      </c>
      <c r="F181" t="n">
        <v/>
      </c>
    </row>
    <row r="182">
      <c r="A182" s="81" t="n">
        <v>40179</v>
      </c>
      <c r="B182" t="n">
        <v/>
      </c>
      <c r="C182" t="n">
        <v/>
      </c>
      <c r="D182" t="n">
        <v>24.20332145690918</v>
      </c>
      <c r="E182" t="n">
        <v>18.73365592956543</v>
      </c>
      <c r="F182" t="n">
        <v>0.004419265756777226</v>
      </c>
    </row>
    <row r="183">
      <c r="A183" s="81" t="n">
        <v>40210</v>
      </c>
      <c r="B183" t="n">
        <v/>
      </c>
      <c r="C183" t="n">
        <v/>
      </c>
      <c r="D183" t="n">
        <v>23.48051834106445</v>
      </c>
      <c r="E183" t="n">
        <v>18.5758228302002</v>
      </c>
      <c r="F183" t="n">
        <v/>
      </c>
    </row>
    <row r="184">
      <c r="A184" s="81" t="n">
        <v>40238</v>
      </c>
      <c r="B184" t="n">
        <v/>
      </c>
      <c r="C184" t="n">
        <v/>
      </c>
      <c r="D184" t="n">
        <v>25.21383857727051</v>
      </c>
      <c r="E184" t="n">
        <v>19.75350761413574</v>
      </c>
      <c r="F184" t="n">
        <v/>
      </c>
    </row>
    <row r="185">
      <c r="A185" s="81" t="n">
        <v>40269</v>
      </c>
      <c r="B185" t="n">
        <v/>
      </c>
      <c r="C185" t="n">
        <v/>
      </c>
      <c r="D185" t="n">
        <v>23.96472358703613</v>
      </c>
      <c r="E185" t="n">
        <v>19.32856750488281</v>
      </c>
      <c r="F185" t="n">
        <v>0.009697817695873613</v>
      </c>
    </row>
    <row r="186">
      <c r="A186" s="81" t="n">
        <v>40299</v>
      </c>
      <c r="B186" t="n">
        <v/>
      </c>
      <c r="C186" t="n">
        <v/>
      </c>
      <c r="D186" t="n">
        <v>20.9401912689209</v>
      </c>
      <c r="E186" t="n">
        <v>17.20388412475586</v>
      </c>
      <c r="F186" t="n">
        <v/>
      </c>
    </row>
    <row r="187">
      <c r="A187" s="81" t="n">
        <v>40330</v>
      </c>
      <c r="B187" t="n">
        <v/>
      </c>
      <c r="C187" t="n">
        <v/>
      </c>
      <c r="D187" t="n">
        <v>20.0349292755127</v>
      </c>
      <c r="E187" t="n">
        <v>16.31758499145508</v>
      </c>
      <c r="F187" t="n">
        <v/>
      </c>
    </row>
    <row r="188">
      <c r="A188" s="81" t="n">
        <v>40360</v>
      </c>
      <c r="B188" t="n">
        <v/>
      </c>
      <c r="C188" t="n">
        <v/>
      </c>
      <c r="D188" t="n">
        <v>23.52496719360352</v>
      </c>
      <c r="E188" t="n">
        <v>19.01399993896484</v>
      </c>
      <c r="F188" t="n">
        <v>0.004179401075044413</v>
      </c>
    </row>
    <row r="189">
      <c r="A189" s="81" t="n">
        <v>40391</v>
      </c>
      <c r="B189" t="n">
        <v/>
      </c>
      <c r="C189" t="n">
        <v/>
      </c>
      <c r="D189" t="n">
        <v>21.88452339172363</v>
      </c>
      <c r="E189" t="n">
        <v>18.48274803161621</v>
      </c>
      <c r="F189" t="n">
        <v/>
      </c>
    </row>
    <row r="190">
      <c r="A190" s="81" t="n">
        <v>40422</v>
      </c>
      <c r="B190" t="n">
        <v/>
      </c>
      <c r="C190" t="n">
        <v/>
      </c>
      <c r="D190" t="n">
        <v>24.8072395324707</v>
      </c>
      <c r="E190" t="n">
        <v>20.21242141723633</v>
      </c>
      <c r="F190" t="n">
        <v/>
      </c>
    </row>
    <row r="191">
      <c r="A191" s="81" t="n">
        <v>40452</v>
      </c>
      <c r="B191" t="n">
        <v>53.7</v>
      </c>
      <c r="C191" t="n">
        <v>34.46393203735352</v>
      </c>
      <c r="D191" t="n">
        <v>26.31157875061035</v>
      </c>
      <c r="E191" t="n">
        <v>21.06489562988281</v>
      </c>
      <c r="F191" t="n">
        <v>0.005908231298489107</v>
      </c>
    </row>
    <row r="192">
      <c r="A192" s="81" t="n">
        <v>40483</v>
      </c>
      <c r="B192" t="n">
        <v>54</v>
      </c>
      <c r="C192" t="n">
        <v>33.71053695678711</v>
      </c>
      <c r="D192" t="n">
        <v>23.39602279663086</v>
      </c>
      <c r="E192" t="n">
        <v>19.9653205871582</v>
      </c>
      <c r="F192" t="n">
        <v/>
      </c>
    </row>
    <row r="193">
      <c r="A193" s="81" t="n">
        <v>40513</v>
      </c>
      <c r="B193" t="n">
        <v>54.9</v>
      </c>
      <c r="C193" t="n">
        <v>35.98610687255859</v>
      </c>
      <c r="D193" t="n">
        <v>25.26569747924805</v>
      </c>
      <c r="E193" t="n">
        <v>21.46025466918945</v>
      </c>
      <c r="F193" t="n">
        <v/>
      </c>
    </row>
    <row r="194">
      <c r="A194" s="81" t="n">
        <v>40544</v>
      </c>
      <c r="B194" t="n">
        <v>57.2</v>
      </c>
      <c r="C194" t="n">
        <v>36.72546768188477</v>
      </c>
      <c r="D194" t="n">
        <v>27.08938217163086</v>
      </c>
      <c r="E194" t="n">
        <v>21.91374969482422</v>
      </c>
      <c r="F194" t="n">
        <v>0.00909580495396386</v>
      </c>
    </row>
    <row r="195">
      <c r="A195" s="81" t="n">
        <v>40575</v>
      </c>
      <c r="B195" t="n">
        <v>58.2</v>
      </c>
      <c r="C195" t="n">
        <v>37.86658477783203</v>
      </c>
      <c r="D195" t="n">
        <v>27.88379287719727</v>
      </c>
      <c r="E195" t="n">
        <v>22.9120922088623</v>
      </c>
      <c r="F195" t="n">
        <v/>
      </c>
    </row>
    <row r="196">
      <c r="A196" s="81" t="n">
        <v>40603</v>
      </c>
      <c r="B196" t="n">
        <v>56</v>
      </c>
      <c r="C196" t="n">
        <v>37.54054260253906</v>
      </c>
      <c r="D196" t="n">
        <v>27.97768592834473</v>
      </c>
      <c r="E196" t="n">
        <v>22.35051918029785</v>
      </c>
      <c r="F196" t="n">
        <v/>
      </c>
    </row>
    <row r="197">
      <c r="A197" s="81" t="n">
        <v>40634</v>
      </c>
      <c r="B197" t="n">
        <v>55.5</v>
      </c>
      <c r="C197" t="n">
        <v>39.34926223754883</v>
      </c>
      <c r="D197" t="n">
        <v>30.20925331115723</v>
      </c>
      <c r="E197" t="n">
        <v>23.84805107116699</v>
      </c>
      <c r="F197" t="n">
        <v>-0.000224757433624218</v>
      </c>
    </row>
    <row r="198">
      <c r="A198" s="81" t="n">
        <v>40664</v>
      </c>
      <c r="B198" t="n">
        <v>53.1</v>
      </c>
      <c r="C198" t="n">
        <v>38.58075714111328</v>
      </c>
      <c r="D198" t="n">
        <v>28.7720947265625</v>
      </c>
      <c r="E198" t="n">
        <v>23.28647994995117</v>
      </c>
      <c r="F198" t="n">
        <v/>
      </c>
    </row>
    <row r="199">
      <c r="A199" s="81" t="n">
        <v>40695</v>
      </c>
      <c r="B199" t="n">
        <v>52.8</v>
      </c>
      <c r="C199" t="n">
        <v>37.45515823364258</v>
      </c>
      <c r="D199" t="n">
        <v>28.04268074035645</v>
      </c>
      <c r="E199" t="n">
        <v>22.2257251739502</v>
      </c>
      <c r="F199" t="n">
        <v/>
      </c>
    </row>
    <row r="200">
      <c r="A200" s="81" t="n">
        <v>40725</v>
      </c>
      <c r="B200" t="n">
        <v>50.9</v>
      </c>
      <c r="C200" t="n">
        <v>37.03726577758789</v>
      </c>
      <c r="D200" t="n">
        <v>26.51310920715332</v>
      </c>
      <c r="E200" t="n">
        <v>22.52087211608887</v>
      </c>
      <c r="F200" t="n">
        <v>0.001528009020713608</v>
      </c>
    </row>
    <row r="201">
      <c r="A201" s="81" t="n">
        <v>40756</v>
      </c>
      <c r="B201" t="n">
        <v>50.4</v>
      </c>
      <c r="C201" t="n">
        <v>34.3115119934082</v>
      </c>
      <c r="D201" t="n">
        <v>23.27836036682129</v>
      </c>
      <c r="E201" t="n">
        <v>20.79436111450195</v>
      </c>
      <c r="F201" t="n">
        <v/>
      </c>
    </row>
    <row r="202">
      <c r="A202" s="81" t="n">
        <v>40787</v>
      </c>
      <c r="B202" t="n">
        <v>50.1</v>
      </c>
      <c r="C202" t="n">
        <v>30.72953414916992</v>
      </c>
      <c r="D202" t="n">
        <v>20.17654609680176</v>
      </c>
      <c r="E202" t="n">
        <v>18.75046730041504</v>
      </c>
      <c r="F202" t="n">
        <v/>
      </c>
    </row>
    <row r="203">
      <c r="A203" s="81" t="n">
        <v>40817</v>
      </c>
      <c r="B203" t="n">
        <v>49.5</v>
      </c>
      <c r="C203" t="n">
        <v>34.20939636230469</v>
      </c>
      <c r="D203" t="n">
        <v>22.72446632385254</v>
      </c>
      <c r="E203" t="n">
        <v>21.17520523071289</v>
      </c>
      <c r="F203" t="n">
        <v>-0.004234834458831302</v>
      </c>
    </row>
    <row r="204">
      <c r="A204" s="81" t="n">
        <v>40848</v>
      </c>
      <c r="B204" t="n">
        <v>49.6</v>
      </c>
      <c r="C204" t="n">
        <v>33.81663131713867</v>
      </c>
      <c r="D204" t="n">
        <v>21.76437759399414</v>
      </c>
      <c r="E204" t="n">
        <v>20.83244323730469</v>
      </c>
      <c r="F204" t="n">
        <v/>
      </c>
    </row>
    <row r="205">
      <c r="A205" s="81" t="n">
        <v>40878</v>
      </c>
      <c r="B205" t="n">
        <v>50.4</v>
      </c>
      <c r="C205" t="n">
        <v>33.1253776550293</v>
      </c>
      <c r="D205" t="n">
        <v>20.60489082336426</v>
      </c>
      <c r="E205" t="n">
        <v>20.51506805419922</v>
      </c>
      <c r="F205" t="n">
        <v/>
      </c>
    </row>
    <row r="206">
      <c r="A206" s="81" t="n">
        <v>40909</v>
      </c>
      <c r="B206" t="n">
        <v>51</v>
      </c>
      <c r="C206" t="n">
        <v>35.33008193969727</v>
      </c>
      <c r="D206" t="n">
        <v>22.31722831726074</v>
      </c>
      <c r="E206" t="n">
        <v>21.49223899841309</v>
      </c>
      <c r="F206" t="n">
        <v>-0.002149659488954449</v>
      </c>
    </row>
    <row r="207">
      <c r="A207" s="81" t="n">
        <v>40940</v>
      </c>
      <c r="B207" t="n">
        <v>51.2</v>
      </c>
      <c r="C207" t="n">
        <v>37.07751083374023</v>
      </c>
      <c r="D207" t="n">
        <v>23.54255294799805</v>
      </c>
      <c r="E207" t="n">
        <v>22.58746910095215</v>
      </c>
      <c r="F207" t="n">
        <v/>
      </c>
    </row>
    <row r="208">
      <c r="A208" s="81" t="n">
        <v>40969</v>
      </c>
      <c r="B208" t="n">
        <v>51.6</v>
      </c>
      <c r="C208" t="n">
        <v>37.49055480957031</v>
      </c>
      <c r="D208" t="n">
        <v>23.57243919372559</v>
      </c>
      <c r="E208" t="n">
        <v>22.29111289978027</v>
      </c>
      <c r="F208" t="n">
        <v/>
      </c>
    </row>
    <row r="209">
      <c r="A209" s="81" t="n">
        <v>41000</v>
      </c>
      <c r="B209" t="n">
        <v>51.3</v>
      </c>
      <c r="C209" t="n">
        <v>37.06162261962891</v>
      </c>
      <c r="D209" t="n">
        <v>22.24998664855957</v>
      </c>
      <c r="E209" t="n">
        <v>22.61323738098145</v>
      </c>
      <c r="F209" t="n">
        <v>-0.002638864828599166</v>
      </c>
    </row>
    <row r="210">
      <c r="A210" s="81" t="n">
        <v>41030</v>
      </c>
      <c r="B210" t="n">
        <v>50.3</v>
      </c>
      <c r="C210" t="n">
        <v>33.62235641479492</v>
      </c>
      <c r="D210" t="n">
        <v>19.38094902038574</v>
      </c>
      <c r="E210" t="n">
        <v>20.03623008728027</v>
      </c>
      <c r="F210" t="n">
        <v/>
      </c>
    </row>
    <row r="211">
      <c r="A211" s="81" t="n">
        <v>41061</v>
      </c>
      <c r="B211" t="n">
        <v>49.7</v>
      </c>
      <c r="C211" t="n">
        <v>34.84556198120117</v>
      </c>
      <c r="D211" t="n">
        <v>20.50914573669434</v>
      </c>
      <c r="E211" t="n">
        <v>20.98972129821777</v>
      </c>
      <c r="F211" t="n">
        <v/>
      </c>
    </row>
    <row r="212">
      <c r="A212" s="81" t="n">
        <v>41091</v>
      </c>
      <c r="B212" t="n">
        <v>48.8</v>
      </c>
      <c r="C212" t="n">
        <v>35.61767959594727</v>
      </c>
      <c r="D212" t="n">
        <v>20.90468597412109</v>
      </c>
      <c r="E212" t="n">
        <v>21.67182540893555</v>
      </c>
      <c r="F212" t="n">
        <v>-0.0009907163742234103</v>
      </c>
    </row>
    <row r="213">
      <c r="A213" s="81" t="n">
        <v>41122</v>
      </c>
      <c r="B213" t="n">
        <v>48.7</v>
      </c>
      <c r="C213" t="n">
        <v>36.6081657409668</v>
      </c>
      <c r="D213" t="n">
        <v>22.28910446166992</v>
      </c>
      <c r="E213" t="n">
        <v>22.38410949707031</v>
      </c>
      <c r="F213" t="n">
        <v/>
      </c>
    </row>
    <row r="214">
      <c r="A214" s="81" t="n">
        <v>41153</v>
      </c>
      <c r="B214" t="n">
        <v>48.7</v>
      </c>
      <c r="C214" t="n">
        <v>37.59867477416992</v>
      </c>
      <c r="D214" t="n">
        <v>23.1120548248291</v>
      </c>
      <c r="E214" t="n">
        <v>22.95129013061523</v>
      </c>
      <c r="F214" t="n">
        <v/>
      </c>
    </row>
    <row r="215">
      <c r="A215" s="81" t="n">
        <v>41183</v>
      </c>
      <c r="B215" t="n">
        <v>48.9</v>
      </c>
      <c r="C215" t="n">
        <v>37.40540313720703</v>
      </c>
      <c r="D215" t="n">
        <v>23.70429039001465</v>
      </c>
      <c r="E215" t="n">
        <v>23.05681228637695</v>
      </c>
      <c r="F215" t="n">
        <v>-0.004449012942242542</v>
      </c>
    </row>
    <row r="216">
      <c r="A216" s="81" t="n">
        <v>41214</v>
      </c>
      <c r="B216" t="n">
        <v>49.6</v>
      </c>
      <c r="C216" t="n">
        <v>38.00131607055664</v>
      </c>
      <c r="D216" t="n">
        <v>24.51186561584473</v>
      </c>
      <c r="E216" t="n">
        <v>23.32062339782715</v>
      </c>
      <c r="F216" t="n">
        <v/>
      </c>
    </row>
    <row r="217">
      <c r="A217" s="81" t="n">
        <v>41244</v>
      </c>
      <c r="B217" t="n">
        <v>50</v>
      </c>
      <c r="C217" t="n">
        <v>38.71802139282227</v>
      </c>
      <c r="D217" t="n">
        <v>25.73476219177246</v>
      </c>
      <c r="E217" t="n">
        <v>23.6635799407959</v>
      </c>
      <c r="F217" t="n">
        <v/>
      </c>
    </row>
    <row r="218">
      <c r="A218" s="81" t="n">
        <v>41275</v>
      </c>
      <c r="B218" t="n">
        <v>51.5</v>
      </c>
      <c r="C218" t="n">
        <v>40.57704925537109</v>
      </c>
      <c r="D218" t="n">
        <v>26.8033390045166</v>
      </c>
      <c r="E218" t="n">
        <v>24.70919609069824</v>
      </c>
      <c r="F218" t="n">
        <v>-0.003324045172696367</v>
      </c>
    </row>
    <row r="219">
      <c r="A219" s="81" t="n">
        <v>41306</v>
      </c>
      <c r="B219" t="n">
        <v>50.9</v>
      </c>
      <c r="C219" t="n">
        <v>40.5363883972168</v>
      </c>
      <c r="D219" t="n">
        <v>25.56815719604492</v>
      </c>
      <c r="E219" t="n">
        <v>24.04029655456543</v>
      </c>
      <c r="F219" t="n">
        <v/>
      </c>
    </row>
    <row r="220">
      <c r="A220" s="81" t="n">
        <v>41334</v>
      </c>
      <c r="B220" t="n">
        <v>51.2</v>
      </c>
      <c r="C220" t="n">
        <v>41.27651596069336</v>
      </c>
      <c r="D220" t="n">
        <v>25.20532608032227</v>
      </c>
      <c r="E220" t="n">
        <v>24.4416389465332</v>
      </c>
      <c r="F220" t="n">
        <v/>
      </c>
    </row>
    <row r="221">
      <c r="A221" s="81" t="n">
        <v>41365</v>
      </c>
      <c r="B221" t="n">
        <v>50.4</v>
      </c>
      <c r="C221" t="n">
        <v>42.44771194458008</v>
      </c>
      <c r="D221" t="n">
        <v>26.65665817260742</v>
      </c>
      <c r="E221" t="n">
        <v>25.13729286193848</v>
      </c>
      <c r="F221" t="n">
        <v>0.005147318726932237</v>
      </c>
    </row>
    <row r="222">
      <c r="A222" s="81" t="n">
        <v>41395</v>
      </c>
      <c r="B222" t="n">
        <v>50.6</v>
      </c>
      <c r="C222" t="n">
        <v>42.28504943847656</v>
      </c>
      <c r="D222" t="n">
        <v>27.00405311584473</v>
      </c>
      <c r="E222" t="n">
        <v>25.11053657531738</v>
      </c>
      <c r="F222" t="n">
        <v/>
      </c>
    </row>
    <row r="223">
      <c r="A223" s="81" t="n">
        <v>41426</v>
      </c>
      <c r="B223" t="n">
        <v>50.6</v>
      </c>
      <c r="C223" t="n">
        <v>40.66652297973633</v>
      </c>
      <c r="D223" t="n">
        <v>25.0740909576416</v>
      </c>
      <c r="E223" t="n">
        <v>23.62557792663574</v>
      </c>
      <c r="F223" t="n">
        <v/>
      </c>
    </row>
    <row r="224">
      <c r="A224" s="81" t="n">
        <v>41456</v>
      </c>
      <c r="B224" t="n">
        <v>50.8</v>
      </c>
      <c r="C224" t="n">
        <v>43.07118606567383</v>
      </c>
      <c r="D224" t="n">
        <v>27.93467330932617</v>
      </c>
      <c r="E224" t="n">
        <v>25.50984573364258</v>
      </c>
      <c r="F224" t="n">
        <v>0.003038845538352348</v>
      </c>
    </row>
    <row r="225">
      <c r="A225" s="81" t="n">
        <v>41487</v>
      </c>
      <c r="B225" t="n">
        <v>51.6</v>
      </c>
      <c r="C225" t="n">
        <v>42.08274459838867</v>
      </c>
      <c r="D225" t="n">
        <v>27.42850303649902</v>
      </c>
      <c r="E225" t="n">
        <v>25.31977462768555</v>
      </c>
      <c r="F225" t="n">
        <v/>
      </c>
    </row>
    <row r="226">
      <c r="A226" s="81" t="n">
        <v>41518</v>
      </c>
      <c r="B226" t="n">
        <v>51.8</v>
      </c>
      <c r="C226" t="n">
        <v>44.41380310058594</v>
      </c>
      <c r="D226" t="n">
        <v>29.84075164794922</v>
      </c>
      <c r="E226" t="n">
        <v>26.63667678833008</v>
      </c>
      <c r="F226" t="n">
        <v/>
      </c>
    </row>
    <row r="227">
      <c r="A227" s="81" t="n">
        <v>41548</v>
      </c>
      <c r="B227" t="n">
        <v>52.1</v>
      </c>
      <c r="C227" t="n">
        <v>46.16828536987305</v>
      </c>
      <c r="D227" t="n">
        <v>31.46210098266602</v>
      </c>
      <c r="E227" t="n">
        <v>27.62774467468262</v>
      </c>
      <c r="F227" t="n">
        <v>0.002878766551284823</v>
      </c>
    </row>
    <row r="228">
      <c r="A228" s="81" t="n">
        <v>41579</v>
      </c>
      <c r="B228" t="n">
        <v>53.1</v>
      </c>
      <c r="C228" t="n">
        <v>46.8848991394043</v>
      </c>
      <c r="D228" t="n">
        <v>31.92082405090332</v>
      </c>
      <c r="E228" t="n">
        <v>27.84497261047363</v>
      </c>
      <c r="F228" t="n">
        <v/>
      </c>
    </row>
    <row r="229">
      <c r="A229" s="81" t="n">
        <v>41609</v>
      </c>
      <c r="B229" t="n">
        <v>53.3</v>
      </c>
      <c r="C229" t="n">
        <v>47.46149444580078</v>
      </c>
      <c r="D229" t="n">
        <v>32.72755432128906</v>
      </c>
      <c r="E229" t="n">
        <v>28.34728622436523</v>
      </c>
      <c r="F229" t="n">
        <v/>
      </c>
    </row>
    <row r="230">
      <c r="A230" s="81" t="n">
        <v>41640</v>
      </c>
      <c r="B230" t="n">
        <v>52.9</v>
      </c>
      <c r="C230" t="n">
        <v>45.63754272460938</v>
      </c>
      <c r="D230" t="n">
        <v>31.15884208679199</v>
      </c>
      <c r="E230" t="n">
        <v>27.35536575317383</v>
      </c>
      <c r="F230" t="n">
        <v>0.004141603130332342</v>
      </c>
    </row>
    <row r="231">
      <c r="A231" s="81" t="n">
        <v>41671</v>
      </c>
      <c r="B231" t="n">
        <v>53.3</v>
      </c>
      <c r="C231" t="n">
        <v>48.01285552978516</v>
      </c>
      <c r="D231" t="n">
        <v>33.33290100097656</v>
      </c>
      <c r="E231" t="n">
        <v>29.21019744873047</v>
      </c>
      <c r="F231" t="n">
        <v/>
      </c>
    </row>
    <row r="232">
      <c r="A232" s="81" t="n">
        <v>41699</v>
      </c>
      <c r="B232" t="n">
        <v>52.4</v>
      </c>
      <c r="C232" t="n">
        <v>48.28692626953125</v>
      </c>
      <c r="D232" t="n">
        <v>33.53921127319336</v>
      </c>
      <c r="E232" t="n">
        <v>28.28964614868164</v>
      </c>
      <c r="F232" t="n">
        <v/>
      </c>
    </row>
    <row r="233">
      <c r="A233" s="81" t="n">
        <v>41730</v>
      </c>
      <c r="B233" t="n">
        <v>51.9</v>
      </c>
      <c r="C233" t="n">
        <v>48.8599967956543</v>
      </c>
      <c r="D233" t="n">
        <v>34.15809631347656</v>
      </c>
      <c r="E233" t="n">
        <v>29.56741905212402</v>
      </c>
      <c r="F233" t="n">
        <v>0.001950082321842949</v>
      </c>
    </row>
    <row r="234">
      <c r="A234" s="81" t="n">
        <v>41760</v>
      </c>
      <c r="B234" t="n">
        <v>52.2</v>
      </c>
      <c r="C234" t="n">
        <v>49.84001922607422</v>
      </c>
      <c r="D234" t="n">
        <v>34.44374084472656</v>
      </c>
      <c r="E234" t="n">
        <v>29.85594940185547</v>
      </c>
      <c r="F234" t="n">
        <v/>
      </c>
    </row>
    <row r="235">
      <c r="A235" s="81" t="n">
        <v>41791</v>
      </c>
      <c r="B235" t="n">
        <v>52.6</v>
      </c>
      <c r="C235" t="n">
        <v>50.04764938354492</v>
      </c>
      <c r="D235" t="n">
        <v>33.57887649536133</v>
      </c>
      <c r="E235" t="n">
        <v>28.68809127807617</v>
      </c>
      <c r="F235" t="n">
        <v/>
      </c>
    </row>
    <row r="236">
      <c r="A236" s="81" t="n">
        <v>41821</v>
      </c>
      <c r="B236" t="n">
        <v>52.5</v>
      </c>
      <c r="C236" t="n">
        <v>50.01356887817383</v>
      </c>
      <c r="D236" t="n">
        <v>32.18682479858398</v>
      </c>
      <c r="E236" t="n">
        <v>29.37614440917969</v>
      </c>
      <c r="F236" t="n">
        <v>0.004939140647342279</v>
      </c>
    </row>
    <row r="237">
      <c r="A237" s="81" t="n">
        <v>41852</v>
      </c>
      <c r="B237" t="n">
        <v>52.6</v>
      </c>
      <c r="C237" t="n">
        <v>51.3020133972168</v>
      </c>
      <c r="D237" t="n">
        <v>32.24343872070312</v>
      </c>
      <c r="E237" t="n">
        <v>29.60677719116211</v>
      </c>
      <c r="F237" t="n">
        <v/>
      </c>
    </row>
    <row r="238">
      <c r="A238" s="81" t="n">
        <v>41883</v>
      </c>
      <c r="B238" t="n">
        <v>52.2</v>
      </c>
      <c r="C238" t="n">
        <v>49.60093688964844</v>
      </c>
      <c r="D238" t="n">
        <v>31.13549995422363</v>
      </c>
      <c r="E238" t="n">
        <v>27.93471717834473</v>
      </c>
      <c r="F238" t="n">
        <v/>
      </c>
    </row>
    <row r="239">
      <c r="A239" s="81" t="n">
        <v>41913</v>
      </c>
      <c r="B239" t="n">
        <v>52.2</v>
      </c>
      <c r="C239" t="n">
        <v>50.19884490966797</v>
      </c>
      <c r="D239" t="n">
        <v>30.24591445922852</v>
      </c>
      <c r="E239" t="n">
        <v>27.40139961242676</v>
      </c>
      <c r="F239" t="n">
        <v>0.003558582029745535</v>
      </c>
    </row>
    <row r="240">
      <c r="A240" s="81" t="n">
        <v>41944</v>
      </c>
      <c r="B240" t="n">
        <v>51.8</v>
      </c>
      <c r="C240" t="n">
        <v>50.88937759399414</v>
      </c>
      <c r="D240" t="n">
        <v>31.41854858398438</v>
      </c>
      <c r="E240" t="n">
        <v>27.43022727966309</v>
      </c>
      <c r="F240" t="n">
        <v/>
      </c>
    </row>
    <row r="241">
      <c r="A241" s="81" t="n">
        <v>41974</v>
      </c>
      <c r="B241" t="n">
        <v>51.6</v>
      </c>
      <c r="C241" t="n">
        <v>49.26409149169922</v>
      </c>
      <c r="D241" t="n">
        <v>29.38059043884277</v>
      </c>
      <c r="E241" t="n">
        <v>25.98880577087402</v>
      </c>
      <c r="F241" t="n">
        <v/>
      </c>
    </row>
    <row r="242">
      <c r="A242" s="81" t="n">
        <v>42005</v>
      </c>
      <c r="B242" t="n">
        <v>51.7</v>
      </c>
      <c r="C242" t="n">
        <v>49.03553771972656</v>
      </c>
      <c r="D242" t="n">
        <v>29.87894439697266</v>
      </c>
      <c r="E242" t="n">
        <v>26.52298927307129</v>
      </c>
      <c r="F242" t="n">
        <v>0.006376936063688275</v>
      </c>
    </row>
    <row r="243">
      <c r="A243" s="81" t="n">
        <v>42036</v>
      </c>
      <c r="B243" t="n">
        <v>52</v>
      </c>
      <c r="C243" t="n">
        <v>51.73661041259766</v>
      </c>
      <c r="D243" t="n">
        <v>31.73618698120117</v>
      </c>
      <c r="E243" t="n">
        <v>28.0814323425293</v>
      </c>
      <c r="F243" t="n">
        <v/>
      </c>
    </row>
    <row r="244">
      <c r="A244" s="81" t="n">
        <v>42064</v>
      </c>
      <c r="B244" t="n">
        <v>51.8</v>
      </c>
      <c r="C244" t="n">
        <v>50.98065185546875</v>
      </c>
      <c r="D244" t="n">
        <v>31.4266471862793</v>
      </c>
      <c r="E244" t="n">
        <v>26.4788875579834</v>
      </c>
      <c r="F244" t="n">
        <v/>
      </c>
    </row>
    <row r="245">
      <c r="A245" s="81" t="n">
        <v>42095</v>
      </c>
      <c r="B245" t="n">
        <v>51</v>
      </c>
      <c r="C245" t="n">
        <v>52.44161605834961</v>
      </c>
      <c r="D245" t="n">
        <v>32.12718963623047</v>
      </c>
      <c r="E245" t="n">
        <v>28.24315643310547</v>
      </c>
      <c r="F245" t="n">
        <v>0.004606940090520169</v>
      </c>
    </row>
    <row r="246">
      <c r="A246" s="81" t="n">
        <v>42125</v>
      </c>
      <c r="B246" t="n">
        <v>51.2</v>
      </c>
      <c r="C246" t="n">
        <v>52.44161605834961</v>
      </c>
      <c r="D246" t="n">
        <v>31.92354393005371</v>
      </c>
      <c r="E246" t="n">
        <v>28.41958618164062</v>
      </c>
      <c r="F246" t="n">
        <v/>
      </c>
    </row>
    <row r="247">
      <c r="A247" s="81" t="n">
        <v>42156</v>
      </c>
      <c r="B247" t="n">
        <v>51</v>
      </c>
      <c r="C247" t="n">
        <v>50.49650955200195</v>
      </c>
      <c r="D247" t="n">
        <v>30.57948875427246</v>
      </c>
      <c r="E247" t="n">
        <v>26.83173751831055</v>
      </c>
      <c r="F247" t="n">
        <v/>
      </c>
    </row>
    <row r="248">
      <c r="A248" s="81" t="n">
        <v>42186</v>
      </c>
      <c r="B248" t="n">
        <v>51</v>
      </c>
      <c r="C248" t="n">
        <v>51.51057815551758</v>
      </c>
      <c r="D248" t="n">
        <v>32.06951141357422</v>
      </c>
      <c r="E248" t="n">
        <v>27.75506210327148</v>
      </c>
      <c r="F248" t="n">
        <v>0.004168149272968156</v>
      </c>
    </row>
    <row r="249">
      <c r="A249" s="81" t="n">
        <v>42217</v>
      </c>
      <c r="B249" t="n">
        <v>50.7</v>
      </c>
      <c r="C249" t="n">
        <v>48.00434875488281</v>
      </c>
      <c r="D249" t="n">
        <v>29.85638809204102</v>
      </c>
      <c r="E249" t="n">
        <v>25.53944778442383</v>
      </c>
      <c r="F249" t="n">
        <v/>
      </c>
    </row>
    <row r="250">
      <c r="A250" s="81" t="n">
        <v>42248</v>
      </c>
      <c r="B250" t="n">
        <v>50.6</v>
      </c>
      <c r="C250" t="n">
        <v>46.35436630249023</v>
      </c>
      <c r="D250" t="n">
        <v>28.4638614654541</v>
      </c>
      <c r="E250" t="n">
        <v>24.53643417358398</v>
      </c>
      <c r="F250" t="n">
        <v/>
      </c>
    </row>
    <row r="251">
      <c r="A251" s="81" t="n">
        <v>42278</v>
      </c>
      <c r="B251" t="n">
        <v>51.4</v>
      </c>
      <c r="C251" t="n">
        <v>49.9035530090332</v>
      </c>
      <c r="D251" t="n">
        <v>30.54436111450195</v>
      </c>
      <c r="E251" t="n">
        <v>26.15322875976562</v>
      </c>
      <c r="F251" t="n">
        <v>0.004621070599776983</v>
      </c>
    </row>
    <row r="252">
      <c r="A252" s="81" t="n">
        <v>42309</v>
      </c>
      <c r="B252" t="n">
        <v>51.2</v>
      </c>
      <c r="C252" t="n">
        <v>49.63714981079102</v>
      </c>
      <c r="D252" t="n">
        <v>30.30398750305176</v>
      </c>
      <c r="E252" t="n">
        <v>25.71909332275391</v>
      </c>
      <c r="F252" t="n">
        <v/>
      </c>
    </row>
    <row r="253">
      <c r="A253" s="81" t="n">
        <v>42339</v>
      </c>
      <c r="B253" t="n">
        <v>50.9</v>
      </c>
      <c r="C253" t="n">
        <v>47.96997833251953</v>
      </c>
      <c r="D253" t="n">
        <v>29.04408073425293</v>
      </c>
      <c r="E253" t="n">
        <v>24.16216850280762</v>
      </c>
      <c r="F253" t="n">
        <v/>
      </c>
    </row>
    <row r="254">
      <c r="A254" s="81" t="n">
        <v>42370</v>
      </c>
      <c r="B254" t="n">
        <v>50.9</v>
      </c>
      <c r="C254" t="n">
        <v>46.01520156860352</v>
      </c>
      <c r="D254" t="n">
        <v>27.5795955657959</v>
      </c>
      <c r="E254" t="n">
        <v>23.45659446716309</v>
      </c>
      <c r="F254" t="n">
        <v>0.005558304668766573</v>
      </c>
    </row>
    <row r="255">
      <c r="A255" s="81" t="n">
        <v>42401</v>
      </c>
      <c r="B255" t="n">
        <v>50</v>
      </c>
      <c r="C255" t="n">
        <v>45.44066619873047</v>
      </c>
      <c r="D255" t="n">
        <v>26.41660118103027</v>
      </c>
      <c r="E255" t="n">
        <v>22.72357940673828</v>
      </c>
      <c r="F255" t="n">
        <v/>
      </c>
    </row>
    <row r="256">
      <c r="A256" s="81" t="n">
        <v>42430</v>
      </c>
      <c r="B256" t="n">
        <v>50.5</v>
      </c>
      <c r="C256" t="n">
        <v>48.80083465576172</v>
      </c>
      <c r="D256" t="n">
        <v>28.56814384460449</v>
      </c>
      <c r="E256" t="n">
        <v>23.94527816772461</v>
      </c>
      <c r="F256" t="n">
        <v/>
      </c>
    </row>
    <row r="257">
      <c r="A257" s="81" t="n">
        <v>42461</v>
      </c>
      <c r="B257" t="n">
        <v>50.1</v>
      </c>
      <c r="C257" t="n">
        <v>49.45372009277344</v>
      </c>
      <c r="D257" t="n">
        <v>29.29916381835938</v>
      </c>
      <c r="E257" t="n">
        <v>24.90736389160156</v>
      </c>
      <c r="F257" t="n">
        <v>0.002338326547601391</v>
      </c>
    </row>
    <row r="258">
      <c r="A258" s="81" t="n">
        <v>42491</v>
      </c>
      <c r="B258" t="n">
        <v>50</v>
      </c>
      <c r="C258" t="n">
        <v>49.61911773681641</v>
      </c>
      <c r="D258" t="n">
        <v>28.2358512878418</v>
      </c>
      <c r="E258" t="n">
        <v>24.61721229553223</v>
      </c>
      <c r="F258" t="n">
        <v/>
      </c>
    </row>
    <row r="259">
      <c r="A259" s="81" t="n">
        <v>42522</v>
      </c>
      <c r="B259" t="n">
        <v>50.9</v>
      </c>
      <c r="C259" t="n">
        <v>48.94881820678711</v>
      </c>
      <c r="D259" t="n">
        <v>26.80703544616699</v>
      </c>
      <c r="E259" t="n">
        <v>23.47187042236328</v>
      </c>
      <c r="F259" t="n">
        <v/>
      </c>
    </row>
    <row r="260">
      <c r="A260" s="81" t="n">
        <v>42552</v>
      </c>
      <c r="B260" t="n">
        <v>51</v>
      </c>
      <c r="C260" t="n">
        <v>51.46428680419922</v>
      </c>
      <c r="D260" t="n">
        <v>28.80241775512695</v>
      </c>
      <c r="E260" t="n">
        <v>24.41600036621094</v>
      </c>
      <c r="F260" t="n">
        <v>0.00476872353145435</v>
      </c>
    </row>
    <row r="261">
      <c r="A261" s="81" t="n">
        <v>42583</v>
      </c>
      <c r="B261" t="n">
        <v>50.9</v>
      </c>
      <c r="C261" t="n">
        <v>51.64068222045898</v>
      </c>
      <c r="D261" t="n">
        <v>29.12594223022461</v>
      </c>
      <c r="E261" t="n">
        <v>24.68207359313965</v>
      </c>
      <c r="F261" t="n">
        <v/>
      </c>
    </row>
    <row r="262">
      <c r="A262" s="81" t="n">
        <v>42614</v>
      </c>
      <c r="B262" t="n">
        <v>51</v>
      </c>
      <c r="C262" t="n">
        <v>52.12577438354492</v>
      </c>
      <c r="D262" t="n">
        <v>29.36433410644531</v>
      </c>
      <c r="E262" t="n">
        <v>24.7916316986084</v>
      </c>
      <c r="F262" t="n">
        <v/>
      </c>
    </row>
    <row r="263">
      <c r="A263" s="81" t="n">
        <v>42644</v>
      </c>
      <c r="B263" t="n">
        <v>52</v>
      </c>
      <c r="C263" t="n">
        <v>51.12913513183594</v>
      </c>
      <c r="D263" t="n">
        <v>29.06634712219238</v>
      </c>
      <c r="E263" t="n">
        <v>23.47692680358887</v>
      </c>
      <c r="F263" t="n">
        <v>0.007571283302730314</v>
      </c>
    </row>
    <row r="264">
      <c r="A264" s="81" t="n">
        <v>42675</v>
      </c>
      <c r="B264" t="n">
        <v>52.1</v>
      </c>
      <c r="C264" t="n">
        <v>51.65831756591797</v>
      </c>
      <c r="D264" t="n">
        <v>27.90846252441406</v>
      </c>
      <c r="E264" t="n">
        <v>23.52388000488281</v>
      </c>
      <c r="F264" t="n">
        <v/>
      </c>
    </row>
    <row r="265">
      <c r="A265" s="81" t="n">
        <v>42705</v>
      </c>
      <c r="B265" t="n">
        <v>52.7</v>
      </c>
      <c r="C265" t="n">
        <v>52.18752670288086</v>
      </c>
      <c r="D265" t="n">
        <v>29.45798301696777</v>
      </c>
      <c r="E265" t="n">
        <v>24.01689529418945</v>
      </c>
      <c r="F265" t="n">
        <v/>
      </c>
    </row>
    <row r="266">
      <c r="A266" s="81" t="n">
        <v>42736</v>
      </c>
      <c r="B266" t="n">
        <v>52.7</v>
      </c>
      <c r="C266" t="n">
        <v>54.20311737060547</v>
      </c>
      <c r="D266" t="n">
        <v>30.28462219238281</v>
      </c>
      <c r="E266" t="n">
        <v>24.95242118835449</v>
      </c>
      <c r="F266" t="n">
        <v>0.006829527491024776</v>
      </c>
    </row>
    <row r="267">
      <c r="A267" s="81" t="n">
        <v>42767</v>
      </c>
      <c r="B267" t="n">
        <v>53</v>
      </c>
      <c r="C267" t="n">
        <v>55.56510162353516</v>
      </c>
      <c r="D267" t="n">
        <v>30.3446044921875</v>
      </c>
      <c r="E267" t="n">
        <v>25.31738090515137</v>
      </c>
      <c r="F267" t="n">
        <v/>
      </c>
    </row>
    <row r="268">
      <c r="A268" s="81" t="n">
        <v>42795</v>
      </c>
      <c r="B268" t="n">
        <v>53</v>
      </c>
      <c r="C268" t="n">
        <v>56.31284332275391</v>
      </c>
      <c r="D268" t="n">
        <v>32.22132110595703</v>
      </c>
      <c r="E268" t="n">
        <v>25.82515525817871</v>
      </c>
      <c r="F268" t="n">
        <v/>
      </c>
    </row>
    <row r="269">
      <c r="A269" s="81" t="n">
        <v>42826</v>
      </c>
      <c r="B269" t="n">
        <v>52.7</v>
      </c>
      <c r="C269" t="n">
        <v>57.22083282470703</v>
      </c>
      <c r="D269" t="n">
        <v>33.62672805786133</v>
      </c>
      <c r="E269" t="n">
        <v>26.26152610778809</v>
      </c>
      <c r="F269" t="n">
        <v>0.007887524293034848</v>
      </c>
    </row>
    <row r="270">
      <c r="A270" s="81" t="n">
        <v>42856</v>
      </c>
      <c r="B270" t="n">
        <v>52.6</v>
      </c>
      <c r="C270" t="n">
        <v>58.48488998413086</v>
      </c>
      <c r="D270" t="n">
        <v>35.28921127319336</v>
      </c>
      <c r="E270" t="n">
        <v>27.45955848693848</v>
      </c>
      <c r="F270" t="n">
        <v/>
      </c>
    </row>
    <row r="271">
      <c r="A271" s="81" t="n">
        <v>42887</v>
      </c>
      <c r="B271" t="n">
        <v>52.6</v>
      </c>
      <c r="C271" t="n">
        <v>58.29795455932617</v>
      </c>
      <c r="D271" t="n">
        <v>34.5608024597168</v>
      </c>
      <c r="E271" t="n">
        <v>26.44401168823242</v>
      </c>
      <c r="F271" t="n">
        <v/>
      </c>
    </row>
    <row r="272">
      <c r="A272" s="81" t="n">
        <v>42917</v>
      </c>
      <c r="B272" t="n">
        <v>52.8</v>
      </c>
      <c r="C272" t="n">
        <v>60.55634689331055</v>
      </c>
      <c r="D272" t="n">
        <v>36.23171615600586</v>
      </c>
      <c r="E272" t="n">
        <v>27.66788482666016</v>
      </c>
      <c r="F272" t="n">
        <v>0.007760403419867896</v>
      </c>
    </row>
    <row r="273">
      <c r="A273" s="81" t="n">
        <v>42948</v>
      </c>
      <c r="B273" t="n">
        <v>53.2</v>
      </c>
      <c r="C273" t="n">
        <v>60.79936599731445</v>
      </c>
      <c r="D273" t="n">
        <v>36.40578079223633</v>
      </c>
      <c r="E273" t="n">
        <v>27.44083404541016</v>
      </c>
      <c r="F273" t="n">
        <v/>
      </c>
    </row>
    <row r="274">
      <c r="A274" s="81" t="n">
        <v>42979</v>
      </c>
      <c r="B274" t="n">
        <v>53.3</v>
      </c>
      <c r="C274" t="n">
        <v>61.94244766235352</v>
      </c>
      <c r="D274" t="n">
        <v>37.70256423950195</v>
      </c>
      <c r="E274" t="n">
        <v>28.25984001159668</v>
      </c>
      <c r="F274" t="n">
        <v/>
      </c>
    </row>
    <row r="275">
      <c r="A275" s="81" t="n">
        <v>43009</v>
      </c>
      <c r="B275" t="n">
        <v>53.5</v>
      </c>
      <c r="C275" t="n">
        <v>63.27454376220703</v>
      </c>
      <c r="D275" t="n">
        <v>38.14643478393555</v>
      </c>
      <c r="E275" t="n">
        <v>28.43013191223145</v>
      </c>
      <c r="F275" t="n">
        <v>0.008091334730406912</v>
      </c>
    </row>
    <row r="276">
      <c r="A276" s="81" t="n">
        <v>43040</v>
      </c>
      <c r="B276" t="n">
        <v>54.1</v>
      </c>
      <c r="C276" t="n">
        <v>64.55262756347656</v>
      </c>
      <c r="D276" t="n">
        <v>38.05069351196289</v>
      </c>
      <c r="E276" t="n">
        <v>28.39768981933594</v>
      </c>
      <c r="F276" t="n">
        <v/>
      </c>
    </row>
    <row r="277">
      <c r="A277" s="81" t="n">
        <v>43070</v>
      </c>
      <c r="B277" t="n">
        <v>54.5</v>
      </c>
      <c r="C277" t="n">
        <v>64.88565826416016</v>
      </c>
      <c r="D277" t="n">
        <v>37.75478744506836</v>
      </c>
      <c r="E277" t="n">
        <v>29.04641151428223</v>
      </c>
      <c r="F277" t="n">
        <v/>
      </c>
    </row>
    <row r="278">
      <c r="A278" s="81" t="n">
        <v>43101</v>
      </c>
      <c r="B278" t="n">
        <v>54.4</v>
      </c>
      <c r="C278" t="n">
        <v>69.2225341796875</v>
      </c>
      <c r="D278" t="n">
        <v>40.57744216918945</v>
      </c>
      <c r="E278" t="n">
        <v>30.70130920410156</v>
      </c>
      <c r="F278" t="n">
        <v>-3.471955177235022e-05</v>
      </c>
    </row>
    <row r="279">
      <c r="A279" s="81" t="n">
        <v>43132</v>
      </c>
      <c r="B279" t="n">
        <v>54.1</v>
      </c>
      <c r="C279" t="n">
        <v>66.12479400634766</v>
      </c>
      <c r="D279" t="n">
        <v>38.14734268188477</v>
      </c>
      <c r="E279" t="n">
        <v>28.64408111572266</v>
      </c>
      <c r="F279" t="n">
        <v/>
      </c>
    </row>
    <row r="280">
      <c r="A280" s="81" t="n">
        <v>43160</v>
      </c>
      <c r="B280" t="n">
        <v>53.3</v>
      </c>
      <c r="C280" t="n">
        <v>65.13459777832031</v>
      </c>
      <c r="D280" t="n">
        <v>37.89384841918945</v>
      </c>
      <c r="E280" t="n">
        <v>28.71018409729004</v>
      </c>
      <c r="F280" t="n">
        <v/>
      </c>
    </row>
    <row r="281">
      <c r="A281" s="81" t="n">
        <v>43191</v>
      </c>
      <c r="B281" t="n">
        <v>53.5</v>
      </c>
      <c r="C281" t="n">
        <v>65.39802551269531</v>
      </c>
      <c r="D281" t="n">
        <v>38.75049591064453</v>
      </c>
      <c r="E281" t="n">
        <v>29.9494743347168</v>
      </c>
      <c r="F281" t="n">
        <v>0.005393151214386117</v>
      </c>
    </row>
    <row r="282">
      <c r="A282" s="81" t="n">
        <v>43221</v>
      </c>
      <c r="B282" t="n">
        <v>53.1</v>
      </c>
      <c r="C282" t="n">
        <v>65.70691680908203</v>
      </c>
      <c r="D282" t="n">
        <v>37.36062240600586</v>
      </c>
      <c r="E282" t="n">
        <v>29.76771354675293</v>
      </c>
      <c r="F282" t="n">
        <v/>
      </c>
    </row>
    <row r="283">
      <c r="A283" s="81" t="n">
        <v>43252</v>
      </c>
      <c r="B283" t="n">
        <v>53</v>
      </c>
      <c r="C283" t="n">
        <v>64.60771179199219</v>
      </c>
      <c r="D283" t="n">
        <v>35.84836578369141</v>
      </c>
      <c r="E283" t="n">
        <v>28.73496627807617</v>
      </c>
      <c r="F283" t="n">
        <v/>
      </c>
    </row>
    <row r="284">
      <c r="A284" s="81" t="n">
        <v>43282</v>
      </c>
      <c r="B284" t="n">
        <v>52.8</v>
      </c>
      <c r="C284" t="n">
        <v>67.32461547851562</v>
      </c>
      <c r="D284" t="n">
        <v>38.12032318115234</v>
      </c>
      <c r="E284" t="n">
        <v>29.69309425354004</v>
      </c>
      <c r="F284" t="n">
        <v>8.665848958256819e-05</v>
      </c>
    </row>
    <row r="285">
      <c r="A285" s="81" t="n">
        <v>43313</v>
      </c>
      <c r="B285" t="n">
        <v>52.6</v>
      </c>
      <c r="C285" t="n">
        <v>67.79302978515625</v>
      </c>
      <c r="D285" t="n">
        <v>36.91143035888672</v>
      </c>
      <c r="E285" t="n">
        <v>28.39069175720215</v>
      </c>
      <c r="F285" t="n">
        <v/>
      </c>
    </row>
    <row r="286">
      <c r="A286" s="81" t="n">
        <v>43344</v>
      </c>
      <c r="B286" t="n">
        <v>52.2</v>
      </c>
      <c r="C286" t="n">
        <v>68.20634460449219</v>
      </c>
      <c r="D286" t="n">
        <v>36.7233772277832</v>
      </c>
      <c r="E286" t="n">
        <v>28.85583686828613</v>
      </c>
      <c r="F286" t="n">
        <v/>
      </c>
    </row>
    <row r="287">
      <c r="A287" s="81" t="n">
        <v>43374</v>
      </c>
      <c r="B287" t="n">
        <v>52</v>
      </c>
      <c r="C287" t="n">
        <v>63.1363410949707</v>
      </c>
      <c r="D287" t="n">
        <v>33.46385192871094</v>
      </c>
      <c r="E287" t="n">
        <v>26.90222930908203</v>
      </c>
      <c r="F287" t="n">
        <v>0.006466225183837674</v>
      </c>
    </row>
    <row r="288">
      <c r="A288" s="81" t="n">
        <v>43405</v>
      </c>
      <c r="B288" t="n">
        <v>52</v>
      </c>
      <c r="C288" t="n">
        <v>64.13748168945312</v>
      </c>
      <c r="D288" t="n">
        <v>33.34744262695312</v>
      </c>
      <c r="E288" t="n">
        <v>26.58085823059082</v>
      </c>
      <c r="F288" t="n">
        <v/>
      </c>
    </row>
    <row r="289">
      <c r="A289" s="81" t="n">
        <v>43435</v>
      </c>
      <c r="B289" t="n">
        <v>51.5</v>
      </c>
      <c r="C289" t="n">
        <v>58.9296989440918</v>
      </c>
      <c r="D289" t="n">
        <v>31.39531326293945</v>
      </c>
      <c r="E289" t="n">
        <v>24.82176780700684</v>
      </c>
      <c r="F289" t="n">
        <v/>
      </c>
    </row>
    <row r="290">
      <c r="A290" s="81" t="n">
        <v>43466</v>
      </c>
      <c r="B290" t="n">
        <v>50.7</v>
      </c>
      <c r="C290" t="n">
        <v>64.29935455322266</v>
      </c>
      <c r="D290" t="n">
        <v>33.62771606445312</v>
      </c>
      <c r="E290" t="n">
        <v>27.21231460571289</v>
      </c>
      <c r="F290" t="n">
        <v>0.0062851080856009</v>
      </c>
    </row>
    <row r="291">
      <c r="A291" s="81" t="n">
        <v>43497</v>
      </c>
      <c r="B291" t="n">
        <v>50.6</v>
      </c>
      <c r="C291" t="n">
        <v>65.885498046875</v>
      </c>
      <c r="D291" t="n">
        <v>34.68111419677734</v>
      </c>
      <c r="E291" t="n">
        <v>28.14560127258301</v>
      </c>
      <c r="F291" t="n">
        <v/>
      </c>
    </row>
    <row r="292">
      <c r="A292" s="81" t="n">
        <v>43525</v>
      </c>
      <c r="B292" t="n">
        <v>50.5</v>
      </c>
      <c r="C292" t="n">
        <v>66.92438507080078</v>
      </c>
      <c r="D292" t="n">
        <v>34.75314331054688</v>
      </c>
      <c r="E292" t="n">
        <v>28.52582931518555</v>
      </c>
      <c r="F292" t="n">
        <v/>
      </c>
    </row>
    <row r="293">
      <c r="A293" s="81" t="n">
        <v>43556</v>
      </c>
      <c r="B293" t="n">
        <v>50.4</v>
      </c>
      <c r="C293" t="n">
        <v>69.21548461914062</v>
      </c>
      <c r="D293" t="n">
        <v>36.49080276489258</v>
      </c>
      <c r="E293" t="n">
        <v>29.17394828796387</v>
      </c>
      <c r="F293" t="n">
        <v>0.003135501354607775</v>
      </c>
    </row>
    <row r="294">
      <c r="A294" s="81" t="n">
        <v>43586</v>
      </c>
      <c r="B294" t="n">
        <v>49.8</v>
      </c>
      <c r="C294" t="n">
        <v>65.01358795166016</v>
      </c>
      <c r="D294" t="n">
        <v>34.14090347290039</v>
      </c>
      <c r="E294" t="n">
        <v>27.38514518737793</v>
      </c>
      <c r="F294" t="n">
        <v/>
      </c>
    </row>
    <row r="295">
      <c r="A295" s="81" t="n">
        <v>43617</v>
      </c>
      <c r="B295" t="n">
        <v>49.4</v>
      </c>
      <c r="C295" t="n">
        <v>68.37139892578125</v>
      </c>
      <c r="D295" t="n">
        <v>35.61746978759766</v>
      </c>
      <c r="E295" t="n">
        <v>27.9295654296875</v>
      </c>
      <c r="F295" t="n">
        <v/>
      </c>
    </row>
    <row r="296">
      <c r="A296" s="81" t="n">
        <v>43647</v>
      </c>
      <c r="B296" t="n">
        <v>49.3</v>
      </c>
      <c r="C296" t="n">
        <v>69.28021240234375</v>
      </c>
      <c r="D296" t="n">
        <v>35.58132553100586</v>
      </c>
      <c r="E296" t="n">
        <v>27.95261383056641</v>
      </c>
      <c r="F296" t="n">
        <v>0.002071376471619694</v>
      </c>
    </row>
    <row r="297">
      <c r="A297" s="81" t="n">
        <v>43678</v>
      </c>
      <c r="B297" t="n">
        <v>49.5</v>
      </c>
      <c r="C297" t="n">
        <v>67.74920654296875</v>
      </c>
      <c r="D297" t="n">
        <v>35.0451545715332</v>
      </c>
      <c r="E297" t="n">
        <v>26.88910102844238</v>
      </c>
      <c r="F297" t="n">
        <v/>
      </c>
    </row>
    <row r="298">
      <c r="A298" s="81" t="n">
        <v>43709</v>
      </c>
      <c r="B298" t="n">
        <v>49.7</v>
      </c>
      <c r="C298" t="n">
        <v>69.27082061767578</v>
      </c>
      <c r="D298" t="n">
        <v>35.95109939575195</v>
      </c>
      <c r="E298" t="n">
        <v>27.85512542724609</v>
      </c>
      <c r="F298" t="n">
        <v/>
      </c>
    </row>
    <row r="299">
      <c r="A299" s="81" t="n">
        <v>43739</v>
      </c>
      <c r="B299" t="n">
        <v>49.8</v>
      </c>
      <c r="C299" t="n">
        <v>71.16813659667969</v>
      </c>
      <c r="D299" t="n">
        <v>37.36547470092773</v>
      </c>
      <c r="E299" t="n">
        <v>28.83000946044922</v>
      </c>
      <c r="F299" t="n">
        <v>0.0001542157894406365</v>
      </c>
    </row>
    <row r="300">
      <c r="A300" s="81" t="n">
        <v>43770</v>
      </c>
      <c r="B300" t="n">
        <v>50.3</v>
      </c>
      <c r="C300" t="n">
        <v>72.83064270019531</v>
      </c>
      <c r="D300" t="n">
        <v>37.70751571655273</v>
      </c>
      <c r="E300" t="n">
        <v>29.18451690673828</v>
      </c>
      <c r="F300" t="n">
        <v/>
      </c>
    </row>
    <row r="301">
      <c r="A301" s="81" t="n">
        <v>43800</v>
      </c>
      <c r="B301" t="n">
        <v>50.1</v>
      </c>
      <c r="C301" t="n">
        <v>74.43678283691406</v>
      </c>
      <c r="D301" t="n">
        <v>38.75212097167969</v>
      </c>
      <c r="E301" t="n">
        <v>30.22143936157227</v>
      </c>
      <c r="F301" t="n">
        <v/>
      </c>
    </row>
    <row r="302">
      <c r="A302" s="81" t="n">
        <v>43831</v>
      </c>
      <c r="B302" t="n">
        <v>50.4</v>
      </c>
      <c r="C302" t="n">
        <v>74.25371551513672</v>
      </c>
      <c r="D302" t="n">
        <v>37.57478713989258</v>
      </c>
      <c r="E302" t="n">
        <v>29.44472312927246</v>
      </c>
      <c r="F302" t="n">
        <v>-0.03365603589316016</v>
      </c>
    </row>
    <row r="303">
      <c r="A303" s="81" t="n">
        <v>43862</v>
      </c>
      <c r="B303" t="n">
        <v>47.1</v>
      </c>
      <c r="C303" t="n">
        <v>68.69252014160156</v>
      </c>
      <c r="D303" t="n">
        <v>34.79938507080078</v>
      </c>
      <c r="E303" t="n">
        <v>26.43169021606445</v>
      </c>
      <c r="F303" t="n">
        <v/>
      </c>
    </row>
    <row r="304">
      <c r="A304" s="81" t="n">
        <v>43891</v>
      </c>
      <c r="B304" t="n">
        <v>47.3</v>
      </c>
      <c r="C304" t="n">
        <v>59.48092269897461</v>
      </c>
      <c r="D304" t="n">
        <v>28.32032775878906</v>
      </c>
      <c r="E304" t="n">
        <v>21.54228019714355</v>
      </c>
      <c r="F304" t="n">
        <v/>
      </c>
    </row>
    <row r="305">
      <c r="A305" s="81" t="n">
        <v>43922</v>
      </c>
      <c r="B305" t="n">
        <v>39.6</v>
      </c>
      <c r="C305" t="n">
        <v>65.32730102539062</v>
      </c>
      <c r="D305" t="n">
        <v>30.06540489196777</v>
      </c>
      <c r="E305" t="n">
        <v>22.77816200256348</v>
      </c>
      <c r="F305" t="n">
        <v>-0.11450771349771</v>
      </c>
    </row>
    <row r="306">
      <c r="A306" s="81" t="n">
        <v>43952</v>
      </c>
      <c r="B306" t="n">
        <v>42.4</v>
      </c>
      <c r="C306" t="n">
        <v>68.65449523925781</v>
      </c>
      <c r="D306" t="n">
        <v>32.28387832641602</v>
      </c>
      <c r="E306" t="n">
        <v>23.21117401123047</v>
      </c>
      <c r="F306" t="n">
        <v/>
      </c>
    </row>
    <row r="307">
      <c r="A307" s="81" t="n">
        <v>43983</v>
      </c>
      <c r="B307" t="n">
        <v>47.8</v>
      </c>
      <c r="C307" t="n">
        <v>70.0804443359375</v>
      </c>
      <c r="D307" t="n">
        <v>33.86186599731445</v>
      </c>
      <c r="E307" t="n">
        <v>23.23823738098145</v>
      </c>
      <c r="F307" t="n">
        <v/>
      </c>
    </row>
    <row r="308">
      <c r="A308" s="81" t="n">
        <v>44013</v>
      </c>
      <c r="B308" t="n">
        <v>50.6</v>
      </c>
      <c r="C308" t="n">
        <v>74.46009063720703</v>
      </c>
      <c r="D308" t="n">
        <v>35.2772102355957</v>
      </c>
      <c r="E308" t="n">
        <v>23.74909973144531</v>
      </c>
      <c r="F308" t="n">
        <v>0.1235107992140109</v>
      </c>
    </row>
    <row r="309">
      <c r="A309" s="81" t="n">
        <v>44044</v>
      </c>
      <c r="B309" t="n">
        <v>51.8</v>
      </c>
      <c r="C309" t="n">
        <v>78.94667816162109</v>
      </c>
      <c r="D309" t="n">
        <v>36.88795852661133</v>
      </c>
      <c r="E309" t="n">
        <v>24.39938354492188</v>
      </c>
      <c r="F309" t="n">
        <v/>
      </c>
    </row>
    <row r="310">
      <c r="A310" s="81" t="n">
        <v>44075</v>
      </c>
      <c r="B310" t="n">
        <v>52.4</v>
      </c>
      <c r="C310" t="n">
        <v>76.61711120605469</v>
      </c>
      <c r="D310" t="n">
        <v>35.51132965087891</v>
      </c>
      <c r="E310" t="n">
        <v>23.34610557556152</v>
      </c>
      <c r="F310" t="n">
        <v/>
      </c>
    </row>
    <row r="311">
      <c r="A311" s="81" t="n">
        <v>44105</v>
      </c>
      <c r="B311" t="n">
        <v>53</v>
      </c>
      <c r="C311" t="n">
        <v>74.91066741943359</v>
      </c>
      <c r="D311" t="n">
        <v>33.60091400146484</v>
      </c>
      <c r="E311" t="n">
        <v>22.2928295135498</v>
      </c>
      <c r="F311" t="n">
        <v>-0.002624307461512466</v>
      </c>
    </row>
    <row r="312">
      <c r="A312" s="81" t="n">
        <v>44136</v>
      </c>
      <c r="B312" t="n">
        <v>53.8</v>
      </c>
      <c r="C312" t="n">
        <v>83.72086334228516</v>
      </c>
      <c r="D312" t="n">
        <v>40.21246337890625</v>
      </c>
      <c r="E312" t="n">
        <v>25.88312911987305</v>
      </c>
      <c r="F312" t="n">
        <v/>
      </c>
    </row>
    <row r="313">
      <c r="A313" s="81" t="n">
        <v>44166</v>
      </c>
      <c r="B313" t="n">
        <v>53.8</v>
      </c>
      <c r="C313" t="n">
        <v>86.97077178955078</v>
      </c>
      <c r="D313" t="n">
        <v>41.28005218505859</v>
      </c>
      <c r="E313" t="n">
        <v>26.82649993896484</v>
      </c>
      <c r="F313" t="n">
        <v/>
      </c>
    </row>
    <row r="314">
      <c r="A314" s="81" t="n">
        <v>44197</v>
      </c>
      <c r="B314" t="n">
        <v>53.6</v>
      </c>
      <c r="C314" t="n">
        <v>87.37461090087891</v>
      </c>
      <c r="D314" t="n">
        <v>41.14377975463867</v>
      </c>
      <c r="E314" t="n">
        <v>27.06836700439453</v>
      </c>
      <c r="F314" t="n">
        <v>-0.0006097294416353623</v>
      </c>
    </row>
    <row r="315">
      <c r="A315" s="81" t="n">
        <v>44228</v>
      </c>
      <c r="B315" t="n">
        <v>53.9</v>
      </c>
      <c r="C315" t="n">
        <v>89.37444305419922</v>
      </c>
      <c r="D315" t="n">
        <v>42.54025268554688</v>
      </c>
      <c r="E315" t="n">
        <v>28.13368606567383</v>
      </c>
      <c r="F315" t="n">
        <v/>
      </c>
    </row>
    <row r="316">
      <c r="A316" s="81" t="n">
        <v>44256</v>
      </c>
      <c r="B316" t="n">
        <v>55</v>
      </c>
      <c r="C316" t="n">
        <v>91.92494964599609</v>
      </c>
      <c r="D316" t="n">
        <v>44.10772705078125</v>
      </c>
      <c r="E316" t="n">
        <v>29.00446891784668</v>
      </c>
      <c r="F316" t="n">
        <v/>
      </c>
    </row>
    <row r="317">
      <c r="A317" s="81" t="n">
        <v>44287</v>
      </c>
      <c r="B317" t="n">
        <v>55.9</v>
      </c>
      <c r="C317" t="n">
        <v>95.82802581787109</v>
      </c>
      <c r="D317" t="n">
        <v>46.15969848632812</v>
      </c>
      <c r="E317" t="n">
        <v>30.1346321105957</v>
      </c>
      <c r="F317" t="n">
        <v>0.01985671376328628</v>
      </c>
    </row>
    <row r="318">
      <c r="A318" s="81" t="n">
        <v>44317</v>
      </c>
      <c r="B318" t="n">
        <v>56</v>
      </c>
      <c r="C318" t="n">
        <v>97.23854064941406</v>
      </c>
      <c r="D318" t="n">
        <v>48.18315505981445</v>
      </c>
      <c r="E318" t="n">
        <v>31.30185508728027</v>
      </c>
      <c r="F318" t="n">
        <v/>
      </c>
    </row>
    <row r="319">
      <c r="A319" s="81" t="n">
        <v>44348</v>
      </c>
      <c r="B319" t="n">
        <v>55.5</v>
      </c>
      <c r="C319" t="n">
        <v>97.76023864746094</v>
      </c>
      <c r="D319" t="n">
        <v>46.88167572021484</v>
      </c>
      <c r="E319" t="n">
        <v>30.2921142578125</v>
      </c>
      <c r="F319" t="n">
        <v/>
      </c>
    </row>
    <row r="320">
      <c r="A320" s="81" t="n">
        <v>44378</v>
      </c>
      <c r="B320" t="n">
        <v>55.4</v>
      </c>
      <c r="C320" t="n">
        <v>99.35980987548828</v>
      </c>
      <c r="D320" t="n">
        <v>47.80790328979492</v>
      </c>
      <c r="E320" t="n">
        <v>30.89048194885254</v>
      </c>
      <c r="F320" t="n">
        <v>0.02249599232690354</v>
      </c>
    </row>
    <row r="321">
      <c r="A321" s="81" t="n">
        <v>44409</v>
      </c>
      <c r="B321" t="n">
        <v>54.1</v>
      </c>
      <c r="C321" t="n">
        <v>101.5200271606445</v>
      </c>
      <c r="D321" t="n">
        <v>48.74776077270508</v>
      </c>
      <c r="E321" t="n">
        <v>31.09773635864258</v>
      </c>
      <c r="F321" t="n">
        <v/>
      </c>
    </row>
    <row r="322">
      <c r="A322" s="81" t="n">
        <v>44440</v>
      </c>
      <c r="B322" t="n">
        <v>54.1</v>
      </c>
      <c r="C322" t="n">
        <v>97.22880554199219</v>
      </c>
      <c r="D322" t="n">
        <v>46.14876937866211</v>
      </c>
      <c r="E322" t="n">
        <v>30.38176536560059</v>
      </c>
      <c r="F322" t="n">
        <v/>
      </c>
    </row>
    <row r="323">
      <c r="A323" s="81" t="n">
        <v>44470</v>
      </c>
      <c r="B323" t="n">
        <v>54.2</v>
      </c>
      <c r="C323" t="n">
        <v>102.4736175537109</v>
      </c>
      <c r="D323" t="n">
        <v>48.25864791870117</v>
      </c>
      <c r="E323" t="n">
        <v>31.72892379760742</v>
      </c>
      <c r="F323" t="n">
        <v>0.005357789399362019</v>
      </c>
    </row>
    <row r="324">
      <c r="A324" s="81" t="n">
        <v>44501</v>
      </c>
      <c r="B324" t="n">
        <v>54.2</v>
      </c>
      <c r="C324" t="n">
        <v>100.1090698242188</v>
      </c>
      <c r="D324" t="n">
        <v>45.65007400512695</v>
      </c>
      <c r="E324" t="n">
        <v>30.18392944335938</v>
      </c>
      <c r="F324" t="n">
        <v/>
      </c>
    </row>
    <row r="325">
      <c r="A325" s="81" t="n">
        <v>44531</v>
      </c>
      <c r="B325" t="n">
        <v>54.3</v>
      </c>
      <c r="C325" t="n">
        <v>102.9309768676758</v>
      </c>
      <c r="D325" t="n">
        <v>47.0023078918457</v>
      </c>
      <c r="E325" t="n">
        <v>31.22020721435547</v>
      </c>
      <c r="F325" t="n">
        <v/>
      </c>
    </row>
    <row r="326">
      <c r="A326" s="81" t="n">
        <v>44562</v>
      </c>
      <c r="B326" t="n">
        <v>53.2</v>
      </c>
      <c r="C326" t="n">
        <v>99.27206420898438</v>
      </c>
      <c r="D326" t="n">
        <v>46.11867904663086</v>
      </c>
      <c r="E326" t="n">
        <v>32.79575729370117</v>
      </c>
      <c r="F326" t="n">
        <v>0.006356354249545562</v>
      </c>
    </row>
    <row r="327">
      <c r="A327" s="81" t="n">
        <v>44593</v>
      </c>
      <c r="B327" t="n">
        <v>53.6</v>
      </c>
      <c r="C327" t="n">
        <v>96.23403167724609</v>
      </c>
      <c r="D327" t="n">
        <v>42.71185684204102</v>
      </c>
      <c r="E327" t="n">
        <v>32.40867614746094</v>
      </c>
      <c r="F327" t="n">
        <v/>
      </c>
    </row>
    <row r="328">
      <c r="A328" s="81" t="n">
        <v>44621</v>
      </c>
      <c r="B328" t="n">
        <v>52.9</v>
      </c>
      <c r="C328" t="n">
        <v>98.10208129882812</v>
      </c>
      <c r="D328" t="n">
        <v>42.11809539794922</v>
      </c>
      <c r="E328" t="n">
        <v>32.55382919311523</v>
      </c>
      <c r="F328" t="n">
        <v/>
      </c>
    </row>
    <row r="329">
      <c r="A329" s="81" t="n">
        <v>44652</v>
      </c>
      <c r="B329" t="n">
        <v>52.2</v>
      </c>
      <c r="C329" t="n">
        <v>90.18744659423828</v>
      </c>
      <c r="D329" t="n">
        <v>39.04221725463867</v>
      </c>
      <c r="E329" t="n">
        <v>31.2570972442627</v>
      </c>
      <c r="F329" t="n">
        <v>0.008501398520135858</v>
      </c>
    </row>
    <row r="330">
      <c r="A330" s="81" t="n">
        <v>44682</v>
      </c>
      <c r="B330" t="n">
        <v>52.3</v>
      </c>
      <c r="C330" t="n">
        <v>90.59055328369141</v>
      </c>
      <c r="D330" t="n">
        <v>40.73589324951172</v>
      </c>
      <c r="E330" t="n">
        <v>32.09900665283203</v>
      </c>
      <c r="F330" t="n">
        <v/>
      </c>
    </row>
    <row r="331">
      <c r="A331" s="81" t="n">
        <v>44713</v>
      </c>
      <c r="B331" t="n">
        <v>52.2</v>
      </c>
      <c r="C331" t="n">
        <v>82.47928619384766</v>
      </c>
      <c r="D331" t="n">
        <v>35.3823127746582</v>
      </c>
      <c r="E331" t="n">
        <v>28.99264907836914</v>
      </c>
      <c r="F331" t="n">
        <v/>
      </c>
    </row>
    <row r="332">
      <c r="A332" s="81" t="n">
        <v>44743</v>
      </c>
      <c r="B332" t="n">
        <v/>
      </c>
      <c r="C332" t="n">
        <v>89.13095855712891</v>
      </c>
      <c r="D332" t="n">
        <v>37.99519348144531</v>
      </c>
      <c r="E332" t="n">
        <v>30.44909477233887</v>
      </c>
      <c r="F332" t="n">
        <v>0.003027427021100531</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row r="338">
      <c r="A338" s="81" t="n">
        <v>44896</v>
      </c>
      <c r="B338" t="n">
        <v/>
      </c>
      <c r="C338" t="n">
        <v>84.22885131835938</v>
      </c>
      <c r="D338" t="n">
        <v>39.30949020385742</v>
      </c>
      <c r="E338" t="n">
        <v>30.20282363891602</v>
      </c>
      <c r="F338" t="n">
        <v/>
      </c>
    </row>
    <row r="339">
      <c r="A339" s="81" t="n">
        <v>44927</v>
      </c>
      <c r="B339" t="n">
        <v/>
      </c>
      <c r="C339" t="n">
        <v>91.25</v>
      </c>
      <c r="D339" t="n">
        <v>44.34000015258789</v>
      </c>
      <c r="E339" t="n">
        <v>32.56999969482422</v>
      </c>
      <c r="F339"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2"/>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0.187</v>
      </c>
    </row>
    <row r="198">
      <c r="A198" s="81" t="n">
        <v>44317</v>
      </c>
      <c r="B198" t="n">
        <v>51</v>
      </c>
    </row>
    <row r="199">
      <c r="A199" s="81" t="n">
        <v>44348</v>
      </c>
      <c r="B199" t="n">
        <v>50.9</v>
      </c>
    </row>
    <row r="200">
      <c r="A200" s="81" t="n">
        <v>44378</v>
      </c>
      <c r="B200" t="n">
        <v>50.4</v>
      </c>
      <c r="C200" t="n">
        <v>0.083</v>
      </c>
    </row>
    <row r="201">
      <c r="A201" s="81" t="n">
        <v>44409</v>
      </c>
      <c r="B201" t="n">
        <v>50.1</v>
      </c>
    </row>
    <row r="202">
      <c r="A202" s="81" t="n">
        <v>44440</v>
      </c>
      <c r="B202" t="n">
        <v>49.6</v>
      </c>
    </row>
    <row r="203">
      <c r="A203" s="81" t="n">
        <v>44470</v>
      </c>
      <c r="B203" t="n">
        <v>49.2</v>
      </c>
      <c r="C203" t="n">
        <v>0.052</v>
      </c>
    </row>
    <row r="204">
      <c r="A204" s="81" t="n">
        <v>44501</v>
      </c>
      <c r="B204" t="n">
        <v>50.1</v>
      </c>
    </row>
    <row r="205">
      <c r="A205" s="81" t="n">
        <v>44531</v>
      </c>
      <c r="B205" t="n">
        <v>50.3</v>
      </c>
    </row>
    <row r="206">
      <c r="A206" s="81" t="n">
        <v>44562</v>
      </c>
      <c r="B206" t="n">
        <v>50.1</v>
      </c>
      <c r="C206" t="n">
        <v>0.043</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c r="B218" t="n">
        <v>50.1</v>
      </c>
      <c r="C218" t="n">
        <v>0.029</v>
      </c>
    </row>
    <row r="219">
      <c r="A219" s="81" t="n">
        <v>45017</v>
      </c>
    </row>
    <row r="220">
      <c r="A220" s="81" t="n">
        <v>45108</v>
      </c>
    </row>
    <row r="221">
      <c r="A221" s="81" t="n">
        <v>45200</v>
      </c>
    </row>
    <row r="222">
      <c r="A222"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9"/>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row r="149">
      <c r="A149" s="81" t="n">
        <v>44927</v>
      </c>
      <c r="B149" t="n">
        <v>47.4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6"/>
  <sheetViews>
    <sheetView tabSelected="1" zoomScale="96" zoomScaleNormal="110" workbookViewId="0">
      <pane xSplit="2" ySplit="11" topLeftCell="F104" activePane="bottomRight" state="frozen"/>
      <selection activeCell="H345" sqref="H345"/>
      <selection pane="topRight" activeCell="H345" sqref="H345"/>
      <selection pane="bottomLeft" activeCell="H345" sqref="H345"/>
      <selection pane="bottomRight" activeCell="AG2" sqref="AG2"/>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44927</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c r="B105" s="29" t="n">
        <v>44896</v>
      </c>
      <c r="C105" s="30">
        <f>VLOOKUP(B105,Global!$A:$B,2,)</f>
        <v/>
      </c>
      <c r="D105" s="30">
        <f>VLOOKUP(B105,US!$A:$D,4,)</f>
        <v/>
      </c>
      <c r="E105" s="30">
        <f>VLOOKUP(B105,US!$A:$B,2,)</f>
        <v/>
      </c>
      <c r="F105" s="30">
        <f>VLOOKUP(B105,China!$A:$B,2,)</f>
        <v/>
      </c>
      <c r="G105" s="30">
        <f>VLOOKUP(B105,'Euro Area'!A:B,2,)</f>
        <v/>
      </c>
      <c r="H105" s="30">
        <f>VLOOKUP(B105,Japan!$A:$B,2,)</f>
        <v/>
      </c>
      <c r="I105" s="30">
        <f>VLOOKUP(B105,Germany!$A:$B,2,)</f>
        <v/>
      </c>
      <c r="J105" s="30">
        <f>VLOOKUP(B105,France!$A:$B,2,)</f>
        <v/>
      </c>
      <c r="K105" s="30">
        <f>VLOOKUP(B105,UK!$A:$B,2,)</f>
        <v/>
      </c>
      <c r="L105" s="30">
        <f>VLOOKUP(B105,Italy!$A:$B,2,)</f>
        <v/>
      </c>
      <c r="M105" s="30">
        <f>VLOOKUP(B105,Spain!$A:$B,2,)</f>
        <v/>
      </c>
      <c r="N105" s="30">
        <f>VLOOKUP(B105,Brazil!$A:$B,2,)</f>
        <v/>
      </c>
      <c r="O105" s="30">
        <f>VLOOKUP(B105,Mexico!$A:$B,2,)</f>
        <v/>
      </c>
      <c r="P105" s="30">
        <f>VLOOKUP(B105,Russia!$A:$B,2,)</f>
        <v/>
      </c>
      <c r="Q105" s="30">
        <f>VLOOKUP(B105,India!$A:$B,2,)</f>
        <v/>
      </c>
      <c r="R105" s="30">
        <f>VLOOKUP(B105,Canada!$A:$B,2,)</f>
        <v/>
      </c>
      <c r="S105" s="30">
        <f>VLOOKUP(B105,Australia!$A:$B,2,)</f>
        <v/>
      </c>
      <c r="T105" s="30">
        <f>VLOOKUP(B105,Indonesia!$A:$B,2,)</f>
        <v/>
      </c>
      <c r="U105" s="30">
        <f>VLOOKUP(B105,SouthKorea!$A:$B,2,)</f>
        <v/>
      </c>
      <c r="V105" s="30">
        <f>VLOOKUP(B105,Taiwan!$A:$B,2,)</f>
        <v/>
      </c>
      <c r="W105" s="30">
        <f>VLOOKUP(B105,Greece!$A:$B,2,)</f>
        <v/>
      </c>
      <c r="X105" s="30">
        <f>VLOOKUP(B105,Ireland!$A:$B,2,)</f>
        <v/>
      </c>
      <c r="Y105" s="30">
        <f>VLOOKUP(B105,Turkey!$A:$B,2,)</f>
        <v/>
      </c>
      <c r="Z105" s="30">
        <f>VLOOKUP(B105,CzechRepublic!$A:$B,2,)</f>
        <v/>
      </c>
      <c r="AA105" s="30">
        <f>VLOOKUP(B105,Poland!$A:$B,2,)</f>
        <v/>
      </c>
      <c r="AB105" s="30">
        <f>VLOOKUP(B105,Denmark!$A:$B,2,)</f>
        <v/>
      </c>
    </row>
    <row r="106" customFormat="1" s="69">
      <c r="B106" s="29" t="n">
        <v>44927</v>
      </c>
      <c r="C106" s="30">
        <f>VLOOKUP(B106,Global!$A:$B,2,)</f>
        <v/>
      </c>
      <c r="D106" s="30">
        <f>VLOOKUP(B106,US!$A:$D,4,)</f>
        <v/>
      </c>
      <c r="E106" s="30">
        <f>VLOOKUP(B106,US!$A:$B,2,)</f>
        <v/>
      </c>
      <c r="F106" s="30">
        <f>VLOOKUP(B106,China!$A:$B,2,)</f>
        <v/>
      </c>
      <c r="G106" s="30">
        <f>VLOOKUP(B106,'Euro Area'!A:B,2,)</f>
        <v/>
      </c>
      <c r="H106" s="30">
        <f>VLOOKUP(B106,Japan!$A:$B,2,)</f>
        <v/>
      </c>
      <c r="I106" s="30">
        <f>VLOOKUP(B106,Germany!$A:$B,2,)</f>
        <v/>
      </c>
      <c r="J106" s="30">
        <f>VLOOKUP(B106,France!$A:$B,2,)</f>
        <v/>
      </c>
      <c r="K106" s="30">
        <f>VLOOKUP(B106,UK!$A:$B,2,)</f>
        <v/>
      </c>
      <c r="L106" s="30">
        <f>VLOOKUP(B106,Italy!$A:$B,2,)</f>
        <v/>
      </c>
      <c r="M106" s="30">
        <f>VLOOKUP(B106,Spain!$A:$B,2,)</f>
        <v/>
      </c>
      <c r="N106" s="30">
        <f>VLOOKUP(B106,Brazil!$A:$B,2,)</f>
        <v/>
      </c>
      <c r="O106" s="30">
        <f>VLOOKUP(B106,Mexico!$A:$B,2,)</f>
        <v/>
      </c>
      <c r="P106" s="30">
        <f>VLOOKUP(B106,Russia!$A:$B,2,)</f>
        <v/>
      </c>
      <c r="Q106" s="30">
        <f>VLOOKUP(B106,India!$A:$B,2,)</f>
        <v/>
      </c>
      <c r="R106" s="30">
        <f>VLOOKUP(B106,Canada!$A:$B,2,)</f>
        <v/>
      </c>
      <c r="S106" s="30">
        <f>VLOOKUP(B106,Australia!$A:$B,2,)</f>
        <v/>
      </c>
      <c r="T106" s="30">
        <f>VLOOKUP(B106,Indonesia!$A:$B,2,)</f>
        <v/>
      </c>
      <c r="U106" s="30">
        <f>VLOOKUP(B106,SouthKorea!$A:$B,2,)</f>
        <v/>
      </c>
      <c r="V106" s="30">
        <f>VLOOKUP(B106,Taiwan!$A:$B,2,)</f>
        <v/>
      </c>
      <c r="W106" s="30">
        <f>VLOOKUP(B106,Greece!$A:$B,2,)</f>
        <v/>
      </c>
      <c r="X106" s="30">
        <f>VLOOKUP(B106,Ireland!$A:$B,2,)</f>
        <v/>
      </c>
      <c r="Y106" s="30">
        <f>VLOOKUP(B106,Turkey!$A:$B,2,)</f>
        <v/>
      </c>
      <c r="Z106" s="30">
        <f>VLOOKUP(B106,CzechRepublic!$A:$B,2,)</f>
        <v/>
      </c>
      <c r="AA106" s="30">
        <f>VLOOKUP(B106,Poland!$A:$B,2,)</f>
        <v/>
      </c>
      <c r="AB106" s="30">
        <f>VLOOKUP(B106,Denmark!$A:$B,2,)</f>
        <v/>
      </c>
    </row>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6">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tabColor rgb="FFFFC000"/>
    <outlinePr summaryBelow="1" summaryRight="1"/>
    <pageSetUpPr/>
  </sheetPr>
  <dimension ref="A1:K146"/>
  <sheetViews>
    <sheetView zoomScale="110" zoomScaleNormal="110" workbookViewId="0">
      <pane ySplit="5" topLeftCell="A134" activePane="bottomLeft" state="frozen"/>
      <selection activeCell="X324" sqref="X324"/>
      <selection pane="bottomLeft" activeCell="L5" sqref="L5"/>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9"/>
    <col width="9.1796875" customWidth="1" style="69" min="60"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3"/>
  <sheetViews>
    <sheetView zoomScale="140" zoomScaleNormal="140" workbookViewId="0">
      <pane ySplit="5" topLeftCell="A146" activePane="bottomLeft" state="frozen"/>
      <selection activeCell="O117" sqref="O117"/>
      <selection pane="bottomLeft" activeCell="A148" sqref="A148:D153"/>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9"/>
    <col width="9.1796875" customWidth="1" style="69" min="60"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row r="152">
      <c r="A152" s="10" t="n">
        <v>44896</v>
      </c>
      <c r="B152" s="18">
        <f>IF(VLOOKUP(A152,'DB Country PMI'!$A:$AZ,MATCH($A$1,'DB Country PMI'!$A$1:$AZ$1,),)=0,#N/A,VLOOKUP(A152,'DB Country PMI'!$A:$AZ,MATCH($A$1,'DB Country PMI'!$A$1:$AZ$1,),))</f>
        <v/>
      </c>
      <c r="C152" s="24">
        <f>Table1346811[[#This Row],[PMI]]-B151</f>
        <v/>
      </c>
      <c r="D152" s="24">
        <f>IF(VLOOKUP(Table1346811[[#This Row],[Date]],'DB US ISM Manufacturing'!$A:$B,2)=0,#N/A,VLOOKUP(Table1346811[[#This Row],[Date]],'DB US ISM Manufacturing'!$A:$B,2))</f>
        <v/>
      </c>
    </row>
    <row r="153">
      <c r="A153" s="10" t="n">
        <v>44927</v>
      </c>
      <c r="B153" s="18">
        <f>IF(VLOOKUP(A153,'DB Country PMI'!$A:$AZ,MATCH($A$1,'DB Country PMI'!$A$1:$AZ$1,),)=0,#N/A,VLOOKUP(A153,'DB Country PMI'!$A:$AZ,MATCH($A$1,'DB Country PMI'!$A$1:$AZ$1,),))</f>
        <v/>
      </c>
      <c r="C153" s="24">
        <f>Table1346811[[#This Row],[PMI]]-B152</f>
        <v/>
      </c>
      <c r="D153" s="24">
        <f>IF(VLOOKUP(Table1346811[[#This Row],[Date]],'DB US ISM Manufacturing'!$A:$B,2)=0,#N/A,VLOOKUP(Table1346811[[#This Row],[Date]],'DB US ISM Manufacturing'!$A:$B,2))</f>
        <v/>
      </c>
    </row>
  </sheetData>
  <conditionalFormatting sqref="C7:C106">
    <cfRule type="colorScale" priority="2">
      <colorScale>
        <cfvo type="min"/>
        <cfvo type="percentile" val="50"/>
        <cfvo type="max"/>
        <color rgb="FFF8696B"/>
        <color rgb="FFFCFCFF"/>
        <color rgb="FF5A8AC6"/>
      </colorScale>
    </cfRule>
  </conditionalFormatting>
  <conditionalFormatting sqref="B6:B153">
    <cfRule type="colorScale" priority="64">
      <colorScale>
        <cfvo type="min"/>
        <cfvo type="percentile" val="50"/>
        <cfvo type="max"/>
        <color rgb="FFF8696B"/>
        <color rgb="FFFFEB84"/>
        <color rgb="FF63BE7B"/>
      </colorScale>
    </cfRule>
  </conditionalFormatting>
  <conditionalFormatting sqref="D6:D153">
    <cfRule type="colorScale" priority="6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2"/>
  <sheetViews>
    <sheetView zoomScale="130" zoomScaleNormal="130" workbookViewId="0">
      <pane ySplit="5" topLeftCell="A216" activePane="bottomLeft" state="frozen"/>
      <selection activeCell="K199" sqref="K199"/>
      <selection pane="bottomLeft" activeCell="A216" sqref="A216:F222"/>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9"/>
    <col width="9.1796875" customWidth="1" style="69" min="60"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row r="221">
      <c r="A221" s="10" t="n">
        <v>44896</v>
      </c>
      <c r="B221" s="18">
        <f>IF(VLOOKUP(A221,'DB Country PMI'!$A:$AZ,MATCH($A$2,'DB Country PMI'!$A$1:$AZ$1,),)=0,#N/A,VLOOKUP(A221,'DB Country PMI'!$A:$AZ,MATCH($A$2,'DB Country PMI'!$A$1:$AZ$1,),))</f>
        <v/>
      </c>
      <c r="C221" s="24">
        <f>Table1346811121415161718192021[[#This Row],[Caixin PMI]]-B220</f>
        <v/>
      </c>
      <c r="D221" s="24">
        <f>IF(VLOOKUP(Table1346811121415161718192021[[#This Row],[Date]],'DB China Official PMI'!$A:$C,2)=0,#N/A,VLOOKUP(Table1346811121415161718192021[[#This Row],[Date]],'DB China Official PMI'!$A:$C,2))</f>
        <v/>
      </c>
      <c r="E221" s="24">
        <f>Table1346811121415161718192021[[#This Row],[Official PMI]]-D220</f>
        <v/>
      </c>
      <c r="F221" s="52">
        <f>IF(VLOOKUP(Table1346811121415161718192021[[#This Row],[Date]],'DB China Official PMI'!$A:$C,3)=0,"",VLOOKUP(Table1346811121415161718192021[[#This Row],[Date]],'DB China Official PMI'!$A:$C,3))</f>
        <v/>
      </c>
    </row>
    <row r="222">
      <c r="A222" s="10" t="n">
        <v>44927</v>
      </c>
      <c r="B222" s="18">
        <f>IF(VLOOKUP(A222,'DB Country PMI'!$A:$AZ,MATCH($A$2,'DB Country PMI'!$A$1:$AZ$1,),)=0,#N/A,VLOOKUP(A222,'DB Country PMI'!$A:$AZ,MATCH($A$2,'DB Country PMI'!$A$1:$AZ$1,),))</f>
        <v/>
      </c>
      <c r="C222" s="24">
        <f>Table1346811121415161718192021[[#This Row],[Caixin PMI]]-B221</f>
        <v/>
      </c>
      <c r="D222" s="24">
        <f>IF(VLOOKUP(Table1346811121415161718192021[[#This Row],[Date]],'DB China Official PMI'!$A:$C,2)=0,#N/A,VLOOKUP(Table1346811121415161718192021[[#This Row],[Date]],'DB China Official PMI'!$A:$C,2))</f>
        <v/>
      </c>
      <c r="E222" s="24">
        <f>Table1346811121415161718192021[[#This Row],[Official PMI]]-D221</f>
        <v/>
      </c>
      <c r="F222" s="52">
        <f>IF(VLOOKUP(Table1346811121415161718192021[[#This Row],[Date]],'DB China Official PMI'!$A:$C,3)=0,"",VLOOKUP(Table1346811121415161718192021[[#This Row],[Date]],'DB China Official PMI'!$A:$C,3))</f>
        <v/>
      </c>
    </row>
  </sheetData>
  <conditionalFormatting sqref="C66:C222">
    <cfRule type="colorScale" priority="4">
      <colorScale>
        <cfvo type="min"/>
        <cfvo type="percentile" val="50"/>
        <cfvo type="max"/>
        <color rgb="FFF8696B"/>
        <color rgb="FFFCFCFF"/>
        <color rgb="FF5A8AC6"/>
      </colorScale>
    </cfRule>
  </conditionalFormatting>
  <conditionalFormatting sqref="E66:E222">
    <cfRule type="colorScale" priority="3">
      <colorScale>
        <cfvo type="min"/>
        <cfvo type="percentile" val="50"/>
        <cfvo type="max"/>
        <color rgb="FFF8696B"/>
        <color rgb="FFFCFCFF"/>
        <color rgb="FF5A8AC6"/>
      </colorScale>
    </cfRule>
  </conditionalFormatting>
  <conditionalFormatting sqref="B66:B222">
    <cfRule type="colorScale" priority="2">
      <colorScale>
        <cfvo type="min"/>
        <cfvo type="percentile" val="50"/>
        <cfvo type="max"/>
        <color rgb="FFF8696B"/>
        <color rgb="FFFFEB84"/>
        <color rgb="FF63BE7B"/>
      </colorScale>
    </cfRule>
  </conditionalFormatting>
  <conditionalFormatting sqref="D66:D22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3"/>
  <sheetViews>
    <sheetView zoomScaleNormal="100" workbookViewId="0">
      <pane ySplit="5" topLeftCell="A218" activePane="bottomLeft" state="frozen"/>
      <selection activeCell="P121" sqref="P121"/>
      <selection pane="bottomLeft" activeCell="A205" sqref="A205:G22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row r="222">
      <c r="A222" s="10" t="n">
        <v>44896</v>
      </c>
      <c r="B222" s="18">
        <f>IF(VLOOKUP(A222,'DB Country PMI'!$A:$AZ,MATCH($A$1,'DB Country PMI'!$A$1:$AZ$1,),)=0,#N/A,VLOOKUP(A222,'DB Country PMI'!$A:$AZ,MATCH($A$1,'DB Country PMI'!$A$1:$AZ$1,),))</f>
        <v/>
      </c>
      <c r="C222" s="24">
        <f>Table13468111214[[#This Row],[Euro Area PMI]]-B221</f>
        <v/>
      </c>
      <c r="D222" s="11">
        <f>IF(VLOOKUP(Table13468111214[[#This Row],[Date]],'DB Global PMI'!$A:$F,4)=0,#N/A,VLOOKUP(Table13468111214[[#This Row],[Date]],'DB Global PMI'!$A:$F,4))</f>
        <v/>
      </c>
      <c r="E222" s="24">
        <f>Table13468111214[[#This Row],[Euro Area PMI]]-B210</f>
        <v/>
      </c>
      <c r="F222" s="52">
        <f>(Table13468111214[[#This Row],[EZU]]-D210)/D210</f>
        <v/>
      </c>
      <c r="G222" s="52">
        <f>IF(VLOOKUP(Table13468111214[[#This Row],[Date]],'DB Global PMI'!$A:$F,6)=0,"",VLOOKUP(Table13468111214[[#This Row],[Date]],'DB Global PMI'!$A:$F,6))</f>
        <v/>
      </c>
    </row>
    <row r="223">
      <c r="A223" s="10" t="n">
        <v>44927</v>
      </c>
      <c r="B223" s="18">
        <f>IF(VLOOKUP(A223,'DB Country PMI'!$A:$AZ,MATCH($A$1,'DB Country PMI'!$A$1:$AZ$1,),)=0,#N/A,VLOOKUP(A223,'DB Country PMI'!$A:$AZ,MATCH($A$1,'DB Country PMI'!$A$1:$AZ$1,),))</f>
        <v/>
      </c>
      <c r="C223" s="24">
        <f>Table13468111214[[#This Row],[Euro Area PMI]]-B222</f>
        <v/>
      </c>
      <c r="D223" s="11">
        <f>IF(VLOOKUP(Table13468111214[[#This Row],[Date]],'DB Global PMI'!$A:$F,4)=0,#N/A,VLOOKUP(Table13468111214[[#This Row],[Date]],'DB Global PMI'!$A:$F,4))</f>
        <v/>
      </c>
      <c r="E223" s="24">
        <f>Table13468111214[[#This Row],[Euro Area PMI]]-B211</f>
        <v/>
      </c>
      <c r="F223" s="52">
        <f>(Table13468111214[[#This Row],[EZU]]-D211)/D211</f>
        <v/>
      </c>
      <c r="G22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5"/>
  <sheetViews>
    <sheetView zoomScale="140" zoomScaleNormal="140" workbookViewId="0">
      <pane ySplit="5" topLeftCell="A179" activePane="bottomLeft" state="frozen"/>
      <selection activeCell="B327" sqref="B327"/>
      <selection pane="bottomLeft" activeCell="T188" sqref="T188"/>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row r="184">
      <c r="A184" s="10" t="n">
        <v>44896</v>
      </c>
      <c r="B184" s="18">
        <f>IF(VLOOKUP(A184,'DB Country PMI'!$A:$AZ,MATCH($A$1,'DB Country PMI'!$A$1:$AZ$1,),)=0,#N/A,VLOOKUP(A184,'DB Country PMI'!$A:$AZ,MATCH($A$1,'DB Country PMI'!$A$1:$AZ$1,),))</f>
        <v/>
      </c>
      <c r="C184" s="24">
        <f>Table1346811121415161718192022[[#This Row],[PMI]]-B183</f>
        <v/>
      </c>
    </row>
    <row r="185">
      <c r="A185" s="10" t="n">
        <v>44927</v>
      </c>
      <c r="B185" s="18">
        <f>IF(VLOOKUP(A185,'DB Country PMI'!$A:$AZ,MATCH($A$1,'DB Country PMI'!$A$1:$AZ$1,),)=0,#N/A,VLOOKUP(A185,'DB Country PMI'!$A:$AZ,MATCH($A$1,'DB Country PMI'!$A$1:$AZ$1,),))</f>
        <v/>
      </c>
      <c r="C185" s="24">
        <f>Table1346811121415161718192022[[#This Row],[PMI]]-B184</f>
        <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6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6"/>
  <sheetViews>
    <sheetView zoomScale="140" zoomScaleNormal="140" workbookViewId="0">
      <pane ySplit="5" topLeftCell="A179" activePane="bottomLeft" state="frozen"/>
      <selection pane="bottomLeft" activeCell="A180" sqref="A180:C186"/>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row r="185">
      <c r="A185" s="10" t="n">
        <v>44896</v>
      </c>
      <c r="B185" s="18">
        <f>IF(VLOOKUP(A185,'DB Country PMI'!$A:$AZ,MATCH($A$1,'DB Country PMI'!$A$1:$AZ$1,),)=0,#N/A,VLOOKUP(A185,'DB Country PMI'!$A:$AZ,MATCH($A$1,'DB Country PMI'!$A$1:$AZ$1,),))</f>
        <v/>
      </c>
      <c r="C185" s="24">
        <f>Table1346811121415[[#This Row],[PMI]]-B184</f>
        <v/>
      </c>
    </row>
    <row r="186">
      <c r="A186" s="10" t="n">
        <v>44927</v>
      </c>
      <c r="B186" s="18">
        <f>IF(VLOOKUP(A186,'DB Country PMI'!$A:$AZ,MATCH($A$1,'DB Country PMI'!$A$1:$AZ$1,),)=0,#N/A,VLOOKUP(A186,'DB Country PMI'!$A:$AZ,MATCH($A$1,'DB Country PMI'!$A$1:$AZ$1,),))</f>
        <v/>
      </c>
      <c r="C186" s="24">
        <f>Table1346811121415[[#This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9"/>
  <sheetViews>
    <sheetView zoomScale="160" zoomScaleNormal="160" workbookViewId="0">
      <pane ySplit="5" topLeftCell="A175" activePane="bottomLeft" state="frozen"/>
      <selection pane="bottomLeft" activeCell="A161" sqref="A161:C179"/>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row r="178">
      <c r="A178" s="10" t="n">
        <v>44896</v>
      </c>
      <c r="B178" s="18">
        <f>IF(VLOOKUP(A178,'DB Country PMI'!$A:$AZ,MATCH($A$1,'DB Country PMI'!$A$1:$AZ$1,),)=0,#N/A,VLOOKUP(A178,'DB Country PMI'!$A:$AZ,MATCH($A$1,'DB Country PMI'!$A$1:$AZ$1,),))</f>
        <v/>
      </c>
      <c r="C178" s="24">
        <f>Table134681112141516[[#This Row],[PMI]]-B177</f>
        <v/>
      </c>
    </row>
    <row r="179">
      <c r="A179" s="10" t="n">
        <v>44927</v>
      </c>
      <c r="B179" s="18">
        <f>IF(VLOOKUP(A179,'DB Country PMI'!$A:$AZ,MATCH($A$1,'DB Country PMI'!$A$1:$AZ$1,),)=0,#N/A,VLOOKUP(A179,'DB Country PMI'!$A:$AZ,MATCH($A$1,'DB Country PMI'!$A$1:$AZ$1,),))</f>
        <v/>
      </c>
      <c r="C179" s="24">
        <f>Table134681112141516[[#This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3"/>
  <sheetViews>
    <sheetView zoomScale="130" zoomScaleNormal="130" workbookViewId="0">
      <pane ySplit="5" topLeftCell="A215" activePane="bottomLeft" state="frozen"/>
      <selection activeCell="P121" sqref="P121"/>
      <selection pane="bottomLeft" activeCell="A209" sqref="A209:F22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row r="222">
      <c r="A222" s="10" t="n">
        <v>44896</v>
      </c>
      <c r="B222" s="18">
        <f>IF(VLOOKUP(A222,'DB Country PMI'!$A:$AZ,MATCH($A$1,'DB Country PMI'!$A$1:$AZ$1,),)=0,#N/A,VLOOKUP(A222,'DB Country PMI'!$A:$AZ,MATCH($A$1,'DB Country PMI'!$A$1:$AZ$1,),))</f>
        <v/>
      </c>
      <c r="C222" s="24">
        <f>Table134681112[[#This Row],[PMI]]-B221</f>
        <v/>
      </c>
      <c r="D222" s="11">
        <f>IF(VLOOKUP(Table134681112[[#This Row],[Date]],'DB Global PMI'!$A:$F,5)=0,#N/A,VLOOKUP(Table134681112[[#This Row],[Date]],'DB Global PMI'!$A:$F,5))</f>
        <v/>
      </c>
      <c r="E222" s="24">
        <f>Table134681112[[#This Row],[PMI]]-B210</f>
        <v/>
      </c>
      <c r="F222" s="52">
        <f>(Table134681112[[#This Row],[EWU]]-D210)/D210</f>
        <v/>
      </c>
    </row>
    <row r="223">
      <c r="A223" s="10" t="n">
        <v>44927</v>
      </c>
      <c r="B223" s="18">
        <f>IF(VLOOKUP(A223,'DB Country PMI'!$A:$AZ,MATCH($A$1,'DB Country PMI'!$A$1:$AZ$1,),)=0,#N/A,VLOOKUP(A223,'DB Country PMI'!$A:$AZ,MATCH($A$1,'DB Country PMI'!$A$1:$AZ$1,),))</f>
        <v/>
      </c>
      <c r="C223" s="24">
        <f>Table134681112[[#This Row],[PMI]]-B222</f>
        <v/>
      </c>
      <c r="D223" s="11">
        <f>IF(VLOOKUP(Table134681112[[#This Row],[Date]],'DB Global PMI'!$A:$F,5)=0,#N/A,VLOOKUP(Table134681112[[#This Row],[Date]],'DB Global PMI'!$A:$F,5))</f>
        <v/>
      </c>
      <c r="E223" s="24">
        <f>Table134681112[[#This Row],[PMI]]-B211</f>
        <v/>
      </c>
      <c r="F223" s="52">
        <f>(Table134681112[[#This Row],[EWU]]-D211)/D211</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9"/>
  <sheetViews>
    <sheetView zoomScale="170" zoomScaleNormal="170" workbookViewId="0">
      <pane ySplit="5" topLeftCell="A194" activePane="bottomLeft" state="frozen"/>
      <selection pane="bottomLeft" activeCell="A194" sqref="A194:C199"/>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row r="198">
      <c r="A198" s="10" t="n">
        <v>44896</v>
      </c>
      <c r="B198" s="18">
        <f>IF(VLOOKUP(A198,'DB Country PMI'!$A:$AZ,MATCH($A$1,'DB Country PMI'!$A$1:$AZ$1,),)=0,#N/A,VLOOKUP(A198,'DB Country PMI'!$A:$AZ,MATCH($A$1,'DB Country PMI'!$A$1:$AZ$1,),))</f>
        <v/>
      </c>
      <c r="C198" s="24">
        <f>Table13468111214151617[[#This Row],[PMI]]-B197</f>
        <v/>
      </c>
    </row>
    <row r="199">
      <c r="A199" s="10" t="n">
        <v>44927</v>
      </c>
      <c r="B199" s="18">
        <f>IF(VLOOKUP(A199,'DB Country PMI'!$A:$AZ,MATCH($A$1,'DB Country PMI'!$A$1:$AZ$1,),)=0,#N/A,VLOOKUP(A199,'DB Country PMI'!$A:$AZ,MATCH($A$1,'DB Country PMI'!$A$1:$AZ$1,),))</f>
        <v/>
      </c>
      <c r="C199" s="24">
        <f>Table13468111214151617[[#This Row],[PMI]]-B198</f>
        <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9"/>
  <sheetViews>
    <sheetView zoomScale="130" zoomScaleNormal="130" workbookViewId="0">
      <pane ySplit="5" topLeftCell="A196" activePane="bottomLeft" state="frozen"/>
      <selection pane="bottomLeft" activeCell="A192" sqref="A192:C199"/>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row r="198">
      <c r="A198" s="10" t="n">
        <v>44896</v>
      </c>
      <c r="B198" s="18">
        <f>IF(VLOOKUP(A198,'DB Country PMI'!$A:$AZ,MATCH($A$1,'DB Country PMI'!$A$1:$AZ$1,),)=0,#N/A,VLOOKUP(A198,'DB Country PMI'!$A:$AZ,MATCH($A$1,'DB Country PMI'!$A$1:$AZ$1,),))</f>
        <v/>
      </c>
      <c r="C198" s="24">
        <f>Table1346811121415161718[[#This Row],[PMI]]-B197</f>
        <v/>
      </c>
    </row>
    <row r="199">
      <c r="A199" s="10" t="n">
        <v>44927</v>
      </c>
      <c r="B199" s="18">
        <f>IF(VLOOKUP(A199,'DB Country PMI'!$A:$AZ,MATCH($A$1,'DB Country PMI'!$A$1:$AZ$1,),)=0,#N/A,VLOOKUP(A199,'DB Country PMI'!$A:$AZ,MATCH($A$1,'DB Country PMI'!$A$1:$AZ$1,),))</f>
        <v/>
      </c>
      <c r="C199" s="24">
        <f>Table1346811121415161718[[#This Row],[PMI]]-B198</f>
        <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6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3"/>
  <sheetViews>
    <sheetView zoomScale="140" zoomScaleNormal="140" workbookViewId="0">
      <pane ySplit="5" topLeftCell="A144" activePane="bottomLeft" state="frozen"/>
      <selection pane="bottomLeft" activeCell="S152" sqref="S152"/>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row r="152">
      <c r="A152" s="10" t="n">
        <v>44896</v>
      </c>
      <c r="B152" s="18">
        <f>IF(VLOOKUP(A152,'DB Country PMI'!$A:$AZ,MATCH($A$1,'DB Country PMI'!$A$1:$AZ$1,),)=0,#N/A,VLOOKUP(A152,'DB Country PMI'!$A:$AZ,MATCH($A$1,'DB Country PMI'!$A$1:$AZ$1,),))</f>
        <v/>
      </c>
      <c r="C152" s="24">
        <f>Table134681112141516171819202223[[#This Row],[PMI]]-B151</f>
        <v/>
      </c>
    </row>
    <row r="153">
      <c r="A153" s="10" t="n">
        <v>44927</v>
      </c>
      <c r="B153" s="18">
        <f>IF(VLOOKUP(A153,'DB Country PMI'!$A:$AZ,MATCH($A$1,'DB Country PMI'!$A$1:$AZ$1,),)=0,#N/A,VLOOKUP(A153,'DB Country PMI'!$A:$AZ,MATCH($A$1,'DB Country PMI'!$A$1:$AZ$1,),))</f>
        <v/>
      </c>
      <c r="C153" s="24">
        <f>Table134681112141516171819202223[[#This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6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7"/>
  <sheetViews>
    <sheetView zoomScale="130" zoomScaleNormal="130" workbookViewId="0">
      <pane ySplit="5" topLeftCell="A139" activePane="bottomLeft" state="frozen"/>
      <selection pane="bottomLeft" activeCell="A138" sqref="A138:C147"/>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row r="146">
      <c r="A146" s="10" t="n">
        <v>44896</v>
      </c>
      <c r="B146" s="18">
        <f>IF(VLOOKUP(A146,'DB Country PMI'!$A:$AZ,MATCH($A$1,'DB Country PMI'!$A$1:$AZ$1,),)=0,#N/A,VLOOKUP(A146,'DB Country PMI'!$A:$AZ,MATCH($A$1,'DB Country PMI'!$A$1:$AZ$1,),))</f>
        <v/>
      </c>
      <c r="C146" s="24">
        <f>Table13468111214151617181920222526[[#This Row],[PMI]]-B145</f>
        <v/>
      </c>
    </row>
    <row r="147">
      <c r="A147" s="10" t="n">
        <v>44927</v>
      </c>
      <c r="B147" s="18">
        <f>IF(VLOOKUP(A147,'DB Country PMI'!$A:$AZ,MATCH($A$1,'DB Country PMI'!$A$1:$AZ$1,),)=0,#N/A,VLOOKUP(A147,'DB Country PMI'!$A:$AZ,MATCH($A$1,'DB Country PMI'!$A$1:$AZ$1,),))</f>
        <v/>
      </c>
      <c r="C147" s="24">
        <f>Table13468111214151617181920222526[[#This Row],[PMI]]-B146</f>
        <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3"/>
  <sheetViews>
    <sheetView zoomScale="170" zoomScaleNormal="170" workbookViewId="0">
      <pane ySplit="5" topLeftCell="A148"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row r="152">
      <c r="A152" s="10" t="n">
        <v>44896</v>
      </c>
      <c r="B152" s="18">
        <f>IF(VLOOKUP(A152,'DB Country PMI'!$A:$AZ,MATCH($A$1,'DB Country PMI'!$A$1:$AZ$1,),)=0,#N/A,VLOOKUP(A152,'DB Country PMI'!$A:$AZ,MATCH($A$1,'DB Country PMI'!$A$1:$AZ$1,),))</f>
        <v/>
      </c>
      <c r="C152" s="24">
        <f>Table134681112141516171819202225[[#This Row],[PMI]]-B151</f>
        <v/>
      </c>
    </row>
    <row r="153">
      <c r="A153" s="10" t="n">
        <v>44927</v>
      </c>
      <c r="B153" s="18">
        <f>IF(VLOOKUP(A153,'DB Country PMI'!$A:$AZ,MATCH($A$1,'DB Country PMI'!$A$1:$AZ$1,),)=0,#N/A,VLOOKUP(A153,'DB Country PMI'!$A:$AZ,MATCH($A$1,'DB Country PMI'!$A$1:$AZ$1,),))</f>
        <v/>
      </c>
      <c r="C153" s="24">
        <f>Table134681112141516171819202225[[#This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3"/>
  <sheetViews>
    <sheetView zoomScale="170" zoomScaleNormal="170" workbookViewId="0">
      <pane ySplit="5" topLeftCell="A146"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row r="152">
      <c r="A152" s="10" t="n">
        <v>44896</v>
      </c>
      <c r="B152" s="18">
        <f>IF(VLOOKUP(A152,'DB Country PMI'!$A:$AZ,MATCH($A$1,'DB Country PMI'!$A$1:$AZ$1,),)=0,#N/A,VLOOKUP(A152,'DB Country PMI'!$A:$AZ,MATCH($A$1,'DB Country PMI'!$A$1:$AZ$1,),))</f>
        <v/>
      </c>
      <c r="C152" s="24">
        <f>Table13468111214151617181920222324[[#This Row],[PMI]]-B151</f>
        <v/>
      </c>
    </row>
    <row r="153">
      <c r="A153" s="10" t="n">
        <v>44927</v>
      </c>
      <c r="B153" s="18">
        <f>IF(VLOOKUP(A153,'DB Country PMI'!$A:$AZ,MATCH($A$1,'DB Country PMI'!$A$1:$AZ$1,),)=0,#N/A,VLOOKUP(A153,'DB Country PMI'!$A:$AZ,MATCH($A$1,'DB Country PMI'!$A$1:$AZ$1,),))</f>
        <v/>
      </c>
      <c r="C153" s="24">
        <f>Table13468111214151617181920222324[[#This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7"/>
  <sheetViews>
    <sheetView zoomScale="150" zoomScaleNormal="150" workbookViewId="0">
      <pane ySplit="5" topLeftCell="A142" activePane="bottomLeft" state="frozen"/>
      <selection pane="bottomLeft" activeCell="A136" sqref="A136:C147"/>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row r="146">
      <c r="A146" s="10" t="n">
        <v>44896</v>
      </c>
      <c r="B146" s="18">
        <f>IF(VLOOKUP(A146,'DB Country PMI'!$A:$AZ,MATCH($A$1,'DB Country PMI'!$A$1:$AZ$1,),)=0,#N/A,VLOOKUP(A146,'DB Country PMI'!$A:$AZ,MATCH($A$1,'DB Country PMI'!$A$1:$AZ$1,),))</f>
        <v/>
      </c>
      <c r="C146" s="24">
        <f>Table13468[[#This Row],[PMI]]-B145</f>
        <v/>
      </c>
    </row>
    <row r="147">
      <c r="A147" s="10" t="n">
        <v>44927</v>
      </c>
      <c r="B147" s="18">
        <f>IF(VLOOKUP(A147,'DB Country PMI'!$A:$AZ,MATCH($A$1,'DB Country PMI'!$A$1:$AZ$1,),)=0,#N/A,VLOOKUP(A147,'DB Country PMI'!$A:$AZ,MATCH($A$1,'DB Country PMI'!$A$1:$AZ$1,),))</f>
        <v/>
      </c>
      <c r="C147" s="24">
        <f>Table13468[[#This Row],[PMI]]-B146</f>
        <v/>
      </c>
    </row>
  </sheetData>
  <conditionalFormatting sqref="B6:B147">
    <cfRule type="colorScale" priority="2">
      <colorScale>
        <cfvo type="min"/>
        <cfvo type="percentile" val="50"/>
        <cfvo type="max"/>
        <color rgb="FFF8696B"/>
        <color rgb="FFFFEB84"/>
        <color rgb="FF63BE7B"/>
      </colorScale>
    </cfRule>
  </conditionalFormatting>
  <conditionalFormatting sqref="C7:C14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2"/>
  <sheetViews>
    <sheetView zoomScale="150" zoomScaleNormal="150" workbookViewId="0">
      <pane ySplit="5" topLeftCell="A174" activePane="bottomLeft" state="frozen"/>
      <selection pane="bottomLeft" activeCell="A175" sqref="A175:C182"/>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row r="181">
      <c r="A181" s="10" t="n">
        <v>44896</v>
      </c>
      <c r="B181" s="18">
        <f>IF(VLOOKUP(A181,'DB Country PMI'!$A:$AZ,MATCH($A$1,'DB Country PMI'!$A$1:$AZ$1,),)=0,#N/A,VLOOKUP(A181,'DB Country PMI'!$A:$AZ,MATCH($A$1,'DB Country PMI'!$A$1:$AZ$1,),))</f>
        <v/>
      </c>
      <c r="C181" s="24">
        <f>Table1346811121415161718192022252627[[#This Row],[PMI]]-B180</f>
        <v/>
      </c>
    </row>
    <row r="182">
      <c r="A182" s="10" t="n">
        <v>44927</v>
      </c>
      <c r="B182" s="18">
        <f>IF(VLOOKUP(A182,'DB Country PMI'!$A:$AZ,MATCH($A$1,'DB Country PMI'!$A$1:$AZ$1,),)=0,#N/A,VLOOKUP(A182,'DB Country PMI'!$A:$AZ,MATCH($A$1,'DB Country PMI'!$A$1:$AZ$1,),))</f>
        <v/>
      </c>
      <c r="C182" s="24">
        <f>Table1346811121415161718192022252627[[#This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7"/>
  <sheetViews>
    <sheetView zoomScale="150" zoomScaleNormal="150" workbookViewId="0">
      <pane ySplit="5" topLeftCell="A142" activePane="bottomLeft" state="frozen"/>
      <selection pane="bottomLeft" activeCell="A140" sqref="A140:C147"/>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row r="146">
      <c r="A146" s="10" t="n">
        <v>44896</v>
      </c>
      <c r="B146" s="18">
        <f>IF(VLOOKUP(A146,'DB Country PMI'!$A:$AZ,MATCH($A$1,'DB Country PMI'!$A$1:$AZ$1,),)=0,#N/A,VLOOKUP(A146,'DB Country PMI'!$A:$AZ,MATCH($A$1,'DB Country PMI'!$A$1:$AZ$1,),))</f>
        <v/>
      </c>
      <c r="C146" s="24">
        <f>Table13468111214151617181920222530[[#This Row],[PMI]]-B145</f>
        <v/>
      </c>
    </row>
    <row r="147">
      <c r="A147" s="10" t="n">
        <v>44927</v>
      </c>
      <c r="B147" s="18">
        <f>IF(VLOOKUP(A147,'DB Country PMI'!$A:$AZ,MATCH($A$1,'DB Country PMI'!$A$1:$AZ$1,),)=0,#N/A,VLOOKUP(A147,'DB Country PMI'!$A:$AZ,MATCH($A$1,'DB Country PMI'!$A$1:$AZ$1,),))</f>
        <v/>
      </c>
      <c r="C147" s="24">
        <f>Table13468111214151617181920222530[[#This Row],[PMI]]-B146</f>
        <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51"/>
  <sheetViews>
    <sheetView zoomScale="140" zoomScaleNormal="140" workbookViewId="0">
      <pane ySplit="5" topLeftCell="A143"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row r="150">
      <c r="A150" s="10" t="n">
        <v>44896</v>
      </c>
      <c r="B150" s="18">
        <f>IF(VLOOKUP(A150,'DB Country PMI'!$A:$AZ,MATCH($A$1,'DB Country PMI'!$A$1:$AZ$1,),)=0,#N/A,VLOOKUP(A150,'DB Country PMI'!$A:$AZ,MATCH($A$1,'DB Country PMI'!$A$1:$AZ$1,),))</f>
        <v/>
      </c>
      <c r="C150" s="24">
        <f>Table1346811121415161718192022252629[[#This Row],[PMI]]-B149</f>
        <v/>
      </c>
    </row>
    <row r="151">
      <c r="A151" s="10" t="n">
        <v>44927</v>
      </c>
      <c r="B151" s="18">
        <f>IF(VLOOKUP(A151,'DB Country PMI'!$A:$AZ,MATCH($A$1,'DB Country PMI'!$A$1:$AZ$1,),)=0,#N/A,VLOOKUP(A151,'DB Country PMI'!$A:$AZ,MATCH($A$1,'DB Country PMI'!$A$1:$AZ$1,),))</f>
        <v/>
      </c>
      <c r="C151" s="24">
        <f>Table1346811121415161718192022252629[[#This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3"/>
  <sheetViews>
    <sheetView zoomScale="150" zoomScaleNormal="150" workbookViewId="0">
      <pane ySplit="5" topLeftCell="A150" activePane="bottomLeft" state="frozen"/>
      <selection pane="bottomLeft" activeCell="A143" sqref="A143: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row r="152">
      <c r="A152" s="10" t="n">
        <v>44896</v>
      </c>
      <c r="B152" s="18">
        <f>IF(VLOOKUP(A152,'DB Country PMI'!$A:$AZ,MATCH($A$1,'DB Country PMI'!$A$1:$AZ$1,),)=0,#N/A,VLOOKUP(A152,'DB Country PMI'!$A:$AZ,MATCH($A$1,'DB Country PMI'!$A$1:$AZ$1,),))</f>
        <v/>
      </c>
      <c r="C152" s="24">
        <f>Table1346811121415161718192022253033[[#This Row],[PMI]]-B151</f>
        <v/>
      </c>
    </row>
    <row r="153">
      <c r="A153" s="10" t="n">
        <v>44927</v>
      </c>
      <c r="B153" s="18">
        <f>IF(VLOOKUP(A153,'DB Country PMI'!$A:$AZ,MATCH($A$1,'DB Country PMI'!$A$1:$AZ$1,),)=0,#N/A,VLOOKUP(A153,'DB Country PMI'!$A:$AZ,MATCH($A$1,'DB Country PMI'!$A$1:$AZ$1,),))</f>
        <v/>
      </c>
      <c r="C153" s="24">
        <f>Table1346811121415161718192022253033[[#This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3"/>
  <sheetViews>
    <sheetView zoomScale="140" zoomScaleNormal="140" workbookViewId="0">
      <pane ySplit="5" topLeftCell="A148"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row r="152">
      <c r="A152" s="10" t="n">
        <v>44896</v>
      </c>
      <c r="B152" s="18">
        <f>IF(VLOOKUP(A152,'DB Country PMI'!$A:$AZ,MATCH($A$1,'DB Country PMI'!$A$1:$AZ$1,),)=0,#N/A,VLOOKUP(A152,'DB Country PMI'!$A:$AZ,MATCH($A$1,'DB Country PMI'!$A$1:$AZ$1,),))</f>
        <v/>
      </c>
      <c r="C152" s="24">
        <f>Table134681112141516171819[[#This Row],[PMI]]-B151</f>
        <v/>
      </c>
    </row>
    <row r="153">
      <c r="A153" s="10" t="n">
        <v>44927</v>
      </c>
      <c r="B153" s="18">
        <f>IF(VLOOKUP(A153,'DB Country PMI'!$A:$AZ,MATCH($A$1,'DB Country PMI'!$A$1:$AZ$1,),)=0,#N/A,VLOOKUP(A153,'DB Country PMI'!$A:$AZ,MATCH($A$1,'DB Country PMI'!$A$1:$AZ$1,),))</f>
        <v/>
      </c>
      <c r="C153" s="24">
        <f>Table134681112141516171819[[#This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3"/>
  <sheetViews>
    <sheetView zoomScale="160" zoomScaleNormal="160" workbookViewId="0">
      <pane ySplit="5" topLeftCell="A148"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row r="152">
      <c r="A152" s="10" t="n">
        <v>44896</v>
      </c>
      <c r="B152" s="18">
        <f>IF(VLOOKUP(A152,'DB Country PMI'!$A:$AZ,MATCH($A$1,'DB Country PMI'!$A$1:$AZ$1,),)=0,#N/A,VLOOKUP(A152,'DB Country PMI'!$A:$AZ,MATCH($A$1,'DB Country PMI'!$A$1:$AZ$1,),))</f>
        <v/>
      </c>
      <c r="C152" s="24">
        <f>Table13468111214151617181920[[#This Row],[PMI]]-B151</f>
        <v/>
      </c>
    </row>
    <row r="153">
      <c r="A153" s="10" t="n">
        <v>44927</v>
      </c>
      <c r="B153" s="18">
        <f>IF(VLOOKUP(A153,'DB Country PMI'!$A:$AZ,MATCH($A$1,'DB Country PMI'!$A$1:$AZ$1,),)=0,#N/A,VLOOKUP(A153,'DB Country PMI'!$A:$AZ,MATCH($A$1,'DB Country PMI'!$A$1:$AZ$1,),))</f>
        <v/>
      </c>
      <c r="C153" s="24">
        <f>Table13468111214151617181920[[#This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3"/>
  <sheetViews>
    <sheetView zoomScale="150" zoomScaleNormal="150" workbookViewId="0">
      <pane ySplit="5" topLeftCell="A149"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row r="152">
      <c r="A152" s="10" t="n">
        <v>44896</v>
      </c>
      <c r="B152" s="18">
        <f>IF(VLOOKUP(A152,'DB Country PMI'!$A:$AZ,MATCH($A$1,'DB Country PMI'!$A$1:$AZ$1,),)=0,#N/A,VLOOKUP(A152,'DB Country PMI'!$A:$AZ,MATCH($A$1,'DB Country PMI'!$A$1:$AZ$1,),))</f>
        <v/>
      </c>
      <c r="C152" s="24">
        <f>Table134681112141516171819202225303334[[#This Row],[PMI]]-B151</f>
        <v/>
      </c>
    </row>
    <row r="153">
      <c r="A153" s="10" t="n">
        <v>44927</v>
      </c>
      <c r="B153" s="18">
        <f>IF(VLOOKUP(A153,'DB Country PMI'!$A:$AZ,MATCH($A$1,'DB Country PMI'!$A$1:$AZ$1,),)=0,#N/A,VLOOKUP(A153,'DB Country PMI'!$A:$AZ,MATCH($A$1,'DB Country PMI'!$A$1:$AZ$1,),))</f>
        <v/>
      </c>
      <c r="C153" s="24">
        <f>Table134681112141516171819202225303334[[#This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3"/>
  <sheetViews>
    <sheetView zoomScale="160" zoomScaleNormal="160" workbookViewId="0">
      <pane ySplit="5" topLeftCell="A147" activePane="bottomLeft" state="frozen"/>
      <selection pane="bottomLeft" activeCell="A146" sqref="A146: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row r="152">
      <c r="A152" s="10" t="n">
        <v>44896</v>
      </c>
      <c r="B152" s="18">
        <f>IF(VLOOKUP(A152,'DB Country PMI'!$A:$AZ,MATCH($A$1,'DB Country PMI'!$A$1:$AZ$1,),)=0,#N/A,VLOOKUP(A152,'DB Country PMI'!$A:$AZ,MATCH($A$1,'DB Country PMI'!$A$1:$AZ$1,),))</f>
        <v/>
      </c>
      <c r="C152" s="24">
        <f>Table13468111214151617181920222530333435[[#This Row],[PMI]]-B151</f>
        <v/>
      </c>
    </row>
    <row r="153">
      <c r="A153" s="10" t="n">
        <v>44927</v>
      </c>
      <c r="B153" s="18">
        <f>IF(VLOOKUP(A153,'DB Country PMI'!$A:$AZ,MATCH($A$1,'DB Country PMI'!$A$1:$AZ$1,),)=0,#N/A,VLOOKUP(A153,'DB Country PMI'!$A:$AZ,MATCH($A$1,'DB Country PMI'!$A$1:$AZ$1,),))</f>
        <v/>
      </c>
      <c r="C153" s="24">
        <f>Table13468111214151617181920222530333435[[#This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3"/>
  <sheetViews>
    <sheetView zoomScale="170" zoomScaleNormal="170" workbookViewId="0">
      <pane ySplit="5" topLeftCell="A147" activePane="bottomLeft" state="frozen"/>
      <selection pane="bottomLeft" activeCell="A145" sqref="A145:C15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row r="152">
      <c r="A152" s="10" t="n">
        <v>44896</v>
      </c>
      <c r="B152" s="18">
        <f>IF(VLOOKUP(A152,'DB Country PMI'!$A:$AZ,MATCH($A$1,'DB Country PMI'!$A$1:$AZ$1,),)=0,#N/A,VLOOKUP(A152,'DB Country PMI'!$A:$AZ,MATCH($A$1,'DB Country PMI'!$A$1:$AZ$1,),))</f>
        <v/>
      </c>
      <c r="C152" s="24">
        <f>Table1346811121415161718192022253033343536[[#This Row],[PMI]]-B151</f>
        <v/>
      </c>
    </row>
    <row r="153">
      <c r="A153" s="10" t="n">
        <v>44927</v>
      </c>
      <c r="B153" s="18">
        <f>IF(VLOOKUP(A153,'DB Country PMI'!$A:$AZ,MATCH($A$1,'DB Country PMI'!$A$1:$AZ$1,),)=0,#N/A,VLOOKUP(A153,'DB Country PMI'!$A:$AZ,MATCH($A$1,'DB Country PMI'!$A$1:$AZ$1,),))</f>
        <v/>
      </c>
      <c r="C153" s="24">
        <f>Table1346811121415161718192022253033343536[[#This Row],[PMI]]-B152</f>
        <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4"/>
  <sheetViews>
    <sheetView zoomScale="150" zoomScaleNormal="150" workbookViewId="0">
      <pane ySplit="5" topLeftCell="A348" activePane="bottomLeft" state="frozen"/>
      <selection pane="bottomLeft" activeCell="A329" sqref="A329:C354"/>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row r="353">
      <c r="A353" s="10" t="n">
        <v>44896</v>
      </c>
      <c r="B353" s="18">
        <f>IF(VLOOKUP(A353,'DB Country PMI'!$A:$AZ,MATCH($A$1,'DB Country PMI'!$A$1:$AZ$1,),)=0,#N/A,VLOOKUP(A353,'DB Country PMI'!$A:$AZ,MATCH($A$1,'DB Country PMI'!$A$1:$AZ$1,),))</f>
        <v/>
      </c>
      <c r="C353" s="24">
        <f>Table13[[#This Row],[PMI]]-B352</f>
        <v/>
      </c>
    </row>
    <row r="354">
      <c r="A354" s="10" t="n">
        <v>44927</v>
      </c>
      <c r="B354" s="18">
        <f>IF(VLOOKUP(A354,'DB Country PMI'!$A:$AZ,MATCH($A$1,'DB Country PMI'!$A$1:$AZ$1,),)=0,#N/A,VLOOKUP(A354,'DB Country PMI'!$A:$AZ,MATCH($A$1,'DB Country PMI'!$A$1:$AZ$1,),))</f>
        <v/>
      </c>
      <c r="C354" s="24">
        <f>Table13[[#This Row],[PMI]]-B353</f>
        <v/>
      </c>
    </row>
  </sheetData>
  <conditionalFormatting sqref="C198:C354">
    <cfRule type="colorScale" priority="2">
      <colorScale>
        <cfvo type="min"/>
        <cfvo type="percentile" val="50"/>
        <cfvo type="max"/>
        <color rgb="FFF8696B"/>
        <color rgb="FFFCFCFF"/>
        <color rgb="FF5A8AC6"/>
      </colorScale>
    </cfRule>
  </conditionalFormatting>
  <conditionalFormatting sqref="B198:B35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2"/>
  <sheetViews>
    <sheetView zoomScale="170" zoomScaleNormal="170" workbookViewId="0">
      <pane ySplit="5" topLeftCell="A125" activePane="bottomLeft" state="frozen"/>
      <selection activeCell="P121" sqref="P121"/>
      <selection pane="bottomLeft" activeCell="A116" sqref="A116:C132"/>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row r="131">
      <c r="A131" s="10" t="n">
        <v>44896</v>
      </c>
      <c r="B131" s="18">
        <f>IF(VLOOKUP(A131,'DB Country PMI'!$A:$AZ,MATCH($A$1,'DB Country PMI'!$A$1:$AZ$1,),)=0,#N/A,VLOOKUP(A131,'DB Country PMI'!$A:$AZ,MATCH($A$1,'DB Country PMI'!$A$1:$AZ$1,),))</f>
        <v/>
      </c>
      <c r="C131" s="24">
        <f>Table134[[#This Row],[PMI]]-B130</f>
        <v/>
      </c>
    </row>
    <row r="132">
      <c r="A132" s="10" t="n">
        <v>44927</v>
      </c>
      <c r="B132" s="18">
        <f>IF(VLOOKUP(A132,'DB Country PMI'!$A:$AZ,MATCH($A$1,'DB Country PMI'!$A$1:$AZ$1,),)=0,#N/A,VLOOKUP(A132,'DB Country PMI'!$A:$AZ,MATCH($A$1,'DB Country PMI'!$A$1:$AZ$1,),))</f>
        <v/>
      </c>
      <c r="C132" s="24">
        <f>Table134[[#This Row],[PMI]]-B131</f>
        <v/>
      </c>
    </row>
  </sheetData>
  <conditionalFormatting sqref="B6:B132">
    <cfRule type="colorScale" priority="2">
      <colorScale>
        <cfvo type="min"/>
        <cfvo type="percentile" val="50"/>
        <cfvo type="max"/>
        <color rgb="FFF8696B"/>
        <color rgb="FFFFEB84"/>
        <color rgb="FF63BE7B"/>
      </colorScale>
    </cfRule>
  </conditionalFormatting>
  <conditionalFormatting sqref="C7:C13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4"/>
  <sheetViews>
    <sheetView zoomScale="160" zoomScaleNormal="160" workbookViewId="0">
      <pane ySplit="5" topLeftCell="A80" activePane="bottomLeft" state="frozen"/>
      <selection pane="bottomLeft" activeCell="A66" sqref="A66:C84"/>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row r="83">
      <c r="A83" s="10" t="n">
        <v>44896</v>
      </c>
      <c r="B83" s="18">
        <f>IF(VLOOKUP(A83,'DB Country PMI'!$A:$AZ,MATCH($A$1,'DB Country PMI'!$A$1:$AZ$1,),)=0,#N/A,VLOOKUP(A83,'DB Country PMI'!$A:$AZ,MATCH($A$1,'DB Country PMI'!$A$1:$AZ$1,),))</f>
        <v/>
      </c>
      <c r="C83" s="24">
        <f>Table1345[[#This Row],[PMI]]-B82</f>
        <v/>
      </c>
    </row>
    <row r="84">
      <c r="A84" s="10" t="n">
        <v>44927</v>
      </c>
      <c r="B84" s="18">
        <f>IF(VLOOKUP(A84,'DB Country PMI'!$A:$AZ,MATCH($A$1,'DB Country PMI'!$A$1:$AZ$1,),)=0,#N/A,VLOOKUP(A84,'DB Country PMI'!$A:$AZ,MATCH($A$1,'DB Country PMI'!$A$1:$AZ$1,),))</f>
        <v/>
      </c>
      <c r="C84" s="24">
        <f>Table1345[[#This Row],[PMI]]-B83</f>
        <v/>
      </c>
    </row>
  </sheetData>
  <conditionalFormatting sqref="B6:B84">
    <cfRule type="colorScale" priority="51">
      <colorScale>
        <cfvo type="min"/>
        <cfvo type="percentile" val="50"/>
        <cfvo type="max"/>
        <color rgb="FFF8696B"/>
        <color rgb="FFFFEB84"/>
        <color rgb="FF63BE7B"/>
      </colorScale>
    </cfRule>
  </conditionalFormatting>
  <conditionalFormatting sqref="C7:C84">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2"/>
  <sheetViews>
    <sheetView zoomScale="160" zoomScaleNormal="160" workbookViewId="0">
      <pane ySplit="5" topLeftCell="A276" activePane="bottomLeft" state="frozen"/>
      <selection pane="bottomLeft" activeCell="A273" sqref="A273:C282"/>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row r="281">
      <c r="A281" s="10" t="n">
        <v>44896</v>
      </c>
      <c r="B281" s="18">
        <f>IF(VLOOKUP(A281,'DB Country PMI'!$A:$AZ,MATCH($A$1,'DB Country PMI'!$A$1:$AZ$1,),)=0,#N/A,VLOOKUP(A281,'DB Country PMI'!$A:$AZ,MATCH($A$1,'DB Country PMI'!$A$1:$AZ$1,),))</f>
        <v/>
      </c>
      <c r="C281" s="24">
        <f>Table1346[[#This Row],[PMI]]-B280</f>
        <v/>
      </c>
    </row>
    <row r="282">
      <c r="A282" s="10" t="n">
        <v>44927</v>
      </c>
      <c r="B282" s="18">
        <f>IF(VLOOKUP(A282,'DB Country PMI'!$A:$AZ,MATCH($A$1,'DB Country PMI'!$A$1:$AZ$1,),)=0,#N/A,VLOOKUP(A282,'DB Country PMI'!$A:$AZ,MATCH($A$1,'DB Country PMI'!$A$1:$AZ$1,),))</f>
        <v/>
      </c>
      <c r="C282" s="24">
        <f>Table1346[[#This Row],[PMI]]-B281</f>
        <v/>
      </c>
    </row>
  </sheetData>
  <conditionalFormatting sqref="C126:C282">
    <cfRule type="colorScale" priority="59">
      <colorScale>
        <cfvo type="min"/>
        <cfvo type="percentile" val="50"/>
        <cfvo type="max"/>
        <color rgb="FFF8696B"/>
        <color rgb="FFFCFCFF"/>
        <color rgb="FF5A8AC6"/>
      </colorScale>
    </cfRule>
  </conditionalFormatting>
  <conditionalFormatting sqref="B126:B28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3"/>
  <sheetViews>
    <sheetView zoomScale="140" zoomScaleNormal="140" workbookViewId="0">
      <pane ySplit="5" topLeftCell="A125" activePane="bottomLeft" state="frozen"/>
      <selection pane="bottomLeft" activeCell="A120" sqref="A120:C133"/>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row r="131">
      <c r="A131" s="10" t="n">
        <v>44866</v>
      </c>
      <c r="B131" s="18">
        <f>IF(VLOOKUP(A131,'DB Country PMI'!$A:$AZ,MATCH($A$1,'DB Country PMI'!$A$1:$AZ$1,),)=0,#N/A,VLOOKUP(A131,'DB Country PMI'!$A:$AZ,MATCH($A$1,'DB Country PMI'!$A$1:$AZ$1,),))</f>
        <v/>
      </c>
      <c r="C131" s="24">
        <f>Table13467[[#This Row],[PMI]]-B130</f>
        <v/>
      </c>
    </row>
    <row r="132">
      <c r="A132" s="10" t="n">
        <v>44896</v>
      </c>
      <c r="B132" s="18">
        <f>IF(VLOOKUP(A132,'DB Country PMI'!$A:$AZ,MATCH($A$1,'DB Country PMI'!$A$1:$AZ$1,),)=0,#N/A,VLOOKUP(A132,'DB Country PMI'!$A:$AZ,MATCH($A$1,'DB Country PMI'!$A$1:$AZ$1,),))</f>
        <v/>
      </c>
      <c r="C132" s="24">
        <f>Table13467[[#This Row],[PMI]]-B131</f>
        <v/>
      </c>
    </row>
    <row r="133">
      <c r="A133" s="10" t="n">
        <v>44927</v>
      </c>
      <c r="B133" s="18">
        <f>IF(VLOOKUP(A133,'DB Country PMI'!$A:$AZ,MATCH($A$1,'DB Country PMI'!$A$1:$AZ$1,),)=0,#N/A,VLOOKUP(A133,'DB Country PMI'!$A:$AZ,MATCH($A$1,'DB Country PMI'!$A$1:$AZ$1,),))</f>
        <v/>
      </c>
      <c r="C133" s="24">
        <f>Table13467[[#This Row],[PMI]]-B132</f>
        <v/>
      </c>
    </row>
  </sheetData>
  <conditionalFormatting sqref="B6:B13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9"/>
  <sheetViews>
    <sheetView zoomScale="150" zoomScaleNormal="150" workbookViewId="0">
      <pane ySplit="5" topLeftCell="A93" activePane="bottomLeft" state="frozen"/>
      <selection pane="bottomLeft" activeCell="A86" sqref="A86:C99"/>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row r="97">
      <c r="A97" s="10" t="n">
        <v>44866</v>
      </c>
      <c r="B97" s="18">
        <f>IF(VLOOKUP(A97,'DB Country PMI'!$A:$AZ,MATCH($A$1,'DB Country PMI'!$A$1:$AZ$1,),)=0,#N/A,VLOOKUP(A97,'DB Country PMI'!$A:$AZ,MATCH($A$1,'DB Country PMI'!$A$1:$AZ$1,),))</f>
        <v/>
      </c>
      <c r="C97" s="24">
        <f>Table134689[[#This Row],[PMI]]-B96</f>
        <v/>
      </c>
    </row>
    <row r="98">
      <c r="A98" s="10" t="n">
        <v>44896</v>
      </c>
      <c r="B98" s="18">
        <f>IF(VLOOKUP(A98,'DB Country PMI'!$A:$AZ,MATCH($A$1,'DB Country PMI'!$A$1:$AZ$1,),)=0,#N/A,VLOOKUP(A98,'DB Country PMI'!$A:$AZ,MATCH($A$1,'DB Country PMI'!$A$1:$AZ$1,),))</f>
        <v/>
      </c>
      <c r="C98" s="24">
        <f>Table134689[[#This Row],[PMI]]-B97</f>
        <v/>
      </c>
    </row>
    <row r="99">
      <c r="A99" s="10" t="n">
        <v>44927</v>
      </c>
      <c r="B99" s="18">
        <f>IF(VLOOKUP(A99,'DB Country PMI'!$A:$AZ,MATCH($A$1,'DB Country PMI'!$A$1:$AZ$1,),)=0,#N/A,VLOOKUP(A99,'DB Country PMI'!$A:$AZ,MATCH($A$1,'DB Country PMI'!$A$1:$AZ$1,),))</f>
        <v/>
      </c>
      <c r="C99" s="24">
        <f>Table134689[[#This Row],[PMI]]-B98</f>
        <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51"/>
  <sheetViews>
    <sheetView zoomScale="160" zoomScaleNormal="160" workbookViewId="0">
      <pane ySplit="5" topLeftCell="A246" activePane="bottomLeft" state="frozen"/>
      <selection activeCell="B327" sqref="B327"/>
      <selection pane="bottomLeft" activeCell="U251" sqref="U251"/>
    </sheetView>
  </sheetViews>
  <sheetFormatPr baseColWidth="8" defaultColWidth="9.1796875" defaultRowHeight="14.5"/>
  <cols>
    <col width="13.453125" customWidth="1" style="69" min="1" max="1"/>
    <col width="11.36328125" customWidth="1" style="69" min="2" max="2"/>
    <col width="9.1796875" customWidth="1" style="69" min="3" max="57"/>
    <col width="9.1796875" customWidth="1" style="69" min="58"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row r="249">
      <c r="A249" s="10" t="n">
        <v>44866</v>
      </c>
      <c r="B249" s="19">
        <f>IF(VLOOKUP(A249,'DB Country PMI'!$A:$AZ,MATCH($A$1,'DB Country PMI'!$A$1:$AZ$1,),)=0,#N/A,VLOOKUP(A249,'DB Country PMI'!$A:$AZ,MATCH($A$1,'DB Country PMI'!$A$1:$AZ$1,),))</f>
        <v/>
      </c>
      <c r="C249" s="26">
        <f>Table1346811121415161718192022253032[[#This Row],[PMI]]-B248</f>
        <v/>
      </c>
    </row>
    <row r="250">
      <c r="A250" s="10" t="n">
        <v>44896</v>
      </c>
      <c r="B250" s="19">
        <f>IF(VLOOKUP(A250,'DB Country PMI'!$A:$AZ,MATCH($A$1,'DB Country PMI'!$A$1:$AZ$1,),)=0,#N/A,VLOOKUP(A250,'DB Country PMI'!$A:$AZ,MATCH($A$1,'DB Country PMI'!$A$1:$AZ$1,),))</f>
        <v/>
      </c>
      <c r="C250" s="26">
        <f>Table1346811121415161718192022253032[[#This Row],[PMI]]-B249</f>
        <v/>
      </c>
    </row>
    <row r="251">
      <c r="A251" s="10" t="n">
        <v>44927</v>
      </c>
      <c r="B251" s="19">
        <f>IF(VLOOKUP(A251,'DB Country PMI'!$A:$AZ,MATCH($A$1,'DB Country PMI'!$A$1:$AZ$1,),)=0,#N/A,VLOOKUP(A251,'DB Country PMI'!$A:$AZ,MATCH($A$1,'DB Country PMI'!$A$1:$AZ$1,),))</f>
        <v/>
      </c>
      <c r="C251" s="26">
        <f>Table1346811121415161718192022253032[[#This Row],[PMI]]-B250</f>
        <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2023-02-05T03:20:25Z</dcterms:modified>
  <cp:lastModifiedBy>Mark Mukherjee</cp:lastModifiedBy>
</cp:coreProperties>
</file>