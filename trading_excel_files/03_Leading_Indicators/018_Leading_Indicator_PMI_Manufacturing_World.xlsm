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5290" yWindow="-14510" windowWidth="34620" windowHeight="13900" tabRatio="868" firstSheet="1"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-0.007386226913267332</v>
                </pt>
                <pt idx="13">
                  <formatCode>0.00%</formatCode>
                  <v>0.003146988464437107</v>
                </pt>
                <pt idx="14">
                  <formatCode>0.00%</formatCode>
                  <v>-0.07949558294269714</v>
                </pt>
                <pt idx="15">
                  <formatCode>0.00%</formatCode>
                  <v>-0.03799524334960655</v>
                </pt>
                <pt idx="16">
                  <formatCode>0.00%</formatCode>
                  <v>-0.02083786665506118</v>
                </pt>
                <pt idx="17">
                  <formatCode>0.00%</formatCode>
                  <v>-0.001331771166229362</v>
                </pt>
                <pt idx="18">
                  <formatCode>0.00%</formatCode>
                  <v>-0.05813630076781086</v>
                </pt>
                <pt idx="19">
                  <formatCode>0.00%</formatCode>
                  <v>-0.128519763216536</v>
                </pt>
                <pt idx="20">
                  <formatCode>0.00%</formatCode>
                  <v>-0.06967264121753633</v>
                </pt>
                <pt idx="21">
                  <formatCode>0.00%</formatCode>
                  <v>-0.03832848719093032</v>
                </pt>
                <pt idx="22">
                  <formatCode>0.00%</formatCode>
                  <v>0.06693616304530887</v>
                </pt>
                <pt idx="23">
                  <formatCode>0.00%</formatCode>
                  <v>0.2235352623066038</v>
                </pt>
                <pt idx="24">
                  <formatCode>0.00%</formatCode>
                  <v>0.09342505570214814</v>
                </pt>
                <pt idx="25">
                  <formatCode>0.00%</formatCode>
                  <v>0.1237457458293052</v>
                </pt>
                <pt idx="26">
                  <formatCode>0.00%</formatCode>
                  <v>0.1688326225312997</v>
                </pt>
                <pt idx="27">
                  <formatCode>0.00%</formatCode>
                  <v>0.1485129571458136</v>
                </pt>
                <pt idx="28">
                  <formatCode>0.00%</formatCode>
                  <v>0.09328752509478459</v>
                </pt>
                <pt idx="29">
                  <formatCode>0.00%</formatCode>
                  <v>0.1009843991467577</v>
                </pt>
                <pt idx="30">
                  <formatCode>0.00%</formatCode>
                  <v>0.1453275579494885</v>
                </pt>
                <pt idx="31">
                  <formatCode>0.00%</formatCode>
                  <v>0.2576464155882849</v>
                </pt>
                <pt idx="32">
                  <formatCode>0.00%</formatCode>
                  <v>0.1670501737632539</v>
                </pt>
                <pt idx="33">
                  <formatCode>0.00%</formatCode>
                  <v>0.20926389118859</v>
                </pt>
                <pt idx="34">
                  <formatCode>0.00%</formatCode>
                  <v>0.1495447978745844</v>
                </pt>
                <pt idx="35">
                  <formatCode>0.00%</formatCode>
                  <v>0.1812603271867863</v>
                </pt>
                <pt idx="36">
                  <formatCode>0.00%</formatCode>
                  <v>0.2342675917024175</v>
                </pt>
                <pt idx="37">
                  <formatCode>0.00%</formatCode>
                  <v>0.233770854006022</v>
                </pt>
                <pt idx="38">
                  <formatCode>0.00%</formatCode>
                  <v>0.2258243005504795</v>
                </pt>
                <pt idx="39">
                  <formatCode>0.00%</formatCode>
                  <v>0.1247128898361876</v>
                </pt>
                <pt idx="40">
                  <formatCode>0.00%</formatCode>
                  <v>0.1844386009108848</v>
                </pt>
                <pt idx="41">
                  <formatCode>0.00%</formatCode>
                  <v>0.1698403505011972</v>
                </pt>
                <pt idx="42">
                  <formatCode>0.00%</formatCode>
                  <v>0.1510628479300898</v>
                </pt>
                <pt idx="43">
                  <formatCode>0.00%</formatCode>
                  <v>0.1786676513208978</v>
                </pt>
                <pt idx="44">
                  <formatCode>0.00%</formatCode>
                  <v>0.2306843666760346</v>
                </pt>
                <pt idx="45">
                  <formatCode>0.00%</formatCode>
                  <v>0.1611842189751683</v>
                </pt>
                <pt idx="46">
                  <formatCode>0.00%</formatCode>
                  <v>0.219074597479636</v>
                </pt>
                <pt idx="47">
                  <formatCode>0.00%</formatCode>
                  <v>0.1167904740571355</v>
                </pt>
                <pt idx="48">
                  <formatCode>0.00%</formatCode>
                  <v>0.08730148500281507</v>
                </pt>
                <pt idx="49">
                  <formatCode>0.00%</formatCode>
                  <v>0.08541065987274662</v>
                </pt>
                <pt idx="50">
                  <formatCode>0.00%</formatCode>
                  <v>0.03798004524124607</v>
                </pt>
                <pt idx="51">
                  <formatCode>0.00%</formatCode>
                  <v>0.07445622377933345</v>
                </pt>
                <pt idx="52">
                  <formatCode>0.00%</formatCode>
                  <v>0.07755744268920041</v>
                </pt>
                <pt idx="53">
                  <formatCode>0.00%</formatCode>
                  <v>0.05578557022245767</v>
                </pt>
                <pt idx="54">
                  <formatCode>0.00%</formatCode>
                  <v>0.07330372036875293</v>
                </pt>
                <pt idx="55">
                  <formatCode>0.00%</formatCode>
                  <v>0.0521989572194538</v>
                </pt>
                <pt idx="56">
                  <formatCode>0.00%</formatCode>
                  <v>0.008968503907599653</v>
                </pt>
                <pt idx="57">
                  <formatCode>0.00%</formatCode>
                  <v>0.0299318315539042</v>
                </pt>
                <pt idx="58">
                  <formatCode>0.00%</formatCode>
                  <v>-0.06427936945301169</v>
                </pt>
                <pt idx="59">
                  <formatCode>0.00%</formatCode>
                  <v>-0.06545374896962818</v>
                </pt>
                <pt idx="60">
                  <formatCode>0.00%</formatCode>
                  <v>-0.005882216603055389</v>
                </pt>
                <pt idx="61">
                  <formatCode>0.00%</formatCode>
                  <v>-0.024606859867567</v>
                </pt>
                <pt idx="62">
                  <formatCode>0.00%</formatCode>
                  <v>-0.02626866905957296</v>
                </pt>
                <pt idx="63">
                  <formatCode>0.00%</formatCode>
                  <v>-0.06159476324475439</v>
                </pt>
                <pt idx="64">
                  <formatCode>0.00%</formatCode>
                  <v>-0.1216923734394774</v>
                </pt>
                <pt idx="65">
                  <formatCode>0.00%</formatCode>
                  <v>-0.04275751367208868</v>
                </pt>
                <pt idx="66">
                  <formatCode>0.00%</formatCode>
                  <v>-0.05697552398464437</v>
                </pt>
                <pt idx="67">
                  <formatCode>0.00%</formatCode>
                  <v>-0.05382173050705241</v>
                </pt>
                <pt idx="68">
                  <formatCode>0.00%</formatCode>
                  <v>-0.03064932533727471</v>
                </pt>
                <pt idx="69">
                  <formatCode>0.00%</formatCode>
                  <v>-0.000898454564837313</v>
                </pt>
                <pt idx="70">
                  <formatCode>0.00%</formatCode>
                  <v>0.07575008431306531</v>
                </pt>
                <pt idx="71">
                  <formatCode>0.00%</formatCode>
                  <v>0.124506501986007</v>
                </pt>
                <pt idx="72">
                  <formatCode>0.00%</formatCode>
                  <v>0.02455878223982291</v>
                </pt>
                <pt idx="73">
                  <formatCode>0.00%</formatCode>
                  <v>0.040719005668655</v>
                </pt>
                <pt idx="74">
                  <formatCode>0.00%</formatCode>
                  <v>0.08792058809191923</v>
                </pt>
                <pt idx="75">
                  <formatCode>0.00%</formatCode>
                  <v>0.1779394343346921</v>
                </pt>
                <pt idx="76">
                  <formatCode>0.00%</formatCode>
                  <v>0.222805527670505</v>
                </pt>
                <pt idx="77">
                  <formatCode>0.00%</formatCode>
                  <v>0.1539318688066957</v>
                </pt>
                <pt idx="78">
                  <formatCode>0.00%</formatCode>
                  <v>0.1570581974062475</v>
                </pt>
                <pt idx="79">
                  <formatCode>0.00%</formatCode>
                  <v>0.1786766300568609</v>
                </pt>
                <pt idx="80">
                  <formatCode>0.00%</formatCode>
                  <v>0.1909981258045057</v>
                </pt>
                <pt idx="81">
                  <formatCode>0.00%</formatCode>
                  <v>0.1766673547769246</v>
                </pt>
                <pt idx="82">
                  <formatCode>0.00%</formatCode>
                  <v>0.1773542646444509</v>
                </pt>
                <pt idx="83">
                  <formatCode>0.00%</formatCode>
                  <v>0.188326564801934</v>
                </pt>
                <pt idx="84">
                  <formatCode>0.00%</formatCode>
                  <v>0.2375440333442884</v>
                </pt>
                <pt idx="85">
                  <formatCode>0.00%</formatCode>
                  <v>0.2496077365691128</v>
                </pt>
                <pt idx="86">
                  <formatCode>0.00%</formatCode>
                  <v>0.2433176035693053</v>
                </pt>
                <pt idx="87">
                  <formatCode>0.00%</formatCode>
                  <v>0.2770950348173105</v>
                </pt>
                <pt idx="88">
                  <formatCode>0.00%</formatCode>
                  <v>0.1900416152428897</v>
                </pt>
                <pt idx="89">
                  <formatCode>0.00%</formatCode>
                  <v>0.1566560934015035</v>
                </pt>
                <pt idx="90">
                  <formatCode>0.00%</formatCode>
                  <v>0.1429061901524783</v>
                </pt>
                <pt idx="91">
                  <formatCode>0.00%</formatCode>
                  <v>0.1234853451363383</v>
                </pt>
                <pt idx="92">
                  <formatCode>0.00%</formatCode>
                  <v>0.1082331127623579</v>
                </pt>
                <pt idx="93">
                  <formatCode>0.00%</formatCode>
                  <v>0.1117677903735328</v>
                </pt>
                <pt idx="94">
                  <formatCode>0.00%</formatCode>
                  <v>0.1150282290488156</v>
                </pt>
                <pt idx="95">
                  <formatCode>0.00%</formatCode>
                  <v>0.1011243981804971</v>
                </pt>
                <pt idx="96">
                  <formatCode>0.00%</formatCode>
                  <v>-0.00218447602839892</v>
                </pt>
                <pt idx="97">
                  <formatCode>0.00%</formatCode>
                  <v>-0.006431239454611039</v>
                </pt>
                <pt idx="98">
                  <formatCode>0.00%</formatCode>
                  <v>-0.09179166234552354</v>
                </pt>
                <pt idx="99">
                  <formatCode>0.00%</formatCode>
                  <v>-0.07112115688322572</v>
                </pt>
                <pt idx="100">
                  <formatCode>0.00%</formatCode>
                  <v>-0.003618508459627878</v>
                </pt>
                <pt idx="101">
                  <formatCode>0.00%</formatCode>
                  <v>0.02747828885919964</v>
                </pt>
                <pt idx="102">
                  <formatCode>0.00%</formatCode>
                  <v>0.05837255958542453</v>
                </pt>
                <pt idx="103">
                  <formatCode>0.00%</formatCode>
                  <v>-0.01055172364945775</v>
                </pt>
                <pt idx="104">
                  <formatCode>0.00%</formatCode>
                  <v>0.05825433149631749</v>
                </pt>
                <pt idx="105">
                  <formatCode>0.00%</formatCode>
                  <v>0.02904751274028627</v>
                </pt>
                <pt idx="106">
                  <formatCode>0.00%</formatCode>
                  <v>-0.0006462019542038408</v>
                </pt>
                <pt idx="107">
                  <formatCode>0.00%</formatCode>
                  <v>0.01560681266164814</v>
                </pt>
                <pt idx="108">
                  <formatCode>0.00%</formatCode>
                  <v>0.1272137134073799</v>
                </pt>
                <pt idx="109">
                  <formatCode>0.00%</formatCode>
                  <v>0.1355392274358723</v>
                </pt>
                <pt idx="110">
                  <formatCode>0.00%</formatCode>
                  <v>0.2631455273241936</v>
                </pt>
                <pt idx="111">
                  <formatCode>0.00%</formatCode>
                  <v>0.154812885144423</v>
                </pt>
                <pt idx="112">
                  <formatCode>0.00%</formatCode>
                  <v>0.04260454656778309</v>
                </pt>
                <pt idx="113">
                  <formatCode>0.00%</formatCode>
                  <v>-0.1112219763237506</v>
                </pt>
                <pt idx="114">
                  <formatCode>0.00%</formatCode>
                  <v>-0.05617537240633874</v>
                </pt>
                <pt idx="115">
                  <formatCode>0.00%</formatCode>
                  <v>0.05600212733448791</v>
                </pt>
                <pt idx="116">
                  <formatCode>0.00%</formatCode>
                  <v>0.02499671932704694</v>
                </pt>
                <pt idx="117">
                  <formatCode>0.00%</formatCode>
                  <v>0.07476695618926127</v>
                </pt>
                <pt idx="118">
                  <formatCode>0.00%</formatCode>
                  <v>0.1652781382935296</v>
                </pt>
                <pt idx="119">
                  <formatCode>0.00%</formatCode>
                  <v>0.1060515012667045</v>
                </pt>
                <pt idx="120">
                  <formatCode>0.00%</formatCode>
                  <v>0.05258706174321811</v>
                </pt>
                <pt idx="121">
                  <formatCode>0.00%</formatCode>
                  <v>0.1495282292992803</v>
                </pt>
                <pt idx="122">
                  <formatCode>0.00%</formatCode>
                  <v>0.1683841231644821</v>
                </pt>
                <pt idx="123">
                  <formatCode>0.00%</formatCode>
                  <v>0.1767033297631955</v>
                </pt>
                <pt idx="124">
                  <formatCode>0.00%</formatCode>
                  <v>0.3010795490326331</v>
                </pt>
                <pt idx="125">
                  <formatCode>0.00%</formatCode>
                  <v>0.5454527788785516</v>
                </pt>
                <pt idx="126">
                  <formatCode>0.00%</formatCode>
                  <v>0.4668912251787691</v>
                </pt>
                <pt idx="127">
                  <formatCode>0.00%</formatCode>
                  <v>0.4163461938092712</v>
                </pt>
                <pt idx="128">
                  <formatCode>0.00%</formatCode>
                  <v>0.3949713170177711</v>
                </pt>
                <pt idx="129">
                  <formatCode>0.00%</formatCode>
                  <v>0.3344037971923531</v>
                </pt>
                <pt idx="130">
                  <formatCode>0.00%</formatCode>
                  <v>0.2859315873026454</v>
                </pt>
                <pt idx="131">
                  <formatCode>0.00%</formatCode>
                  <v>0.2690221030779926</v>
                </pt>
                <pt idx="132">
                  <formatCode>0.00%</formatCode>
                  <v>0.367944501761437</v>
                </pt>
                <pt idx="133">
                  <formatCode>0.00%</formatCode>
                  <v>0.1957481604255796</v>
                </pt>
                <pt idx="134">
                  <formatCode>0.00%</formatCode>
                  <v>0.1835123013146613</v>
                </pt>
                <pt idx="135">
                  <formatCode>0.00%</formatCode>
                  <v>0.1361662098759697</v>
                </pt>
                <pt idx="136">
                  <formatCode>0.00%</formatCode>
                  <v>0.07675112021550752</v>
                </pt>
                <pt idx="137">
                  <formatCode>0.00%</formatCode>
                  <v>0.06719738118058015</v>
                </pt>
                <pt idx="138">
                  <formatCode>0.00%</formatCode>
                  <v>-0.0588615528266201</v>
                </pt>
                <pt idx="139">
                  <formatCode>0.00%</formatCode>
                  <v>-0.06836775021029405</v>
                </pt>
                <pt idx="140">
                  <formatCode>0.00%</formatCode>
                  <v>-0.1563103629736744</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US!$A$6:$A$159</f>
              <numCache>
                <formatCode>m/d/yyyy</formatCode>
                <ptCount val="15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US!$B$6:$B$159</f>
              <numCache>
                <formatCode>General</formatCode>
                <ptCount val="154"/>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pt idx="146">
                  <v>46.2</v>
                </pt>
                <pt idx="147">
                  <v>46.9</v>
                </pt>
                <pt idx="148">
                  <v>47.3</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China!$A$6:$A$230</f>
              <numCache>
                <formatCode>m/d/yyyy</formatCode>
                <ptCount val="22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numCache>
            </numRef>
          </cat>
          <val>
            <numRef>
              <f>China!$B$6:$B$224</f>
              <numCache>
                <formatCode>General</formatCode>
                <ptCount val="219"/>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pt idx="217">
                  <v>51.6</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China!$A$6:$A$230</f>
              <numCache>
                <formatCode>m/d/yyyy</formatCode>
                <ptCount val="22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numCache>
            </numRef>
          </cat>
          <val>
            <numRef>
              <f>China!$D$6:$D$230</f>
              <numCache>
                <formatCode>General</formatCode>
                <ptCount val="225"/>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pt idx="215">
                  <v>47</v>
                </pt>
                <pt idx="216">
                  <v>50.1</v>
                </pt>
                <pt idx="217">
                  <v>52.6</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China!$A$6:$A$224</f>
              <numCache>
                <formatCode>m/d/yyyy</formatCode>
                <ptCount val="219"/>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numCache>
            </numRef>
          </cat>
          <val>
            <numRef>
              <f>China!$F$6:$F$224</f>
              <numCache>
                <formatCode>0.0%</formatCode>
                <ptCount val="219"/>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0.187</v>
                </pt>
                <pt idx="196">
                  <v>0</v>
                </pt>
                <pt idx="197">
                  <v>0</v>
                </pt>
                <pt idx="198">
                  <v>0.083</v>
                </pt>
                <pt idx="199">
                  <v>0</v>
                </pt>
                <pt idx="200">
                  <v>0</v>
                </pt>
                <pt idx="201">
                  <v>0.052</v>
                </pt>
                <pt idx="202">
                  <v>0</v>
                </pt>
                <pt idx="203">
                  <v>0</v>
                </pt>
                <pt idx="204">
                  <v>0.043</v>
                </pt>
                <pt idx="205">
                  <v>0</v>
                </pt>
                <pt idx="206">
                  <v>0</v>
                </pt>
                <pt idx="207">
                  <v>0.048</v>
                </pt>
                <pt idx="208">
                  <v>0</v>
                </pt>
                <pt idx="209">
                  <v>0</v>
                </pt>
                <pt idx="210">
                  <v>0.004</v>
                </pt>
                <pt idx="211">
                  <v>0</v>
                </pt>
                <pt idx="212">
                  <v>0</v>
                </pt>
                <pt idx="213">
                  <v>0.039</v>
                </pt>
                <pt idx="214">
                  <v>0</v>
                </pt>
                <pt idx="215">
                  <v>0</v>
                </pt>
                <pt idx="216">
                  <v>0.029</v>
                </pt>
                <pt idx="217">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China!$A$6:$A$224</f>
              <numCache>
                <formatCode>m/d/yyyy</formatCode>
                <ptCount val="219"/>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numCache>
            </numRef>
          </cat>
          <val>
            <numRef>
              <f>China!$B$6:$B$224</f>
              <numCache>
                <formatCode>General</formatCode>
                <ptCount val="219"/>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pt idx="217">
                  <v>51.6</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China!$A$6:$A$224</f>
              <numCache>
                <formatCode>m/d/yyyy</formatCode>
                <ptCount val="219"/>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pt idx="217">
                  <v>44958</v>
                </pt>
              </numCache>
            </numRef>
          </cat>
          <val>
            <numRef>
              <f>China!$B$6:$B$224</f>
              <numCache>
                <formatCode>General</formatCode>
                <ptCount val="219"/>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pt idx="217">
                  <v>51.6</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Area'!$A$18:$A$228</f>
              <numCache>
                <formatCode>m/d/yyyy</formatCode>
                <ptCount val="21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numCache>
            </numRef>
          </cat>
          <val>
            <numRef>
              <f>'Euro Area'!$E$18:$E$228</f>
              <numCache>
                <formatCode>General</formatCode>
                <ptCount val="211"/>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pt idx="204">
                  <v>-10.2</v>
                </pt>
                <pt idx="205">
                  <v>-10.2</v>
                </pt>
                <pt idx="206">
                  <v>-9.899999999999999</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Area'!$A$18:$A$228</f>
              <numCache>
                <formatCode>m/d/yyyy</formatCode>
                <ptCount val="21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numCache>
            </numRef>
          </cat>
          <val>
            <numRef>
              <f>'Euro Area'!$F$18:$F$228</f>
              <numCache>
                <formatCode>0.0%</formatCode>
                <ptCount val="211"/>
                <pt idx="0">
                  <v>0.08907563634229612</v>
                </pt>
                <pt idx="1">
                  <v>0.1870938269777255</v>
                </pt>
                <pt idx="2">
                  <v>0.1458202830538116</v>
                </pt>
                <pt idx="3">
                  <v>0.2258092772340786</v>
                </pt>
                <pt idx="4">
                  <v>0.3265331603565348</v>
                </pt>
                <pt idx="5">
                  <v>0.2736723632644853</v>
                </pt>
                <pt idx="6">
                  <v>0.2588052163496078</v>
                </pt>
                <pt idx="7">
                  <v>0.2183273475036754</v>
                </pt>
                <pt idx="8">
                  <v>0.2452084422838371</v>
                </pt>
                <pt idx="9">
                  <v>0.2452575097433669</v>
                </pt>
                <pt idx="10">
                  <v>0.3381461384062709</v>
                </pt>
                <pt idx="11">
                  <v>0.374712049465463</v>
                </pt>
                <pt idx="12">
                  <v>0.3535133503295434</v>
                </pt>
                <pt idx="13">
                  <v>0.2878780685387838</v>
                </pt>
                <pt idx="14">
                  <v>0.2670369688566112</v>
                </pt>
                <pt idx="15">
                  <v>0.264142825603689</v>
                </pt>
                <pt idx="16">
                  <v>0.2858016225795363</v>
                </pt>
                <pt idx="17">
                  <v>0.3836762062888849</v>
                </pt>
                <pt idx="18">
                  <v>0.3641414462335049</v>
                </pt>
                <pt idx="19">
                  <v>0.3056837466214534</v>
                </pt>
                <pt idx="20">
                  <v>0.2565509722894318</v>
                </pt>
                <pt idx="21">
                  <v>0.3067052134087035</v>
                </pt>
                <pt idx="22">
                  <v>0.3262474814340254</v>
                </pt>
                <pt idx="23">
                  <v>0.2325128511239884</v>
                </pt>
                <pt idx="24">
                  <v>0.1753274520591576</v>
                </pt>
                <pt idx="25">
                  <v>0.04665866300077096</v>
                </pt>
                <pt idx="26">
                  <v>0.04754200067137803</v>
                </pt>
                <pt idx="27">
                  <v>0.03112454362113534</v>
                </pt>
                <pt idx="28">
                  <v>0.009039351614157832</v>
                </pt>
                <pt idx="29">
                  <v>-0.01622218411907161</v>
                </pt>
                <pt idx="30">
                  <v>-0.1482944483619721</v>
                </pt>
                <pt idx="31">
                  <v>-0.1105890230200691</v>
                </pt>
                <pt idx="32">
                  <v>-0.1453456804987169</v>
                </pt>
                <pt idx="33">
                  <v>-0.3013401508248668</v>
                </pt>
                <pt idx="34">
                  <v>-0.4978918097566973</v>
                </pt>
                <pt idx="35">
                  <v>-0.522005248857955</v>
                </pt>
                <pt idx="36">
                  <v>-0.4544519097555404</v>
                </pt>
                <pt idx="37">
                  <v>-0.4996890592105364</v>
                </pt>
                <pt idx="38">
                  <v>-0.5564335417011309</v>
                </pt>
                <pt idx="39">
                  <v>-0.5244645370445222</v>
                </pt>
                <pt idx="40">
                  <v>-0.475698037655594</v>
                </pt>
                <pt idx="41">
                  <v>-0.4133983973470354</v>
                </pt>
                <pt idx="42">
                  <v>-0.3467942163655483</v>
                </pt>
                <pt idx="43">
                  <v>-0.2662781923055874</v>
                </pt>
                <pt idx="44">
                  <v>-0.1884614020496486</v>
                </pt>
                <pt idx="45">
                  <v>-0.0002378764614790481</v>
                </pt>
                <pt idx="46">
                  <v>0.2647765294437637</v>
                </pt>
                <pt idx="47">
                  <v>0.4331734346709559</v>
                </pt>
                <pt idx="48">
                  <v>0.2788756369459063</v>
                </pt>
                <pt idx="49">
                  <v>0.4067903714602715</v>
                </pt>
                <pt idx="50">
                  <v>0.552136805802335</v>
                </pt>
                <pt idx="51">
                  <v>0.5163706569552725</v>
                </pt>
                <pt idx="52">
                  <v>0.2570513699144083</v>
                </pt>
                <pt idx="53">
                  <v>-0.02974504962810845</v>
                </pt>
                <pt idx="54">
                  <v>-0.02605524927858651</v>
                </pt>
                <pt idx="55">
                  <v>0.006594766201068458</v>
                </pt>
                <pt idx="56">
                  <v>-0.1187257129606738</v>
                </pt>
                <pt idx="57">
                  <v>-0.06252961549412002</v>
                </pt>
                <pt idx="58">
                  <v>0.04202068957703101</v>
                </pt>
                <pt idx="59">
                  <v>-0.1165569047721938</v>
                </pt>
                <pt idx="60">
                  <v>-0.03144382632225604</v>
                </pt>
                <pt idx="61">
                  <v>0.1192428421968765</v>
                </pt>
                <pt idx="62">
                  <v>0.1875289131968459</v>
                </pt>
                <pt idx="63">
                  <v>0.1096161351198809</v>
                </pt>
                <pt idx="64">
                  <v>0.2605716604280167</v>
                </pt>
                <pt idx="65">
                  <v>0.3740132700738014</v>
                </pt>
                <pt idx="66">
                  <v>0.3996893967045548</v>
                </pt>
                <pt idx="67">
                  <v>0.1270199684510666</v>
                </pt>
                <pt idx="68">
                  <v>0.06369053927420001</v>
                </pt>
                <pt idx="69">
                  <v>-0.1866668932263971</v>
                </pt>
                <pt idx="70">
                  <v>-0.1363320336447468</v>
                </pt>
                <pt idx="71">
                  <v>-0.06974019941214342</v>
                </pt>
                <pt idx="72">
                  <v>-0.1844718286068666</v>
                </pt>
                <pt idx="73">
                  <v>-0.1761632220373663</v>
                </pt>
                <pt idx="74">
                  <v>-0.1556906904236501</v>
                </pt>
                <pt idx="75">
                  <v>-0.1574557433573194</v>
                </pt>
                <pt idx="76">
                  <v>-0.2634708493587841</v>
                </pt>
                <pt idx="77">
                  <v>-0.3263974621446679</v>
                </pt>
                <pt idx="78">
                  <v>-0.2686454582609787</v>
                </pt>
                <pt idx="79">
                  <v>-0.2115337273430842</v>
                </pt>
                <pt idx="80">
                  <v>-0.04249688886878712</v>
                </pt>
                <pt idx="81">
                  <v>0.1454915198735221</v>
                </pt>
                <pt idx="82">
                  <v>0.04311741889737274</v>
                </pt>
                <pt idx="83">
                  <v>0.1262376539144529</v>
                </pt>
                <pt idx="84">
                  <v>0.2489635651470561</v>
                </pt>
                <pt idx="85">
                  <v>0.2010153617001709</v>
                </pt>
                <pt idx="86">
                  <v>0.08604038409874476</v>
                </pt>
                <pt idx="87">
                  <v>0.06927135400884152</v>
                </pt>
                <pt idx="88">
                  <v>0.1980524465288602</v>
                </pt>
                <pt idx="89">
                  <v>0.3933294505905896</v>
                </pt>
                <pt idx="90">
                  <v>0.2225812742607736</v>
                </pt>
                <pt idx="91">
                  <v>0.3362876008991539</v>
                </pt>
                <pt idx="92">
                  <v>0.2305791727951303</v>
                </pt>
                <pt idx="93">
                  <v>0.2911332213233939</v>
                </pt>
                <pt idx="94">
                  <v>0.3272747739918788</v>
                </pt>
                <pt idx="95">
                  <v>0.3022603358608129</v>
                </pt>
                <pt idx="96">
                  <v>0.2717254850980838</v>
                </pt>
                <pt idx="97">
                  <v>0.1624984433563159</v>
                </pt>
                <pt idx="98">
                  <v>0.3036879529020308</v>
                </pt>
                <pt idx="99">
                  <v>0.3306390415874502</v>
                </pt>
                <pt idx="100">
                  <v>0.2814095999167704</v>
                </pt>
                <pt idx="101">
                  <v>0.2755022601512569</v>
                </pt>
                <pt idx="102">
                  <v>0.3391857901607832</v>
                </pt>
                <pt idx="103">
                  <v>0.1522178861333429</v>
                </pt>
                <pt idx="104">
                  <v>0.1755452460235039</v>
                </pt>
                <pt idx="105">
                  <v>0.04338872345598776</v>
                </pt>
                <pt idx="106">
                  <v>-0.03865554593726966</v>
                </pt>
                <pt idx="107">
                  <v>-0.01573521811776483</v>
                </pt>
                <pt idx="108">
                  <v>-0.102267414557149</v>
                </pt>
                <pt idx="109">
                  <v>-0.04107667097998931</v>
                </pt>
                <pt idx="110">
                  <v>-0.04790204188134164</v>
                </pt>
                <pt idx="111">
                  <v>-0.06298734807240011</v>
                </pt>
                <pt idx="112">
                  <v>-0.05945619002001375</v>
                </pt>
                <pt idx="113">
                  <v>-0.07316829652357491</v>
                </pt>
                <pt idx="114">
                  <v>-0.08932361139717265</v>
                </pt>
                <pt idx="115">
                  <v>-0.003644881799709718</v>
                </pt>
                <pt idx="116">
                  <v>-0.07403247304383401</v>
                </pt>
                <pt idx="117">
                  <v>-0.08580700124987971</v>
                </pt>
                <pt idx="118">
                  <v>0.00986727474638284</v>
                </pt>
                <pt idx="119">
                  <v>-0.03547462243890025</v>
                </pt>
                <pt idx="120">
                  <v>-0.01145347051945957</v>
                </pt>
                <pt idx="121">
                  <v>-0.07695524529896591</v>
                </pt>
                <pt idx="122">
                  <v>-0.1676190532283919</v>
                </pt>
                <pt idx="123">
                  <v>-0.09095811907008079</v>
                </pt>
                <pt idx="124">
                  <v>-0.08802569476190182</v>
                </pt>
                <pt idx="125">
                  <v>-0.1155162136210799</v>
                </pt>
                <pt idx="126">
                  <v>-0.1233653159565821</v>
                </pt>
                <pt idx="127">
                  <v>-0.101875367781272</v>
                </pt>
                <pt idx="128">
                  <v>-0.02446512387385097</v>
                </pt>
                <pt idx="129">
                  <v>0.03163584900350204</v>
                </pt>
                <pt idx="130">
                  <v>-0.0483889731517484</v>
                </pt>
                <pt idx="131">
                  <v>-0.07904989521662091</v>
                </pt>
                <pt idx="132">
                  <v>0.01425102883198777</v>
                </pt>
                <pt idx="133">
                  <v>0.09808050027203295</v>
                </pt>
                <pt idx="134">
                  <v>0.1486947383393602</v>
                </pt>
                <pt idx="135">
                  <v>0.1278762478189582</v>
                </pt>
                <pt idx="136">
                  <v>0.1477022243829323</v>
                </pt>
                <pt idx="137">
                  <v>0.2498014519457638</v>
                </pt>
                <pt idx="138">
                  <v>0.2892438756914372</v>
                </pt>
                <pt idx="139">
                  <v>0.2579397969533195</v>
                </pt>
                <pt idx="140">
                  <v>0.249943239799552</v>
                </pt>
                <pt idx="141">
                  <v>0.2839574495448955</v>
                </pt>
                <pt idx="142">
                  <v>0.3123915539054766</v>
                </pt>
                <pt idx="143">
                  <v>0.3634107819331098</v>
                </pt>
                <pt idx="144">
                  <v>0.2816483363720695</v>
                </pt>
                <pt idx="145">
                  <v>0.3398696033590918</v>
                </pt>
                <pt idx="146">
                  <v>0.2571377532141081</v>
                </pt>
                <pt idx="147">
                  <v>0.1760483591795448</v>
                </pt>
                <pt idx="148">
                  <v>0.1523723534448609</v>
                </pt>
                <pt idx="149">
                  <v>0.05869813561036948</v>
                </pt>
                <pt idx="150">
                  <v>0.03725479331578201</v>
                </pt>
                <pt idx="151">
                  <v>0.05212569565187199</v>
                </pt>
                <pt idx="152">
                  <v>0.01388947683651651</v>
                </pt>
                <pt idx="153">
                  <v>-0.02597126524004654</v>
                </pt>
                <pt idx="154">
                  <v>-0.1227526430875318</v>
                </pt>
                <pt idx="155">
                  <v>-0.1236047660690818</v>
                </pt>
                <pt idx="156">
                  <v>-0.1684412109337308</v>
                </pt>
                <pt idx="157">
                  <v>-0.1712706797968966</v>
                </pt>
                <pt idx="158">
                  <v>-0.09086430044342561</v>
                </pt>
                <pt idx="159">
                  <v>-0.08288157728237264</v>
                </pt>
                <pt idx="160">
                  <v>-0.05831429209054782</v>
                </pt>
                <pt idx="161">
                  <v>-0.08617936699958242</v>
                </pt>
                <pt idx="162">
                  <v>-0.006440695028099695</v>
                </pt>
                <pt idx="163">
                  <v>-0.06660464332475534</v>
                </pt>
                <pt idx="164">
                  <v>-0.05056091233347759</v>
                </pt>
                <pt idx="165">
                  <v>-0.02102959723015291</v>
                </pt>
                <pt idx="166">
                  <v>0.116592146527686</v>
                </pt>
                <pt idx="167">
                  <v>0.1307467209680165</v>
                </pt>
                <pt idx="168">
                  <v>0.2343281112993295</v>
                </pt>
                <pt idx="169">
                  <v>0.1173755323696156</v>
                </pt>
                <pt idx="170">
                  <v>0.003410128222713062</v>
                </pt>
                <pt idx="171">
                  <v>-0.1851002713733546</v>
                </pt>
                <pt idx="172">
                  <v>-0.1760827377072006</v>
                </pt>
                <pt idx="173">
                  <v>-0.05439340501808155</v>
                </pt>
                <pt idx="174">
                  <v>-0.0492905198691601</v>
                </pt>
                <pt idx="175">
                  <v>-0.008547047949215599</v>
                </pt>
                <pt idx="176">
                  <v>0.05258358715550593</v>
                </pt>
                <pt idx="177">
                  <v>-0.01223254829370467</v>
                </pt>
                <pt idx="178">
                  <v>-0.1007498007174175</v>
                </pt>
                <pt idx="179">
                  <v>0.06643099166710441</v>
                </pt>
                <pt idx="180">
                  <v>0.06523325914687159</v>
                </pt>
                <pt idx="181">
                  <v>0.0949838096528885</v>
                </pt>
                <pt idx="182">
                  <v>0.2224427648274312</v>
                </pt>
                <pt idx="183">
                  <v>0.5574584223632451</v>
                </pt>
                <pt idx="184">
                  <v>0.5353094298216672</v>
                </pt>
                <pt idx="185">
                  <v>0.4924839504749075</v>
                </pt>
                <pt idx="186">
                  <v>0.3844975478461217</v>
                </pt>
                <pt idx="187">
                  <v>0.3552063543521971</v>
                </pt>
                <pt idx="188">
                  <v>0.3215086685494051</v>
                </pt>
                <pt idx="189">
                  <v>0.2995507290139596</v>
                </pt>
                <pt idx="190">
                  <v>0.4362302143506373</v>
                </pt>
                <pt idx="191">
                  <v>0.1352220224606544</v>
                </pt>
                <pt idx="192">
                  <v>0.1386203602925265</v>
                </pt>
                <pt idx="193">
                  <v>0.1209148757287034</v>
                </pt>
                <pt idx="194">
                  <v>0.004033834205863269</v>
                </pt>
                <pt idx="195">
                  <v>-0.04510846026006662</v>
                </pt>
                <pt idx="196">
                  <v>-0.1541924018589004</v>
                </pt>
                <pt idx="197">
                  <v>-0.1545615895461663</v>
                </pt>
                <pt idx="198">
                  <v>-0.2452848105128256</v>
                </pt>
                <pt idx="199">
                  <v>-0.2052528159862708</v>
                </pt>
                <pt idx="200">
                  <v>-0.2783787408838235</v>
                </pt>
                <pt idx="201">
                  <v>-0.3100166454186908</v>
                </pt>
                <pt idx="202">
                  <v>-0.2735409026288237</v>
                </pt>
                <pt idx="203">
                  <v>-0.1157754982851439</v>
                </pt>
                <pt idx="204">
                  <v>-0.1636689352720675</v>
                </pt>
                <pt idx="205">
                  <v>-0.03856742931089888</v>
                </pt>
                <pt idx="206">
                  <v>0.02032562040616213</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Area'!$A$6:$A$224</f>
              <numCache>
                <formatCode>m/d/yyyy</formatCode>
                <ptCount val="219"/>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numCache>
            </numRef>
          </cat>
          <val>
            <numRef>
              <f>'Euro Area'!$G$6:$G$224</f>
              <numCache>
                <formatCode>0.0%</formatCode>
                <ptCount val="219"/>
                <pt idx="0">
                  <v>0</v>
                </pt>
                <pt idx="1">
                  <v>0.002079008425802162</v>
                </pt>
                <pt idx="2">
                  <v>0</v>
                </pt>
                <pt idx="3">
                  <v>0</v>
                </pt>
                <pt idx="4">
                  <v>0.006154369590930122</v>
                </pt>
                <pt idx="5">
                  <v>0</v>
                </pt>
                <pt idx="6">
                  <v>0</v>
                </pt>
                <pt idx="7">
                  <v>0.00732764268577181</v>
                </pt>
                <pt idx="8">
                  <v>0</v>
                </pt>
                <pt idx="9">
                  <v>0</v>
                </pt>
                <pt idx="10">
                  <v>0.006390846493875452</v>
                </pt>
                <pt idx="11">
                  <v>0</v>
                </pt>
                <pt idx="12">
                  <v>0</v>
                </pt>
                <pt idx="13">
                  <v>0.008731075876649541</v>
                </pt>
                <pt idx="14">
                  <v>0</v>
                </pt>
                <pt idx="15">
                  <v>0</v>
                </pt>
                <pt idx="16">
                  <v>0.01104205733804205</v>
                </pt>
                <pt idx="17">
                  <v>0</v>
                </pt>
                <pt idx="18">
                  <v>0</v>
                </pt>
                <pt idx="19">
                  <v>0.005944216053640459</v>
                </pt>
                <pt idx="20">
                  <v>0</v>
                </pt>
                <pt idx="21">
                  <v>0</v>
                </pt>
                <pt idx="22">
                  <v>0.01173616137797801</v>
                </pt>
                <pt idx="23">
                  <v>0</v>
                </pt>
                <pt idx="24">
                  <v>0</v>
                </pt>
                <pt idx="25">
                  <v>0.006000641049218996</v>
                </pt>
                <pt idx="26">
                  <v>0</v>
                </pt>
                <pt idx="27">
                  <v>0</v>
                </pt>
                <pt idx="28">
                  <v>0.007220810725550743</v>
                </pt>
                <pt idx="29">
                  <v>0</v>
                </pt>
                <pt idx="30">
                  <v>0</v>
                </pt>
                <pt idx="31">
                  <v>0.004513588218056784</v>
                </pt>
                <pt idx="32">
                  <v>0</v>
                </pt>
                <pt idx="33">
                  <v>0</v>
                </pt>
                <pt idx="34">
                  <v>0.005090836146678046</v>
                </pt>
                <pt idx="35">
                  <v>0</v>
                </pt>
                <pt idx="36">
                  <v>0</v>
                </pt>
                <pt idx="37">
                  <v>0.005170018134278373</v>
                </pt>
                <pt idx="38">
                  <v>0</v>
                </pt>
                <pt idx="39">
                  <v>0</v>
                </pt>
                <pt idx="40">
                  <v>-0.003375135400820901</v>
                </pt>
                <pt idx="41">
                  <v>0</v>
                </pt>
                <pt idx="42">
                  <v>0</v>
                </pt>
                <pt idx="43">
                  <v>-0.005284995408960556</v>
                </pt>
                <pt idx="44">
                  <v>0</v>
                </pt>
                <pt idx="45">
                  <v>0</v>
                </pt>
                <pt idx="46">
                  <v>-0.01820969430111454</v>
                </pt>
                <pt idx="47">
                  <v>0</v>
                </pt>
                <pt idx="48">
                  <v>0</v>
                </pt>
                <pt idx="49">
                  <v>-0.03093592353041948</v>
                </pt>
                <pt idx="50">
                  <v>0</v>
                </pt>
                <pt idx="51">
                  <v>0</v>
                </pt>
                <pt idx="52">
                  <v>-0.0002480053371022923</v>
                </pt>
                <pt idx="53">
                  <v>0</v>
                </pt>
                <pt idx="54">
                  <v>0</v>
                </pt>
                <pt idx="55">
                  <v>0.004024979403741463</v>
                </pt>
                <pt idx="56">
                  <v>0</v>
                </pt>
                <pt idx="57">
                  <v>0</v>
                </pt>
                <pt idx="58">
                  <v>0.004231328985635955</v>
                </pt>
                <pt idx="59">
                  <v>0</v>
                </pt>
                <pt idx="60">
                  <v>0</v>
                </pt>
                <pt idx="61">
                  <v>0.004419265756777226</v>
                </pt>
                <pt idx="62">
                  <v>0</v>
                </pt>
                <pt idx="63">
                  <v>0</v>
                </pt>
                <pt idx="64">
                  <v>0.009697817695873613</v>
                </pt>
                <pt idx="65">
                  <v>0</v>
                </pt>
                <pt idx="66">
                  <v>0</v>
                </pt>
                <pt idx="67">
                  <v>0.004179401075044413</v>
                </pt>
                <pt idx="68">
                  <v>0</v>
                </pt>
                <pt idx="69">
                  <v>0</v>
                </pt>
                <pt idx="70">
                  <v>0.005908231298489107</v>
                </pt>
                <pt idx="71">
                  <v>0</v>
                </pt>
                <pt idx="72">
                  <v>0</v>
                </pt>
                <pt idx="73">
                  <v>0.00909580495396386</v>
                </pt>
                <pt idx="74">
                  <v>0</v>
                </pt>
                <pt idx="75">
                  <v>0</v>
                </pt>
                <pt idx="76">
                  <v>-0.000224757433624218</v>
                </pt>
                <pt idx="77">
                  <v>0</v>
                </pt>
                <pt idx="78">
                  <v>0</v>
                </pt>
                <pt idx="79">
                  <v>0.001528009020713608</v>
                </pt>
                <pt idx="80">
                  <v>0</v>
                </pt>
                <pt idx="81">
                  <v>0</v>
                </pt>
                <pt idx="82">
                  <v>-0.004234834458831302</v>
                </pt>
                <pt idx="83">
                  <v>0</v>
                </pt>
                <pt idx="84">
                  <v>0</v>
                </pt>
                <pt idx="85">
                  <v>-0.002149659488954449</v>
                </pt>
                <pt idx="86">
                  <v>0</v>
                </pt>
                <pt idx="87">
                  <v>0</v>
                </pt>
                <pt idx="88">
                  <v>-0.002638864828599166</v>
                </pt>
                <pt idx="89">
                  <v>0</v>
                </pt>
                <pt idx="90">
                  <v>0</v>
                </pt>
                <pt idx="91">
                  <v>-0.0009907163742234103</v>
                </pt>
                <pt idx="92">
                  <v>0</v>
                </pt>
                <pt idx="93">
                  <v>0</v>
                </pt>
                <pt idx="94">
                  <v>-0.004449012942242542</v>
                </pt>
                <pt idx="95">
                  <v>0</v>
                </pt>
                <pt idx="96">
                  <v>0</v>
                </pt>
                <pt idx="97">
                  <v>-0.003324045172696367</v>
                </pt>
                <pt idx="98">
                  <v>0</v>
                </pt>
                <pt idx="99">
                  <v>0</v>
                </pt>
                <pt idx="100">
                  <v>0.005147318726932237</v>
                </pt>
                <pt idx="101">
                  <v>0</v>
                </pt>
                <pt idx="102">
                  <v>0</v>
                </pt>
                <pt idx="103">
                  <v>0.003038845538352348</v>
                </pt>
                <pt idx="104">
                  <v>0</v>
                </pt>
                <pt idx="105">
                  <v>0</v>
                </pt>
                <pt idx="106">
                  <v>0.002878766551284823</v>
                </pt>
                <pt idx="107">
                  <v>0</v>
                </pt>
                <pt idx="108">
                  <v>0</v>
                </pt>
                <pt idx="109">
                  <v>0.004141603130332342</v>
                </pt>
                <pt idx="110">
                  <v>0</v>
                </pt>
                <pt idx="111">
                  <v>0</v>
                </pt>
                <pt idx="112">
                  <v>0.001950082321842949</v>
                </pt>
                <pt idx="113">
                  <v>0</v>
                </pt>
                <pt idx="114">
                  <v>0</v>
                </pt>
                <pt idx="115">
                  <v>0.004939140647342279</v>
                </pt>
                <pt idx="116">
                  <v>0</v>
                </pt>
                <pt idx="117">
                  <v>0</v>
                </pt>
                <pt idx="118">
                  <v>0.003558582029745535</v>
                </pt>
                <pt idx="119">
                  <v>0</v>
                </pt>
                <pt idx="120">
                  <v>0</v>
                </pt>
                <pt idx="121">
                  <v>0.006376936063688275</v>
                </pt>
                <pt idx="122">
                  <v>0</v>
                </pt>
                <pt idx="123">
                  <v>0</v>
                </pt>
                <pt idx="124">
                  <v>0.004606940090520169</v>
                </pt>
                <pt idx="125">
                  <v>0</v>
                </pt>
                <pt idx="126">
                  <v>0</v>
                </pt>
                <pt idx="127">
                  <v>0.004168149272968156</v>
                </pt>
                <pt idx="128">
                  <v>0</v>
                </pt>
                <pt idx="129">
                  <v>0</v>
                </pt>
                <pt idx="130">
                  <v>0.004621070599776983</v>
                </pt>
                <pt idx="131">
                  <v>0</v>
                </pt>
                <pt idx="132">
                  <v>0</v>
                </pt>
                <pt idx="133">
                  <v>0.005558304668766573</v>
                </pt>
                <pt idx="134">
                  <v>0</v>
                </pt>
                <pt idx="135">
                  <v>0</v>
                </pt>
                <pt idx="136">
                  <v>0.002338326547601391</v>
                </pt>
                <pt idx="137">
                  <v>0</v>
                </pt>
                <pt idx="138">
                  <v>0</v>
                </pt>
                <pt idx="139">
                  <v>0.00476872353145435</v>
                </pt>
                <pt idx="140">
                  <v>0</v>
                </pt>
                <pt idx="141">
                  <v>0</v>
                </pt>
                <pt idx="142">
                  <v>0.007571283302730314</v>
                </pt>
                <pt idx="143">
                  <v>0</v>
                </pt>
                <pt idx="144">
                  <v>0</v>
                </pt>
                <pt idx="145">
                  <v>0.006829527491024776</v>
                </pt>
                <pt idx="146">
                  <v>0</v>
                </pt>
                <pt idx="147">
                  <v>0</v>
                </pt>
                <pt idx="148">
                  <v>0.007887524293034848</v>
                </pt>
                <pt idx="149">
                  <v>0</v>
                </pt>
                <pt idx="150">
                  <v>0</v>
                </pt>
                <pt idx="151">
                  <v>0.007760403419867896</v>
                </pt>
                <pt idx="152">
                  <v>0</v>
                </pt>
                <pt idx="153">
                  <v>0</v>
                </pt>
                <pt idx="154">
                  <v>0.008091334730406912</v>
                </pt>
                <pt idx="155">
                  <v>0</v>
                </pt>
                <pt idx="156">
                  <v>0</v>
                </pt>
                <pt idx="157">
                  <v>-3.471955177235022e-05</v>
                </pt>
                <pt idx="158">
                  <v>0</v>
                </pt>
                <pt idx="159">
                  <v>0</v>
                </pt>
                <pt idx="160">
                  <v>0.005393151214386117</v>
                </pt>
                <pt idx="161">
                  <v>0</v>
                </pt>
                <pt idx="162">
                  <v>0</v>
                </pt>
                <pt idx="163">
                  <v>8.665848958256819e-05</v>
                </pt>
                <pt idx="164">
                  <v>0</v>
                </pt>
                <pt idx="165">
                  <v>0</v>
                </pt>
                <pt idx="166">
                  <v>0.006466225183837674</v>
                </pt>
                <pt idx="167">
                  <v>0</v>
                </pt>
                <pt idx="168">
                  <v>0</v>
                </pt>
                <pt idx="169">
                  <v>0.0062851080856009</v>
                </pt>
                <pt idx="170">
                  <v>0</v>
                </pt>
                <pt idx="171">
                  <v>0</v>
                </pt>
                <pt idx="172">
                  <v>0.003135501354607775</v>
                </pt>
                <pt idx="173">
                  <v>0</v>
                </pt>
                <pt idx="174">
                  <v>0</v>
                </pt>
                <pt idx="175">
                  <v>0.002071376471619694</v>
                </pt>
                <pt idx="176">
                  <v>0</v>
                </pt>
                <pt idx="177">
                  <v>0</v>
                </pt>
                <pt idx="178">
                  <v>0.0001542157894406365</v>
                </pt>
                <pt idx="179">
                  <v>0</v>
                </pt>
                <pt idx="180">
                  <v>0</v>
                </pt>
                <pt idx="181">
                  <v>-0.03365603589316016</v>
                </pt>
                <pt idx="182">
                  <v>0</v>
                </pt>
                <pt idx="183">
                  <v>0</v>
                </pt>
                <pt idx="184">
                  <v>-0.11450771349771</v>
                </pt>
                <pt idx="185">
                  <v>0</v>
                </pt>
                <pt idx="186">
                  <v>0</v>
                </pt>
                <pt idx="187">
                  <v>0.1235107992140109</v>
                </pt>
                <pt idx="188">
                  <v>0</v>
                </pt>
                <pt idx="189">
                  <v>0</v>
                </pt>
                <pt idx="190">
                  <v>-0.002624307461512466</v>
                </pt>
                <pt idx="191">
                  <v>0</v>
                </pt>
                <pt idx="192">
                  <v>0</v>
                </pt>
                <pt idx="193">
                  <v>-0.0006097294416353623</v>
                </pt>
                <pt idx="194">
                  <v>0</v>
                </pt>
                <pt idx="195">
                  <v>0</v>
                </pt>
                <pt idx="196">
                  <v>0.01985671376328628</v>
                </pt>
                <pt idx="197">
                  <v>0</v>
                </pt>
                <pt idx="198">
                  <v>0</v>
                </pt>
                <pt idx="199">
                  <v>0.02249599232690354</v>
                </pt>
                <pt idx="200">
                  <v>0</v>
                </pt>
                <pt idx="201">
                  <v>0</v>
                </pt>
                <pt idx="202">
                  <v>0.005357789399362019</v>
                </pt>
                <pt idx="203">
                  <v>0</v>
                </pt>
                <pt idx="204">
                  <v>0</v>
                </pt>
                <pt idx="205">
                  <v>0.006356354249545562</v>
                </pt>
                <pt idx="206">
                  <v>0</v>
                </pt>
                <pt idx="207">
                  <v>0</v>
                </pt>
                <pt idx="208">
                  <v>0.008501398520135858</v>
                </pt>
                <pt idx="209">
                  <v>0</v>
                </pt>
                <pt idx="210">
                  <v>0</v>
                </pt>
                <pt idx="211">
                  <v>0.003027427021100531</v>
                </pt>
                <pt idx="212">
                  <v>0</v>
                </pt>
                <pt idx="213">
                  <v>0</v>
                </pt>
                <pt idx="214">
                  <v>0</v>
                </pt>
                <pt idx="215">
                  <v>0</v>
                </pt>
                <pt idx="216">
                  <v>0</v>
                </pt>
                <pt idx="217">
                  <v>0</v>
                </pt>
                <pt idx="218">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Area'!$A$6:$A$224</f>
              <numCache>
                <formatCode>m/d/yyyy</formatCode>
                <ptCount val="219"/>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numCache>
            </numRef>
          </cat>
          <val>
            <numRef>
              <f>'Euro Area'!$B$6:$B$224</f>
              <numCache>
                <formatCode>General</formatCode>
                <ptCount val="219"/>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pt idx="216">
                  <v>47.8</v>
                </pt>
                <pt idx="217">
                  <v>48.8</v>
                </pt>
                <pt idx="218">
                  <v>48.5</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Area'!$A$6:$A$224</f>
              <numCache>
                <formatCode>m/d/yyyy</formatCode>
                <ptCount val="219"/>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numCache>
            </numRef>
          </cat>
          <val>
            <numRef>
              <f>'Euro Area'!$B$6:$B$224</f>
              <numCache>
                <formatCode>General</formatCode>
                <ptCount val="219"/>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pt idx="216">
                  <v>47.8</v>
                </pt>
                <pt idx="217">
                  <v>48.8</v>
                </pt>
                <pt idx="218">
                  <v>48.5</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Japan!$A$6:$A$186</f>
              <numCache>
                <formatCode>m/d/yyyy</formatCode>
                <ptCount val="181"/>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pt idx="178">
                  <v>44896</v>
                </pt>
                <pt idx="179">
                  <v>44927</v>
                </pt>
                <pt idx="180">
                  <v>44958</v>
                </pt>
              </numCache>
            </numRef>
          </cat>
          <val>
            <numRef>
              <f>Japan!$B$6:$B$186</f>
              <numCache>
                <formatCode>General</formatCode>
                <ptCount val="181"/>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pt idx="178">
                  <v>48.9</v>
                </pt>
                <pt idx="179">
                  <v>48.9</v>
                </pt>
                <pt idx="180">
                  <v>47.7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Germany!$A$6:$A$187</f>
              <numCache>
                <formatCode>m/d/yyyy</formatCode>
                <ptCount val="182"/>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pt idx="179">
                  <v>44896</v>
                </pt>
                <pt idx="180">
                  <v>44927</v>
                </pt>
                <pt idx="181">
                  <v>44958</v>
                </pt>
              </numCache>
            </numRef>
          </cat>
          <val>
            <numRef>
              <f>Germany!$B$6:$B$187</f>
              <numCache>
                <formatCode>General</formatCode>
                <ptCount val="182"/>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pt idx="179">
                  <v>47.1</v>
                </pt>
                <pt idx="180">
                  <v>47.3</v>
                </pt>
                <pt idx="181">
                  <v>46.3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France!$A$6:$A$180</f>
              <numCache>
                <formatCode>m/d/yyyy</formatCode>
                <ptCount val="175"/>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pt idx="172">
                  <v>44896</v>
                </pt>
                <pt idx="173">
                  <v>44927</v>
                </pt>
                <pt idx="174">
                  <v>44958</v>
                </pt>
              </numCache>
            </numRef>
          </cat>
          <val>
            <numRef>
              <f>France!$B$6:$B$180</f>
              <numCache>
                <formatCode>General</formatCode>
                <ptCount val="175"/>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pt idx="172">
                  <v>49.2</v>
                </pt>
                <pt idx="173">
                  <v>50.5</v>
                </pt>
                <pt idx="174">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UK!$A$18:$A$229</f>
              <numCache>
                <formatCode>m/d/yyyy</formatCode>
                <ptCount val="212"/>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numCache>
            </numRef>
          </cat>
          <val>
            <numRef>
              <f>UK!$B$18:$B$229</f>
              <numCache>
                <formatCode>General</formatCode>
                <ptCount val="212"/>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pt idx="204">
                  <v>45.3</v>
                </pt>
                <pt idx="205">
                  <v>47</v>
                </pt>
                <pt idx="206">
                  <v>49.3</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UK!$A$18:$A$229</f>
              <numCache>
                <formatCode>m/d/yyyy</formatCode>
                <ptCount val="212"/>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pt idx="206">
                  <v>44958</v>
                </pt>
              </numCache>
            </numRef>
          </cat>
          <val>
            <numRef>
              <f>UK!$D$18:$D$229</f>
              <numCache>
                <formatCode>0.00</formatCode>
                <ptCount val="212"/>
                <pt idx="0">
                  <v>18.85319519042969</v>
                </pt>
                <pt idx="1">
                  <v>20.61868667602539</v>
                </pt>
                <pt idx="2">
                  <v>20.50361824035645</v>
                </pt>
                <pt idx="3">
                  <v>21.08943557739258</v>
                </pt>
                <pt idx="4">
                  <v>22.43891716003418</v>
                </pt>
                <pt idx="5">
                  <v>21.84262275695801</v>
                </pt>
                <pt idx="6">
                  <v>22.02046966552734</v>
                </pt>
                <pt idx="7">
                  <v>22.5958251953125</v>
                </pt>
                <pt idx="8">
                  <v>23.08749580383301</v>
                </pt>
                <pt idx="9">
                  <v>22.89919471740723</v>
                </pt>
                <pt idx="10">
                  <v>23.95576286315918</v>
                </pt>
                <pt idx="11">
                  <v>24.6357250213623</v>
                </pt>
                <pt idx="12">
                  <v>24.4892692565918</v>
                </pt>
                <pt idx="13">
                  <v>25.51086807250977</v>
                </pt>
                <pt idx="14">
                  <v>25.13203620910645</v>
                </pt>
                <pt idx="15">
                  <v>26.05203819274902</v>
                </pt>
                <pt idx="16">
                  <v>26.89627075195312</v>
                </pt>
                <pt idx="17">
                  <v>27.46990966796875</v>
                </pt>
                <pt idx="18">
                  <v>27.65390777587891</v>
                </pt>
                <pt idx="19">
                  <v>26.72308921813965</v>
                </pt>
                <pt idx="20">
                  <v>26.7772045135498</v>
                </pt>
                <pt idx="21">
                  <v>27.84872627258301</v>
                </pt>
                <pt idx="22">
                  <v>29.46141815185547</v>
                </pt>
                <pt idx="23">
                  <v>27.72967529296875</v>
                </pt>
                <pt idx="24">
                  <v>26.06285858154297</v>
                </pt>
                <pt idx="25">
                  <v>24.82069969177246</v>
                </pt>
                <pt idx="26">
                  <v>24.52948951721191</v>
                </pt>
                <pt idx="27">
                  <v>24.14866065979004</v>
                </pt>
                <pt idx="28">
                  <v>25.58234214782715</v>
                </pt>
                <pt idx="29">
                  <v>25.52634620666504</v>
                </pt>
                <pt idx="30">
                  <v>23.20779991149902</v>
                </pt>
                <pt idx="31">
                  <v>22.76375389099121</v>
                </pt>
                <pt idx="32">
                  <v>21.99617767333984</v>
                </pt>
                <pt idx="33">
                  <v>19.07480812072754</v>
                </pt>
                <pt idx="34">
                  <v>15.30567169189453</v>
                </pt>
                <pt idx="35">
                  <v>14.32042789459229</v>
                </pt>
                <pt idx="36">
                  <v>14.03401660919189</v>
                </pt>
                <pt idx="37">
                  <v>13.08317184448242</v>
                </pt>
                <pt idx="38">
                  <v>11.81021690368652</v>
                </pt>
                <pt idx="39">
                  <v>12.35240268707275</v>
                </pt>
                <pt idx="40">
                  <v>13.82573413848877</v>
                </pt>
                <pt idx="41">
                  <v>16.18305587768555</v>
                </pt>
                <pt idx="42">
                  <v>15.57015228271484</v>
                </pt>
                <pt idx="43">
                  <v>17.19697380065918</v>
                </pt>
                <pt idx="44">
                  <v>17.94101524353027</v>
                </pt>
                <pt idx="45">
                  <v>18.6130542755127</v>
                </pt>
                <pt idx="46">
                  <v>18.58905029296875</v>
                </pt>
                <pt idx="47">
                  <v>19.52510833740234</v>
                </pt>
                <pt idx="48">
                  <v>19.44110107421875</v>
                </pt>
                <pt idx="49">
                  <v>18.73365592956543</v>
                </pt>
                <pt idx="50">
                  <v>18.57582092285156</v>
                </pt>
                <pt idx="51">
                  <v>19.75350761413574</v>
                </pt>
                <pt idx="52">
                  <v>19.32856559753418</v>
                </pt>
                <pt idx="53">
                  <v>17.20388412475586</v>
                </pt>
                <pt idx="54">
                  <v>16.31758499145508</v>
                </pt>
                <pt idx="55">
                  <v>19.01400566101074</v>
                </pt>
                <pt idx="56">
                  <v>18.48274803161621</v>
                </pt>
                <pt idx="57">
                  <v>20.21241760253906</v>
                </pt>
                <pt idx="58">
                  <v>21.06489753723145</v>
                </pt>
                <pt idx="59">
                  <v>19.9653205871582</v>
                </pt>
                <pt idx="60">
                  <v>21.46025085449219</v>
                </pt>
                <pt idx="61">
                  <v>21.91374397277832</v>
                </pt>
                <pt idx="62">
                  <v>22.91209411621094</v>
                </pt>
                <pt idx="63">
                  <v>22.35052108764648</v>
                </pt>
                <pt idx="64">
                  <v>23.84804534912109</v>
                </pt>
                <pt idx="65">
                  <v>23.28647613525391</v>
                </pt>
                <pt idx="66">
                  <v>22.22572708129883</v>
                </pt>
                <pt idx="67">
                  <v>22.5208740234375</v>
                </pt>
                <pt idx="68">
                  <v>20.79435920715332</v>
                </pt>
                <pt idx="69">
                  <v>18.75046920776367</v>
                </pt>
                <pt idx="70">
                  <v>21.17520523071289</v>
                </pt>
                <pt idx="71">
                  <v>20.83244323730469</v>
                </pt>
                <pt idx="72">
                  <v>20.51506805419922</v>
                </pt>
                <pt idx="73">
                  <v>21.49224090576172</v>
                </pt>
                <pt idx="74">
                  <v>22.58746910095215</v>
                </pt>
                <pt idx="75">
                  <v>22.29111480712891</v>
                </pt>
                <pt idx="76">
                  <v>22.61323928833008</v>
                </pt>
                <pt idx="77">
                  <v>20.03623199462891</v>
                </pt>
                <pt idx="78">
                  <v>20.98972129821777</v>
                </pt>
                <pt idx="79">
                  <v>21.67182350158691</v>
                </pt>
                <pt idx="80">
                  <v>22.38410949707031</v>
                </pt>
                <pt idx="81">
                  <v>22.9512939453125</v>
                </pt>
                <pt idx="82">
                  <v>23.05681800842285</v>
                </pt>
                <pt idx="83">
                  <v>23.32062911987305</v>
                </pt>
                <pt idx="84">
                  <v>23.66357803344727</v>
                </pt>
                <pt idx="85">
                  <v>24.70919418334961</v>
                </pt>
                <pt idx="86">
                  <v>24.04029083251953</v>
                </pt>
                <pt idx="87">
                  <v>24.44163703918457</v>
                </pt>
                <pt idx="88">
                  <v>25.13729476928711</v>
                </pt>
                <pt idx="89">
                  <v>25.11054039001465</v>
                </pt>
                <pt idx="90">
                  <v>23.62557792663574</v>
                </pt>
                <pt idx="91">
                  <v>25.50984573364258</v>
                </pt>
                <pt idx="92">
                  <v>25.31977653503418</v>
                </pt>
                <pt idx="93">
                  <v>26.63667678833008</v>
                </pt>
                <pt idx="94">
                  <v>27.62774658203125</v>
                </pt>
                <pt idx="95">
                  <v>27.8449649810791</v>
                </pt>
                <pt idx="96">
                  <v>28.34728622436523</v>
                </pt>
                <pt idx="97">
                  <v>27.3553638458252</v>
                </pt>
                <pt idx="98">
                  <v>29.21019554138184</v>
                </pt>
                <pt idx="99">
                  <v>28.2896556854248</v>
                </pt>
                <pt idx="100">
                  <v>29.56742477416992</v>
                </pt>
                <pt idx="101">
                  <v>29.8559455871582</v>
                </pt>
                <pt idx="102">
                  <v>28.68809509277344</v>
                </pt>
                <pt idx="103">
                  <v>29.37614059448242</v>
                </pt>
                <pt idx="104">
                  <v>29.60677146911621</v>
                </pt>
                <pt idx="105">
                  <v>27.93471908569336</v>
                </pt>
                <pt idx="106">
                  <v>27.40139770507812</v>
                </pt>
                <pt idx="107">
                  <v>27.43022727966309</v>
                </pt>
                <pt idx="108">
                  <v>25.98880577087402</v>
                </pt>
                <pt idx="109">
                  <v>26.52299118041992</v>
                </pt>
                <pt idx="110">
                  <v>28.08143424987793</v>
                </pt>
                <pt idx="111">
                  <v>26.47888374328613</v>
                </pt>
                <pt idx="112">
                  <v>28.24316215515137</v>
                </pt>
                <pt idx="113">
                  <v>28.41958618164062</v>
                </pt>
                <pt idx="114">
                  <v>26.83173561096191</v>
                </pt>
                <pt idx="115">
                  <v>27.75506210327148</v>
                </pt>
                <pt idx="116">
                  <v>25.53944396972656</v>
                </pt>
                <pt idx="117">
                  <v>24.53643226623535</v>
                </pt>
                <pt idx="118">
                  <v>26.15322685241699</v>
                </pt>
                <pt idx="119">
                  <v>25.71909141540527</v>
                </pt>
                <pt idx="120">
                  <v>24.16217231750488</v>
                </pt>
                <pt idx="121">
                  <v>23.45659637451172</v>
                </pt>
                <pt idx="122">
                  <v>22.72357940673828</v>
                </pt>
                <pt idx="123">
                  <v>23.94527816772461</v>
                </pt>
                <pt idx="124">
                  <v>24.90736198425293</v>
                </pt>
                <pt idx="125">
                  <v>24.61720848083496</v>
                </pt>
                <pt idx="126">
                  <v>23.47186660766602</v>
                </pt>
                <pt idx="127">
                  <v>24.41600608825684</v>
                </pt>
                <pt idx="128">
                  <v>24.68207550048828</v>
                </pt>
                <pt idx="129">
                  <v>24.79163360595703</v>
                </pt>
                <pt idx="130">
                  <v>23.47692680358887</v>
                </pt>
                <pt idx="131">
                  <v>23.52387619018555</v>
                </pt>
                <pt idx="132">
                  <v>24.01689529418945</v>
                </pt>
                <pt idx="133">
                  <v>24.95241737365723</v>
                </pt>
                <pt idx="134">
                  <v>25.31737899780273</v>
                </pt>
                <pt idx="135">
                  <v>25.82515716552734</v>
                </pt>
                <pt idx="136">
                  <v>26.26152038574219</v>
                </pt>
                <pt idx="137">
                  <v>27.45956420898438</v>
                </pt>
                <pt idx="138">
                  <v>26.44401168823242</v>
                </pt>
                <pt idx="139">
                  <v>27.66788291931152</v>
                </pt>
                <pt idx="140">
                  <v>27.44083404541016</v>
                </pt>
                <pt idx="141">
                  <v>28.25983810424805</v>
                </pt>
                <pt idx="142">
                  <v>28.43012809753418</v>
                </pt>
                <pt idx="143">
                  <v>28.39769172668457</v>
                </pt>
                <pt idx="144">
                  <v>29.04641151428223</v>
                </pt>
                <pt idx="145">
                  <v>30.70130729675293</v>
                </pt>
                <pt idx="146">
                  <v>28.64408874511719</v>
                </pt>
                <pt idx="147">
                  <v>28.71018218994141</v>
                </pt>
                <pt idx="148">
                  <v>29.94947052001953</v>
                </pt>
                <pt idx="149">
                  <v>29.7677116394043</v>
                </pt>
                <pt idx="150">
                  <v>28.7349681854248</v>
                </pt>
                <pt idx="151">
                  <v>29.69309425354004</v>
                </pt>
                <pt idx="152">
                  <v>28.39069366455078</v>
                </pt>
                <pt idx="153">
                  <v>28.85583114624023</v>
                </pt>
                <pt idx="154">
                  <v>26.90222930908203</v>
                </pt>
                <pt idx="155">
                  <v>26.58086013793945</v>
                </pt>
                <pt idx="156">
                  <v>24.8217716217041</v>
                </pt>
                <pt idx="157">
                  <v>27.21231269836426</v>
                </pt>
                <pt idx="158">
                  <v>28.14560317993164</v>
                </pt>
                <pt idx="159">
                  <v>28.52583122253418</v>
                </pt>
                <pt idx="160">
                  <v>29.1739501953125</v>
                </pt>
                <pt idx="161">
                  <v>27.38514518737793</v>
                </pt>
                <pt idx="162">
                  <v>27.92956352233887</v>
                </pt>
                <pt idx="163">
                  <v>27.95261573791504</v>
                </pt>
                <pt idx="164">
                  <v>26.88910293579102</v>
                </pt>
                <pt idx="165">
                  <v>27.85512733459473</v>
                </pt>
                <pt idx="166">
                  <v>28.83000946044922</v>
                </pt>
                <pt idx="167">
                  <v>29.18451499938965</v>
                </pt>
                <pt idx="168">
                  <v>30.22143745422363</v>
                </pt>
                <pt idx="169">
                  <v>29.44472122192383</v>
                </pt>
                <pt idx="170">
                  <v>26.43169212341309</v>
                </pt>
                <pt idx="171">
                  <v>21.54227828979492</v>
                </pt>
                <pt idx="172">
                  <v>22.77816390991211</v>
                </pt>
                <pt idx="173">
                  <v>23.2111759185791</v>
                </pt>
                <pt idx="174">
                  <v>23.23823547363281</v>
                </pt>
                <pt idx="175">
                  <v>23.74909973144531</v>
                </pt>
                <pt idx="176">
                  <v>24.39938163757324</v>
                </pt>
                <pt idx="177">
                  <v>23.34610748291016</v>
                </pt>
                <pt idx="178">
                  <v>22.29283142089844</v>
                </pt>
                <pt idx="179">
                  <v>25.88312911987305</v>
                </pt>
                <pt idx="180">
                  <v>26.82649993896484</v>
                </pt>
                <pt idx="181">
                  <v>27.06836700439453</v>
                </pt>
                <pt idx="182">
                  <v>28.13368797302246</v>
                </pt>
                <pt idx="183">
                  <v>29.00446891784668</v>
                </pt>
                <pt idx="184">
                  <v>30.13463020324707</v>
                </pt>
                <pt idx="185">
                  <v>31.30185699462891</v>
                </pt>
                <pt idx="186">
                  <v>30.29211616516113</v>
                </pt>
                <pt idx="187">
                  <v>30.89048385620117</v>
                </pt>
                <pt idx="188">
                  <v>31.09773635864258</v>
                </pt>
                <pt idx="189">
                  <v>30.38176536560059</v>
                </pt>
                <pt idx="190">
                  <v>31.72892570495605</v>
                </pt>
                <pt idx="191">
                  <v>30.18393135070801</v>
                </pt>
                <pt idx="192">
                  <v>31.22020530700684</v>
                </pt>
                <pt idx="193">
                  <v>32.79575729370117</v>
                </pt>
                <pt idx="194">
                  <v>32.40867614746094</v>
                </pt>
                <pt idx="195">
                  <v>32.55382919311523</v>
                </pt>
                <pt idx="196">
                  <v>31.2570972442627</v>
                </pt>
                <pt idx="197">
                  <v>32.09900665283203</v>
                </pt>
                <pt idx="198">
                  <v>28.99264907836914</v>
                </pt>
                <pt idx="199">
                  <v>30.44909477233887</v>
                </pt>
                <pt idx="200">
                  <v>28.47891807556152</v>
                </pt>
                <pt idx="201">
                  <v>25.81917762756348</v>
                </pt>
                <pt idx="202">
                  <v>27.62189102172852</v>
                </pt>
                <pt idx="203">
                  <v>31.05985069274902</v>
                </pt>
                <pt idx="204">
                  <v>30.20282363891602</v>
                </pt>
                <pt idx="205">
                  <v>32.56999969482422</v>
                </pt>
                <pt idx="206">
                  <v>32.27999877929688</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UK!$A$6:$A$224</f>
              <numCache>
                <formatCode>m/d/yyyy</formatCode>
                <ptCount val="219"/>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pt idx="218">
                  <v>44958</v>
                </pt>
              </numCache>
            </numRef>
          </cat>
          <val>
            <numRef>
              <f>UK!$B$6:$B$224</f>
              <numCache>
                <formatCode>General</formatCode>
                <ptCount val="219"/>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pt idx="216">
                  <v>45.3</v>
                </pt>
                <pt idx="217">
                  <v>47</v>
                </pt>
                <pt idx="218">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Italy!$A$6:$A$200</f>
              <numCache>
                <formatCode>m/d/yyyy</formatCode>
                <ptCount val="195"/>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pt idx="192">
                  <v>44896</v>
                </pt>
                <pt idx="193">
                  <v>44927</v>
                </pt>
                <pt idx="194">
                  <v>44958</v>
                </pt>
              </numCache>
            </numRef>
          </cat>
          <val>
            <numRef>
              <f>Italy!$B$6:$B$200</f>
              <numCache>
                <formatCode>General</formatCode>
                <ptCount val="195"/>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pt idx="192">
                  <v>48.5</v>
                </pt>
                <pt idx="193">
                  <v>50.4</v>
                </pt>
                <pt idx="194">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Spain!$A$6:$A$200</f>
              <numCache>
                <formatCode>m/d/yyyy</formatCode>
                <ptCount val="195"/>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pt idx="192">
                  <v>44896</v>
                </pt>
                <pt idx="193">
                  <v>44927</v>
                </pt>
                <pt idx="194">
                  <v>44958</v>
                </pt>
              </numCache>
            </numRef>
          </cat>
          <val>
            <numRef>
              <f>Spain!$B$6:$B$200</f>
              <numCache>
                <formatCode>General</formatCode>
                <ptCount val="195"/>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pt idx="192">
                  <v>46.4</v>
                </pt>
                <pt idx="193">
                  <v>48.4</v>
                </pt>
                <pt idx="194">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Brazil!$B$6:$B$154</f>
              <numCache>
                <formatCode>General</formatCode>
                <ptCount val="149"/>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pt idx="146">
                  <v>44.2</v>
                </pt>
                <pt idx="147">
                  <v>47.5</v>
                </pt>
                <pt idx="148">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Mexico!$A$6:$A$148</f>
              <numCache>
                <formatCode>m/d/yyyy</formatCode>
                <ptCount val="143"/>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pt idx="142">
                  <v>44958</v>
                </pt>
              </numCache>
            </numRef>
          </cat>
          <val>
            <numRef>
              <f>Mexico!$B$6:$B$148</f>
              <numCache>
                <formatCode>General</formatCode>
                <ptCount val="143"/>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pt idx="140">
                  <v>51.3</v>
                </pt>
                <pt idx="141">
                  <v>48.9</v>
                </pt>
                <pt idx="142">
                  <v>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Russia!$B$6:$B$154</f>
              <numCache>
                <formatCode>General</formatCode>
                <ptCount val="149"/>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pt idx="146">
                  <v>53</v>
                </pt>
                <pt idx="147">
                  <v>52.6</v>
                </pt>
                <pt idx="148">
                  <v>53.6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India!$B$6:$B$154</f>
              <numCache>
                <formatCode>General</formatCode>
                <ptCount val="149"/>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pt idx="146">
                  <v>57.8</v>
                </pt>
                <pt idx="147">
                  <v>55.4</v>
                </pt>
                <pt idx="148">
                  <v>55.3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Canada!$A$6:$A$148</f>
              <numCache>
                <formatCode>m/d/yyyy</formatCode>
                <ptCount val="143"/>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pt idx="142">
                  <v>44958</v>
                </pt>
              </numCache>
            </numRef>
          </cat>
          <val>
            <numRef>
              <f>Canada!$B$6:$B$148</f>
              <numCache>
                <formatCode>General</formatCode>
                <ptCount val="143"/>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pt idx="140">
                  <v>49.2</v>
                </pt>
                <pt idx="141">
                  <v>51</v>
                </pt>
                <pt idx="142">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Australia!$A$6:$A$182</f>
              <numCache>
                <formatCode>m/d/yyyy</formatCode>
                <ptCount val="17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pt idx="175">
                  <v>44896</v>
                </pt>
                <pt idx="176">
                  <v>44927</v>
                </pt>
              </numCache>
            </numRef>
          </cat>
          <val>
            <numRef>
              <f>Australia!$B$6:$B$182</f>
              <numCache>
                <formatCode>General</formatCode>
                <ptCount val="17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pt idx="175">
                  <v>#N/A</v>
                </pt>
                <pt idx="17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Indonesia!$A$6:$A$148</f>
              <numCache>
                <formatCode>m/d/yyyy</formatCode>
                <ptCount val="143"/>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pt idx="142">
                  <v>44958</v>
                </pt>
              </numCache>
            </numRef>
          </cat>
          <val>
            <numRef>
              <f>Indonesia!$B$6:$B$148</f>
              <numCache>
                <formatCode>General</formatCode>
                <ptCount val="143"/>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pt idx="140">
                  <v>50.9</v>
                </pt>
                <pt idx="141">
                  <v>51.3</v>
                </pt>
                <pt idx="142">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SouthKorea!$A$6:$A$153</f>
              <numCache>
                <formatCode>m/d/yyyy</formatCode>
                <ptCount val="148"/>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pt idx="144">
                  <v>44896</v>
                </pt>
                <pt idx="145">
                  <v>44927</v>
                </pt>
                <pt idx="146">
                  <v>44958</v>
                </pt>
              </numCache>
            </numRef>
          </cat>
          <val>
            <numRef>
              <f>SouthKorea!$B$6:$B$153</f>
              <numCache>
                <formatCode>General</formatCode>
                <ptCount val="148"/>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pt idx="144">
                  <v>48.2</v>
                </pt>
                <pt idx="145">
                  <v>48.5</v>
                </pt>
                <pt idx="146">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Taiwan!$B$6:$B$154</f>
              <numCache>
                <formatCode>General</formatCode>
                <ptCount val="149"/>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pt idx="146">
                  <v>44.6</v>
                </pt>
                <pt idx="147">
                  <v>44.3</v>
                </pt>
                <pt idx="148">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Greece!$A$6:$A$154</f>
              <numCache>
                <formatCode>m/d/yyyy</formatCode>
                <ptCount val="149"/>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Greece!$B$6:$B$154</f>
              <numCache>
                <formatCode>General</formatCode>
                <ptCount val="149"/>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pt idx="146">
                  <v>47.2</v>
                </pt>
                <pt idx="147">
                  <v>49.2</v>
                </pt>
                <pt idx="148">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Ireland!$B$6:$B$154</f>
              <numCache>
                <formatCode>General</formatCode>
                <ptCount val="149"/>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pt idx="146">
                  <v>48.7</v>
                </pt>
                <pt idx="147">
                  <v>50.1</v>
                </pt>
                <pt idx="148">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Turkey!$B$6:$B$154</f>
              <numCache>
                <formatCode>General</formatCode>
                <ptCount val="149"/>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pt idx="146">
                  <v>48.1</v>
                </pt>
                <pt idx="147">
                  <v>50.1</v>
                </pt>
                <pt idx="148">
                  <v>50.1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CzechRepublic!$B$6:$B$154</f>
              <numCache>
                <formatCode>General</formatCode>
                <ptCount val="149"/>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pt idx="146">
                  <v>42.6</v>
                </pt>
                <pt idx="147">
                  <v>44.6</v>
                </pt>
                <pt idx="148">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Poland!$B$6:$B$154</f>
              <numCache>
                <formatCode>General</formatCode>
                <ptCount val="149"/>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pt idx="146">
                  <v>45.6</v>
                </pt>
                <pt idx="147">
                  <v>47.5</v>
                </pt>
                <pt idx="148">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Denmark!$A$6:$A$355</f>
              <numCache>
                <formatCode>m/d/yyyy</formatCode>
                <ptCount val="350"/>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pt idx="347">
                  <v>44896</v>
                </pt>
                <pt idx="348">
                  <v>44927</v>
                </pt>
                <pt idx="349">
                  <v>44958</v>
                </pt>
              </numCache>
            </numRef>
          </cat>
          <val>
            <numRef>
              <f>Denmark!$B$6:$B$355</f>
              <numCache>
                <formatCode>General</formatCode>
                <ptCount val="350"/>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pt idx="347">
                  <v>51.2</v>
                </pt>
                <pt idx="348">
                  <v>54.9</v>
                </pt>
                <pt idx="349">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Vietnam!$A$6:$A$133</f>
              <numCache>
                <formatCode>m/d/yyyy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pt idx="127">
                  <v>44958</v>
                </pt>
              </numCache>
            </numRef>
          </cat>
          <val>
            <numRef>
              <f>Vietnam!$B$6:$B$133</f>
              <numCache>
                <formatCode>General</formatCode>
                <ptCount val="128"/>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pt idx="125">
                  <v>46.4</v>
                </pt>
                <pt idx="126">
                  <v>47.4</v>
                </pt>
                <pt idx="127">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Thailand!$A$6:$A$85</f>
              <numCache>
                <formatCode>m/d/yyyy</formatCode>
                <ptCount val="80"/>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pt idx="77">
                  <v>44896</v>
                </pt>
                <pt idx="78">
                  <v>44927</v>
                </pt>
                <pt idx="79">
                  <v>44958</v>
                </pt>
              </numCache>
            </numRef>
          </cat>
          <val>
            <numRef>
              <f>Thailand!$B$6:$B$85</f>
              <numCache>
                <formatCode>General</formatCode>
                <ptCount val="80"/>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pt idx="77">
                  <v>52.5</v>
                </pt>
                <pt idx="78">
                  <v>54.5</v>
                </pt>
                <pt idx="79">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Africa'!$A$6:$A$283</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'South Africa'!$B$6:$B$283</f>
              <numCache>
                <formatCode>General</formatCode>
                <ptCount val="278"/>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pt idx="275">
                  <v>53.1</v>
                </pt>
                <pt idx="276">
                  <v>53</v>
                </pt>
                <pt idx="277">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Kong'!$A$6:$A$134</f>
              <numCache>
                <formatCode>m/d/yyyy</formatCode>
                <ptCount val="129"/>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pt idx="125">
                  <v>44866</v>
                </pt>
                <pt idx="126">
                  <v>44896</v>
                </pt>
                <pt idx="127">
                  <v>44927</v>
                </pt>
                <pt idx="128">
                  <v>44958</v>
                </pt>
              </numCache>
            </numRef>
          </cat>
          <val>
            <numRef>
              <f>'Hong Kong'!$B$6:$B$134</f>
              <numCache>
                <formatCode>General</formatCode>
                <ptCount val="129"/>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pt idx="125">
                  <v>48.7</v>
                </pt>
                <pt idx="126">
                  <v>49.6</v>
                </pt>
                <pt idx="127">
                  <v>51.2</v>
                </pt>
                <pt idx="128">
                  <v>53.9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Arabia'!$A$6:$A$100</f>
              <numCache>
                <formatCode>m/d/yyyy</formatCode>
                <ptCount val="95"/>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pt idx="91">
                  <v>44866</v>
                </pt>
                <pt idx="92">
                  <v>44896</v>
                </pt>
                <pt idx="93">
                  <v>44927</v>
                </pt>
              </numCache>
            </numRef>
          </cat>
          <val>
            <numRef>
              <f>'Saudi Arabia'!$B$6:$B$100</f>
              <numCache>
                <formatCode>General</formatCode>
                <ptCount val="95"/>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pt idx="91">
                  <v>58.5</v>
                </pt>
                <pt idx="92">
                  <v>56.9</v>
                </pt>
                <pt idx="93">
                  <v>58.2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NewZealand!$A$6:$A$252</f>
              <numCache>
                <formatCode>m/d/yyyy</formatCode>
                <ptCount val="247"/>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pt idx="243">
                  <v>44866</v>
                </pt>
                <pt idx="244">
                  <v>44896</v>
                </pt>
                <pt idx="245">
                  <v>44927</v>
                </pt>
              </numCache>
            </numRef>
          </cat>
          <val>
            <numRef>
              <f>NewZealand!$B$6:$B$252</f>
              <numCache>
                <formatCode>0.00</formatCode>
                <ptCount val="247"/>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pt idx="243">
                  <v>47.35</v>
                </pt>
                <pt idx="244">
                  <v>47.2</v>
                </pt>
                <pt idx="245">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152</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410633</colOff>
      <row>182</row>
      <rowOff>36286</rowOff>
    </from>
    <to>
      <col>17</col>
      <colOff>589643</colOff>
      <row>201</row>
      <rowOff>121556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188886</colOff>
      <row>166</row>
      <rowOff>162278</rowOff>
    </from>
    <to>
      <col>12</col>
      <colOff>0</colOff>
      <row>185</row>
      <rowOff>25399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277284</colOff>
      <row>165</row>
      <rowOff>31751</rowOff>
    </from>
    <to>
      <col>13</col>
      <colOff>547686</colOff>
      <row>185</row>
      <rowOff>161397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157161</colOff>
      <row>161</row>
      <rowOff>132449</rowOff>
    </from>
    <to>
      <col>12</col>
      <colOff>215900</colOff>
      <row>180</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134406</colOff>
      <row>203</row>
      <rowOff>66678</rowOff>
    </from>
    <to>
      <col>16</col>
      <colOff>401108</colOff>
      <row>226</row>
      <rowOff>147638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180974</colOff>
      <row>181</row>
      <rowOff>38101</rowOff>
    </from>
    <to>
      <col>12</col>
      <colOff>184150</colOff>
      <row>199</row>
      <rowOff>85725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201</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240241</colOff>
      <row>136</row>
      <rowOff>98778</rowOff>
    </from>
    <to>
      <col>13</col>
      <colOff>77611</colOff>
      <row>156</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157163</colOff>
      <row>127</row>
      <rowOff>15875</rowOff>
    </from>
    <to>
      <col>14</col>
      <colOff>39688</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115200</colOff>
      <row>137</row>
      <rowOff>150091</rowOff>
    </from>
    <to>
      <col>11</col>
      <colOff>369455</colOff>
      <row>154</row>
      <rowOff>98907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137</row>
      <rowOff>178955</rowOff>
    </from>
    <to>
      <col>11</col>
      <colOff>409864</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250472</colOff>
      <row>134</row>
      <rowOff>120650</rowOff>
    </from>
    <to>
      <col>12</col>
      <colOff>50800</colOff>
      <row>150</row>
      <rowOff>83962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163</row>
      <rowOff>6351</rowOff>
    </from>
    <to>
      <col>12</col>
      <colOff>539750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209550</colOff>
      <row>129</row>
      <rowOff>127000</rowOff>
    </from>
    <to>
      <col>11</col>
      <colOff>584200</colOff>
      <row>149</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144462</colOff>
      <row>132</row>
      <rowOff>141288</rowOff>
    </from>
    <to>
      <col>12</col>
      <colOff>68262</colOff>
      <row>152</row>
      <rowOff>58738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146051</colOff>
      <row>136</row>
      <rowOff>91017</rowOff>
    </from>
    <to>
      <col>11</col>
      <colOff>196851</colOff>
      <row>154</row>
      <rowOff>107950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122591</colOff>
      <row>136</row>
      <rowOff>134760</rowOff>
    </from>
    <to>
      <col>12</col>
      <colOff>135291</colOff>
      <row>156</row>
      <rowOff>77610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125941</colOff>
      <row>136</row>
      <rowOff>82550</rowOff>
    </from>
    <to>
      <col>11</col>
      <colOff>69850</colOff>
      <row>153</row>
      <rowOff>28927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155928</colOff>
      <row>136</row>
      <rowOff>21166</rowOff>
    </from>
    <to>
      <col>11</col>
      <colOff>508000</colOff>
      <row>155</row>
      <rowOff>98778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88900</colOff>
      <row>135</row>
      <rowOff>146050</rowOff>
    </from>
    <to>
      <col>11</col>
      <colOff>63500</colOff>
      <row>153</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93839</colOff>
      <row>137</row>
      <rowOff>139700</rowOff>
    </from>
    <to>
      <col>10</col>
      <colOff>635000</colOff>
      <row>153</row>
      <rowOff>179387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214313</colOff>
      <row>335</row>
      <rowOff>7056</rowOff>
    </from>
    <to>
      <col>12</col>
      <colOff>296334</colOff>
      <row>354</row>
      <rowOff>34395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158750</colOff>
      <row>114</row>
      <rowOff>141111</rowOff>
    </from>
    <to>
      <col>11</col>
      <colOff>42333</colOff>
      <row>133</row>
      <rowOff>20461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186267</colOff>
      <row>64</row>
      <rowOff>155221</rowOff>
    </from>
    <to>
      <col>11</col>
      <colOff>606778</colOff>
      <row>84</row>
      <rowOff>19049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141815</colOff>
      <row>266</row>
      <rowOff>88900</rowOff>
    </from>
    <to>
      <col>11</col>
      <colOff>31750</colOff>
      <row>282</row>
      <rowOff>134760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115</row>
      <rowOff>119945</rowOff>
    </from>
    <to>
      <col>11</col>
      <colOff>536222</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219075</colOff>
      <row>83</row>
      <rowOff>56093</rowOff>
    </from>
    <to>
      <col>12</col>
      <colOff>70556</colOff>
      <row>102</row>
      <rowOff>134056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256116</colOff>
      <row>235</row>
      <rowOff>120650</rowOff>
    </from>
    <to>
      <col>11</col>
      <colOff>463550</colOff>
      <row>252</row>
      <rowOff>167923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4" headerRowCount="1" totalsRowShown="0" headerRowDxfId="264" dataDxfId="262" headerRowBorderDxfId="263" tableBorderDxfId="261" totalsRowBorderDxfId="260">
  <autoFilter ref="A5:D154"/>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3" headerRowCount="1" totalsRowShown="0" headerRowDxfId="255" dataDxfId="253" headerRowBorderDxfId="254" tableBorderDxfId="252" totalsRowBorderDxfId="251">
  <autoFilter ref="A5:F223"/>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4" headerRowCount="1" totalsRowShown="0" headerRowDxfId="244" dataDxfId="242" headerRowBorderDxfId="243" tableBorderDxfId="241" totalsRowBorderDxfId="240">
  <autoFilter ref="A5:G224"/>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6" headerRowCount="1" totalsRowShown="0" headerRowDxfId="232" dataDxfId="230" headerRowBorderDxfId="231" tableBorderDxfId="229" totalsRowBorderDxfId="228">
  <autoFilter ref="A5:C186"/>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7" headerRowCount="1" totalsRowShown="0" headerRowDxfId="224" dataDxfId="222" headerRowBorderDxfId="223" tableBorderDxfId="221" totalsRowBorderDxfId="220">
  <autoFilter ref="A5:C187"/>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80" headerRowCount="1" totalsRowShown="0" headerRowDxfId="216" dataDxfId="214" headerRowBorderDxfId="215" tableBorderDxfId="213" totalsRowBorderDxfId="212">
  <autoFilter ref="A5:C180"/>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4" headerRowCount="1" totalsRowShown="0" headerRowDxfId="208" dataDxfId="206" headerRowBorderDxfId="207" tableBorderDxfId="205" totalsRowBorderDxfId="204">
  <autoFilter ref="A5:F224"/>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200" headerRowCount="1" totalsRowShown="0" headerRowDxfId="197" dataDxfId="195" headerRowBorderDxfId="196" tableBorderDxfId="194" totalsRowBorderDxfId="193">
  <autoFilter ref="A5:C200"/>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200" headerRowCount="1" totalsRowShown="0" headerRowDxfId="189" dataDxfId="187" headerRowBorderDxfId="188" tableBorderDxfId="186" totalsRowBorderDxfId="185">
  <autoFilter ref="A5:C200"/>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4" headerRowCount="1" totalsRowShown="0" headerRowDxfId="181" dataDxfId="179" headerRowBorderDxfId="180" tableBorderDxfId="178" totalsRowBorderDxfId="177">
  <autoFilter ref="A5:C154"/>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8" headerRowCount="1" totalsRowShown="0" headerRowDxfId="173" dataDxfId="171" headerRowBorderDxfId="172" tableBorderDxfId="170" totalsRowBorderDxfId="169">
  <autoFilter ref="A5:C148"/>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4" headerRowCount="1" totalsRowShown="0" headerRowDxfId="165" dataDxfId="163" headerRowBorderDxfId="164" tableBorderDxfId="162" totalsRowBorderDxfId="161">
  <autoFilter ref="A5:C154"/>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4" headerRowCount="1" totalsRowShown="0" headerRowDxfId="157" dataDxfId="155" headerRowBorderDxfId="156" tableBorderDxfId="154" totalsRowBorderDxfId="153">
  <autoFilter ref="A5:C154"/>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8" headerRowCount="1" totalsRowShown="0" headerRowDxfId="149" dataDxfId="147" headerRowBorderDxfId="148" tableBorderDxfId="146" totalsRowBorderDxfId="145">
  <autoFilter ref="A5:C148"/>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2" headerRowCount="1" totalsRowShown="0" headerRowDxfId="141" dataDxfId="139" headerRowBorderDxfId="140" tableBorderDxfId="138" totalsRowBorderDxfId="137">
  <autoFilter ref="A5:C18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8" headerRowCount="1" totalsRowShown="0" headerRowDxfId="133" dataDxfId="131" headerRowBorderDxfId="132" tableBorderDxfId="130" totalsRowBorderDxfId="129">
  <autoFilter ref="A5:C148"/>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52" headerRowCount="1" totalsRowShown="0" headerRowDxfId="125" dataDxfId="123" headerRowBorderDxfId="124" tableBorderDxfId="122" totalsRowBorderDxfId="121">
  <autoFilter ref="A5:C152"/>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4" headerRowCount="1" totalsRowShown="0" headerRowDxfId="117" dataDxfId="115" headerRowBorderDxfId="116" tableBorderDxfId="114" totalsRowBorderDxfId="113">
  <autoFilter ref="A5:C154"/>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4" headerRowCount="1" totalsRowShown="0" headerRowDxfId="109" dataDxfId="107" headerRowBorderDxfId="108" tableBorderDxfId="106" totalsRowBorderDxfId="105">
  <autoFilter ref="A5:C154"/>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4" headerRowCount="1" totalsRowShown="0" headerRowDxfId="101" dataDxfId="99" headerRowBorderDxfId="100" tableBorderDxfId="98" totalsRowBorderDxfId="97">
  <autoFilter ref="A5:C154"/>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4" headerRowCount="1" totalsRowShown="0" headerRowDxfId="93" dataDxfId="91" headerRowBorderDxfId="92" tableBorderDxfId="90" totalsRowBorderDxfId="89">
  <autoFilter ref="A5:C154"/>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4" headerRowCount="1" totalsRowShown="0" headerRowDxfId="85" dataDxfId="83" headerRowBorderDxfId="84" tableBorderDxfId="82" totalsRowBorderDxfId="81">
  <autoFilter ref="A5:C154"/>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4" headerRowCount="1" totalsRowShown="0" headerRowDxfId="77" dataDxfId="75" headerRowBorderDxfId="76" tableBorderDxfId="74" totalsRowBorderDxfId="73">
  <autoFilter ref="A5:C154"/>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5" headerRowCount="1" totalsRowShown="0" headerRowDxfId="69" dataDxfId="67" headerRowBorderDxfId="68" tableBorderDxfId="66" totalsRowBorderDxfId="65">
  <autoFilter ref="A5:C355"/>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3" headerRowCount="1" totalsRowShown="0" headerRowDxfId="61" dataDxfId="59" headerRowBorderDxfId="60" tableBorderDxfId="58" totalsRowBorderDxfId="57">
  <autoFilter ref="A5:C133"/>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5" headerRowCount="1" totalsRowShown="0" headerRowDxfId="53" dataDxfId="51" headerRowBorderDxfId="52" tableBorderDxfId="50" totalsRowBorderDxfId="49">
  <autoFilter ref="A5:C85"/>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3" headerRowCount="1" totalsRowShown="0" headerRowDxfId="45" dataDxfId="43" headerRowBorderDxfId="44" tableBorderDxfId="42" totalsRowBorderDxfId="41">
  <autoFilter ref="A5:C283"/>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4" headerRowCount="1" totalsRowShown="0" headerRowDxfId="37" dataDxfId="35" headerRowBorderDxfId="36" tableBorderDxfId="34" totalsRowBorderDxfId="33">
  <autoFilter ref="A5:C134"/>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9" headerRowCount="1" totalsRowShown="0" headerRowDxfId="29" dataDxfId="27" headerRowBorderDxfId="28" tableBorderDxfId="26" totalsRowBorderDxfId="25">
  <autoFilter ref="A5:C99"/>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51" headerRowCount="1" totalsRowShown="0" headerRowDxfId="21" dataDxfId="19" headerRowBorderDxfId="20" tableBorderDxfId="18" totalsRowBorderDxfId="17">
  <autoFilter ref="A5:C25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70" zoomScaleNormal="70" workbookViewId="0">
      <selection activeCell="H345" sqref="H345"/>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76"/>
    <col width="9.1796875" customWidth="1" style="69" min="77"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1" t="n"/>
      <c r="D3" s="71" t="n"/>
      <c r="E3" s="71" t="n"/>
      <c r="F3" s="71" t="n"/>
      <c r="G3" s="71" t="n"/>
      <c r="H3" s="71" t="n"/>
      <c r="I3" s="71" t="n"/>
      <c r="J3" s="72" t="n"/>
    </row>
    <row r="5">
      <c r="B5" s="66" t="inlineStr">
        <is>
          <t>Definition</t>
        </is>
      </c>
      <c r="C5" s="76" t="n"/>
      <c r="D5" s="76" t="n"/>
      <c r="E5" s="76" t="n"/>
      <c r="F5" s="76" t="n"/>
      <c r="G5" s="76" t="n"/>
      <c r="H5" s="76" t="n"/>
      <c r="I5" s="76" t="n"/>
      <c r="J5" s="67" t="n"/>
    </row>
    <row r="7" ht="225.75" customHeight="1">
      <c r="B7" s="77"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68" t="n"/>
      <c r="D8" s="68" t="n"/>
      <c r="E8" s="68" t="n"/>
      <c r="F8" s="68" t="n"/>
      <c r="G8" s="68" t="n"/>
      <c r="H8" s="68" t="n"/>
      <c r="I8" s="68" t="n"/>
      <c r="J8" s="68" t="n"/>
    </row>
    <row r="9" ht="16" customHeight="1" thickBot="1">
      <c r="B9" s="2" t="n"/>
      <c r="C9" s="3" t="n"/>
      <c r="D9" s="3" t="n"/>
      <c r="E9" s="3" t="n"/>
    </row>
    <row r="10" ht="16" customHeight="1" thickBot="1">
      <c r="B10" s="66" t="inlineStr">
        <is>
          <t>Process / TO DO LIST</t>
        </is>
      </c>
      <c r="C10" s="76" t="n"/>
      <c r="D10" s="76" t="n"/>
      <c r="E10" s="76" t="n"/>
      <c r="F10" s="76" t="n"/>
      <c r="G10" s="76" t="n"/>
      <c r="H10" s="76" t="n"/>
      <c r="I10" s="76" t="n"/>
      <c r="J10" s="67" t="n"/>
      <c r="N10" s="70" t="inlineStr">
        <is>
          <t>Summary</t>
        </is>
      </c>
      <c r="O10" s="71" t="n"/>
      <c r="P10" s="71" t="n"/>
      <c r="Q10" s="71" t="n"/>
      <c r="R10" s="71" t="n"/>
      <c r="S10" s="72" t="n"/>
    </row>
    <row r="11">
      <c r="N11" s="4" t="inlineStr">
        <is>
          <t>* input new month</t>
        </is>
      </c>
    </row>
    <row r="12" ht="16" customHeight="1" thickBot="1">
      <c r="B12" s="66" t="inlineStr">
        <is>
          <t>TO DO LIST</t>
        </is>
      </c>
      <c r="C12" s="76" t="n"/>
      <c r="D12" s="76" t="n"/>
      <c r="E12" s="76" t="n"/>
      <c r="F12" s="67" t="n"/>
      <c r="G12" s="66" t="inlineStr">
        <is>
          <t>Comments</t>
        </is>
      </c>
      <c r="H12" s="76" t="n"/>
      <c r="I12" s="76" t="n"/>
      <c r="J12" s="67" t="n"/>
    </row>
    <row r="13">
      <c r="P13" s="5" t="n">
        <v>44927</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68"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68"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78" t="n"/>
    </row>
    <row r="45">
      <c r="B45" s="68" t="n"/>
    </row>
    <row r="46">
      <c r="B46" s="79"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4"/>
  <sheetViews>
    <sheetView zoomScale="160" zoomScaleNormal="160" workbookViewId="0">
      <pane ySplit="1" topLeftCell="A346"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I349" t="n">
        <v>53.7</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47.35</v>
      </c>
      <c r="AE350" t="n">
        <v>47.4</v>
      </c>
      <c r="AF350" t="n">
        <v>51.2</v>
      </c>
      <c r="AG350" t="n">
        <v>52.7</v>
      </c>
      <c r="AH350" t="n">
        <v>43.4</v>
      </c>
      <c r="AI350" t="n">
        <v>54.7</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C351" t="n">
        <v>47.3</v>
      </c>
      <c r="D351" t="n">
        <v>44.2</v>
      </c>
      <c r="E351" t="n">
        <v>49.2</v>
      </c>
      <c r="F351" t="n">
        <v>49</v>
      </c>
      <c r="G351" t="n">
        <v>51.1</v>
      </c>
      <c r="H351" t="n">
        <v>42.6</v>
      </c>
      <c r="I351" t="n">
        <v>51.2</v>
      </c>
      <c r="J351" t="n">
        <v>47.2</v>
      </c>
      <c r="K351" t="n">
        <v>47.8</v>
      </c>
      <c r="L351" t="n">
        <v>49.2</v>
      </c>
      <c r="M351" t="n">
        <v>47.1</v>
      </c>
      <c r="N351" t="n">
        <v>47.2</v>
      </c>
      <c r="O351" t="n">
        <v>49.6</v>
      </c>
      <c r="P351" t="n">
        <v>63.13</v>
      </c>
      <c r="Q351" t="n">
        <v>57.8</v>
      </c>
      <c r="R351" t="n">
        <v>50.9</v>
      </c>
      <c r="S351" t="n">
        <v>48.7</v>
      </c>
      <c r="T351" t="n">
        <v>56.9</v>
      </c>
      <c r="U351" t="n">
        <v>48.5</v>
      </c>
      <c r="V351" t="n">
        <v>48.9</v>
      </c>
      <c r="W351" t="n">
        <v>50.8</v>
      </c>
      <c r="X351" t="n">
        <v>51.6</v>
      </c>
      <c r="Y351" t="n">
        <v>47.3</v>
      </c>
      <c r="Z351" t="n">
        <v>47.8</v>
      </c>
      <c r="AA351" t="n">
        <v>51.3</v>
      </c>
      <c r="AB351" t="n">
        <v>42.1</v>
      </c>
      <c r="AC351" t="n">
        <v>48.6</v>
      </c>
      <c r="AD351" t="n">
        <v>47.2</v>
      </c>
      <c r="AF351" t="n">
        <v>50</v>
      </c>
      <c r="AG351" t="n">
        <v>53.1</v>
      </c>
      <c r="AH351" t="n">
        <v>45.6</v>
      </c>
      <c r="AI351" t="n">
        <v>56.3</v>
      </c>
      <c r="AJ351" t="n">
        <v>49.6</v>
      </c>
      <c r="AK351" t="n">
        <v>53</v>
      </c>
      <c r="AL351" t="n">
        <v>56.9</v>
      </c>
      <c r="AM351" t="n">
        <v>49.7</v>
      </c>
      <c r="AN351" t="n">
        <v>53.1</v>
      </c>
      <c r="AO351" t="n">
        <v>48.2</v>
      </c>
      <c r="AP351" t="n">
        <v>46.4</v>
      </c>
      <c r="AQ351" t="n">
        <v>44.8</v>
      </c>
      <c r="AR351" t="n">
        <v>45.9</v>
      </c>
      <c r="AS351" t="n">
        <v>54.1</v>
      </c>
      <c r="AT351" t="n">
        <v>44.6</v>
      </c>
      <c r="AU351" t="n">
        <v>52.5</v>
      </c>
      <c r="AV351" t="n">
        <v>48.1</v>
      </c>
      <c r="AW351" t="n">
        <v>54.2</v>
      </c>
      <c r="AX351" t="n">
        <v>45.3</v>
      </c>
      <c r="AY351" t="n">
        <v>46.2</v>
      </c>
      <c r="AZ351" t="n">
        <v>46.4</v>
      </c>
      <c r="BA351" t="n">
        <v>48.6</v>
      </c>
    </row>
    <row r="352">
      <c r="A352" s="81" t="n">
        <v>44927</v>
      </c>
      <c r="C352" t="n">
        <v>48.4</v>
      </c>
      <c r="D352" t="n">
        <v>47.5</v>
      </c>
      <c r="E352" t="n">
        <v>51</v>
      </c>
      <c r="F352" t="n">
        <v>49.2</v>
      </c>
      <c r="G352" t="n">
        <v>48.5</v>
      </c>
      <c r="H352" t="n">
        <v>44.6</v>
      </c>
      <c r="I352" t="n">
        <v>54.9</v>
      </c>
      <c r="J352" t="n">
        <v>45.5</v>
      </c>
      <c r="K352" t="n">
        <v>48.8</v>
      </c>
      <c r="L352" t="n">
        <v>50.5</v>
      </c>
      <c r="M352" t="n">
        <v>47.3</v>
      </c>
      <c r="N352" t="n">
        <v>49.2</v>
      </c>
      <c r="O352" t="n">
        <v>51.2</v>
      </c>
      <c r="P352" t="n">
        <v>55</v>
      </c>
      <c r="Q352" t="n">
        <v>55.4</v>
      </c>
      <c r="R352" t="n">
        <v>51.3</v>
      </c>
      <c r="S352" t="n">
        <v>50.1</v>
      </c>
      <c r="T352" t="n">
        <v>53.9</v>
      </c>
      <c r="U352" t="n">
        <v>50.4</v>
      </c>
      <c r="V352" t="n">
        <v>48.9</v>
      </c>
      <c r="W352" t="n">
        <v>50</v>
      </c>
      <c r="X352" t="n">
        <v>52</v>
      </c>
      <c r="Y352" t="n">
        <v>47.7</v>
      </c>
      <c r="Z352" t="n">
        <v>46.5</v>
      </c>
      <c r="AA352" t="n">
        <v>48.9</v>
      </c>
      <c r="AB352" t="n">
        <v>49.6</v>
      </c>
      <c r="AC352" t="n">
        <v>49.6</v>
      </c>
      <c r="AD352" t="n">
        <v>50.8</v>
      </c>
      <c r="AF352" t="n">
        <v>50</v>
      </c>
      <c r="AG352" t="n">
        <v>53.5</v>
      </c>
      <c r="AH352" t="n">
        <v>47.5</v>
      </c>
      <c r="AI352" t="n">
        <v>50.5</v>
      </c>
      <c r="AJ352" t="n">
        <v>45.7</v>
      </c>
      <c r="AK352" t="n">
        <v>52.6</v>
      </c>
      <c r="AL352" t="n">
        <v>58.2</v>
      </c>
      <c r="AM352" t="n">
        <v>49.8</v>
      </c>
      <c r="AN352" t="n">
        <v>53</v>
      </c>
      <c r="AO352" t="n">
        <v>48.5</v>
      </c>
      <c r="AP352" t="n">
        <v>48.4</v>
      </c>
      <c r="AQ352" t="n">
        <v>40.8</v>
      </c>
      <c r="AR352" t="n">
        <v>46.8</v>
      </c>
      <c r="AS352" t="n">
        <v>49.3</v>
      </c>
      <c r="AT352" t="n">
        <v>44.3</v>
      </c>
      <c r="AU352" t="n">
        <v>54.5</v>
      </c>
      <c r="AV352" t="n">
        <v>50.1</v>
      </c>
      <c r="AW352" t="n">
        <v>54.1</v>
      </c>
      <c r="AX352" t="n">
        <v>47</v>
      </c>
      <c r="AY352" t="n">
        <v>46.9</v>
      </c>
      <c r="AZ352" t="n">
        <v>47.4</v>
      </c>
      <c r="BA352" t="n">
        <v>49.1</v>
      </c>
    </row>
    <row r="353">
      <c r="A353" s="81" t="n">
        <v>44958</v>
      </c>
      <c r="B353" t="n">
        <v>-6.4</v>
      </c>
      <c r="C353" t="n">
        <v>47.1</v>
      </c>
      <c r="D353" t="n">
        <v>49.2</v>
      </c>
      <c r="E353" t="n">
        <v>52.4</v>
      </c>
      <c r="F353" t="n">
        <v>51.6</v>
      </c>
      <c r="G353" t="n">
        <v>49.8</v>
      </c>
      <c r="H353" t="n">
        <v>44.3</v>
      </c>
      <c r="I353" t="n">
        <v>44.1</v>
      </c>
      <c r="J353" t="n">
        <v>46.9</v>
      </c>
      <c r="K353" t="n">
        <v>48.5</v>
      </c>
      <c r="L353" t="n">
        <v>47.4</v>
      </c>
      <c r="M353" t="n">
        <v>46.3</v>
      </c>
      <c r="N353" t="n">
        <v>51.7</v>
      </c>
      <c r="O353" t="n">
        <v>53.9</v>
      </c>
      <c r="P353" t="n">
        <v>56.5</v>
      </c>
      <c r="Q353" t="n">
        <v>55.3</v>
      </c>
      <c r="R353" t="n">
        <v>51.2</v>
      </c>
      <c r="S353" t="n">
        <v>51.3</v>
      </c>
      <c r="T353" t="n">
        <v>52.3</v>
      </c>
      <c r="U353" t="n">
        <v>52</v>
      </c>
      <c r="V353" t="n">
        <v>47.7</v>
      </c>
      <c r="W353" t="n">
        <v>51.2</v>
      </c>
      <c r="X353" t="n">
        <v>46.6</v>
      </c>
      <c r="Y353" t="n">
        <v>48.8</v>
      </c>
      <c r="Z353" t="n">
        <v>48.4</v>
      </c>
      <c r="AA353" t="n">
        <v>51</v>
      </c>
      <c r="AB353" t="n">
        <v>51.1</v>
      </c>
      <c r="AC353" t="n">
        <v>48.7</v>
      </c>
      <c r="AD353" t="n">
        <v>52</v>
      </c>
      <c r="AF353" t="n">
        <v>47.46</v>
      </c>
      <c r="AG353" t="n">
        <v>52.7</v>
      </c>
      <c r="AH353" t="n">
        <v>48.5</v>
      </c>
      <c r="AJ353" t="n">
        <v>51.9</v>
      </c>
      <c r="AK353" t="n">
        <v>53.6</v>
      </c>
      <c r="AL353" t="n">
        <v>59.8</v>
      </c>
      <c r="AM353" t="n">
        <v>50</v>
      </c>
      <c r="AN353" t="n">
        <v>48.8</v>
      </c>
      <c r="AO353" t="n">
        <v>48.5</v>
      </c>
      <c r="AP353" t="n">
        <v>50.7</v>
      </c>
      <c r="AQ353" t="n">
        <v>42.3</v>
      </c>
      <c r="AR353" t="n">
        <v>47</v>
      </c>
      <c r="AS353" t="n">
        <v>48.9</v>
      </c>
      <c r="AT353" t="n">
        <v>49</v>
      </c>
      <c r="AU353" t="n">
        <v>54.8</v>
      </c>
      <c r="AV353" t="n">
        <v>50.1</v>
      </c>
      <c r="AW353" t="n">
        <v>54.3</v>
      </c>
      <c r="AX353" t="n">
        <v>49.3</v>
      </c>
      <c r="AY353" t="n">
        <v>47.3</v>
      </c>
      <c r="AZ353" t="n">
        <v>51.2</v>
      </c>
      <c r="BA353" t="n">
        <v>50</v>
      </c>
    </row>
    <row r="354">
      <c r="A354" s="81" t="n">
        <v>44986</v>
      </c>
      <c r="K354" t="n">
        <v>47.1</v>
      </c>
      <c r="L354" t="n">
        <v>47.7</v>
      </c>
      <c r="M354" t="n">
        <v>44.4</v>
      </c>
      <c r="V354" t="n">
        <v>48.6</v>
      </c>
      <c r="AX354" t="n">
        <v>48</v>
      </c>
      <c r="AY354" t="n">
        <v>49.3</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40"/>
  <sheetViews>
    <sheetView zoomScale="110" zoomScaleNormal="110" workbookViewId="0">
      <pane ySplit="1" topLeftCell="A325" activePane="bottomLeft" state="frozen"/>
      <selection activeCell="H345" sqref="H345"/>
      <selection pane="bottomLeft" activeCell="H345" sqref="H345"/>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0.005781266765395791</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0.003521040191736939</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0.003594919129159494</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0.001275690442919722</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0.006927907031319795</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0.00516594086399268</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0.00472437293502355</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0.002544621575862427</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0.01219451748172481</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0.008152640714650525</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0.01120800141766016</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0.00644495476418283</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0.004394518545276072</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0.006029249606974621</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0.001239873604270099</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0.0110882932996131</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0.004518181462083405</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0.01137478674496062</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0.01151479647980105</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0.01240515882529842</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0.009175712820219582</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0.005607926553347299</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0.006824800747442261</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0.009937086512505366</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0.0008924214423890595</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0.0008555417264279674</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0.001046971003942292</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0.00137991707141464</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0.005153691595600088</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0.00364586147822021</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0.002413265217500876</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-0.003219597507332721</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0.0009109931495286677</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0.005197863343749014</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0.007366694889466286</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0.005038542223440193</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0.006138877002662473</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0.002252990631704697</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0.003977345993832603</v>
      </c>
    </row>
    <row r="120">
      <c r="A120" s="81" t="n">
        <v>38292</v>
      </c>
      <c r="B120" t="n">
        <v/>
      </c>
      <c r="C120" t="n">
        <v/>
      </c>
      <c r="D120" t="n">
        <v/>
      </c>
      <c r="E120" t="n">
        <v/>
      </c>
      <c r="F120" t="n">
        <v/>
      </c>
    </row>
    <row r="121">
      <c r="A121" s="81" t="n">
        <v>38322</v>
      </c>
      <c r="B121" t="n">
        <v/>
      </c>
      <c r="C121" t="n">
        <v/>
      </c>
      <c r="D121" t="n">
        <v>21.58071517944336</v>
      </c>
      <c r="E121" t="n">
        <v>18.00841331481934</v>
      </c>
      <c r="F121" t="n">
        <v/>
      </c>
    </row>
    <row r="122">
      <c r="A122" s="81" t="n">
        <v>38353</v>
      </c>
      <c r="B122" t="n">
        <v/>
      </c>
      <c r="C122" t="n">
        <v/>
      </c>
      <c r="D122" t="n">
        <v>21.49020957946777</v>
      </c>
      <c r="E122" t="n">
        <v>17.90952110290527</v>
      </c>
      <c r="F122" t="n">
        <v>0.002058331075450142</v>
      </c>
    </row>
    <row r="123">
      <c r="A123" s="81" t="n">
        <v>38384</v>
      </c>
      <c r="B123" t="n">
        <v/>
      </c>
      <c r="C123" t="n">
        <v/>
      </c>
      <c r="D123" t="n">
        <v>22.42548942565918</v>
      </c>
      <c r="E123" t="n">
        <v>18.85319900512695</v>
      </c>
      <c r="F123" t="n">
        <v/>
      </c>
    </row>
    <row r="124">
      <c r="A124" s="81" t="n">
        <v>38412</v>
      </c>
      <c r="B124" t="n">
        <v/>
      </c>
      <c r="C124" t="n">
        <v/>
      </c>
      <c r="D124" t="n">
        <v>21.88368797302246</v>
      </c>
      <c r="E124" t="n">
        <v>18.39657592773438</v>
      </c>
      <c r="F124" t="n">
        <v/>
      </c>
    </row>
    <row r="125">
      <c r="A125" s="81" t="n">
        <v>38443</v>
      </c>
      <c r="B125" t="n">
        <v/>
      </c>
      <c r="C125" t="n">
        <v/>
      </c>
      <c r="D125" t="n">
        <v>21.12699317932129</v>
      </c>
      <c r="E125" t="n">
        <v>18.1733455657959</v>
      </c>
      <c r="F125" t="n">
        <v>0.00615802636915008</v>
      </c>
    </row>
    <row r="126">
      <c r="A126" s="81" t="n">
        <v>38473</v>
      </c>
      <c r="B126" t="n">
        <v/>
      </c>
      <c r="C126" t="n">
        <v/>
      </c>
      <c r="D126" t="n">
        <v>21.22082328796387</v>
      </c>
      <c r="E126" t="n">
        <v>18.03129005432129</v>
      </c>
      <c r="F126" t="n">
        <v/>
      </c>
    </row>
    <row r="127">
      <c r="A127" s="81" t="n">
        <v>38504</v>
      </c>
      <c r="B127" t="n">
        <v/>
      </c>
      <c r="C127" t="n">
        <v/>
      </c>
      <c r="D127" t="n">
        <v>21.53257942199707</v>
      </c>
      <c r="E127" t="n">
        <v>18.23422431945801</v>
      </c>
      <c r="F127" t="n">
        <v/>
      </c>
    </row>
    <row r="128">
      <c r="A128" s="81" t="n">
        <v>38534</v>
      </c>
      <c r="B128" t="n">
        <v/>
      </c>
      <c r="C128" t="n">
        <v/>
      </c>
      <c r="D128" t="n">
        <v>22.51326179504395</v>
      </c>
      <c r="E128" t="n">
        <v>18.36613845825195</v>
      </c>
      <c r="F128" t="n">
        <v>0.00734557187207613</v>
      </c>
    </row>
    <row r="129">
      <c r="A129" s="81" t="n">
        <v>38565</v>
      </c>
      <c r="B129" t="n">
        <v/>
      </c>
      <c r="C129" t="n">
        <v/>
      </c>
      <c r="D129" t="n">
        <v>22.88253211975098</v>
      </c>
      <c r="E129" t="n">
        <v>19.09672737121582</v>
      </c>
      <c r="F129" t="n">
        <v/>
      </c>
    </row>
    <row r="130">
      <c r="A130" s="81" t="n">
        <v>38596</v>
      </c>
      <c r="B130" t="n">
        <v/>
      </c>
      <c r="C130" t="n">
        <v/>
      </c>
      <c r="D130" t="n">
        <v>23.28206634521484</v>
      </c>
      <c r="E130" t="n">
        <v>19.2387809753418</v>
      </c>
      <c r="F130" t="n">
        <v/>
      </c>
    </row>
    <row r="131">
      <c r="A131" s="81" t="n">
        <v>38626</v>
      </c>
      <c r="B131" t="n">
        <v/>
      </c>
      <c r="C131" t="n">
        <v/>
      </c>
      <c r="D131" t="n">
        <v>22.40429306030273</v>
      </c>
      <c r="E131" t="n">
        <v>18.77202224731445</v>
      </c>
      <c r="F131" t="n">
        <v>0.006397327371700599</v>
      </c>
    </row>
    <row r="132">
      <c r="A132" s="81" t="n">
        <v>38657</v>
      </c>
      <c r="B132" t="n">
        <v/>
      </c>
      <c r="C132" t="n">
        <v/>
      </c>
      <c r="D132" t="n">
        <v>22.81594085693359</v>
      </c>
      <c r="E132" t="n">
        <v>18.80245780944824</v>
      </c>
      <c r="F132" t="n">
        <v/>
      </c>
    </row>
    <row r="133">
      <c r="A133" s="81" t="n">
        <v>38687</v>
      </c>
      <c r="B133" t="n">
        <v/>
      </c>
      <c r="C133" t="n">
        <v/>
      </c>
      <c r="D133" t="n">
        <v>23.50302314758301</v>
      </c>
      <c r="E133" t="n">
        <v>18.85319900512695</v>
      </c>
      <c r="F133" t="n">
        <v/>
      </c>
    </row>
    <row r="134">
      <c r="A134" s="81" t="n">
        <v>38718</v>
      </c>
      <c r="B134" t="n">
        <v/>
      </c>
      <c r="C134" t="n">
        <v/>
      </c>
      <c r="D134" t="n">
        <v>25.51088714599609</v>
      </c>
      <c r="E134" t="n">
        <v>20.61869430541992</v>
      </c>
      <c r="F134" t="n">
        <v>0.008680432688447393</v>
      </c>
    </row>
    <row r="135">
      <c r="A135" s="81" t="n">
        <v>38749</v>
      </c>
      <c r="B135" t="n">
        <v/>
      </c>
      <c r="C135" t="n">
        <v/>
      </c>
      <c r="D135" t="n">
        <v>25.69558334350586</v>
      </c>
      <c r="E135" t="n">
        <v>20.50362586975098</v>
      </c>
      <c r="F135" t="n">
        <v/>
      </c>
    </row>
    <row r="136">
      <c r="A136" s="81" t="n">
        <v>38777</v>
      </c>
      <c r="B136" t="n">
        <v/>
      </c>
      <c r="C136" t="n">
        <v/>
      </c>
      <c r="D136" t="n">
        <v>26.82522392272949</v>
      </c>
      <c r="E136" t="n">
        <v>21.08943367004395</v>
      </c>
      <c r="F136" t="n">
        <v/>
      </c>
    </row>
    <row r="137">
      <c r="A137" s="81" t="n">
        <v>38808</v>
      </c>
      <c r="B137" t="n">
        <v/>
      </c>
      <c r="C137" t="n">
        <v/>
      </c>
      <c r="D137" t="n">
        <v>28.02566909790039</v>
      </c>
      <c r="E137" t="n">
        <v>22.43891334533691</v>
      </c>
      <c r="F137" t="n">
        <v>0.01106369009240189</v>
      </c>
    </row>
    <row r="138">
      <c r="A138" s="81" t="n">
        <v>38838</v>
      </c>
      <c r="B138" t="n">
        <v/>
      </c>
      <c r="C138" t="n">
        <v/>
      </c>
      <c r="D138" t="n">
        <v>27.02836608886719</v>
      </c>
      <c r="E138" t="n">
        <v>21.84263038635254</v>
      </c>
      <c r="F138" t="n">
        <v/>
      </c>
    </row>
    <row r="139">
      <c r="A139" s="81" t="n">
        <v>38869</v>
      </c>
      <c r="B139" t="n">
        <v/>
      </c>
      <c r="C139" t="n">
        <v/>
      </c>
      <c r="D139" t="n">
        <v>27.10531616210938</v>
      </c>
      <c r="E139" t="n">
        <v>22.02047538757324</v>
      </c>
      <c r="F139" t="n">
        <v/>
      </c>
    </row>
    <row r="140">
      <c r="A140" s="81" t="n">
        <v>38899</v>
      </c>
      <c r="B140" t="n">
        <v/>
      </c>
      <c r="C140" t="n">
        <v/>
      </c>
      <c r="D140" t="n">
        <v>27.42851829528809</v>
      </c>
      <c r="E140" t="n">
        <v>22.59583282470703</v>
      </c>
      <c r="F140" t="n">
        <v>0.005996377132224997</v>
      </c>
    </row>
    <row r="141">
      <c r="A141" s="81" t="n">
        <v>38930</v>
      </c>
      <c r="B141" t="n">
        <v/>
      </c>
      <c r="C141" t="n">
        <v/>
      </c>
      <c r="D141" t="n">
        <v>28.49352836608887</v>
      </c>
      <c r="E141" t="n">
        <v>23.08749008178711</v>
      </c>
      <c r="F141" t="n">
        <v/>
      </c>
    </row>
    <row r="142">
      <c r="A142" s="81" t="n">
        <v>38961</v>
      </c>
      <c r="B142" t="n">
        <v/>
      </c>
      <c r="C142" t="n">
        <v/>
      </c>
      <c r="D142" t="n">
        <v>28.99217224121094</v>
      </c>
      <c r="E142" t="n">
        <v>22.89919662475586</v>
      </c>
      <c r="F142" t="n">
        <v/>
      </c>
    </row>
    <row r="143">
      <c r="A143" s="81" t="n">
        <v>38991</v>
      </c>
      <c r="B143" t="n">
        <v/>
      </c>
      <c r="C143" t="n">
        <v/>
      </c>
      <c r="D143" t="n">
        <v>29.98022651672363</v>
      </c>
      <c r="E143" t="n">
        <v>23.95576286315918</v>
      </c>
      <c r="F143" t="n">
        <v>0.01170512931451483</v>
      </c>
    </row>
    <row r="144">
      <c r="A144" s="81" t="n">
        <v>39022</v>
      </c>
      <c r="B144" t="n">
        <v/>
      </c>
      <c r="C144" t="n">
        <v/>
      </c>
      <c r="D144" t="n">
        <v>31.3653564453125</v>
      </c>
      <c r="E144" t="n">
        <v>24.63572692871094</v>
      </c>
      <c r="F144" t="n">
        <v/>
      </c>
    </row>
    <row r="145">
      <c r="A145" s="81" t="n">
        <v>39052</v>
      </c>
      <c r="B145" t="n">
        <v/>
      </c>
      <c r="C145" t="n">
        <v/>
      </c>
      <c r="D145" t="n">
        <v>31.8116626739502</v>
      </c>
      <c r="E145" t="n">
        <v>24.48927688598633</v>
      </c>
      <c r="F145" t="n">
        <v/>
      </c>
    </row>
    <row r="146">
      <c r="A146" s="81" t="n">
        <v>39083</v>
      </c>
      <c r="B146" t="n">
        <v/>
      </c>
      <c r="C146" t="n">
        <v/>
      </c>
      <c r="D146" t="n">
        <v>32.85490798950195</v>
      </c>
      <c r="E146" t="n">
        <v>25.5108642578125</v>
      </c>
      <c r="F146" t="n">
        <v>0.005961731654518151</v>
      </c>
    </row>
    <row r="147">
      <c r="A147" s="81" t="n">
        <v>39114</v>
      </c>
      <c r="B147" t="n">
        <v/>
      </c>
      <c r="C147" t="n">
        <v/>
      </c>
      <c r="D147" t="n">
        <v>32.5572395324707</v>
      </c>
      <c r="E147" t="n">
        <v>25.13203811645508</v>
      </c>
      <c r="F147" t="n">
        <v/>
      </c>
    </row>
    <row r="148">
      <c r="A148" s="81" t="n">
        <v>39142</v>
      </c>
      <c r="B148" t="n">
        <v/>
      </c>
      <c r="C148" t="n">
        <v/>
      </c>
      <c r="D148" t="n">
        <v>33.91091537475586</v>
      </c>
      <c r="E148" t="n">
        <v>26.05203056335449</v>
      </c>
      <c r="F148" t="n">
        <v/>
      </c>
    </row>
    <row r="149">
      <c r="A149" s="81" t="n">
        <v>39173</v>
      </c>
      <c r="B149" t="n">
        <v/>
      </c>
      <c r="C149" t="n">
        <v/>
      </c>
      <c r="D149" t="n">
        <v>36.03544616699219</v>
      </c>
      <c r="E149" t="n">
        <v>26.89626884460449</v>
      </c>
      <c r="F149" t="n">
        <v>0.007248813041064861</v>
      </c>
    </row>
    <row r="150">
      <c r="A150" s="81" t="n">
        <v>39203</v>
      </c>
      <c r="B150" t="n">
        <v/>
      </c>
      <c r="C150" t="n">
        <v/>
      </c>
      <c r="D150" t="n">
        <v>37.39852142333984</v>
      </c>
      <c r="E150" t="n">
        <v>27.46990585327148</v>
      </c>
      <c r="F150" t="n">
        <v/>
      </c>
    </row>
    <row r="151">
      <c r="A151" s="81" t="n">
        <v>39234</v>
      </c>
      <c r="B151" t="n">
        <v/>
      </c>
      <c r="C151" t="n">
        <v/>
      </c>
      <c r="D151" t="n">
        <v>36.97549057006836</v>
      </c>
      <c r="E151" t="n">
        <v>27.65390777587891</v>
      </c>
      <c r="F151" t="n">
        <v/>
      </c>
    </row>
    <row r="152">
      <c r="A152" s="81" t="n">
        <v>39264</v>
      </c>
      <c r="B152" t="n">
        <v/>
      </c>
      <c r="C152" t="n">
        <v/>
      </c>
      <c r="D152" t="n">
        <v>35.81296157836914</v>
      </c>
      <c r="E152" t="n">
        <v>26.72308921813965</v>
      </c>
      <c r="F152" t="n">
        <v>0.004546447916508119</v>
      </c>
    </row>
    <row r="153">
      <c r="A153" s="81" t="n">
        <v>39295</v>
      </c>
      <c r="B153" t="n">
        <v/>
      </c>
      <c r="C153" t="n">
        <v/>
      </c>
      <c r="D153" t="n">
        <v>35.80355834960938</v>
      </c>
      <c r="E153" t="n">
        <v>26.77720642089844</v>
      </c>
      <c r="F153" t="n">
        <v/>
      </c>
    </row>
    <row r="154">
      <c r="A154" s="81" t="n">
        <v>39326</v>
      </c>
      <c r="B154" t="n">
        <v/>
      </c>
      <c r="C154" t="n">
        <v/>
      </c>
      <c r="D154" t="n">
        <v>37.88422012329102</v>
      </c>
      <c r="E154" t="n">
        <v>27.84872627258301</v>
      </c>
      <c r="F154" t="n">
        <v/>
      </c>
    </row>
    <row r="155">
      <c r="A155" s="81" t="n">
        <v>39356</v>
      </c>
      <c r="B155" t="n">
        <v/>
      </c>
      <c r="C155" t="n">
        <v/>
      </c>
      <c r="D155" t="n">
        <v>39.76118469238281</v>
      </c>
      <c r="E155" t="n">
        <v>29.46142387390137</v>
      </c>
      <c r="F155" t="n">
        <v>0.005068113815786636</v>
      </c>
    </row>
    <row r="156">
      <c r="A156" s="81" t="n">
        <v>39387</v>
      </c>
      <c r="B156" t="n">
        <v/>
      </c>
      <c r="C156" t="n">
        <v/>
      </c>
      <c r="D156" t="n">
        <v>38.65819549560547</v>
      </c>
      <c r="E156" t="n">
        <v>27.72967147827148</v>
      </c>
      <c r="F156" t="n">
        <v/>
      </c>
    </row>
    <row r="157">
      <c r="A157" s="81" t="n">
        <v>39417</v>
      </c>
      <c r="B157" t="n">
        <v/>
      </c>
      <c r="C157" t="n">
        <v/>
      </c>
      <c r="D157" t="n">
        <v>37.38912200927734</v>
      </c>
      <c r="E157" t="n">
        <v>26.0628662109375</v>
      </c>
      <c r="F157" t="n">
        <v/>
      </c>
    </row>
    <row r="158">
      <c r="A158" s="81" t="n">
        <v>39448</v>
      </c>
      <c r="B158" t="n">
        <v/>
      </c>
      <c r="C158" t="n">
        <v/>
      </c>
      <c r="D158" t="n">
        <v>34.38788223266602</v>
      </c>
      <c r="E158" t="n">
        <v>24.82069969177246</v>
      </c>
      <c r="F158" t="n">
        <v>0.005134276000516798</v>
      </c>
    </row>
    <row r="159">
      <c r="A159" s="81" t="n">
        <v>39479</v>
      </c>
      <c r="B159" t="n">
        <v/>
      </c>
      <c r="C159" t="n">
        <v/>
      </c>
      <c r="D159" t="n">
        <v>34.10507583618164</v>
      </c>
      <c r="E159" t="n">
        <v>24.52947235107422</v>
      </c>
      <c r="F159" t="n">
        <v/>
      </c>
    </row>
    <row r="160">
      <c r="A160" s="81" t="n">
        <v>39508</v>
      </c>
      <c r="B160" t="n">
        <v/>
      </c>
      <c r="C160" t="n">
        <v/>
      </c>
      <c r="D160" t="n">
        <v>34.96638870239258</v>
      </c>
      <c r="E160" t="n">
        <v>24.14865493774414</v>
      </c>
      <c r="F160" t="n">
        <v/>
      </c>
    </row>
    <row r="161">
      <c r="A161" s="81" t="n">
        <v>39539</v>
      </c>
      <c r="B161" t="n">
        <v/>
      </c>
      <c r="C161" t="n">
        <v/>
      </c>
      <c r="D161" t="n">
        <v>36.36118316650391</v>
      </c>
      <c r="E161" t="n">
        <v>25.58234786987305</v>
      </c>
      <c r="F161" t="n">
        <v>-0.003358930495571226</v>
      </c>
    </row>
    <row r="162">
      <c r="A162" s="81" t="n">
        <v>39569</v>
      </c>
      <c r="B162" t="n">
        <v/>
      </c>
      <c r="C162" t="n">
        <v/>
      </c>
      <c r="D162" t="n">
        <v>36.79183197021484</v>
      </c>
      <c r="E162" t="n">
        <v>25.52633666992188</v>
      </c>
      <c r="F162" t="n">
        <v/>
      </c>
    </row>
    <row r="163">
      <c r="A163" s="81" t="n">
        <v>39600</v>
      </c>
      <c r="B163" t="n">
        <v/>
      </c>
      <c r="C163" t="n">
        <v/>
      </c>
      <c r="D163" t="n">
        <v>31.49224472045898</v>
      </c>
      <c r="E163" t="n">
        <v>23.20779609680176</v>
      </c>
      <c r="F163" t="n">
        <v/>
      </c>
    </row>
    <row r="164">
      <c r="A164" s="81" t="n">
        <v>39630</v>
      </c>
      <c r="B164" t="n">
        <v/>
      </c>
      <c r="C164" t="n">
        <v/>
      </c>
      <c r="D164" t="n">
        <v>31.85244560241699</v>
      </c>
      <c r="E164" t="n">
        <v>22.76374816894531</v>
      </c>
      <c r="F164" t="n">
        <v>-0.005231634710259917</v>
      </c>
    </row>
    <row r="165">
      <c r="A165" s="81" t="n">
        <v>39661</v>
      </c>
      <c r="B165" t="n">
        <v/>
      </c>
      <c r="C165" t="n">
        <v/>
      </c>
      <c r="D165" t="n">
        <v>30.59967041015625</v>
      </c>
      <c r="E165" t="n">
        <v>21.99617385864258</v>
      </c>
      <c r="F165" t="n">
        <v/>
      </c>
    </row>
    <row r="166">
      <c r="A166" s="81" t="n">
        <v>39692</v>
      </c>
      <c r="B166" t="n">
        <v/>
      </c>
      <c r="C166" t="n">
        <v/>
      </c>
      <c r="D166" t="n">
        <v>26.46817779541016</v>
      </c>
      <c r="E166" t="n">
        <v>19.07480812072754</v>
      </c>
      <c r="F166" t="n">
        <v/>
      </c>
    </row>
    <row r="167">
      <c r="A167" s="81" t="n">
        <v>39722</v>
      </c>
      <c r="B167" t="n">
        <v/>
      </c>
      <c r="C167" t="n">
        <v/>
      </c>
      <c r="D167" t="n">
        <v>19.96442031860352</v>
      </c>
      <c r="E167" t="n">
        <v>15.3056697845459</v>
      </c>
      <c r="F167" t="n">
        <v>-0.01825133123146283</v>
      </c>
    </row>
    <row r="168">
      <c r="A168" s="81" t="n">
        <v>39753</v>
      </c>
      <c r="B168" t="n">
        <v/>
      </c>
      <c r="C168" t="n">
        <v/>
      </c>
      <c r="D168" t="n">
        <v>18.47841262817383</v>
      </c>
      <c r="E168" t="n">
        <v>14.32042694091797</v>
      </c>
      <c r="F168" t="n">
        <v/>
      </c>
    </row>
    <row r="169">
      <c r="A169" s="81" t="n">
        <v>39783</v>
      </c>
      <c r="B169" t="n">
        <v/>
      </c>
      <c r="C169" t="n">
        <v/>
      </c>
      <c r="D169" t="n">
        <v>20.39755821228027</v>
      </c>
      <c r="E169" t="n">
        <v>14.03401565551758</v>
      </c>
      <c r="F169" t="n">
        <v/>
      </c>
    </row>
    <row r="170">
      <c r="A170" s="81" t="n">
        <v>39814</v>
      </c>
      <c r="B170" t="n">
        <v/>
      </c>
      <c r="C170" t="n">
        <v/>
      </c>
      <c r="D170" t="n">
        <v>17.20463562011719</v>
      </c>
      <c r="E170" t="n">
        <v>13.08317279815674</v>
      </c>
      <c r="F170" t="n">
        <v>-0.03097772511293443</v>
      </c>
    </row>
    <row r="171">
      <c r="A171" s="81" t="n">
        <v>39845</v>
      </c>
      <c r="B171" t="n">
        <v/>
      </c>
      <c r="C171" t="n">
        <v/>
      </c>
      <c r="D171" t="n">
        <v>15.12786293029785</v>
      </c>
      <c r="E171" t="n">
        <v>11.81021499633789</v>
      </c>
      <c r="F171" t="n">
        <v/>
      </c>
    </row>
    <row r="172">
      <c r="A172" s="81" t="n">
        <v>39873</v>
      </c>
      <c r="B172" t="n">
        <v/>
      </c>
      <c r="C172" t="n">
        <v/>
      </c>
      <c r="D172" t="n">
        <v>16.62775802612305</v>
      </c>
      <c r="E172" t="n">
        <v>12.35239791870117</v>
      </c>
      <c r="F172" t="n">
        <v/>
      </c>
    </row>
    <row r="173">
      <c r="A173" s="81" t="n">
        <v>39904</v>
      </c>
      <c r="B173" t="n">
        <v/>
      </c>
      <c r="C173" t="n">
        <v/>
      </c>
      <c r="D173" t="n">
        <v>19.06423187255859</v>
      </c>
      <c r="E173" t="n">
        <v>13.82573318481445</v>
      </c>
      <c r="F173" t="n">
        <v>-0.0002070816951907482</v>
      </c>
    </row>
    <row r="174">
      <c r="A174" s="81" t="n">
        <v>39934</v>
      </c>
      <c r="B174" t="n">
        <v/>
      </c>
      <c r="C174" t="n">
        <v/>
      </c>
      <c r="D174" t="n">
        <v>21.58214950561523</v>
      </c>
      <c r="E174" t="n">
        <v>16.18305969238281</v>
      </c>
      <c r="F174" t="n">
        <v/>
      </c>
    </row>
    <row r="175">
      <c r="A175" s="81" t="n">
        <v>39965</v>
      </c>
      <c r="B175" t="n">
        <v/>
      </c>
      <c r="C175" t="n">
        <v/>
      </c>
      <c r="D175" t="n">
        <v>20.57090950012207</v>
      </c>
      <c r="E175" t="n">
        <v>15.57015132904053</v>
      </c>
      <c r="F175" t="n">
        <v/>
      </c>
    </row>
    <row r="176">
      <c r="A176" s="81" t="n">
        <v>39995</v>
      </c>
      <c r="B176" t="n">
        <v/>
      </c>
      <c r="C176" t="n">
        <v/>
      </c>
      <c r="D176" t="n">
        <v>23.37083435058594</v>
      </c>
      <c r="E176" t="n">
        <v>17.19697380065918</v>
      </c>
      <c r="F176" t="n">
        <v>0.00406602423065203</v>
      </c>
    </row>
    <row r="177">
      <c r="A177" s="81" t="n">
        <v>40026</v>
      </c>
      <c r="B177" t="n">
        <v/>
      </c>
      <c r="C177" t="n">
        <v/>
      </c>
      <c r="D177" t="n">
        <v>24.83281517028809</v>
      </c>
      <c r="E177" t="n">
        <v>17.94101333618164</v>
      </c>
      <c r="F177" t="n">
        <v/>
      </c>
    </row>
    <row r="178">
      <c r="A178" s="81" t="n">
        <v>40057</v>
      </c>
      <c r="B178" t="n">
        <v/>
      </c>
      <c r="C178" t="n">
        <v/>
      </c>
      <c r="D178" t="n">
        <v>26.46188354492188</v>
      </c>
      <c r="E178" t="n">
        <v>18.61304664611816</v>
      </c>
      <c r="F178" t="n">
        <v/>
      </c>
    </row>
    <row r="179">
      <c r="A179" s="81" t="n">
        <v>40087</v>
      </c>
      <c r="B179" t="n">
        <v/>
      </c>
      <c r="C179" t="n">
        <v/>
      </c>
      <c r="D179" t="n">
        <v>25.25052070617676</v>
      </c>
      <c r="E179" t="n">
        <v>18.58905220031738</v>
      </c>
      <c r="F179" t="n">
        <v>0.004214381685656728</v>
      </c>
    </row>
    <row r="180">
      <c r="A180" s="81" t="n">
        <v>40118</v>
      </c>
      <c r="B180" t="n">
        <v/>
      </c>
      <c r="C180" t="n">
        <v/>
      </c>
      <c r="D180" t="n">
        <v>26.48277282714844</v>
      </c>
      <c r="E180" t="n">
        <v>19.52510261535645</v>
      </c>
      <c r="F180" t="n">
        <v/>
      </c>
    </row>
    <row r="181">
      <c r="A181" s="81" t="n">
        <v>40148</v>
      </c>
      <c r="B181" t="n">
        <v/>
      </c>
      <c r="C181" t="n">
        <v/>
      </c>
      <c r="D181" t="n">
        <v>26.0859432220459</v>
      </c>
      <c r="E181" t="n">
        <v>19.44110107421875</v>
      </c>
      <c r="F181" t="n">
        <v/>
      </c>
    </row>
    <row r="182">
      <c r="A182" s="81" t="n">
        <v>40179</v>
      </c>
      <c r="B182" t="n">
        <v/>
      </c>
      <c r="C182" t="n">
        <v/>
      </c>
      <c r="D182" t="n">
        <v>24.20331382751465</v>
      </c>
      <c r="E182" t="n">
        <v>18.7336597442627</v>
      </c>
      <c r="F182" t="n">
        <v>0.004365774383038191</v>
      </c>
    </row>
    <row r="183">
      <c r="A183" s="81" t="n">
        <v>40210</v>
      </c>
      <c r="B183" t="n">
        <v/>
      </c>
      <c r="C183" t="n">
        <v/>
      </c>
      <c r="D183" t="n">
        <v>23.48051834106445</v>
      </c>
      <c r="E183" t="n">
        <v>18.57582473754883</v>
      </c>
      <c r="F183" t="n">
        <v/>
      </c>
    </row>
    <row r="184">
      <c r="A184" s="81" t="n">
        <v>40238</v>
      </c>
      <c r="B184" t="n">
        <v/>
      </c>
      <c r="C184" t="n">
        <v/>
      </c>
      <c r="D184" t="n">
        <v>25.21384048461914</v>
      </c>
      <c r="E184" t="n">
        <v>19.75350189208984</v>
      </c>
      <c r="F184" t="n">
        <v/>
      </c>
    </row>
    <row r="185">
      <c r="A185" s="81" t="n">
        <v>40269</v>
      </c>
      <c r="B185" t="n">
        <v/>
      </c>
      <c r="C185" t="n">
        <v/>
      </c>
      <c r="D185" t="n">
        <v>23.96472549438477</v>
      </c>
      <c r="E185" t="n">
        <v>19.32856369018555</v>
      </c>
      <c r="F185" t="n">
        <v>0.009721793764570823</v>
      </c>
    </row>
    <row r="186">
      <c r="A186" s="81" t="n">
        <v>40299</v>
      </c>
      <c r="B186" t="n">
        <v/>
      </c>
      <c r="C186" t="n">
        <v/>
      </c>
      <c r="D186" t="n">
        <v>20.94018745422363</v>
      </c>
      <c r="E186" t="n">
        <v>17.20388603210449</v>
      </c>
      <c r="F186" t="n">
        <v/>
      </c>
    </row>
    <row r="187">
      <c r="A187" s="81" t="n">
        <v>40330</v>
      </c>
      <c r="B187" t="n">
        <v/>
      </c>
      <c r="C187" t="n">
        <v/>
      </c>
      <c r="D187" t="n">
        <v>20.03493118286133</v>
      </c>
      <c r="E187" t="n">
        <v>16.31758308410645</v>
      </c>
      <c r="F187" t="n">
        <v/>
      </c>
    </row>
    <row r="188">
      <c r="A188" s="81" t="n">
        <v>40360</v>
      </c>
      <c r="B188" t="n">
        <v/>
      </c>
      <c r="C188" t="n">
        <v/>
      </c>
      <c r="D188" t="n">
        <v>23.52496910095215</v>
      </c>
      <c r="E188" t="n">
        <v>19.01399993896484</v>
      </c>
      <c r="F188" t="n">
        <v>0.00424080490543555</v>
      </c>
    </row>
    <row r="189">
      <c r="A189" s="81" t="n">
        <v>40391</v>
      </c>
      <c r="B189" t="n">
        <v/>
      </c>
      <c r="C189" t="n">
        <v/>
      </c>
      <c r="D189" t="n">
        <v>21.88451957702637</v>
      </c>
      <c r="E189" t="n">
        <v>18.48274993896484</v>
      </c>
      <c r="F189" t="n">
        <v/>
      </c>
    </row>
    <row r="190">
      <c r="A190" s="81" t="n">
        <v>40422</v>
      </c>
      <c r="B190" t="n">
        <v/>
      </c>
      <c r="C190" t="n">
        <v/>
      </c>
      <c r="D190" t="n">
        <v>24.8072338104248</v>
      </c>
      <c r="E190" t="n">
        <v>20.21241760253906</v>
      </c>
      <c r="F190" t="n">
        <v/>
      </c>
    </row>
    <row r="191">
      <c r="A191" s="81" t="n">
        <v>40452</v>
      </c>
      <c r="B191" t="n">
        <v>53.7</v>
      </c>
      <c r="C191" t="n">
        <v>34.46394348144531</v>
      </c>
      <c r="D191" t="n">
        <v>26.31156921386719</v>
      </c>
      <c r="E191" t="n">
        <v>21.06489562988281</v>
      </c>
      <c r="F191" t="n">
        <v>0.005852138943591127</v>
      </c>
    </row>
    <row r="192">
      <c r="A192" s="81" t="n">
        <v>40483</v>
      </c>
      <c r="B192" t="n">
        <v>54</v>
      </c>
      <c r="C192" t="n">
        <v>33.71053314208984</v>
      </c>
      <c r="D192" t="n">
        <v>23.39602661132812</v>
      </c>
      <c r="E192" t="n">
        <v>19.96532440185547</v>
      </c>
      <c r="F192" t="n">
        <v/>
      </c>
    </row>
    <row r="193">
      <c r="A193" s="81" t="n">
        <v>40513</v>
      </c>
      <c r="B193" t="n">
        <v>54.9</v>
      </c>
      <c r="C193" t="n">
        <v>35.98610305786133</v>
      </c>
      <c r="D193" t="n">
        <v>25.26570129394531</v>
      </c>
      <c r="E193" t="n">
        <v>21.46025276184082</v>
      </c>
      <c r="F193" t="n">
        <v/>
      </c>
    </row>
    <row r="194">
      <c r="A194" s="81" t="n">
        <v>40544</v>
      </c>
      <c r="B194" t="n">
        <v>57.2</v>
      </c>
      <c r="C194" t="n">
        <v>36.7254638671875</v>
      </c>
      <c r="D194" t="n">
        <v>27.08938789367676</v>
      </c>
      <c r="E194" t="n">
        <v>21.91374588012695</v>
      </c>
      <c r="F194" t="n">
        <v>0.009080976513201071</v>
      </c>
    </row>
    <row r="195">
      <c r="A195" s="81" t="n">
        <v>40575</v>
      </c>
      <c r="B195" t="n">
        <v>58.2</v>
      </c>
      <c r="C195" t="n">
        <v>37.8665771484375</v>
      </c>
      <c r="D195" t="n">
        <v>27.88379669189453</v>
      </c>
      <c r="E195" t="n">
        <v>22.91209030151367</v>
      </c>
      <c r="F195" t="n">
        <v/>
      </c>
    </row>
    <row r="196">
      <c r="A196" s="81" t="n">
        <v>40603</v>
      </c>
      <c r="B196" t="n">
        <v>56</v>
      </c>
      <c r="C196" t="n">
        <v>37.54054641723633</v>
      </c>
      <c r="D196" t="n">
        <v>27.97768211364746</v>
      </c>
      <c r="E196" t="n">
        <v>22.35052299499512</v>
      </c>
      <c r="F196" t="n">
        <v/>
      </c>
    </row>
    <row r="197">
      <c r="A197" s="81" t="n">
        <v>40634</v>
      </c>
      <c r="B197" t="n">
        <v>55.5</v>
      </c>
      <c r="C197" t="n">
        <v>39.34926605224609</v>
      </c>
      <c r="D197" t="n">
        <v>30.20926094055176</v>
      </c>
      <c r="E197" t="n">
        <v>23.84804725646973</v>
      </c>
      <c r="F197" t="n">
        <v>-0.0002075135417130925</v>
      </c>
    </row>
    <row r="198">
      <c r="A198" s="81" t="n">
        <v>40664</v>
      </c>
      <c r="B198" t="n">
        <v>53.1</v>
      </c>
      <c r="C198" t="n">
        <v>38.58074951171875</v>
      </c>
      <c r="D198" t="n">
        <v>28.77208709716797</v>
      </c>
      <c r="E198" t="n">
        <v>23.28647422790527</v>
      </c>
      <c r="F198" t="n">
        <v/>
      </c>
    </row>
    <row r="199">
      <c r="A199" s="81" t="n">
        <v>40695</v>
      </c>
      <c r="B199" t="n">
        <v>52.8</v>
      </c>
      <c r="C199" t="n">
        <v>37.45516586303711</v>
      </c>
      <c r="D199" t="n">
        <v>28.04267501831055</v>
      </c>
      <c r="E199" t="n">
        <v>22.22572326660156</v>
      </c>
      <c r="F199" t="n">
        <v/>
      </c>
    </row>
    <row r="200">
      <c r="A200" s="81" t="n">
        <v>40725</v>
      </c>
      <c r="B200" t="n">
        <v>50.9</v>
      </c>
      <c r="C200" t="n">
        <v>37.03726959228516</v>
      </c>
      <c r="D200" t="n">
        <v>26.51310348510742</v>
      </c>
      <c r="E200" t="n">
        <v>22.52087593078613</v>
      </c>
      <c r="F200" t="n">
        <v>0.001559336634373648</v>
      </c>
    </row>
    <row r="201">
      <c r="A201" s="81" t="n">
        <v>40756</v>
      </c>
      <c r="B201" t="n">
        <v>50.4</v>
      </c>
      <c r="C201" t="n">
        <v>34.31150817871094</v>
      </c>
      <c r="D201" t="n">
        <v>23.27836036682129</v>
      </c>
      <c r="E201" t="n">
        <v>20.79436111450195</v>
      </c>
      <c r="F201" t="n">
        <v/>
      </c>
    </row>
    <row r="202">
      <c r="A202" s="81" t="n">
        <v>40787</v>
      </c>
      <c r="B202" t="n">
        <v>50.1</v>
      </c>
      <c r="C202" t="n">
        <v>30.72954559326172</v>
      </c>
      <c r="D202" t="n">
        <v>20.17654800415039</v>
      </c>
      <c r="E202" t="n">
        <v>18.75046920776367</v>
      </c>
      <c r="F202" t="n">
        <v/>
      </c>
    </row>
    <row r="203">
      <c r="A203" s="81" t="n">
        <v>40817</v>
      </c>
      <c r="B203" t="n">
        <v>49.5</v>
      </c>
      <c r="C203" t="n">
        <v>34.20939636230469</v>
      </c>
      <c r="D203" t="n">
        <v>22.72446632385254</v>
      </c>
      <c r="E203" t="n">
        <v>21.17520904541016</v>
      </c>
      <c r="F203" t="n">
        <v>-0.004280860726419024</v>
      </c>
    </row>
    <row r="204">
      <c r="A204" s="81" t="n">
        <v>40848</v>
      </c>
      <c r="B204" t="n">
        <v>49.6</v>
      </c>
      <c r="C204" t="n">
        <v>33.81663513183594</v>
      </c>
      <c r="D204" t="n">
        <v>21.76437377929688</v>
      </c>
      <c r="E204" t="n">
        <v>20.83244514465332</v>
      </c>
      <c r="F204" t="n">
        <v/>
      </c>
    </row>
    <row r="205">
      <c r="A205" s="81" t="n">
        <v>40878</v>
      </c>
      <c r="B205" t="n">
        <v>50.4</v>
      </c>
      <c r="C205" t="n">
        <v>33.12537002563477</v>
      </c>
      <c r="D205" t="n">
        <v>20.60489082336426</v>
      </c>
      <c r="E205" t="n">
        <v>20.51506805419922</v>
      </c>
      <c r="F205" t="n">
        <v/>
      </c>
    </row>
    <row r="206">
      <c r="A206" s="81" t="n">
        <v>40909</v>
      </c>
      <c r="B206" t="n">
        <v>51</v>
      </c>
      <c r="C206" t="n">
        <v>35.33008193969727</v>
      </c>
      <c r="D206" t="n">
        <v>22.31723213195801</v>
      </c>
      <c r="E206" t="n">
        <v>21.49224090576172</v>
      </c>
      <c r="F206" t="n">
        <v>-0.002145514848450238</v>
      </c>
    </row>
    <row r="207">
      <c r="A207" s="81" t="n">
        <v>40940</v>
      </c>
      <c r="B207" t="n">
        <v>51.2</v>
      </c>
      <c r="C207" t="n">
        <v>37.0775260925293</v>
      </c>
      <c r="D207" t="n">
        <v>23.54255104064941</v>
      </c>
      <c r="E207" t="n">
        <v>22.58746719360352</v>
      </c>
      <c r="F207" t="n">
        <v/>
      </c>
    </row>
    <row r="208">
      <c r="A208" s="81" t="n">
        <v>40969</v>
      </c>
      <c r="B208" t="n">
        <v>51.6</v>
      </c>
      <c r="C208" t="n">
        <v>37.49054718017578</v>
      </c>
      <c r="D208" t="n">
        <v>23.57243919372559</v>
      </c>
      <c r="E208" t="n">
        <v>22.29111289978027</v>
      </c>
      <c r="F208" t="n">
        <v/>
      </c>
    </row>
    <row r="209">
      <c r="A209" s="81" t="n">
        <v>41000</v>
      </c>
      <c r="B209" t="n">
        <v>51.3</v>
      </c>
      <c r="C209" t="n">
        <v>37.0616340637207</v>
      </c>
      <c r="D209" t="n">
        <v>22.24998664855957</v>
      </c>
      <c r="E209" t="n">
        <v>22.61323738098145</v>
      </c>
      <c r="F209" t="n">
        <v>-0.002637735847178543</v>
      </c>
    </row>
    <row r="210">
      <c r="A210" s="81" t="n">
        <v>41030</v>
      </c>
      <c r="B210" t="n">
        <v>50.3</v>
      </c>
      <c r="C210" t="n">
        <v>33.62235641479492</v>
      </c>
      <c r="D210" t="n">
        <v>19.38095092773438</v>
      </c>
      <c r="E210" t="n">
        <v>20.03623199462891</v>
      </c>
      <c r="F210" t="n">
        <v/>
      </c>
    </row>
    <row r="211">
      <c r="A211" s="81" t="n">
        <v>41061</v>
      </c>
      <c r="B211" t="n">
        <v>49.7</v>
      </c>
      <c r="C211" t="n">
        <v>34.84555816650391</v>
      </c>
      <c r="D211" t="n">
        <v>20.5091381072998</v>
      </c>
      <c r="E211" t="n">
        <v>20.98972702026367</v>
      </c>
      <c r="F211" t="n">
        <v/>
      </c>
    </row>
    <row r="212">
      <c r="A212" s="81" t="n">
        <v>41091</v>
      </c>
      <c r="B212" t="n">
        <v>48.8</v>
      </c>
      <c r="C212" t="n">
        <v>35.61767959594727</v>
      </c>
      <c r="D212" t="n">
        <v>20.90469169616699</v>
      </c>
      <c r="E212" t="n">
        <v>21.67182540893555</v>
      </c>
      <c r="F212" t="n">
        <v>-0.0009530527044507454</v>
      </c>
    </row>
    <row r="213">
      <c r="A213" s="81" t="n">
        <v>41122</v>
      </c>
      <c r="B213" t="n">
        <v>48.7</v>
      </c>
      <c r="C213" t="n">
        <v>36.60818099975586</v>
      </c>
      <c r="D213" t="n">
        <v>22.28910255432129</v>
      </c>
      <c r="E213" t="n">
        <v>22.38410186767578</v>
      </c>
      <c r="F213" t="n">
        <v/>
      </c>
    </row>
    <row r="214">
      <c r="A214" s="81" t="n">
        <v>41153</v>
      </c>
      <c r="B214" t="n">
        <v>48.7</v>
      </c>
      <c r="C214" t="n">
        <v>37.59867858886719</v>
      </c>
      <c r="D214" t="n">
        <v>23.11205863952637</v>
      </c>
      <c r="E214" t="n">
        <v>22.95129203796387</v>
      </c>
      <c r="F214" t="n">
        <v/>
      </c>
    </row>
    <row r="215">
      <c r="A215" s="81" t="n">
        <v>41183</v>
      </c>
      <c r="B215" t="n">
        <v>48.9</v>
      </c>
      <c r="C215" t="n">
        <v>37.40541839599609</v>
      </c>
      <c r="D215" t="n">
        <v>23.70428848266602</v>
      </c>
      <c r="E215" t="n">
        <v>23.05681800842285</v>
      </c>
      <c r="F215" t="n">
        <v>-0.00448369159730617</v>
      </c>
    </row>
    <row r="216">
      <c r="A216" s="81" t="n">
        <v>41214</v>
      </c>
      <c r="B216" t="n">
        <v>49.6</v>
      </c>
      <c r="C216" t="n">
        <v>38.00132369995117</v>
      </c>
      <c r="D216" t="n">
        <v>24.51185989379883</v>
      </c>
      <c r="E216" t="n">
        <v>23.32062530517578</v>
      </c>
      <c r="F216" t="n">
        <v/>
      </c>
    </row>
    <row r="217">
      <c r="A217" s="81" t="n">
        <v>41244</v>
      </c>
      <c r="B217" t="n">
        <v>50</v>
      </c>
      <c r="C217" t="n">
        <v>38.71802139282227</v>
      </c>
      <c r="D217" t="n">
        <v>25.73476219177246</v>
      </c>
      <c r="E217" t="n">
        <v>23.66357803344727</v>
      </c>
      <c r="F217" t="n">
        <v/>
      </c>
    </row>
    <row r="218">
      <c r="A218" s="81" t="n">
        <v>41275</v>
      </c>
      <c r="B218" t="n">
        <v>51.5</v>
      </c>
      <c r="C218" t="n">
        <v>40.57704925537109</v>
      </c>
      <c r="D218" t="n">
        <v>26.80334281921387</v>
      </c>
      <c r="E218" t="n">
        <v>24.70919799804688</v>
      </c>
      <c r="F218" t="n">
        <v>-0.003328169996104764</v>
      </c>
    </row>
    <row r="219">
      <c r="A219" s="81" t="n">
        <v>41306</v>
      </c>
      <c r="B219" t="n">
        <v>50.9</v>
      </c>
      <c r="C219" t="n">
        <v>40.53638458251953</v>
      </c>
      <c r="D219" t="n">
        <v>25.56816101074219</v>
      </c>
      <c r="E219" t="n">
        <v>24.04029655456543</v>
      </c>
      <c r="F219" t="n">
        <v/>
      </c>
    </row>
    <row r="220">
      <c r="A220" s="81" t="n">
        <v>41334</v>
      </c>
      <c r="B220" t="n">
        <v>51.2</v>
      </c>
      <c r="C220" t="n">
        <v>41.27651596069336</v>
      </c>
      <c r="D220" t="n">
        <v>25.2053337097168</v>
      </c>
      <c r="E220" t="n">
        <v>24.44164276123047</v>
      </c>
      <c r="F220" t="n">
        <v/>
      </c>
    </row>
    <row r="221">
      <c r="A221" s="81" t="n">
        <v>41365</v>
      </c>
      <c r="B221" t="n">
        <v>50.4</v>
      </c>
      <c r="C221" t="n">
        <v>42.44770812988281</v>
      </c>
      <c r="D221" t="n">
        <v>26.65666389465332</v>
      </c>
      <c r="E221" t="n">
        <v>25.13729667663574</v>
      </c>
      <c r="F221" t="n">
        <v>0.00513517489719126</v>
      </c>
    </row>
    <row r="222">
      <c r="A222" s="81" t="n">
        <v>41395</v>
      </c>
      <c r="B222" t="n">
        <v>50.6</v>
      </c>
      <c r="C222" t="n">
        <v>42.2850456237793</v>
      </c>
      <c r="D222" t="n">
        <v>27.00405693054199</v>
      </c>
      <c r="E222" t="n">
        <v>25.11053848266602</v>
      </c>
      <c r="F222" t="n">
        <v/>
      </c>
    </row>
    <row r="223">
      <c r="A223" s="81" t="n">
        <v>41426</v>
      </c>
      <c r="B223" t="n">
        <v>50.6</v>
      </c>
      <c r="C223" t="n">
        <v>40.66652679443359</v>
      </c>
      <c r="D223" t="n">
        <v>25.07409477233887</v>
      </c>
      <c r="E223" t="n">
        <v>23.62557411193848</v>
      </c>
      <c r="F223" t="n">
        <v/>
      </c>
    </row>
    <row r="224">
      <c r="A224" s="81" t="n">
        <v>41456</v>
      </c>
      <c r="B224" t="n">
        <v>50.8</v>
      </c>
      <c r="C224" t="n">
        <v>43.07118225097656</v>
      </c>
      <c r="D224" t="n">
        <v>27.93467903137207</v>
      </c>
      <c r="E224" t="n">
        <v>25.50984573364258</v>
      </c>
      <c r="F224" t="n">
        <v>0.003119804134847564</v>
      </c>
    </row>
    <row r="225">
      <c r="A225" s="81" t="n">
        <v>41487</v>
      </c>
      <c r="B225" t="n">
        <v>51.6</v>
      </c>
      <c r="C225" t="n">
        <v>42.08273696899414</v>
      </c>
      <c r="D225" t="n">
        <v>27.42850112915039</v>
      </c>
      <c r="E225" t="n">
        <v>25.31977844238281</v>
      </c>
      <c r="F225" t="n">
        <v/>
      </c>
    </row>
    <row r="226">
      <c r="A226" s="81" t="n">
        <v>41518</v>
      </c>
      <c r="B226" t="n">
        <v>51.8</v>
      </c>
      <c r="C226" t="n">
        <v>44.41381072998047</v>
      </c>
      <c r="D226" t="n">
        <v>29.84075164794922</v>
      </c>
      <c r="E226" t="n">
        <v>26.63667678833008</v>
      </c>
      <c r="F226" t="n">
        <v/>
      </c>
    </row>
    <row r="227">
      <c r="A227" s="81" t="n">
        <v>41548</v>
      </c>
      <c r="B227" t="n">
        <v>52.1</v>
      </c>
      <c r="C227" t="n">
        <v>46.16828536987305</v>
      </c>
      <c r="D227" t="n">
        <v>31.46210670471191</v>
      </c>
      <c r="E227" t="n">
        <v>27.62774085998535</v>
      </c>
      <c r="F227" t="n">
        <v>0.002816361817721088</v>
      </c>
    </row>
    <row r="228">
      <c r="A228" s="81" t="n">
        <v>41579</v>
      </c>
      <c r="B228" t="n">
        <v>53.1</v>
      </c>
      <c r="C228" t="n">
        <v>46.8848991394043</v>
      </c>
      <c r="D228" t="n">
        <v>31.92082977294922</v>
      </c>
      <c r="E228" t="n">
        <v>27.84496879577637</v>
      </c>
      <c r="F228" t="n">
        <v/>
      </c>
    </row>
    <row r="229">
      <c r="A229" s="81" t="n">
        <v>41609</v>
      </c>
      <c r="B229" t="n">
        <v>53.3</v>
      </c>
      <c r="C229" t="n">
        <v>47.46149063110352</v>
      </c>
      <c r="D229" t="n">
        <v>32.72755432128906</v>
      </c>
      <c r="E229" t="n">
        <v>28.34729766845703</v>
      </c>
      <c r="F229" t="n">
        <v/>
      </c>
    </row>
    <row r="230">
      <c r="A230" s="81" t="n">
        <v>41640</v>
      </c>
      <c r="B230" t="n">
        <v>52.9</v>
      </c>
      <c r="C230" t="n">
        <v>45.63754272460938</v>
      </c>
      <c r="D230" t="n">
        <v>31.15884208679199</v>
      </c>
      <c r="E230" t="n">
        <v>27.35536193847656</v>
      </c>
      <c r="F230" t="n">
        <v>0.004113664086032212</v>
      </c>
    </row>
    <row r="231">
      <c r="A231" s="81" t="n">
        <v>41671</v>
      </c>
      <c r="B231" t="n">
        <v>53.3</v>
      </c>
      <c r="C231" t="n">
        <v>48.01285171508789</v>
      </c>
      <c r="D231" t="n">
        <v>33.33290100097656</v>
      </c>
      <c r="E231" t="n">
        <v>29.21020126342773</v>
      </c>
      <c r="F231" t="n">
        <v/>
      </c>
    </row>
    <row r="232">
      <c r="A232" s="81" t="n">
        <v>41699</v>
      </c>
      <c r="B232" t="n">
        <v>52.4</v>
      </c>
      <c r="C232" t="n">
        <v>48.28693008422852</v>
      </c>
      <c r="D232" t="n">
        <v>33.53919982910156</v>
      </c>
      <c r="E232" t="n">
        <v>28.28964996337891</v>
      </c>
      <c r="F232" t="n">
        <v/>
      </c>
    </row>
    <row r="233">
      <c r="A233" s="81" t="n">
        <v>41730</v>
      </c>
      <c r="B233" t="n">
        <v>51.9</v>
      </c>
      <c r="C233" t="n">
        <v>48.86000442504883</v>
      </c>
      <c r="D233" t="n">
        <v>34.15809631347656</v>
      </c>
      <c r="E233" t="n">
        <v>29.56742095947266</v>
      </c>
      <c r="F233" t="n">
        <v>0.002017911927856534</v>
      </c>
    </row>
    <row r="234">
      <c r="A234" s="81" t="n">
        <v>41760</v>
      </c>
      <c r="B234" t="n">
        <v>52.2</v>
      </c>
      <c r="C234" t="n">
        <v>49.84001922607422</v>
      </c>
      <c r="D234" t="n">
        <v>34.44374084472656</v>
      </c>
      <c r="E234" t="n">
        <v>29.85594940185547</v>
      </c>
      <c r="F234" t="n">
        <v/>
      </c>
    </row>
    <row r="235">
      <c r="A235" s="81" t="n">
        <v>41791</v>
      </c>
      <c r="B235" t="n">
        <v>52.6</v>
      </c>
      <c r="C235" t="n">
        <v>50.04765701293945</v>
      </c>
      <c r="D235" t="n">
        <v>33.57887649536133</v>
      </c>
      <c r="E235" t="n">
        <v>28.68810272216797</v>
      </c>
      <c r="F235" t="n">
        <v/>
      </c>
    </row>
    <row r="236">
      <c r="A236" s="81" t="n">
        <v>41821</v>
      </c>
      <c r="B236" t="n">
        <v>52.5</v>
      </c>
      <c r="C236" t="n">
        <v>50.0135612487793</v>
      </c>
      <c r="D236" t="n">
        <v>32.18683242797852</v>
      </c>
      <c r="E236" t="n">
        <v>29.37614440917969</v>
      </c>
      <c r="F236" t="n">
        <v>0.004907922435032191</v>
      </c>
    </row>
    <row r="237">
      <c r="A237" s="81" t="n">
        <v>41852</v>
      </c>
      <c r="B237" t="n">
        <v>52.6</v>
      </c>
      <c r="C237" t="n">
        <v>51.3020133972168</v>
      </c>
      <c r="D237" t="n">
        <v>32.24343490600586</v>
      </c>
      <c r="E237" t="n">
        <v>29.60677146911621</v>
      </c>
      <c r="F237" t="n">
        <v/>
      </c>
    </row>
    <row r="238">
      <c r="A238" s="81" t="n">
        <v>41883</v>
      </c>
      <c r="B238" t="n">
        <v>52.2</v>
      </c>
      <c r="C238" t="n">
        <v>49.60093688964844</v>
      </c>
      <c r="D238" t="n">
        <v>31.135498046875</v>
      </c>
      <c r="E238" t="n">
        <v>27.93471908569336</v>
      </c>
      <c r="F238" t="n">
        <v/>
      </c>
    </row>
    <row r="239">
      <c r="A239" s="81" t="n">
        <v>41913</v>
      </c>
      <c r="B239" t="n">
        <v>52.2</v>
      </c>
      <c r="C239" t="n">
        <v>50.19883346557617</v>
      </c>
      <c r="D239" t="n">
        <v>30.24591636657715</v>
      </c>
      <c r="E239" t="n">
        <v>27.40140342712402</v>
      </c>
      <c r="F239" t="n">
        <v>0.003560664724712106</v>
      </c>
    </row>
    <row r="240">
      <c r="A240" s="81" t="n">
        <v>41944</v>
      </c>
      <c r="B240" t="n">
        <v>51.8</v>
      </c>
      <c r="C240" t="n">
        <v>50.88937759399414</v>
      </c>
      <c r="D240" t="n">
        <v>31.41855621337891</v>
      </c>
      <c r="E240" t="n">
        <v>27.43023300170898</v>
      </c>
      <c r="F240" t="n">
        <v/>
      </c>
    </row>
    <row r="241">
      <c r="A241" s="81" t="n">
        <v>41974</v>
      </c>
      <c r="B241" t="n">
        <v>51.6</v>
      </c>
      <c r="C241" t="n">
        <v>49.26408004760742</v>
      </c>
      <c r="D241" t="n">
        <v>29.38059425354004</v>
      </c>
      <c r="E241" t="n">
        <v>25.98880577087402</v>
      </c>
      <c r="F241" t="n">
        <v/>
      </c>
    </row>
    <row r="242">
      <c r="A242" s="81" t="n">
        <v>42005</v>
      </c>
      <c r="B242" t="n">
        <v>51.7</v>
      </c>
      <c r="C242" t="n">
        <v>49.03553771972656</v>
      </c>
      <c r="D242" t="n">
        <v>29.87894058227539</v>
      </c>
      <c r="E242" t="n">
        <v>26.52298736572266</v>
      </c>
      <c r="F242" t="n">
        <v>0.006342108126472852</v>
      </c>
    </row>
    <row r="243">
      <c r="A243" s="81" t="n">
        <v>42036</v>
      </c>
      <c r="B243" t="n">
        <v>52</v>
      </c>
      <c r="C243" t="n">
        <v>51.73661041259766</v>
      </c>
      <c r="D243" t="n">
        <v>31.7361946105957</v>
      </c>
      <c r="E243" t="n">
        <v>28.0814380645752</v>
      </c>
      <c r="F243" t="n">
        <v/>
      </c>
    </row>
    <row r="244">
      <c r="A244" s="81" t="n">
        <v>42064</v>
      </c>
      <c r="B244" t="n">
        <v>51.8</v>
      </c>
      <c r="C244" t="n">
        <v>50.98065567016602</v>
      </c>
      <c r="D244" t="n">
        <v>31.4266471862793</v>
      </c>
      <c r="E244" t="n">
        <v>26.4788818359375</v>
      </c>
      <c r="F244" t="n">
        <v/>
      </c>
    </row>
    <row r="245">
      <c r="A245" s="81" t="n">
        <v>42095</v>
      </c>
      <c r="B245" t="n">
        <v>51</v>
      </c>
      <c r="C245" t="n">
        <v>52.44160461425781</v>
      </c>
      <c r="D245" t="n">
        <v>32.12718963623047</v>
      </c>
      <c r="E245" t="n">
        <v>28.24315643310547</v>
      </c>
      <c r="F245" t="n">
        <v>0.00464262943266655</v>
      </c>
    </row>
    <row r="246">
      <c r="A246" s="81" t="n">
        <v>42125</v>
      </c>
      <c r="B246" t="n">
        <v>51.2</v>
      </c>
      <c r="C246" t="n">
        <v>52.44160461425781</v>
      </c>
      <c r="D246" t="n">
        <v>31.92354583740234</v>
      </c>
      <c r="E246" t="n">
        <v>28.41958999633789</v>
      </c>
      <c r="F246" t="n">
        <v/>
      </c>
    </row>
    <row r="247">
      <c r="A247" s="81" t="n">
        <v>42156</v>
      </c>
      <c r="B247" t="n">
        <v>51</v>
      </c>
      <c r="C247" t="n">
        <v>50.49650192260742</v>
      </c>
      <c r="D247" t="n">
        <v>30.5794792175293</v>
      </c>
      <c r="E247" t="n">
        <v>26.83173751831055</v>
      </c>
      <c r="F247" t="n">
        <v/>
      </c>
    </row>
    <row r="248">
      <c r="A248" s="81" t="n">
        <v>42186</v>
      </c>
      <c r="B248" t="n">
        <v>51</v>
      </c>
      <c r="C248" t="n">
        <v>51.51057815551758</v>
      </c>
      <c r="D248" t="n">
        <v>32.06951141357422</v>
      </c>
      <c r="E248" t="n">
        <v>27.75506210327148</v>
      </c>
      <c r="F248" t="n">
        <v>0.004161573123011056</v>
      </c>
    </row>
    <row r="249">
      <c r="A249" s="81" t="n">
        <v>42217</v>
      </c>
      <c r="B249" t="n">
        <v>50.7</v>
      </c>
      <c r="C249" t="n">
        <v>48.00436019897461</v>
      </c>
      <c r="D249" t="n">
        <v>29.85638999938965</v>
      </c>
      <c r="E249" t="n">
        <v>25.5394458770752</v>
      </c>
      <c r="F249" t="n">
        <v/>
      </c>
    </row>
    <row r="250">
      <c r="A250" s="81" t="n">
        <v>42248</v>
      </c>
      <c r="B250" t="n">
        <v>50.6</v>
      </c>
      <c r="C250" t="n">
        <v>46.35435104370117</v>
      </c>
      <c r="D250" t="n">
        <v>28.46386528015137</v>
      </c>
      <c r="E250" t="n">
        <v>24.53643035888672</v>
      </c>
      <c r="F250" t="n">
        <v/>
      </c>
    </row>
    <row r="251">
      <c r="A251" s="81" t="n">
        <v>42278</v>
      </c>
      <c r="B251" t="n">
        <v>51.4</v>
      </c>
      <c r="C251" t="n">
        <v>49.9035530090332</v>
      </c>
      <c r="D251" t="n">
        <v>30.54436111450195</v>
      </c>
      <c r="E251" t="n">
        <v>26.15323257446289</v>
      </c>
      <c r="F251" t="n">
        <v>0.004637224650689781</v>
      </c>
    </row>
    <row r="252">
      <c r="A252" s="81" t="n">
        <v>42309</v>
      </c>
      <c r="B252" t="n">
        <v>51.2</v>
      </c>
      <c r="C252" t="n">
        <v>49.63715744018555</v>
      </c>
      <c r="D252" t="n">
        <v>30.30398941040039</v>
      </c>
      <c r="E252" t="n">
        <v>25.71908950805664</v>
      </c>
      <c r="F252" t="n">
        <v/>
      </c>
    </row>
    <row r="253">
      <c r="A253" s="81" t="n">
        <v>42339</v>
      </c>
      <c r="B253" t="n">
        <v>50.9</v>
      </c>
      <c r="C253" t="n">
        <v>47.96997833251953</v>
      </c>
      <c r="D253" t="n">
        <v>29.0440845489502</v>
      </c>
      <c r="E253" t="n">
        <v>24.16217231750488</v>
      </c>
      <c r="F253" t="n">
        <v/>
      </c>
    </row>
    <row r="254">
      <c r="A254" s="81" t="n">
        <v>42370</v>
      </c>
      <c r="B254" t="n">
        <v>50.9</v>
      </c>
      <c r="C254" t="n">
        <v>46.01520156860352</v>
      </c>
      <c r="D254" t="n">
        <v>27.57959747314453</v>
      </c>
      <c r="E254" t="n">
        <v>23.45659828186035</v>
      </c>
      <c r="F254" t="n">
        <v>0.005526628281679841</v>
      </c>
    </row>
    <row r="255">
      <c r="A255" s="81" t="n">
        <v>42401</v>
      </c>
      <c r="B255" t="n">
        <v>50</v>
      </c>
      <c r="C255" t="n">
        <v>45.4406623840332</v>
      </c>
      <c r="D255" t="n">
        <v>26.41659927368164</v>
      </c>
      <c r="E255" t="n">
        <v>22.72357940673828</v>
      </c>
      <c r="F255" t="n">
        <v/>
      </c>
    </row>
    <row r="256">
      <c r="A256" s="81" t="n">
        <v>42430</v>
      </c>
      <c r="B256" t="n">
        <v>50.5</v>
      </c>
      <c r="C256" t="n">
        <v>48.80083465576172</v>
      </c>
      <c r="D256" t="n">
        <v>28.56814002990723</v>
      </c>
      <c r="E256" t="n">
        <v>23.94527626037598</v>
      </c>
      <c r="F256" t="n">
        <v/>
      </c>
    </row>
    <row r="257">
      <c r="A257" s="81" t="n">
        <v>42461</v>
      </c>
      <c r="B257" t="n">
        <v>50.1</v>
      </c>
      <c r="C257" t="n">
        <v>49.45371246337891</v>
      </c>
      <c r="D257" t="n">
        <v>29.29916763305664</v>
      </c>
      <c r="E257" t="n">
        <v>24.90736389160156</v>
      </c>
      <c r="F257" t="n">
        <v>0.002320024193000177</v>
      </c>
    </row>
    <row r="258">
      <c r="A258" s="81" t="n">
        <v>42491</v>
      </c>
      <c r="B258" t="n">
        <v>50</v>
      </c>
      <c r="C258" t="n">
        <v>49.61912155151367</v>
      </c>
      <c r="D258" t="n">
        <v>28.2358570098877</v>
      </c>
      <c r="E258" t="n">
        <v>24.61721229553223</v>
      </c>
      <c r="F258" t="n">
        <v/>
      </c>
    </row>
    <row r="259">
      <c r="A259" s="81" t="n">
        <v>42522</v>
      </c>
      <c r="B259" t="n">
        <v>50.9</v>
      </c>
      <c r="C259" t="n">
        <v>48.94881820678711</v>
      </c>
      <c r="D259" t="n">
        <v>26.80703353881836</v>
      </c>
      <c r="E259" t="n">
        <v>23.47186851501465</v>
      </c>
      <c r="F259" t="n">
        <v/>
      </c>
    </row>
    <row r="260">
      <c r="A260" s="81" t="n">
        <v>42552</v>
      </c>
      <c r="B260" t="n">
        <v>51</v>
      </c>
      <c r="C260" t="n">
        <v>51.46428298950195</v>
      </c>
      <c r="D260" t="n">
        <v>28.80241966247559</v>
      </c>
      <c r="E260" t="n">
        <v>24.41600227355957</v>
      </c>
      <c r="F260" t="n">
        <v>0.00481574553522158</v>
      </c>
    </row>
    <row r="261">
      <c r="A261" s="81" t="n">
        <v>42583</v>
      </c>
      <c r="B261" t="n">
        <v>50.9</v>
      </c>
      <c r="C261" t="n">
        <v>51.64068603515625</v>
      </c>
      <c r="D261" t="n">
        <v>29.12594223022461</v>
      </c>
      <c r="E261" t="n">
        <v>24.68207168579102</v>
      </c>
      <c r="F261" t="n">
        <v/>
      </c>
    </row>
    <row r="262">
      <c r="A262" s="81" t="n">
        <v>42614</v>
      </c>
      <c r="B262" t="n">
        <v>51</v>
      </c>
      <c r="C262" t="n">
        <v>52.12578201293945</v>
      </c>
      <c r="D262" t="n">
        <v>29.36433982849121</v>
      </c>
      <c r="E262" t="n">
        <v>24.79163360595703</v>
      </c>
      <c r="F262" t="n">
        <v/>
      </c>
    </row>
    <row r="263">
      <c r="A263" s="81" t="n">
        <v>42644</v>
      </c>
      <c r="B263" t="n">
        <v>52</v>
      </c>
      <c r="C263" t="n">
        <v>51.12912750244141</v>
      </c>
      <c r="D263" t="n">
        <v>29.06634521484375</v>
      </c>
      <c r="E263" t="n">
        <v>23.47692108154297</v>
      </c>
      <c r="F263" t="n">
        <v>0.00757463354817388</v>
      </c>
    </row>
    <row r="264">
      <c r="A264" s="81" t="n">
        <v>42675</v>
      </c>
      <c r="B264" t="n">
        <v>52.1</v>
      </c>
      <c r="C264" t="n">
        <v>51.65832138061523</v>
      </c>
      <c r="D264" t="n">
        <v>27.90846061706543</v>
      </c>
      <c r="E264" t="n">
        <v>23.52387809753418</v>
      </c>
      <c r="F264" t="n">
        <v/>
      </c>
    </row>
    <row r="265">
      <c r="A265" s="81" t="n">
        <v>42705</v>
      </c>
      <c r="B265" t="n">
        <v>52.7</v>
      </c>
      <c r="C265" t="n">
        <v>52.18751907348633</v>
      </c>
      <c r="D265" t="n">
        <v>29.45798492431641</v>
      </c>
      <c r="E265" t="n">
        <v>24.01689720153809</v>
      </c>
      <c r="F265" t="n">
        <v/>
      </c>
    </row>
    <row r="266">
      <c r="A266" s="81" t="n">
        <v>42736</v>
      </c>
      <c r="B266" t="n">
        <v>52.7</v>
      </c>
      <c r="C266" t="n">
        <v>54.20312118530273</v>
      </c>
      <c r="D266" t="n">
        <v>30.28461837768555</v>
      </c>
      <c r="E266" t="n">
        <v>24.95241928100586</v>
      </c>
      <c r="F266" t="n">
        <v>0.00679229178861074</v>
      </c>
    </row>
    <row r="267">
      <c r="A267" s="81" t="n">
        <v>42767</v>
      </c>
      <c r="B267" t="n">
        <v>53</v>
      </c>
      <c r="C267" t="n">
        <v>55.56509399414062</v>
      </c>
      <c r="D267" t="n">
        <v>30.3446044921875</v>
      </c>
      <c r="E267" t="n">
        <v>25.31738090515137</v>
      </c>
      <c r="F267" t="n">
        <v/>
      </c>
    </row>
    <row r="268">
      <c r="A268" s="81" t="n">
        <v>42795</v>
      </c>
      <c r="B268" t="n">
        <v>53</v>
      </c>
      <c r="C268" t="n">
        <v>56.31285858154297</v>
      </c>
      <c r="D268" t="n">
        <v>32.22132873535156</v>
      </c>
      <c r="E268" t="n">
        <v>25.82515907287598</v>
      </c>
      <c r="F268" t="n">
        <v/>
      </c>
    </row>
    <row r="269">
      <c r="A269" s="81" t="n">
        <v>42826</v>
      </c>
      <c r="B269" t="n">
        <v>52.7</v>
      </c>
      <c r="C269" t="n">
        <v>57.22083282470703</v>
      </c>
      <c r="D269" t="n">
        <v>33.62673187255859</v>
      </c>
      <c r="E269" t="n">
        <v>26.26152420043945</v>
      </c>
      <c r="F269" t="n">
        <v>0.007877116483349825</v>
      </c>
    </row>
    <row r="270">
      <c r="A270" s="81" t="n">
        <v>42856</v>
      </c>
      <c r="B270" t="n">
        <v>52.6</v>
      </c>
      <c r="C270" t="n">
        <v>58.48489379882812</v>
      </c>
      <c r="D270" t="n">
        <v>35.28921508789062</v>
      </c>
      <c r="E270" t="n">
        <v>27.45956420898438</v>
      </c>
      <c r="F270" t="n">
        <v/>
      </c>
    </row>
    <row r="271">
      <c r="A271" s="81" t="n">
        <v>42887</v>
      </c>
      <c r="B271" t="n">
        <v>52.6</v>
      </c>
      <c r="C271" t="n">
        <v>58.2979621887207</v>
      </c>
      <c r="D271" t="n">
        <v>34.56079864501953</v>
      </c>
      <c r="E271" t="n">
        <v>26.44400978088379</v>
      </c>
      <c r="F271" t="n">
        <v/>
      </c>
    </row>
    <row r="272">
      <c r="A272" s="81" t="n">
        <v>42917</v>
      </c>
      <c r="B272" t="n">
        <v>52.8</v>
      </c>
      <c r="C272" t="n">
        <v>60.55635833740234</v>
      </c>
      <c r="D272" t="n">
        <v>36.23170852661133</v>
      </c>
      <c r="E272" t="n">
        <v>27.66788101196289</v>
      </c>
      <c r="F272" t="n">
        <v>0.007828058775005116</v>
      </c>
    </row>
    <row r="273">
      <c r="A273" s="81" t="n">
        <v>42948</v>
      </c>
      <c r="B273" t="n">
        <v>53.2</v>
      </c>
      <c r="C273" t="n">
        <v>60.79937744140625</v>
      </c>
      <c r="D273" t="n">
        <v>36.40578460693359</v>
      </c>
      <c r="E273" t="n">
        <v>27.44083404541016</v>
      </c>
      <c r="F273" t="n">
        <v/>
      </c>
    </row>
    <row r="274">
      <c r="A274" s="81" t="n">
        <v>42979</v>
      </c>
      <c r="B274" t="n">
        <v>53.3</v>
      </c>
      <c r="C274" t="n">
        <v>61.94245910644531</v>
      </c>
      <c r="D274" t="n">
        <v>37.70256042480469</v>
      </c>
      <c r="E274" t="n">
        <v>28.25983810424805</v>
      </c>
      <c r="F274" t="n">
        <v/>
      </c>
    </row>
    <row r="275">
      <c r="A275" s="81" t="n">
        <v>43009</v>
      </c>
      <c r="B275" t="n">
        <v>53.5</v>
      </c>
      <c r="C275" t="n">
        <v>63.27455520629883</v>
      </c>
      <c r="D275" t="n">
        <v>38.14643478393555</v>
      </c>
      <c r="E275" t="n">
        <v>28.43013000488281</v>
      </c>
      <c r="F275" t="n">
        <v>0.008063116952769124</v>
      </c>
    </row>
    <row r="276">
      <c r="A276" s="81" t="n">
        <v>43040</v>
      </c>
      <c r="B276" t="n">
        <v>54.1</v>
      </c>
      <c r="C276" t="n">
        <v>64.55264282226562</v>
      </c>
      <c r="D276" t="n">
        <v>38.05069732666016</v>
      </c>
      <c r="E276" t="n">
        <v>28.39769554138184</v>
      </c>
      <c r="F276" t="n">
        <v/>
      </c>
    </row>
    <row r="277">
      <c r="A277" s="81" t="n">
        <v>43070</v>
      </c>
      <c r="B277" t="n">
        <v>54.5</v>
      </c>
      <c r="C277" t="n">
        <v>64.88565826416016</v>
      </c>
      <c r="D277" t="n">
        <v>37.75477981567383</v>
      </c>
      <c r="E277" t="n">
        <v>29.04641532897949</v>
      </c>
      <c r="F277" t="n">
        <v/>
      </c>
    </row>
    <row r="278">
      <c r="A278" s="81" t="n">
        <v>43101</v>
      </c>
      <c r="B278" t="n">
        <v>54.4</v>
      </c>
      <c r="C278" t="n">
        <v>69.2225341796875</v>
      </c>
      <c r="D278" t="n">
        <v>40.57744598388672</v>
      </c>
      <c r="E278" t="n">
        <v>30.70130729675293</v>
      </c>
      <c r="F278" t="n">
        <v>-3.700596089430073e-05</v>
      </c>
    </row>
    <row r="279">
      <c r="A279" s="81" t="n">
        <v>43132</v>
      </c>
      <c r="B279" t="n">
        <v>54.1</v>
      </c>
      <c r="C279" t="n">
        <v>66.12480163574219</v>
      </c>
      <c r="D279" t="n">
        <v>38.14734649658203</v>
      </c>
      <c r="E279" t="n">
        <v>28.64408683776855</v>
      </c>
      <c r="F279" t="n">
        <v/>
      </c>
    </row>
    <row r="280">
      <c r="A280" s="81" t="n">
        <v>43160</v>
      </c>
      <c r="B280" t="n">
        <v>53.3</v>
      </c>
      <c r="C280" t="n">
        <v>65.13459014892578</v>
      </c>
      <c r="D280" t="n">
        <v>37.89384841918945</v>
      </c>
      <c r="E280" t="n">
        <v>28.71018409729004</v>
      </c>
      <c r="F280" t="n">
        <v/>
      </c>
    </row>
    <row r="281">
      <c r="A281" s="81" t="n">
        <v>43191</v>
      </c>
      <c r="B281" t="n">
        <v>53.5</v>
      </c>
      <c r="C281" t="n">
        <v>65.39804077148438</v>
      </c>
      <c r="D281" t="n">
        <v>38.7504997253418</v>
      </c>
      <c r="E281" t="n">
        <v>29.94947242736816</v>
      </c>
      <c r="F281" t="n">
        <v>0.005348226211213597</v>
      </c>
    </row>
    <row r="282">
      <c r="A282" s="81" t="n">
        <v>43221</v>
      </c>
      <c r="B282" t="n">
        <v>53.1</v>
      </c>
      <c r="C282" t="n">
        <v>65.70691680908203</v>
      </c>
      <c r="D282" t="n">
        <v>37.36062240600586</v>
      </c>
      <c r="E282" t="n">
        <v>29.7677059173584</v>
      </c>
      <c r="F282" t="n">
        <v/>
      </c>
    </row>
    <row r="283">
      <c r="A283" s="81" t="n">
        <v>43252</v>
      </c>
      <c r="B283" t="n">
        <v>53</v>
      </c>
      <c r="C283" t="n">
        <v>64.60771942138672</v>
      </c>
      <c r="D283" t="n">
        <v>35.84836196899414</v>
      </c>
      <c r="E283" t="n">
        <v>28.7349681854248</v>
      </c>
      <c r="F283" t="n">
        <v/>
      </c>
    </row>
    <row r="284">
      <c r="A284" s="81" t="n">
        <v>43282</v>
      </c>
      <c r="B284" t="n">
        <v>52.8</v>
      </c>
      <c r="C284" t="n">
        <v>67.32460784912109</v>
      </c>
      <c r="D284" t="n">
        <v>38.12031555175781</v>
      </c>
      <c r="E284" t="n">
        <v>29.69309616088867</v>
      </c>
      <c r="F284" t="n">
        <v>0.0001490236016080247</v>
      </c>
    </row>
    <row r="285">
      <c r="A285" s="81" t="n">
        <v>43313</v>
      </c>
      <c r="B285" t="n">
        <v>52.6</v>
      </c>
      <c r="C285" t="n">
        <v>67.79304504394531</v>
      </c>
      <c r="D285" t="n">
        <v>36.91143417358398</v>
      </c>
      <c r="E285" t="n">
        <v>28.39069175720215</v>
      </c>
      <c r="F285" t="n">
        <v/>
      </c>
    </row>
    <row r="286">
      <c r="A286" s="81" t="n">
        <v>43344</v>
      </c>
      <c r="B286" t="n">
        <v>52.2</v>
      </c>
      <c r="C286" t="n">
        <v>68.20635223388672</v>
      </c>
      <c r="D286" t="n">
        <v>36.72338104248047</v>
      </c>
      <c r="E286" t="n">
        <v>28.85583114624023</v>
      </c>
      <c r="F286" t="n">
        <v/>
      </c>
    </row>
    <row r="287">
      <c r="A287" s="81" t="n">
        <v>43374</v>
      </c>
      <c r="B287" t="n">
        <v>52</v>
      </c>
      <c r="C287" t="n">
        <v>63.13633346557617</v>
      </c>
      <c r="D287" t="n">
        <v>33.4638557434082</v>
      </c>
      <c r="E287" t="n">
        <v>26.90223121643066</v>
      </c>
      <c r="F287" t="n">
        <v>0.006439960908643985</v>
      </c>
    </row>
    <row r="288">
      <c r="A288" s="81" t="n">
        <v>43405</v>
      </c>
      <c r="B288" t="n">
        <v>52</v>
      </c>
      <c r="C288" t="n">
        <v>64.13748931884766</v>
      </c>
      <c r="D288" t="n">
        <v>33.34744262695312</v>
      </c>
      <c r="E288" t="n">
        <v>26.58086204528809</v>
      </c>
      <c r="F288" t="n">
        <v/>
      </c>
    </row>
    <row r="289">
      <c r="A289" s="81" t="n">
        <v>43435</v>
      </c>
      <c r="B289" t="n">
        <v>51.5</v>
      </c>
      <c r="C289" t="n">
        <v>58.92970657348633</v>
      </c>
      <c r="D289" t="n">
        <v>31.39531326293945</v>
      </c>
      <c r="E289" t="n">
        <v>24.82177352905273</v>
      </c>
      <c r="F289" t="n">
        <v/>
      </c>
    </row>
    <row r="290">
      <c r="A290" s="81" t="n">
        <v>43466</v>
      </c>
      <c r="B290" t="n">
        <v>50.7</v>
      </c>
      <c r="C290" t="n">
        <v>64.29935455322266</v>
      </c>
      <c r="D290" t="n">
        <v>33.62771606445312</v>
      </c>
      <c r="E290" t="n">
        <v>27.21231269836426</v>
      </c>
      <c r="F290" t="n">
        <v>0.006248181883507779</v>
      </c>
    </row>
    <row r="291">
      <c r="A291" s="81" t="n">
        <v>43497</v>
      </c>
      <c r="B291" t="n">
        <v>50.6</v>
      </c>
      <c r="C291" t="n">
        <v>65.88551330566406</v>
      </c>
      <c r="D291" t="n">
        <v>34.68111801147461</v>
      </c>
      <c r="E291" t="n">
        <v>28.14560317993164</v>
      </c>
      <c r="F291" t="n">
        <v/>
      </c>
    </row>
    <row r="292">
      <c r="A292" s="81" t="n">
        <v>43525</v>
      </c>
      <c r="B292" t="n">
        <v>50.5</v>
      </c>
      <c r="C292" t="n">
        <v>66.92439270019531</v>
      </c>
      <c r="D292" t="n">
        <v>34.75313949584961</v>
      </c>
      <c r="E292" t="n">
        <v>28.52582931518555</v>
      </c>
      <c r="F292" t="n">
        <v/>
      </c>
    </row>
    <row r="293">
      <c r="A293" s="81" t="n">
        <v>43556</v>
      </c>
      <c r="B293" t="n">
        <v>50.4</v>
      </c>
      <c r="C293" t="n">
        <v>69.21549987792969</v>
      </c>
      <c r="D293" t="n">
        <v>36.49079895019531</v>
      </c>
      <c r="E293" t="n">
        <v>29.17394828796387</v>
      </c>
      <c r="F293" t="n">
        <v>0.003091162109650957</v>
      </c>
    </row>
    <row r="294">
      <c r="A294" s="81" t="n">
        <v>43586</v>
      </c>
      <c r="B294" t="n">
        <v>49.8</v>
      </c>
      <c r="C294" t="n">
        <v>65.01358795166016</v>
      </c>
      <c r="D294" t="n">
        <v>34.14090728759766</v>
      </c>
      <c r="E294" t="n">
        <v>27.38514709472656</v>
      </c>
      <c r="F294" t="n">
        <v/>
      </c>
    </row>
    <row r="295">
      <c r="A295" s="81" t="n">
        <v>43617</v>
      </c>
      <c r="B295" t="n">
        <v>49.4</v>
      </c>
      <c r="C295" t="n">
        <v>68.37139129638672</v>
      </c>
      <c r="D295" t="n">
        <v>35.61746215820312</v>
      </c>
      <c r="E295" t="n">
        <v>27.92956161499023</v>
      </c>
      <c r="F295" t="n">
        <v/>
      </c>
    </row>
    <row r="296">
      <c r="A296" s="81" t="n">
        <v>43647</v>
      </c>
      <c r="B296" t="n">
        <v>49.3</v>
      </c>
      <c r="C296" t="n">
        <v>69.28022766113281</v>
      </c>
      <c r="D296" t="n">
        <v>35.58132934570312</v>
      </c>
      <c r="E296" t="n">
        <v>27.95261192321777</v>
      </c>
      <c r="F296" t="n">
        <v>0.002172891249805928</v>
      </c>
    </row>
    <row r="297">
      <c r="A297" s="81" t="n">
        <v>43678</v>
      </c>
      <c r="B297" t="n">
        <v>49.5</v>
      </c>
      <c r="C297" t="n">
        <v>67.74921417236328</v>
      </c>
      <c r="D297" t="n">
        <v>35.04515838623047</v>
      </c>
      <c r="E297" t="n">
        <v>26.88910102844238</v>
      </c>
      <c r="F297" t="n">
        <v/>
      </c>
    </row>
    <row r="298">
      <c r="A298" s="81" t="n">
        <v>43709</v>
      </c>
      <c r="B298" t="n">
        <v>49.7</v>
      </c>
      <c r="C298" t="n">
        <v>69.27082824707031</v>
      </c>
      <c r="D298" t="n">
        <v>35.95109558105469</v>
      </c>
      <c r="E298" t="n">
        <v>27.85512924194336</v>
      </c>
      <c r="F298" t="n">
        <v/>
      </c>
    </row>
    <row r="299">
      <c r="A299" s="81" t="n">
        <v>43739</v>
      </c>
      <c r="B299" t="n">
        <v>49.8</v>
      </c>
      <c r="C299" t="n">
        <v>71.16815185546875</v>
      </c>
      <c r="D299" t="n">
        <v>37.36547470092773</v>
      </c>
      <c r="E299" t="n">
        <v>28.83000946044922</v>
      </c>
      <c r="F299" t="n">
        <v>0.0002215650272317706</v>
      </c>
    </row>
    <row r="300">
      <c r="A300" s="81" t="n">
        <v>43770</v>
      </c>
      <c r="B300" t="n">
        <v>50.3</v>
      </c>
      <c r="C300" t="n">
        <v>72.83063507080078</v>
      </c>
      <c r="D300" t="n">
        <v>37.70751571655273</v>
      </c>
      <c r="E300" t="n">
        <v>29.18451690673828</v>
      </c>
      <c r="F300" t="n">
        <v/>
      </c>
    </row>
    <row r="301">
      <c r="A301" s="81" t="n">
        <v>43800</v>
      </c>
      <c r="B301" t="n">
        <v>50.1</v>
      </c>
      <c r="C301" t="n">
        <v>74.43678283691406</v>
      </c>
      <c r="D301" t="n">
        <v>38.75212097167969</v>
      </c>
      <c r="E301" t="n">
        <v>30.22143745422363</v>
      </c>
      <c r="F301" t="n">
        <v/>
      </c>
    </row>
    <row r="302">
      <c r="A302" s="81" t="n">
        <v>43831</v>
      </c>
      <c r="B302" t="n">
        <v>50.4</v>
      </c>
      <c r="C302" t="n">
        <v>74.25372314453125</v>
      </c>
      <c r="D302" t="n">
        <v>37.57478332519531</v>
      </c>
      <c r="E302" t="n">
        <v>29.44472312927246</v>
      </c>
      <c r="F302" t="n">
        <v>-0.03361388173549828</v>
      </c>
    </row>
    <row r="303">
      <c r="A303" s="81" t="n">
        <v>43862</v>
      </c>
      <c r="B303" t="n">
        <v>47.1</v>
      </c>
      <c r="C303" t="n">
        <v>68.69253540039062</v>
      </c>
      <c r="D303" t="n">
        <v>34.79938125610352</v>
      </c>
      <c r="E303" t="n">
        <v>26.43169021606445</v>
      </c>
      <c r="F303" t="n">
        <v/>
      </c>
    </row>
    <row r="304">
      <c r="A304" s="81" t="n">
        <v>43891</v>
      </c>
      <c r="B304" t="n">
        <v>47.3</v>
      </c>
      <c r="C304" t="n">
        <v>59.48092651367188</v>
      </c>
      <c r="D304" t="n">
        <v>28.32032585144043</v>
      </c>
      <c r="E304" t="n">
        <v>21.54228019714355</v>
      </c>
      <c r="F304" t="n">
        <v/>
      </c>
    </row>
    <row r="305">
      <c r="A305" s="81" t="n">
        <v>43922</v>
      </c>
      <c r="B305" t="n">
        <v>39.6</v>
      </c>
      <c r="C305" t="n">
        <v>65.32729339599609</v>
      </c>
      <c r="D305" t="n">
        <v>30.06539916992188</v>
      </c>
      <c r="E305" t="n">
        <v>22.77816200256348</v>
      </c>
      <c r="F305" t="n">
        <v>-0.1146420998503574</v>
      </c>
    </row>
    <row r="306">
      <c r="A306" s="81" t="n">
        <v>43952</v>
      </c>
      <c r="B306" t="n">
        <v>42.4</v>
      </c>
      <c r="C306" t="n">
        <v>68.65450286865234</v>
      </c>
      <c r="D306" t="n">
        <v>32.28387451171875</v>
      </c>
      <c r="E306" t="n">
        <v>23.2111759185791</v>
      </c>
      <c r="F306" t="n">
        <v/>
      </c>
    </row>
    <row r="307">
      <c r="A307" s="81" t="n">
        <v>43983</v>
      </c>
      <c r="B307" t="n">
        <v>47.8</v>
      </c>
      <c r="C307" t="n">
        <v>70.08045196533203</v>
      </c>
      <c r="D307" t="n">
        <v>33.86186599731445</v>
      </c>
      <c r="E307" t="n">
        <v>23.23823738098145</v>
      </c>
      <c r="F307" t="n">
        <v/>
      </c>
    </row>
    <row r="308">
      <c r="A308" s="81" t="n">
        <v>44013</v>
      </c>
      <c r="B308" t="n">
        <v>50.6</v>
      </c>
      <c r="C308" t="n">
        <v>74.46009063720703</v>
      </c>
      <c r="D308" t="n">
        <v>35.2772102355957</v>
      </c>
      <c r="E308" t="n">
        <v>23.74909973144531</v>
      </c>
      <c r="F308" t="n">
        <v>0.1236323949733766</v>
      </c>
    </row>
    <row r="309">
      <c r="A309" s="81" t="n">
        <v>44044</v>
      </c>
      <c r="B309" t="n">
        <v>51.8</v>
      </c>
      <c r="C309" t="n">
        <v>78.94667053222656</v>
      </c>
      <c r="D309" t="n">
        <v>36.88795852661133</v>
      </c>
      <c r="E309" t="n">
        <v>24.39938163757324</v>
      </c>
      <c r="F309" t="n">
        <v/>
      </c>
    </row>
    <row r="310">
      <c r="A310" s="81" t="n">
        <v>44075</v>
      </c>
      <c r="B310" t="n">
        <v>52.4</v>
      </c>
      <c r="C310" t="n">
        <v>76.61709594726562</v>
      </c>
      <c r="D310" t="n">
        <v>35.51133346557617</v>
      </c>
      <c r="E310" t="n">
        <v>23.34610557556152</v>
      </c>
      <c r="F310" t="n">
        <v/>
      </c>
    </row>
    <row r="311">
      <c r="A311" s="81" t="n">
        <v>44105</v>
      </c>
      <c r="B311" t="n">
        <v>53</v>
      </c>
      <c r="C311" t="n">
        <v>74.91066741943359</v>
      </c>
      <c r="D311" t="n">
        <v>33.60091400146484</v>
      </c>
      <c r="E311" t="n">
        <v>22.2928295135498</v>
      </c>
      <c r="F311" t="n">
        <v>-0.002576693601359921</v>
      </c>
    </row>
    <row r="312">
      <c r="A312" s="81" t="n">
        <v>44136</v>
      </c>
      <c r="B312" t="n">
        <v>53.8</v>
      </c>
      <c r="C312" t="n">
        <v>83.72085571289062</v>
      </c>
      <c r="D312" t="n">
        <v>40.21245956420898</v>
      </c>
      <c r="E312" t="n">
        <v>25.88312911987305</v>
      </c>
      <c r="F312" t="n">
        <v/>
      </c>
    </row>
    <row r="313">
      <c r="A313" s="81" t="n">
        <v>44166</v>
      </c>
      <c r="B313" t="n">
        <v>53.8</v>
      </c>
      <c r="C313" t="n">
        <v>86.97076416015625</v>
      </c>
      <c r="D313" t="n">
        <v>41.28005599975586</v>
      </c>
      <c r="E313" t="n">
        <v>26.82650184631348</v>
      </c>
      <c r="F313" t="n">
        <v/>
      </c>
    </row>
    <row r="314">
      <c r="A314" s="81" t="n">
        <v>44197</v>
      </c>
      <c r="B314" t="n">
        <v>53.6</v>
      </c>
      <c r="C314" t="n">
        <v>87.37459564208984</v>
      </c>
      <c r="D314" t="n">
        <v>41.14377593994141</v>
      </c>
      <c r="E314" t="n">
        <v>27.06836700439453</v>
      </c>
      <c r="F314" t="n">
        <v>-0.0003598887857862808</v>
      </c>
    </row>
    <row r="315">
      <c r="A315" s="81" t="n">
        <v>44228</v>
      </c>
      <c r="B315" t="n">
        <v>53.9</v>
      </c>
      <c r="C315" t="n">
        <v>89.37443542480469</v>
      </c>
      <c r="D315" t="n">
        <v>42.54025650024414</v>
      </c>
      <c r="E315" t="n">
        <v>28.13368606567383</v>
      </c>
      <c r="F315" t="n">
        <v/>
      </c>
    </row>
    <row r="316">
      <c r="A316" s="81" t="n">
        <v>44256</v>
      </c>
      <c r="B316" t="n">
        <v>55</v>
      </c>
      <c r="C316" t="n">
        <v>91.92494964599609</v>
      </c>
      <c r="D316" t="n">
        <v>44.10772705078125</v>
      </c>
      <c r="E316" t="n">
        <v>29.00446891784668</v>
      </c>
      <c r="F316" t="n">
        <v/>
      </c>
    </row>
    <row r="317">
      <c r="A317" s="81" t="n">
        <v>44287</v>
      </c>
      <c r="B317" t="n">
        <v>55.9</v>
      </c>
      <c r="C317" t="n">
        <v>95.82803344726562</v>
      </c>
      <c r="D317" t="n">
        <v>46.15969467163086</v>
      </c>
      <c r="E317" t="n">
        <v>30.1346321105957</v>
      </c>
      <c r="F317" t="n">
        <v>0.01967985122399833</v>
      </c>
    </row>
    <row r="318">
      <c r="A318" s="81" t="n">
        <v>44317</v>
      </c>
      <c r="B318" t="n">
        <v>56</v>
      </c>
      <c r="C318" t="n">
        <v>97.23854827880859</v>
      </c>
      <c r="D318" t="n">
        <v>48.18315505981445</v>
      </c>
      <c r="E318" t="n">
        <v>31.30185508728027</v>
      </c>
      <c r="F318" t="n">
        <v/>
      </c>
    </row>
    <row r="319">
      <c r="A319" s="81" t="n">
        <v>44348</v>
      </c>
      <c r="B319" t="n">
        <v>55.5</v>
      </c>
      <c r="C319" t="n">
        <v>97.76023864746094</v>
      </c>
      <c r="D319" t="n">
        <v>46.88167572021484</v>
      </c>
      <c r="E319" t="n">
        <v>30.29211616516113</v>
      </c>
      <c r="F319" t="n">
        <v/>
      </c>
    </row>
    <row r="320">
      <c r="A320" s="81" t="n">
        <v>44378</v>
      </c>
      <c r="B320" t="n">
        <v>55.4</v>
      </c>
      <c r="C320" t="n">
        <v>99.35981750488281</v>
      </c>
      <c r="D320" t="n">
        <v>47.80789947509766</v>
      </c>
      <c r="E320" t="n">
        <v>30.89048194885254</v>
      </c>
      <c r="F320" t="n">
        <v>0.02279180828882344</v>
      </c>
    </row>
    <row r="321">
      <c r="A321" s="81" t="n">
        <v>44409</v>
      </c>
      <c r="B321" t="n">
        <v>54.1</v>
      </c>
      <c r="C321" t="n">
        <v>101.52001953125</v>
      </c>
      <c r="D321" t="n">
        <v>48.74775695800781</v>
      </c>
      <c r="E321" t="n">
        <v>31.09773635864258</v>
      </c>
      <c r="F321" t="n">
        <v/>
      </c>
    </row>
    <row r="322">
      <c r="A322" s="81" t="n">
        <v>44440</v>
      </c>
      <c r="B322" t="n">
        <v>54.1</v>
      </c>
      <c r="C322" t="n">
        <v>97.22880554199219</v>
      </c>
      <c r="D322" t="n">
        <v>46.14877319335938</v>
      </c>
      <c r="E322" t="n">
        <v>30.38176536560059</v>
      </c>
      <c r="F322" t="n">
        <v/>
      </c>
    </row>
    <row r="323">
      <c r="A323" s="81" t="n">
        <v>44470</v>
      </c>
      <c r="B323" t="n">
        <v>54.2</v>
      </c>
      <c r="C323" t="n">
        <v>102.4736251831055</v>
      </c>
      <c r="D323" t="n">
        <v>48.25864791870117</v>
      </c>
      <c r="E323" t="n">
        <v>31.72892570495605</v>
      </c>
      <c r="F323" t="n">
        <v>0.005562219932789373</v>
      </c>
    </row>
    <row r="324">
      <c r="A324" s="81" t="n">
        <v>44501</v>
      </c>
      <c r="B324" t="n">
        <v>54.2</v>
      </c>
      <c r="C324" t="n">
        <v>100.1090698242188</v>
      </c>
      <c r="D324" t="n">
        <v>45.65007019042969</v>
      </c>
      <c r="E324" t="n">
        <v>30.18393135070801</v>
      </c>
      <c r="F324" t="n">
        <v/>
      </c>
    </row>
    <row r="325">
      <c r="A325" s="81" t="n">
        <v>44531</v>
      </c>
      <c r="B325" t="n">
        <v>54.3</v>
      </c>
      <c r="C325" t="n">
        <v>102.9309768676758</v>
      </c>
      <c r="D325" t="n">
        <v>47.00231170654297</v>
      </c>
      <c r="E325" t="n">
        <v>31.22020721435547</v>
      </c>
      <c r="F325" t="n">
        <v/>
      </c>
    </row>
    <row r="326">
      <c r="A326" s="81" t="n">
        <v>44562</v>
      </c>
      <c r="B326" t="n">
        <v>53.2</v>
      </c>
      <c r="C326" t="n">
        <v>99.27206420898438</v>
      </c>
      <c r="D326" t="n">
        <v>46.11867904663086</v>
      </c>
      <c r="E326" t="n">
        <v>32.79575729370117</v>
      </c>
      <c r="F326" t="n">
        <v>0.006144166063778317</v>
      </c>
    </row>
    <row r="327">
      <c r="A327" s="81" t="n">
        <v>44593</v>
      </c>
      <c r="B327" t="n">
        <v>53.6</v>
      </c>
      <c r="C327" t="n">
        <v>96.23403167724609</v>
      </c>
      <c r="D327" t="n">
        <v>42.71185684204102</v>
      </c>
      <c r="E327" t="n">
        <v>32.40867614746094</v>
      </c>
      <c r="F327" t="n">
        <v/>
      </c>
    </row>
    <row r="328">
      <c r="A328" s="81" t="n">
        <v>44621</v>
      </c>
      <c r="B328" t="n">
        <v>52.9</v>
      </c>
      <c r="C328" t="n">
        <v>98.10208129882812</v>
      </c>
      <c r="D328" t="n">
        <v>42.11809539794922</v>
      </c>
      <c r="E328" t="n">
        <v>32.55382919311523</v>
      </c>
      <c r="F328" t="n">
        <v/>
      </c>
    </row>
    <row r="329">
      <c r="A329" s="81" t="n">
        <v>44652</v>
      </c>
      <c r="B329" t="n">
        <v>52.2</v>
      </c>
      <c r="C329" t="n">
        <v>90.18744659423828</v>
      </c>
      <c r="D329" t="n">
        <v>39.04221725463867</v>
      </c>
      <c r="E329" t="n">
        <v>31.25709533691406</v>
      </c>
      <c r="F329" t="n">
        <v>0.008783993956139284</v>
      </c>
    </row>
    <row r="330">
      <c r="A330" s="81" t="n">
        <v>44682</v>
      </c>
      <c r="B330" t="n">
        <v>52.3</v>
      </c>
      <c r="C330" t="n">
        <v>90.59055328369141</v>
      </c>
      <c r="D330" t="n">
        <v>40.73589324951172</v>
      </c>
      <c r="E330" t="n">
        <v>32.09900665283203</v>
      </c>
      <c r="F330" t="n">
        <v/>
      </c>
    </row>
    <row r="331">
      <c r="A331" s="81" t="n">
        <v>44713</v>
      </c>
      <c r="B331" t="n">
        <v>52.2</v>
      </c>
      <c r="C331" t="n">
        <v>82.47928619384766</v>
      </c>
      <c r="D331" t="n">
        <v>35.3823127746582</v>
      </c>
      <c r="E331" t="n">
        <v>28.99265098571777</v>
      </c>
      <c r="F331" t="n">
        <v/>
      </c>
    </row>
    <row r="332">
      <c r="A332" s="81" t="n">
        <v>44743</v>
      </c>
      <c r="B332" t="n">
        <v/>
      </c>
      <c r="C332" t="n">
        <v>89.13095855712891</v>
      </c>
      <c r="D332" t="n">
        <v>37.99519348144531</v>
      </c>
      <c r="E332" t="n">
        <v>30.44909477233887</v>
      </c>
      <c r="F332" t="n">
        <v>0.003703040945849028</v>
      </c>
    </row>
    <row r="333">
      <c r="A333" s="81" t="n">
        <v>44774</v>
      </c>
      <c r="B333" t="n">
        <v/>
      </c>
      <c r="C333" t="n">
        <v>85.24103546142578</v>
      </c>
      <c r="D333" t="n">
        <v>35.17741775512695</v>
      </c>
      <c r="E333" t="n">
        <v>28.47891807556152</v>
      </c>
      <c r="F333" t="n">
        <v/>
      </c>
    </row>
    <row r="334">
      <c r="A334" s="81" t="n">
        <v>44805</v>
      </c>
      <c r="B334" t="n">
        <v/>
      </c>
      <c r="C334" t="n">
        <v>77.23294067382812</v>
      </c>
      <c r="D334" t="n">
        <v>31.84188270568848</v>
      </c>
      <c r="E334" t="n">
        <v>25.81917762756348</v>
      </c>
      <c r="F334" t="n">
        <v/>
      </c>
    </row>
    <row r="335">
      <c r="A335" s="81" t="n">
        <v>44834</v>
      </c>
      <c r="B335" t="n">
        <v/>
      </c>
      <c r="C335" t="n">
        <v>77.83000183105469</v>
      </c>
      <c r="D335" t="n">
        <v>31.97999954223633</v>
      </c>
      <c r="E335" t="n">
        <v>26.20999908447266</v>
      </c>
      <c r="F335" t="n">
        <v/>
      </c>
    </row>
    <row r="336">
      <c r="A336" s="81" t="n">
        <v>44835</v>
      </c>
      <c r="B336" t="n">
        <v/>
      </c>
      <c r="C336" t="n">
        <v>82.13504028320312</v>
      </c>
      <c r="D336" t="n">
        <v>35.05793380737305</v>
      </c>
      <c r="E336" t="n">
        <v>27.62189102172852</v>
      </c>
      <c r="F336" t="n">
        <v>-0.0003189855503469868</v>
      </c>
    </row>
    <row r="337">
      <c r="A337" s="81" t="n">
        <v>44866</v>
      </c>
      <c r="B337" t="n">
        <v/>
      </c>
      <c r="C337" t="n">
        <v>88.98210906982422</v>
      </c>
      <c r="D337" t="n">
        <v>40.36491394042969</v>
      </c>
      <c r="E337" t="n">
        <v>31.05985069274902</v>
      </c>
      <c r="F337" t="n">
        <v/>
      </c>
    </row>
    <row r="338">
      <c r="A338" s="81" t="n">
        <v>44896</v>
      </c>
      <c r="B338" t="n">
        <v/>
      </c>
      <c r="C338" t="n">
        <v>84.22885131835938</v>
      </c>
      <c r="D338" t="n">
        <v>39.30949020385742</v>
      </c>
      <c r="E338" t="n">
        <v>30.20282363891602</v>
      </c>
      <c r="F338" t="n">
        <v/>
      </c>
    </row>
    <row r="339">
      <c r="A339" s="81" t="n">
        <v>44927</v>
      </c>
      <c r="B339" t="n">
        <v/>
      </c>
      <c r="C339" t="n">
        <v>91.25</v>
      </c>
      <c r="D339" t="n">
        <v>44.34000015258789</v>
      </c>
      <c r="E339" t="n">
        <v>32.56999969482422</v>
      </c>
      <c r="F339" t="n">
        <v/>
      </c>
    </row>
    <row r="340">
      <c r="A340" s="81" t="n">
        <v>44958</v>
      </c>
      <c r="B340" t="n">
        <v/>
      </c>
      <c r="C340" t="n">
        <v>88.22000122070312</v>
      </c>
      <c r="D340" t="n">
        <v>43.58000183105469</v>
      </c>
      <c r="E340" t="n">
        <v>32.27999877929688</v>
      </c>
      <c r="F340"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23"/>
  <sheetViews>
    <sheetView zoomScale="140" zoomScaleNormal="14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0.187</v>
      </c>
    </row>
    <row r="198">
      <c r="A198" s="81" t="n">
        <v>44317</v>
      </c>
      <c r="B198" t="n">
        <v>51</v>
      </c>
    </row>
    <row r="199">
      <c r="A199" s="81" t="n">
        <v>44348</v>
      </c>
      <c r="B199" t="n">
        <v>50.9</v>
      </c>
    </row>
    <row r="200">
      <c r="A200" s="81" t="n">
        <v>44378</v>
      </c>
      <c r="B200" t="n">
        <v>50.4</v>
      </c>
      <c r="C200" t="n">
        <v>0.083</v>
      </c>
    </row>
    <row r="201">
      <c r="A201" s="81" t="n">
        <v>44409</v>
      </c>
      <c r="B201" t="n">
        <v>50.1</v>
      </c>
    </row>
    <row r="202">
      <c r="A202" s="81" t="n">
        <v>44440</v>
      </c>
      <c r="B202" t="n">
        <v>49.6</v>
      </c>
    </row>
    <row r="203">
      <c r="A203" s="81" t="n">
        <v>44470</v>
      </c>
      <c r="B203" t="n">
        <v>49.2</v>
      </c>
      <c r="C203" t="n">
        <v>0.052</v>
      </c>
    </row>
    <row r="204">
      <c r="A204" s="81" t="n">
        <v>44501</v>
      </c>
      <c r="B204" t="n">
        <v>50.1</v>
      </c>
    </row>
    <row r="205">
      <c r="A205" s="81" t="n">
        <v>44531</v>
      </c>
      <c r="B205" t="n">
        <v>50.3</v>
      </c>
    </row>
    <row r="206">
      <c r="A206" s="81" t="n">
        <v>44562</v>
      </c>
      <c r="B206" t="n">
        <v>50.1</v>
      </c>
      <c r="C206" t="n">
        <v>0.043</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44896</v>
      </c>
      <c r="B217" t="n">
        <v>47</v>
      </c>
    </row>
    <row r="218">
      <c r="A218" s="81" t="n">
        <v>44927</v>
      </c>
      <c r="B218" t="n">
        <v>50.1</v>
      </c>
      <c r="C218" t="n">
        <v>0.029</v>
      </c>
    </row>
    <row r="219">
      <c r="A219" s="81" t="n">
        <v>44958</v>
      </c>
      <c r="B219" t="n">
        <v>52.6</v>
      </c>
    </row>
    <row r="220">
      <c r="A220" s="81" t="n">
        <v>45017</v>
      </c>
    </row>
    <row r="221">
      <c r="A221" s="81" t="n">
        <v>45108</v>
      </c>
    </row>
    <row r="222">
      <c r="A222" s="81" t="n">
        <v>45200</v>
      </c>
    </row>
    <row r="223">
      <c r="A223" s="81" t="n">
        <v>45292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50"/>
  <sheetViews>
    <sheetView zoomScale="130" zoomScaleNormal="130" workbookViewId="0">
      <pane ySplit="1" topLeftCell="A131"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row r="148">
      <c r="A148" s="81" t="n">
        <v>44896</v>
      </c>
      <c r="B148" t="n">
        <v>48.4</v>
      </c>
    </row>
    <row r="149">
      <c r="A149" s="81" t="n">
        <v>44927</v>
      </c>
      <c r="B149" t="n">
        <v>47.4</v>
      </c>
    </row>
    <row r="150">
      <c r="A150" s="81" t="n">
        <v>44958</v>
      </c>
      <c r="B150" t="n">
        <v>47.7</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7"/>
  <sheetViews>
    <sheetView tabSelected="1" zoomScale="96" zoomScaleNormal="110" workbookViewId="0">
      <pane xSplit="2" ySplit="11" topLeftCell="C98" activePane="bottomRight" state="frozen"/>
      <selection activeCell="H345" sqref="H345"/>
      <selection pane="topRight" activeCell="H345" sqref="H345"/>
      <selection pane="bottomLeft" activeCell="H345" sqref="H345"/>
      <selection pane="bottomRight" activeCell="AG2" sqref="AG2"/>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44958</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c r="B105" s="29" t="n">
        <v>44896</v>
      </c>
      <c r="C105" s="30">
        <f>VLOOKUP(B105,Global!$A:$B,2,)</f>
        <v/>
      </c>
      <c r="D105" s="30">
        <f>VLOOKUP(B105,US!$A:$D,4,)</f>
        <v/>
      </c>
      <c r="E105" s="30">
        <f>VLOOKUP(B105,US!$A:$B,2,)</f>
        <v/>
      </c>
      <c r="F105" s="30">
        <f>VLOOKUP(B105,China!$A:$B,2,)</f>
        <v/>
      </c>
      <c r="G105" s="30">
        <f>VLOOKUP(B105,'Euro Area'!A:B,2,)</f>
        <v/>
      </c>
      <c r="H105" s="30">
        <f>VLOOKUP(B105,Japan!$A:$B,2,)</f>
        <v/>
      </c>
      <c r="I105" s="30">
        <f>VLOOKUP(B105,Germany!$A:$B,2,)</f>
        <v/>
      </c>
      <c r="J105" s="30">
        <f>VLOOKUP(B105,France!$A:$B,2,)</f>
        <v/>
      </c>
      <c r="K105" s="30">
        <f>VLOOKUP(B105,UK!$A:$B,2,)</f>
        <v/>
      </c>
      <c r="L105" s="30">
        <f>VLOOKUP(B105,Italy!$A:$B,2,)</f>
        <v/>
      </c>
      <c r="M105" s="30">
        <f>VLOOKUP(B105,Spain!$A:$B,2,)</f>
        <v/>
      </c>
      <c r="N105" s="30">
        <f>VLOOKUP(B105,Brazil!$A:$B,2,)</f>
        <v/>
      </c>
      <c r="O105" s="30">
        <f>VLOOKUP(B105,Mexico!$A:$B,2,)</f>
        <v/>
      </c>
      <c r="P105" s="30">
        <f>VLOOKUP(B105,Russia!$A:$B,2,)</f>
        <v/>
      </c>
      <c r="Q105" s="30">
        <f>VLOOKUP(B105,India!$A:$B,2,)</f>
        <v/>
      </c>
      <c r="R105" s="30">
        <f>VLOOKUP(B105,Canada!$A:$B,2,)</f>
        <v/>
      </c>
      <c r="S105" s="30">
        <f>VLOOKUP(B105,Australia!$A:$B,2,)</f>
        <v/>
      </c>
      <c r="T105" s="30">
        <f>VLOOKUP(B105,Indonesia!$A:$B,2,)</f>
        <v/>
      </c>
      <c r="U105" s="30">
        <f>VLOOKUP(B105,SouthKorea!$A:$B,2,)</f>
        <v/>
      </c>
      <c r="V105" s="30">
        <f>VLOOKUP(B105,Taiwan!$A:$B,2,)</f>
        <v/>
      </c>
      <c r="W105" s="30">
        <f>VLOOKUP(B105,Greece!$A:$B,2,)</f>
        <v/>
      </c>
      <c r="X105" s="30">
        <f>VLOOKUP(B105,Ireland!$A:$B,2,)</f>
        <v/>
      </c>
      <c r="Y105" s="30">
        <f>VLOOKUP(B105,Turkey!$A:$B,2,)</f>
        <v/>
      </c>
      <c r="Z105" s="30">
        <f>VLOOKUP(B105,CzechRepublic!$A:$B,2,)</f>
        <v/>
      </c>
      <c r="AA105" s="30">
        <f>VLOOKUP(B105,Poland!$A:$B,2,)</f>
        <v/>
      </c>
      <c r="AB105" s="30">
        <f>VLOOKUP(B105,Denmark!$A:$B,2,)</f>
        <v/>
      </c>
    </row>
    <row r="106" customFormat="1" s="69">
      <c r="B106" s="29" t="n">
        <v>44927</v>
      </c>
      <c r="C106" s="30">
        <f>VLOOKUP(B106,Global!$A:$B,2,)</f>
        <v/>
      </c>
      <c r="D106" s="30">
        <f>VLOOKUP(B106,US!$A:$D,4,)</f>
        <v/>
      </c>
      <c r="E106" s="30">
        <f>VLOOKUP(B106,US!$A:$B,2,)</f>
        <v/>
      </c>
      <c r="F106" s="30">
        <f>VLOOKUP(B106,China!$A:$B,2,)</f>
        <v/>
      </c>
      <c r="G106" s="30">
        <f>VLOOKUP(B106,'Euro Area'!A:B,2,)</f>
        <v/>
      </c>
      <c r="H106" s="30">
        <f>VLOOKUP(B106,Japan!$A:$B,2,)</f>
        <v/>
      </c>
      <c r="I106" s="30">
        <f>VLOOKUP(B106,Germany!$A:$B,2,)</f>
        <v/>
      </c>
      <c r="J106" s="30">
        <f>VLOOKUP(B106,France!$A:$B,2,)</f>
        <v/>
      </c>
      <c r="K106" s="30">
        <f>VLOOKUP(B106,UK!$A:$B,2,)</f>
        <v/>
      </c>
      <c r="L106" s="30">
        <f>VLOOKUP(B106,Italy!$A:$B,2,)</f>
        <v/>
      </c>
      <c r="M106" s="30">
        <f>VLOOKUP(B106,Spain!$A:$B,2,)</f>
        <v/>
      </c>
      <c r="N106" s="30">
        <f>VLOOKUP(B106,Brazil!$A:$B,2,)</f>
        <v/>
      </c>
      <c r="O106" s="30">
        <f>VLOOKUP(B106,Mexico!$A:$B,2,)</f>
        <v/>
      </c>
      <c r="P106" s="30">
        <f>VLOOKUP(B106,Russia!$A:$B,2,)</f>
        <v/>
      </c>
      <c r="Q106" s="30">
        <f>VLOOKUP(B106,India!$A:$B,2,)</f>
        <v/>
      </c>
      <c r="R106" s="30">
        <f>VLOOKUP(B106,Canada!$A:$B,2,)</f>
        <v/>
      </c>
      <c r="S106" s="30">
        <f>VLOOKUP(B106,Australia!$A:$B,2,)</f>
        <v/>
      </c>
      <c r="T106" s="30">
        <f>VLOOKUP(B106,Indonesia!$A:$B,2,)</f>
        <v/>
      </c>
      <c r="U106" s="30">
        <f>VLOOKUP(B106,SouthKorea!$A:$B,2,)</f>
        <v/>
      </c>
      <c r="V106" s="30">
        <f>VLOOKUP(B106,Taiwan!$A:$B,2,)</f>
        <v/>
      </c>
      <c r="W106" s="30">
        <f>VLOOKUP(B106,Greece!$A:$B,2,)</f>
        <v/>
      </c>
      <c r="X106" s="30">
        <f>VLOOKUP(B106,Ireland!$A:$B,2,)</f>
        <v/>
      </c>
      <c r="Y106" s="30">
        <f>VLOOKUP(B106,Turkey!$A:$B,2,)</f>
        <v/>
      </c>
      <c r="Z106" s="30">
        <f>VLOOKUP(B106,CzechRepublic!$A:$B,2,)</f>
        <v/>
      </c>
      <c r="AA106" s="30">
        <f>VLOOKUP(B106,Poland!$A:$B,2,)</f>
        <v/>
      </c>
      <c r="AB106" s="30">
        <f>VLOOKUP(B106,Denmark!$A:$B,2,)</f>
        <v/>
      </c>
    </row>
    <row r="107" customFormat="1" s="69">
      <c r="B107" s="29" t="n">
        <v>44958</v>
      </c>
      <c r="C107" s="30">
        <f>VLOOKUP(B107,Global!$A:$B,2,)</f>
        <v/>
      </c>
      <c r="D107" s="30">
        <f>VLOOKUP(B107,US!$A:$D,4,)</f>
        <v/>
      </c>
      <c r="E107" s="30">
        <f>VLOOKUP(B107,US!$A:$B,2,)</f>
        <v/>
      </c>
      <c r="F107" s="30">
        <f>VLOOKUP(B107,China!$A:$B,2,)</f>
        <v/>
      </c>
      <c r="G107" s="30">
        <f>VLOOKUP(B107,'Euro Area'!A:B,2,)</f>
        <v/>
      </c>
      <c r="H107" s="30">
        <f>VLOOKUP(B107,Japan!$A:$B,2,)</f>
        <v/>
      </c>
      <c r="I107" s="30">
        <f>VLOOKUP(B107,Germany!$A:$B,2,)</f>
        <v/>
      </c>
      <c r="J107" s="30">
        <f>VLOOKUP(B107,France!$A:$B,2,)</f>
        <v/>
      </c>
      <c r="K107" s="30">
        <f>VLOOKUP(B107,UK!$A:$B,2,)</f>
        <v/>
      </c>
      <c r="L107" s="30">
        <f>VLOOKUP(B107,Italy!$A:$B,2,)</f>
        <v/>
      </c>
      <c r="M107" s="30">
        <f>VLOOKUP(B107,Spain!$A:$B,2,)</f>
        <v/>
      </c>
      <c r="N107" s="30">
        <f>VLOOKUP(B107,Brazil!$A:$B,2,)</f>
        <v/>
      </c>
      <c r="O107" s="30">
        <f>VLOOKUP(B107,Mexico!$A:$B,2,)</f>
        <v/>
      </c>
      <c r="P107" s="30">
        <f>VLOOKUP(B107,Russia!$A:$B,2,)</f>
        <v/>
      </c>
      <c r="Q107" s="30">
        <f>VLOOKUP(B107,India!$A:$B,2,)</f>
        <v/>
      </c>
      <c r="R107" s="30">
        <f>VLOOKUP(B107,Canada!$A:$B,2,)</f>
        <v/>
      </c>
      <c r="S107" s="30">
        <f>VLOOKUP(B107,Australia!$A:$B,2,)</f>
        <v/>
      </c>
      <c r="T107" s="30">
        <f>VLOOKUP(B107,Indonesia!$A:$B,2,)</f>
        <v/>
      </c>
      <c r="U107" s="30">
        <f>VLOOKUP(B107,SouthKorea!$A:$B,2,)</f>
        <v/>
      </c>
      <c r="V107" s="30">
        <f>VLOOKUP(B107,Taiwan!$A:$B,2,)</f>
        <v/>
      </c>
      <c r="W107" s="30">
        <f>VLOOKUP(B107,Greece!$A:$B,2,)</f>
        <v/>
      </c>
      <c r="X107" s="30">
        <f>VLOOKUP(B107,Ireland!$A:$B,2,)</f>
        <v/>
      </c>
      <c r="Y107" s="30">
        <f>VLOOKUP(B107,Turkey!$A:$B,2,)</f>
        <v/>
      </c>
      <c r="Z107" s="30">
        <f>VLOOKUP(B107,CzechRepublic!$A:$B,2,)</f>
        <v/>
      </c>
      <c r="AA107" s="30">
        <f>VLOOKUP(B107,Poland!$A:$B,2,)</f>
        <v/>
      </c>
      <c r="AB107" s="30">
        <f>VLOOKUP(B107,Denmark!$A:$B,2,)</f>
        <v/>
      </c>
    </row>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12:AB107">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tabColor rgb="FFFFC000"/>
    <outlinePr summaryBelow="1" summaryRight="1"/>
    <pageSetUpPr/>
  </sheetPr>
  <dimension ref="A1:K146"/>
  <sheetViews>
    <sheetView zoomScale="110" zoomScaleNormal="110" workbookViewId="0">
      <pane ySplit="5" topLeftCell="A134" activePane="bottomLeft" state="frozen"/>
      <selection activeCell="X324" sqref="X324"/>
      <selection pane="bottomLeft" activeCell="H152" sqref="H152"/>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61"/>
    <col width="9.1796875" customWidth="1" style="69" min="62"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4"/>
  <sheetViews>
    <sheetView zoomScale="90" zoomScaleNormal="90" workbookViewId="0">
      <pane ySplit="5" topLeftCell="A128" activePane="bottomLeft" state="frozen"/>
      <selection activeCell="O117" sqref="O117"/>
      <selection pane="bottomLeft" activeCell="A148" sqref="A148:D154"/>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61"/>
    <col width="9.1796875" customWidth="1" style="69" min="62"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row r="152">
      <c r="A152" s="10" t="n">
        <v>44896</v>
      </c>
      <c r="B152" s="18">
        <f>IF(VLOOKUP(A152,'DB Country PMI'!$A:$AZ,MATCH($A$1,'DB Country PMI'!$A$1:$AZ$1,),)=0,#N/A,VLOOKUP(A152,'DB Country PMI'!$A:$AZ,MATCH($A$1,'DB Country PMI'!$A$1:$AZ$1,),))</f>
        <v/>
      </c>
      <c r="C152" s="24">
        <f>Table1346811[[#This Row],[PMI]]-B151</f>
        <v/>
      </c>
      <c r="D152" s="24">
        <f>IF(VLOOKUP(Table1346811[[#This Row],[Date]],'DB US ISM Manufacturing'!$A:$B,2)=0,#N/A,VLOOKUP(Table1346811[[#This Row],[Date]],'DB US ISM Manufacturing'!$A:$B,2))</f>
        <v/>
      </c>
    </row>
    <row r="153">
      <c r="A153" s="10" t="n">
        <v>44927</v>
      </c>
      <c r="B153" s="18">
        <f>IF(VLOOKUP(A153,'DB Country PMI'!$A:$AZ,MATCH($A$1,'DB Country PMI'!$A$1:$AZ$1,),)=0,#N/A,VLOOKUP(A153,'DB Country PMI'!$A:$AZ,MATCH($A$1,'DB Country PMI'!$A$1:$AZ$1,),))</f>
        <v/>
      </c>
      <c r="C153" s="24">
        <f>Table1346811[[#This Row],[PMI]]-B152</f>
        <v/>
      </c>
      <c r="D153" s="24">
        <f>IF(VLOOKUP(Table1346811[[#This Row],[Date]],'DB US ISM Manufacturing'!$A:$B,2)=0,#N/A,VLOOKUP(Table1346811[[#This Row],[Date]],'DB US ISM Manufacturing'!$A:$B,2))</f>
        <v/>
      </c>
    </row>
    <row r="154">
      <c r="A154" s="10" t="n">
        <v>44958</v>
      </c>
      <c r="B154" s="18">
        <f>IF(VLOOKUP(A154,'DB Country PMI'!$A:$AZ,MATCH($A$1,'DB Country PMI'!$A$1:$AZ$1,),)=0,#N/A,VLOOKUP(A154,'DB Country PMI'!$A:$AZ,MATCH($A$1,'DB Country PMI'!$A$1:$AZ$1,),))</f>
        <v/>
      </c>
      <c r="C154" s="24">
        <f>Table1346811[[#This Row],[PMI]]-B153</f>
        <v/>
      </c>
      <c r="D154" s="24">
        <f>IF(VLOOKUP(Table1346811[[#This Row],[Date]],'DB US ISM Manufacturing'!$A:$B,2)=0,#N/A,VLOOKUP(Table1346811[[#This Row],[Date]],'DB US ISM Manufacturing'!$A:$B,2))</f>
        <v/>
      </c>
    </row>
  </sheetData>
  <conditionalFormatting sqref="C7:C106">
    <cfRule type="colorScale" priority="2">
      <colorScale>
        <cfvo type="min"/>
        <cfvo type="percentile" val="50"/>
        <cfvo type="max"/>
        <color rgb="FFF8696B"/>
        <color rgb="FFFCFCFF"/>
        <color rgb="FF5A8AC6"/>
      </colorScale>
    </cfRule>
  </conditionalFormatting>
  <conditionalFormatting sqref="B6:B154">
    <cfRule type="colorScale" priority="64">
      <colorScale>
        <cfvo type="min"/>
        <cfvo type="percentile" val="50"/>
        <cfvo type="max"/>
        <color rgb="FFF8696B"/>
        <color rgb="FFFFEB84"/>
        <color rgb="FF63BE7B"/>
      </colorScale>
    </cfRule>
  </conditionalFormatting>
  <conditionalFormatting sqref="D6:D154">
    <cfRule type="colorScale" priority="6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3"/>
  <sheetViews>
    <sheetView zoomScale="80" zoomScaleNormal="80" workbookViewId="0">
      <pane ySplit="5" topLeftCell="A195" activePane="bottomLeft" state="frozen"/>
      <selection activeCell="K199" sqref="K199"/>
      <selection pane="bottomLeft" activeCell="A216" sqref="A216:F223"/>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61"/>
    <col width="9.1796875" customWidth="1" style="69" min="62"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row r="221">
      <c r="A221" s="10" t="n">
        <v>44896</v>
      </c>
      <c r="B221" s="18">
        <f>IF(VLOOKUP(A221,'DB Country PMI'!$A:$AZ,MATCH($A$2,'DB Country PMI'!$A$1:$AZ$1,),)=0,#N/A,VLOOKUP(A221,'DB Country PMI'!$A:$AZ,MATCH($A$2,'DB Country PMI'!$A$1:$AZ$1,),))</f>
        <v/>
      </c>
      <c r="C221" s="24">
        <f>Table1346811121415161718192021[[#This Row],[Caixin PMI]]-B220</f>
        <v/>
      </c>
      <c r="D221" s="24">
        <f>IF(VLOOKUP(Table1346811121415161718192021[[#This Row],[Date]],'DB China Official PMI'!$A:$C,2)=0,#N/A,VLOOKUP(Table1346811121415161718192021[[#This Row],[Date]],'DB China Official PMI'!$A:$C,2))</f>
        <v/>
      </c>
      <c r="E221" s="24">
        <f>Table1346811121415161718192021[[#This Row],[Official PMI]]-D220</f>
        <v/>
      </c>
      <c r="F221" s="52">
        <f>IF(VLOOKUP(Table1346811121415161718192021[[#This Row],[Date]],'DB China Official PMI'!$A:$C,3)=0,"",VLOOKUP(Table1346811121415161718192021[[#This Row],[Date]],'DB China Official PMI'!$A:$C,3))</f>
        <v/>
      </c>
    </row>
    <row r="222">
      <c r="A222" s="10" t="n">
        <v>44927</v>
      </c>
      <c r="B222" s="18">
        <f>IF(VLOOKUP(A222,'DB Country PMI'!$A:$AZ,MATCH($A$2,'DB Country PMI'!$A$1:$AZ$1,),)=0,#N/A,VLOOKUP(A222,'DB Country PMI'!$A:$AZ,MATCH($A$2,'DB Country PMI'!$A$1:$AZ$1,),))</f>
        <v/>
      </c>
      <c r="C222" s="24">
        <f>Table1346811121415161718192021[[#This Row],[Caixin PMI]]-B221</f>
        <v/>
      </c>
      <c r="D222" s="24">
        <f>IF(VLOOKUP(Table1346811121415161718192021[[#This Row],[Date]],'DB China Official PMI'!$A:$C,2)=0,#N/A,VLOOKUP(Table1346811121415161718192021[[#This Row],[Date]],'DB China Official PMI'!$A:$C,2))</f>
        <v/>
      </c>
      <c r="E222" s="24">
        <f>Table1346811121415161718192021[[#This Row],[Official PMI]]-D221</f>
        <v/>
      </c>
      <c r="F222" s="52">
        <f>IF(VLOOKUP(Table1346811121415161718192021[[#This Row],[Date]],'DB China Official PMI'!$A:$C,3)=0,"",VLOOKUP(Table1346811121415161718192021[[#This Row],[Date]],'DB China Official PMI'!$A:$C,3))</f>
        <v/>
      </c>
    </row>
    <row r="223">
      <c r="A223" s="10" t="n">
        <v>44958</v>
      </c>
      <c r="B223" s="18">
        <f>IF(VLOOKUP(A223,'DB Country PMI'!$A:$AZ,MATCH($A$2,'DB Country PMI'!$A$1:$AZ$1,),)=0,#N/A,VLOOKUP(A223,'DB Country PMI'!$A:$AZ,MATCH($A$2,'DB Country PMI'!$A$1:$AZ$1,),))</f>
        <v/>
      </c>
      <c r="C223" s="24">
        <f>Table1346811121415161718192021[[#This Row],[Caixin PMI]]-B222</f>
        <v/>
      </c>
      <c r="D223" s="24">
        <f>IF(VLOOKUP(Table1346811121415161718192021[[#This Row],[Date]],'DB China Official PMI'!$A:$C,2)=0,#N/A,VLOOKUP(Table1346811121415161718192021[[#This Row],[Date]],'DB China Official PMI'!$A:$C,2))</f>
        <v/>
      </c>
      <c r="E223" s="24">
        <f>Table1346811121415161718192021[[#This Row],[Official PMI]]-D222</f>
        <v/>
      </c>
      <c r="F223" s="52">
        <f>IF(VLOOKUP(Table1346811121415161718192021[[#This Row],[Date]],'DB China Official PMI'!$A:$C,3)=0,"",VLOOKUP(Table1346811121415161718192021[[#This Row],[Date]],'DB China Official PMI'!$A:$C,3))</f>
        <v/>
      </c>
    </row>
  </sheetData>
  <conditionalFormatting sqref="C66:C223">
    <cfRule type="colorScale" priority="4">
      <colorScale>
        <cfvo type="min"/>
        <cfvo type="percentile" val="50"/>
        <cfvo type="max"/>
        <color rgb="FFF8696B"/>
        <color rgb="FFFCFCFF"/>
        <color rgb="FF5A8AC6"/>
      </colorScale>
    </cfRule>
  </conditionalFormatting>
  <conditionalFormatting sqref="E66:E223">
    <cfRule type="colorScale" priority="3">
      <colorScale>
        <cfvo type="min"/>
        <cfvo type="percentile" val="50"/>
        <cfvo type="max"/>
        <color rgb="FFF8696B"/>
        <color rgb="FFFCFCFF"/>
        <color rgb="FF5A8AC6"/>
      </colorScale>
    </cfRule>
  </conditionalFormatting>
  <conditionalFormatting sqref="B66:B223">
    <cfRule type="colorScale" priority="2">
      <colorScale>
        <cfvo type="min"/>
        <cfvo type="percentile" val="50"/>
        <cfvo type="max"/>
        <color rgb="FFF8696B"/>
        <color rgb="FFFFEB84"/>
        <color rgb="FF63BE7B"/>
      </colorScale>
    </cfRule>
  </conditionalFormatting>
  <conditionalFormatting sqref="D66:D223">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4"/>
  <sheetViews>
    <sheetView zoomScale="70" zoomScaleNormal="70" workbookViewId="0">
      <pane ySplit="5" topLeftCell="A188" activePane="bottomLeft" state="frozen"/>
      <selection activeCell="P121" sqref="P121"/>
      <selection pane="bottomLeft" activeCell="A215" sqref="A215:G22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row r="222">
      <c r="A222" s="10" t="n">
        <v>44896</v>
      </c>
      <c r="B222" s="18">
        <f>IF(VLOOKUP(A222,'DB Country PMI'!$A:$AZ,MATCH($A$1,'DB Country PMI'!$A$1:$AZ$1,),)=0,#N/A,VLOOKUP(A222,'DB Country PMI'!$A:$AZ,MATCH($A$1,'DB Country PMI'!$A$1:$AZ$1,),))</f>
        <v/>
      </c>
      <c r="C222" s="24">
        <f>Table13468111214[[#This Row],[Euro Area PMI]]-B221</f>
        <v/>
      </c>
      <c r="D222" s="11">
        <f>IF(VLOOKUP(Table13468111214[[#This Row],[Date]],'DB Global PMI'!$A:$F,4)=0,#N/A,VLOOKUP(Table13468111214[[#This Row],[Date]],'DB Global PMI'!$A:$F,4))</f>
        <v/>
      </c>
      <c r="E222" s="24">
        <f>Table13468111214[[#This Row],[Euro Area PMI]]-B210</f>
        <v/>
      </c>
      <c r="F222" s="52">
        <f>(Table13468111214[[#This Row],[EZU]]-D210)/D210</f>
        <v/>
      </c>
      <c r="G222" s="52">
        <f>IF(VLOOKUP(Table13468111214[[#This Row],[Date]],'DB Global PMI'!$A:$F,6)=0,"",VLOOKUP(Table13468111214[[#This Row],[Date]],'DB Global PMI'!$A:$F,6))</f>
        <v/>
      </c>
    </row>
    <row r="223">
      <c r="A223" s="10" t="n">
        <v>44927</v>
      </c>
      <c r="B223" s="18">
        <f>IF(VLOOKUP(A223,'DB Country PMI'!$A:$AZ,MATCH($A$1,'DB Country PMI'!$A$1:$AZ$1,),)=0,#N/A,VLOOKUP(A223,'DB Country PMI'!$A:$AZ,MATCH($A$1,'DB Country PMI'!$A$1:$AZ$1,),))</f>
        <v/>
      </c>
      <c r="C223" s="24">
        <f>Table13468111214[[#This Row],[Euro Area PMI]]-B222</f>
        <v/>
      </c>
      <c r="D223" s="11">
        <f>IF(VLOOKUP(Table13468111214[[#This Row],[Date]],'DB Global PMI'!$A:$F,4)=0,#N/A,VLOOKUP(Table13468111214[[#This Row],[Date]],'DB Global PMI'!$A:$F,4))</f>
        <v/>
      </c>
      <c r="E223" s="24">
        <f>Table13468111214[[#This Row],[Euro Area PMI]]-B211</f>
        <v/>
      </c>
      <c r="F223" s="52">
        <f>(Table13468111214[[#This Row],[EZU]]-D211)/D211</f>
        <v/>
      </c>
      <c r="G223" s="52">
        <f>IF(VLOOKUP(Table13468111214[[#This Row],[Date]],'DB Global PMI'!$A:$F,6)=0,"",VLOOKUP(Table13468111214[[#This Row],[Date]],'DB Global PMI'!$A:$F,6))</f>
        <v/>
      </c>
    </row>
    <row r="224">
      <c r="A224" s="10" t="n">
        <v>44958</v>
      </c>
      <c r="B224" s="18">
        <f>IF(VLOOKUP(A224,'DB Country PMI'!$A:$AZ,MATCH($A$1,'DB Country PMI'!$A$1:$AZ$1,),)=0,#N/A,VLOOKUP(A224,'DB Country PMI'!$A:$AZ,MATCH($A$1,'DB Country PMI'!$A$1:$AZ$1,),))</f>
        <v/>
      </c>
      <c r="C224" s="24">
        <f>Table13468111214[[#This Row],[Euro Area PMI]]-B223</f>
        <v/>
      </c>
      <c r="D224" s="11">
        <f>IF(VLOOKUP(Table13468111214[[#This Row],[Date]],'DB Global PMI'!$A:$F,4)=0,#N/A,VLOOKUP(Table13468111214[[#This Row],[Date]],'DB Global PMI'!$A:$F,4))</f>
        <v/>
      </c>
      <c r="E224" s="24">
        <f>Table13468111214[[#This Row],[Euro Area PMI]]-B212</f>
        <v/>
      </c>
      <c r="F224" s="52">
        <f>(Table13468111214[[#This Row],[EZU]]-D212)/D212</f>
        <v/>
      </c>
      <c r="G224"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4">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6"/>
  <sheetViews>
    <sheetView zoomScale="90" zoomScaleNormal="90" workbookViewId="0">
      <pane ySplit="5" topLeftCell="A164" activePane="bottomLeft" state="frozen"/>
      <selection activeCell="B327" sqref="B327"/>
      <selection pane="bottomLeft" activeCell="A179" sqref="A179:C186"/>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row r="184">
      <c r="A184" s="10" t="n">
        <v>44896</v>
      </c>
      <c r="B184" s="18">
        <f>IF(VLOOKUP(A184,'DB Country PMI'!$A:$AZ,MATCH($A$1,'DB Country PMI'!$A$1:$AZ$1,),)=0,#N/A,VLOOKUP(A184,'DB Country PMI'!$A:$AZ,MATCH($A$1,'DB Country PMI'!$A$1:$AZ$1,),))</f>
        <v/>
      </c>
      <c r="C184" s="24">
        <f>Table1346811121415161718192022[[#This Row],[PMI]]-B183</f>
        <v/>
      </c>
    </row>
    <row r="185">
      <c r="A185" s="10" t="n">
        <v>44927</v>
      </c>
      <c r="B185" s="18">
        <f>IF(VLOOKUP(A185,'DB Country PMI'!$A:$AZ,MATCH($A$1,'DB Country PMI'!$A$1:$AZ$1,),)=0,#N/A,VLOOKUP(A185,'DB Country PMI'!$A:$AZ,MATCH($A$1,'DB Country PMI'!$A$1:$AZ$1,),))</f>
        <v/>
      </c>
      <c r="C185" s="24">
        <f>Table1346811121415161718192022[[#This Row],[PMI]]-B184</f>
        <v/>
      </c>
    </row>
    <row r="186">
      <c r="A186" s="10" t="n">
        <v>44958</v>
      </c>
      <c r="B186" s="18">
        <f>IF(VLOOKUP(A186,'DB Country PMI'!$A:$AZ,MATCH($A$1,'DB Country PMI'!$A$1:$AZ$1,),)=0,#N/A,VLOOKUP(A186,'DB Country PMI'!$A:$AZ,MATCH($A$1,'DB Country PMI'!$A$1:$AZ$1,),))</f>
        <v/>
      </c>
      <c r="C186" s="24">
        <f>Table1346811121415161718192022[[#This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6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7"/>
  <sheetViews>
    <sheetView zoomScale="80" zoomScaleNormal="80" workbookViewId="0">
      <pane ySplit="5" topLeftCell="A161" activePane="bottomLeft" state="frozen"/>
      <selection pane="bottomLeft" activeCell="A180" sqref="A180:C187"/>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row r="185">
      <c r="A185" s="10" t="n">
        <v>44896</v>
      </c>
      <c r="B185" s="18">
        <f>IF(VLOOKUP(A185,'DB Country PMI'!$A:$AZ,MATCH($A$1,'DB Country PMI'!$A$1:$AZ$1,),)=0,#N/A,VLOOKUP(A185,'DB Country PMI'!$A:$AZ,MATCH($A$1,'DB Country PMI'!$A$1:$AZ$1,),))</f>
        <v/>
      </c>
      <c r="C185" s="24">
        <f>Table1346811121415[[#This Row],[PMI]]-B184</f>
        <v/>
      </c>
    </row>
    <row r="186">
      <c r="A186" s="10" t="n">
        <v>44927</v>
      </c>
      <c r="B186" s="18">
        <f>IF(VLOOKUP(A186,'DB Country PMI'!$A:$AZ,MATCH($A$1,'DB Country PMI'!$A$1:$AZ$1,),)=0,#N/A,VLOOKUP(A186,'DB Country PMI'!$A:$AZ,MATCH($A$1,'DB Country PMI'!$A$1:$AZ$1,),))</f>
        <v/>
      </c>
      <c r="C186" s="24">
        <f>Table1346811121415[[#This Row],[PMI]]-B185</f>
        <v/>
      </c>
    </row>
    <row r="187">
      <c r="A187" s="10" t="n">
        <v>44958</v>
      </c>
      <c r="B187" s="18">
        <f>IF(VLOOKUP(A187,'DB Country PMI'!$A:$AZ,MATCH($A$1,'DB Country PMI'!$A$1:$AZ$1,),)=0,#N/A,VLOOKUP(A187,'DB Country PMI'!$A:$AZ,MATCH($A$1,'DB Country PMI'!$A$1:$AZ$1,),))</f>
        <v/>
      </c>
      <c r="C187" s="24">
        <f>Table1346811121415[[#This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80"/>
  <sheetViews>
    <sheetView zoomScaleNormal="100" workbookViewId="0">
      <pane ySplit="5" topLeftCell="A157" activePane="bottomLeft" state="frozen"/>
      <selection pane="bottomLeft" activeCell="A172" sqref="A172:C180"/>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row r="178">
      <c r="A178" s="10" t="n">
        <v>44896</v>
      </c>
      <c r="B178" s="18">
        <f>IF(VLOOKUP(A178,'DB Country PMI'!$A:$AZ,MATCH($A$1,'DB Country PMI'!$A$1:$AZ$1,),)=0,#N/A,VLOOKUP(A178,'DB Country PMI'!$A:$AZ,MATCH($A$1,'DB Country PMI'!$A$1:$AZ$1,),))</f>
        <v/>
      </c>
      <c r="C178" s="24">
        <f>Table134681112141516[[#This Row],[PMI]]-B177</f>
        <v/>
      </c>
    </row>
    <row r="179">
      <c r="A179" s="10" t="n">
        <v>44927</v>
      </c>
      <c r="B179" s="18">
        <f>IF(VLOOKUP(A179,'DB Country PMI'!$A:$AZ,MATCH($A$1,'DB Country PMI'!$A$1:$AZ$1,),)=0,#N/A,VLOOKUP(A179,'DB Country PMI'!$A:$AZ,MATCH($A$1,'DB Country PMI'!$A$1:$AZ$1,),))</f>
        <v/>
      </c>
      <c r="C179" s="24">
        <f>Table134681112141516[[#This Row],[PMI]]-B178</f>
        <v/>
      </c>
    </row>
    <row r="180">
      <c r="A180" s="10" t="n">
        <v>44958</v>
      </c>
      <c r="B180" s="18">
        <f>IF(VLOOKUP(A180,'DB Country PMI'!$A:$AZ,MATCH($A$1,'DB Country PMI'!$A$1:$AZ$1,),)=0,#N/A,VLOOKUP(A180,'DB Country PMI'!$A:$AZ,MATCH($A$1,'DB Country PMI'!$A$1:$AZ$1,),))</f>
        <v/>
      </c>
      <c r="C180" s="24">
        <f>Table134681112141516[[#This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4"/>
  <sheetViews>
    <sheetView zoomScale="80" zoomScaleNormal="80" workbookViewId="0">
      <pane ySplit="5" topLeftCell="A197" activePane="bottomLeft" state="frozen"/>
      <selection activeCell="P121" sqref="P121"/>
      <selection pane="bottomLeft" activeCell="A209" sqref="A209:F22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row r="222">
      <c r="A222" s="10" t="n">
        <v>44896</v>
      </c>
      <c r="B222" s="18">
        <f>IF(VLOOKUP(A222,'DB Country PMI'!$A:$AZ,MATCH($A$1,'DB Country PMI'!$A$1:$AZ$1,),)=0,#N/A,VLOOKUP(A222,'DB Country PMI'!$A:$AZ,MATCH($A$1,'DB Country PMI'!$A$1:$AZ$1,),))</f>
        <v/>
      </c>
      <c r="C222" s="24">
        <f>Table134681112[[#This Row],[PMI]]-B221</f>
        <v/>
      </c>
      <c r="D222" s="11">
        <f>IF(VLOOKUP(Table134681112[[#This Row],[Date]],'DB Global PMI'!$A:$F,5)=0,#N/A,VLOOKUP(Table134681112[[#This Row],[Date]],'DB Global PMI'!$A:$F,5))</f>
        <v/>
      </c>
      <c r="E222" s="24">
        <f>Table134681112[[#This Row],[PMI]]-B210</f>
        <v/>
      </c>
      <c r="F222" s="52">
        <f>(Table134681112[[#This Row],[EWU]]-D210)/D210</f>
        <v/>
      </c>
    </row>
    <row r="223">
      <c r="A223" s="10" t="n">
        <v>44927</v>
      </c>
      <c r="B223" s="18">
        <f>IF(VLOOKUP(A223,'DB Country PMI'!$A:$AZ,MATCH($A$1,'DB Country PMI'!$A$1:$AZ$1,),)=0,#N/A,VLOOKUP(A223,'DB Country PMI'!$A:$AZ,MATCH($A$1,'DB Country PMI'!$A$1:$AZ$1,),))</f>
        <v/>
      </c>
      <c r="C223" s="24">
        <f>Table134681112[[#This Row],[PMI]]-B222</f>
        <v/>
      </c>
      <c r="D223" s="11">
        <f>IF(VLOOKUP(Table134681112[[#This Row],[Date]],'DB Global PMI'!$A:$F,5)=0,#N/A,VLOOKUP(Table134681112[[#This Row],[Date]],'DB Global PMI'!$A:$F,5))</f>
        <v/>
      </c>
      <c r="E223" s="24">
        <f>Table134681112[[#This Row],[PMI]]-B211</f>
        <v/>
      </c>
      <c r="F223" s="52">
        <f>(Table134681112[[#This Row],[EWU]]-D211)/D211</f>
        <v/>
      </c>
    </row>
    <row r="224">
      <c r="A224" s="10" t="n">
        <v>44958</v>
      </c>
      <c r="B224" s="18">
        <f>IF(VLOOKUP(A224,'DB Country PMI'!$A:$AZ,MATCH($A$1,'DB Country PMI'!$A$1:$AZ$1,),)=0,#N/A,VLOOKUP(A224,'DB Country PMI'!$A:$AZ,MATCH($A$1,'DB Country PMI'!$A$1:$AZ$1,),))</f>
        <v/>
      </c>
      <c r="C224" s="24">
        <f>Table134681112[[#This Row],[PMI]]-B223</f>
        <v/>
      </c>
      <c r="D224" s="11">
        <f>IF(VLOOKUP(Table134681112[[#This Row],[Date]],'DB Global PMI'!$A:$F,5)=0,#N/A,VLOOKUP(Table134681112[[#This Row],[Date]],'DB Global PMI'!$A:$F,5))</f>
        <v/>
      </c>
      <c r="E224" s="24">
        <f>Table134681112[[#This Row],[PMI]]-B212</f>
        <v/>
      </c>
      <c r="F224" s="52">
        <f>(Table134681112[[#This Row],[EWU]]-D212)/D212</f>
        <v/>
      </c>
    </row>
  </sheetData>
  <conditionalFormatting sqref="C7:C106">
    <cfRule type="colorScale" priority="1">
      <colorScale>
        <cfvo type="min"/>
        <cfvo type="percentile" val="50"/>
        <cfvo type="max"/>
        <color rgb="FFF8696B"/>
        <color rgb="FFFCFCFF"/>
        <color rgb="FF5A8AC6"/>
      </colorScale>
    </cfRule>
  </conditionalFormatting>
  <conditionalFormatting sqref="B6:B224">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200"/>
  <sheetViews>
    <sheetView zoomScaleNormal="100" workbookViewId="0">
      <pane ySplit="5" topLeftCell="A176" activePane="bottomLeft" state="frozen"/>
      <selection pane="bottomLeft" activeCell="A191" sqref="A191:C200"/>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row r="198">
      <c r="A198" s="10" t="n">
        <v>44896</v>
      </c>
      <c r="B198" s="18">
        <f>IF(VLOOKUP(A198,'DB Country PMI'!$A:$AZ,MATCH($A$1,'DB Country PMI'!$A$1:$AZ$1,),)=0,#N/A,VLOOKUP(A198,'DB Country PMI'!$A:$AZ,MATCH($A$1,'DB Country PMI'!$A$1:$AZ$1,),))</f>
        <v/>
      </c>
      <c r="C198" s="24">
        <f>Table13468111214151617[[#This Row],[PMI]]-B197</f>
        <v/>
      </c>
    </row>
    <row r="199">
      <c r="A199" s="10" t="n">
        <v>44927</v>
      </c>
      <c r="B199" s="18">
        <f>IF(VLOOKUP(A199,'DB Country PMI'!$A:$AZ,MATCH($A$1,'DB Country PMI'!$A$1:$AZ$1,),)=0,#N/A,VLOOKUP(A199,'DB Country PMI'!$A:$AZ,MATCH($A$1,'DB Country PMI'!$A$1:$AZ$1,),))</f>
        <v/>
      </c>
      <c r="C199" s="24">
        <f>Table13468111214151617[[#This Row],[PMI]]-B198</f>
        <v/>
      </c>
    </row>
    <row r="200">
      <c r="A200" s="10" t="n">
        <v>44958</v>
      </c>
      <c r="B200" s="18">
        <f>IF(VLOOKUP(A200,'DB Country PMI'!$A:$AZ,MATCH($A$1,'DB Country PMI'!$A$1:$AZ$1,),)=0,#N/A,VLOOKUP(A200,'DB Country PMI'!$A:$AZ,MATCH($A$1,'DB Country PMI'!$A$1:$AZ$1,),))</f>
        <v/>
      </c>
      <c r="C200" s="24">
        <f>Table13468111214151617[[#This Row],[PMI]]-B199</f>
        <v/>
      </c>
    </row>
  </sheetData>
  <conditionalFormatting sqref="C7:C106">
    <cfRule type="colorScale" priority="1">
      <colorScale>
        <cfvo type="min"/>
        <cfvo type="percentile" val="50"/>
        <cfvo type="max"/>
        <color rgb="FFF8696B"/>
        <color rgb="FFFCFCFF"/>
        <color rgb="FF5A8AC6"/>
      </colorScale>
    </cfRule>
  </conditionalFormatting>
  <conditionalFormatting sqref="B6:B20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200"/>
  <sheetViews>
    <sheetView zoomScale="80" zoomScaleNormal="80" workbookViewId="0">
      <pane ySplit="5" topLeftCell="A169" activePane="bottomLeft" state="frozen"/>
      <selection pane="bottomLeft" activeCell="A192" sqref="A192:C200"/>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row r="198">
      <c r="A198" s="10" t="n">
        <v>44896</v>
      </c>
      <c r="B198" s="18">
        <f>IF(VLOOKUP(A198,'DB Country PMI'!$A:$AZ,MATCH($A$1,'DB Country PMI'!$A$1:$AZ$1,),)=0,#N/A,VLOOKUP(A198,'DB Country PMI'!$A:$AZ,MATCH($A$1,'DB Country PMI'!$A$1:$AZ$1,),))</f>
        <v/>
      </c>
      <c r="C198" s="24">
        <f>Table1346811121415161718[[#This Row],[PMI]]-B197</f>
        <v/>
      </c>
    </row>
    <row r="199">
      <c r="A199" s="10" t="n">
        <v>44927</v>
      </c>
      <c r="B199" s="18">
        <f>IF(VLOOKUP(A199,'DB Country PMI'!$A:$AZ,MATCH($A$1,'DB Country PMI'!$A$1:$AZ$1,),)=0,#N/A,VLOOKUP(A199,'DB Country PMI'!$A:$AZ,MATCH($A$1,'DB Country PMI'!$A$1:$AZ$1,),))</f>
        <v/>
      </c>
      <c r="C199" s="24">
        <f>Table1346811121415161718[[#This Row],[PMI]]-B198</f>
        <v/>
      </c>
    </row>
    <row r="200">
      <c r="A200" s="10" t="n">
        <v>44958</v>
      </c>
      <c r="B200" s="18">
        <f>IF(VLOOKUP(A200,'DB Country PMI'!$A:$AZ,MATCH($A$1,'DB Country PMI'!$A$1:$AZ$1,),)=0,#N/A,VLOOKUP(A200,'DB Country PMI'!$A:$AZ,MATCH($A$1,'DB Country PMI'!$A$1:$AZ$1,),))</f>
        <v/>
      </c>
      <c r="C200" s="24">
        <f>Table1346811121415161718[[#This Row],[PMI]]-B199</f>
        <v/>
      </c>
    </row>
  </sheetData>
  <conditionalFormatting sqref="C7:C106">
    <cfRule type="colorScale" priority="1">
      <colorScale>
        <cfvo type="min"/>
        <cfvo type="percentile" val="50"/>
        <cfvo type="max"/>
        <color rgb="FFF8696B"/>
        <color rgb="FFFCFCFF"/>
        <color rgb="FF5A8AC6"/>
      </colorScale>
    </cfRule>
  </conditionalFormatting>
  <conditionalFormatting sqref="B6:B200">
    <cfRule type="colorScale" priority="6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4"/>
  <sheetViews>
    <sheetView zoomScale="90" zoomScaleNormal="90" workbookViewId="0">
      <pane ySplit="5" topLeftCell="A129" activePane="bottomLeft" state="frozen"/>
      <selection pane="bottomLeft" activeCell="A142" sqref="A142: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row r="152">
      <c r="A152" s="10" t="n">
        <v>44896</v>
      </c>
      <c r="B152" s="18">
        <f>IF(VLOOKUP(A152,'DB Country PMI'!$A:$AZ,MATCH($A$1,'DB Country PMI'!$A$1:$AZ$1,),)=0,#N/A,VLOOKUP(A152,'DB Country PMI'!$A:$AZ,MATCH($A$1,'DB Country PMI'!$A$1:$AZ$1,),))</f>
        <v/>
      </c>
      <c r="C152" s="24">
        <f>Table134681112141516171819202223[[#This Row],[PMI]]-B151</f>
        <v/>
      </c>
    </row>
    <row r="153">
      <c r="A153" s="10" t="n">
        <v>44927</v>
      </c>
      <c r="B153" s="18">
        <f>IF(VLOOKUP(A153,'DB Country PMI'!$A:$AZ,MATCH($A$1,'DB Country PMI'!$A$1:$AZ$1,),)=0,#N/A,VLOOKUP(A153,'DB Country PMI'!$A:$AZ,MATCH($A$1,'DB Country PMI'!$A$1:$AZ$1,),))</f>
        <v/>
      </c>
      <c r="C153" s="24">
        <f>Table134681112141516171819202223[[#This Row],[PMI]]-B152</f>
        <v/>
      </c>
    </row>
    <row r="154">
      <c r="A154" s="10" t="n">
        <v>44958</v>
      </c>
      <c r="B154" s="18">
        <f>IF(VLOOKUP(A154,'DB Country PMI'!$A:$AZ,MATCH($A$1,'DB Country PMI'!$A$1:$AZ$1,),)=0,#N/A,VLOOKUP(A154,'DB Country PMI'!$A:$AZ,MATCH($A$1,'DB Country PMI'!$A$1:$AZ$1,),))</f>
        <v/>
      </c>
      <c r="C154" s="24">
        <f>Table134681112141516171819202223[[#This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6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8"/>
  <sheetViews>
    <sheetView zoomScale="80" zoomScaleNormal="80" workbookViewId="0">
      <pane ySplit="5" topLeftCell="A124" activePane="bottomLeft" state="frozen"/>
      <selection pane="bottomLeft" activeCell="A135" sqref="A135:C148"/>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row r="146">
      <c r="A146" s="10" t="n">
        <v>44896</v>
      </c>
      <c r="B146" s="18">
        <f>IF(VLOOKUP(A146,'DB Country PMI'!$A:$AZ,MATCH($A$1,'DB Country PMI'!$A$1:$AZ$1,),)=0,#N/A,VLOOKUP(A146,'DB Country PMI'!$A:$AZ,MATCH($A$1,'DB Country PMI'!$A$1:$AZ$1,),))</f>
        <v/>
      </c>
      <c r="C146" s="24">
        <f>Table13468111214151617181920222526[[#This Row],[PMI]]-B145</f>
        <v/>
      </c>
    </row>
    <row r="147">
      <c r="A147" s="10" t="n">
        <v>44927</v>
      </c>
      <c r="B147" s="18">
        <f>IF(VLOOKUP(A147,'DB Country PMI'!$A:$AZ,MATCH($A$1,'DB Country PMI'!$A$1:$AZ$1,),)=0,#N/A,VLOOKUP(A147,'DB Country PMI'!$A:$AZ,MATCH($A$1,'DB Country PMI'!$A$1:$AZ$1,),))</f>
        <v/>
      </c>
      <c r="C147" s="24">
        <f>Table13468111214151617181920222526[[#This Row],[PMI]]-B146</f>
        <v/>
      </c>
    </row>
    <row r="148">
      <c r="A148" s="10" t="n">
        <v>44958</v>
      </c>
      <c r="B148" s="18">
        <f>IF(VLOOKUP(A148,'DB Country PMI'!$A:$AZ,MATCH($A$1,'DB Country PMI'!$A$1:$AZ$1,),)=0,#N/A,VLOOKUP(A148,'DB Country PMI'!$A:$AZ,MATCH($A$1,'DB Country PMI'!$A$1:$AZ$1,),))</f>
        <v/>
      </c>
      <c r="C148" s="24">
        <f>Table13468111214151617181920222526[[#This Row],[PMI]]-B147</f>
        <v/>
      </c>
    </row>
  </sheetData>
  <conditionalFormatting sqref="C7:C148">
    <cfRule type="colorScale" priority="1">
      <colorScale>
        <cfvo type="min"/>
        <cfvo type="percentile" val="50"/>
        <cfvo type="max"/>
        <color rgb="FFF8696B"/>
        <color rgb="FFFCFCFF"/>
        <color rgb="FF5A8AC6"/>
      </colorScale>
    </cfRule>
  </conditionalFormatting>
  <conditionalFormatting sqref="B6:B148">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4"/>
  <sheetViews>
    <sheetView zoomScale="110" zoomScaleNormal="110" workbookViewId="0">
      <pane ySplit="5" topLeftCell="A136" activePane="bottomLeft" state="frozen"/>
      <selection pane="bottomLeft" activeCell="A143" sqref="A143: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row r="152">
      <c r="A152" s="10" t="n">
        <v>44896</v>
      </c>
      <c r="B152" s="18">
        <f>IF(VLOOKUP(A152,'DB Country PMI'!$A:$AZ,MATCH($A$1,'DB Country PMI'!$A$1:$AZ$1,),)=0,#N/A,VLOOKUP(A152,'DB Country PMI'!$A:$AZ,MATCH($A$1,'DB Country PMI'!$A$1:$AZ$1,),))</f>
        <v/>
      </c>
      <c r="C152" s="24">
        <f>Table134681112141516171819202225[[#This Row],[PMI]]-B151</f>
        <v/>
      </c>
    </row>
    <row r="153">
      <c r="A153" s="10" t="n">
        <v>44927</v>
      </c>
      <c r="B153" s="18">
        <f>IF(VLOOKUP(A153,'DB Country PMI'!$A:$AZ,MATCH($A$1,'DB Country PMI'!$A$1:$AZ$1,),)=0,#N/A,VLOOKUP(A153,'DB Country PMI'!$A:$AZ,MATCH($A$1,'DB Country PMI'!$A$1:$AZ$1,),))</f>
        <v/>
      </c>
      <c r="C153" s="24">
        <f>Table134681112141516171819202225[[#This Row],[PMI]]-B152</f>
        <v/>
      </c>
    </row>
    <row r="154">
      <c r="A154" s="10" t="n">
        <v>44958</v>
      </c>
      <c r="B154" s="18">
        <f>IF(VLOOKUP(A154,'DB Country PMI'!$A:$AZ,MATCH($A$1,'DB Country PMI'!$A$1:$AZ$1,),)=0,#N/A,VLOOKUP(A154,'DB Country PMI'!$A:$AZ,MATCH($A$1,'DB Country PMI'!$A$1:$AZ$1,),))</f>
        <v/>
      </c>
      <c r="C154" s="24">
        <f>Table134681112141516171819202225[[#This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4"/>
  <sheetViews>
    <sheetView zoomScale="110" zoomScaleNormal="110" workbookViewId="0">
      <pane ySplit="5" topLeftCell="A137" activePane="bottomLeft" state="frozen"/>
      <selection pane="bottomLeft" activeCell="A146" sqref="A146: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row r="152">
      <c r="A152" s="10" t="n">
        <v>44896</v>
      </c>
      <c r="B152" s="18">
        <f>IF(VLOOKUP(A152,'DB Country PMI'!$A:$AZ,MATCH($A$1,'DB Country PMI'!$A$1:$AZ$1,),)=0,#N/A,VLOOKUP(A152,'DB Country PMI'!$A:$AZ,MATCH($A$1,'DB Country PMI'!$A$1:$AZ$1,),))</f>
        <v/>
      </c>
      <c r="C152" s="24">
        <f>Table13468111214151617181920222324[[#This Row],[PMI]]-B151</f>
        <v/>
      </c>
    </row>
    <row r="153">
      <c r="A153" s="10" t="n">
        <v>44927</v>
      </c>
      <c r="B153" s="18">
        <f>IF(VLOOKUP(A153,'DB Country PMI'!$A:$AZ,MATCH($A$1,'DB Country PMI'!$A$1:$AZ$1,),)=0,#N/A,VLOOKUP(A153,'DB Country PMI'!$A:$AZ,MATCH($A$1,'DB Country PMI'!$A$1:$AZ$1,),))</f>
        <v/>
      </c>
      <c r="C153" s="24">
        <f>Table13468111214151617181920222324[[#This Row],[PMI]]-B152</f>
        <v/>
      </c>
    </row>
    <row r="154">
      <c r="A154" s="10" t="n">
        <v>44958</v>
      </c>
      <c r="B154" s="18">
        <f>IF(VLOOKUP(A154,'DB Country PMI'!$A:$AZ,MATCH($A$1,'DB Country PMI'!$A$1:$AZ$1,),)=0,#N/A,VLOOKUP(A154,'DB Country PMI'!$A:$AZ,MATCH($A$1,'DB Country PMI'!$A$1:$AZ$1,),))</f>
        <v/>
      </c>
      <c r="C154" s="24">
        <f>Table13468111214151617181920222324[[#This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8"/>
  <sheetViews>
    <sheetView zoomScaleNormal="100" workbookViewId="0">
      <pane ySplit="5" topLeftCell="A127" activePane="bottomLeft" state="frozen"/>
      <selection pane="bottomLeft" activeCell="A136" sqref="A136:C148"/>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row r="146">
      <c r="A146" s="10" t="n">
        <v>44896</v>
      </c>
      <c r="B146" s="18">
        <f>IF(VLOOKUP(A146,'DB Country PMI'!$A:$AZ,MATCH($A$1,'DB Country PMI'!$A$1:$AZ$1,),)=0,#N/A,VLOOKUP(A146,'DB Country PMI'!$A:$AZ,MATCH($A$1,'DB Country PMI'!$A$1:$AZ$1,),))</f>
        <v/>
      </c>
      <c r="C146" s="24">
        <f>Table13468[[#This Row],[PMI]]-B145</f>
        <v/>
      </c>
    </row>
    <row r="147">
      <c r="A147" s="10" t="n">
        <v>44927</v>
      </c>
      <c r="B147" s="18">
        <f>IF(VLOOKUP(A147,'DB Country PMI'!$A:$AZ,MATCH($A$1,'DB Country PMI'!$A$1:$AZ$1,),)=0,#N/A,VLOOKUP(A147,'DB Country PMI'!$A:$AZ,MATCH($A$1,'DB Country PMI'!$A$1:$AZ$1,),))</f>
        <v/>
      </c>
      <c r="C147" s="24">
        <f>Table13468[[#This Row],[PMI]]-B146</f>
        <v/>
      </c>
    </row>
    <row r="148">
      <c r="A148" s="10" t="n">
        <v>44958</v>
      </c>
      <c r="B148" s="18">
        <f>IF(VLOOKUP(A148,'DB Country PMI'!$A:$AZ,MATCH($A$1,'DB Country PMI'!$A$1:$AZ$1,),)=0,#N/A,VLOOKUP(A148,'DB Country PMI'!$A:$AZ,MATCH($A$1,'DB Country PMI'!$A$1:$AZ$1,),))</f>
        <v/>
      </c>
      <c r="C148" s="24">
        <f>Table13468[[#This Row],[PMI]]-B147</f>
        <v/>
      </c>
    </row>
  </sheetData>
  <conditionalFormatting sqref="B6:B148">
    <cfRule type="colorScale" priority="2">
      <colorScale>
        <cfvo type="min"/>
        <cfvo type="percentile" val="50"/>
        <cfvo type="max"/>
        <color rgb="FFF8696B"/>
        <color rgb="FFFFEB84"/>
        <color rgb="FF63BE7B"/>
      </colorScale>
    </cfRule>
  </conditionalFormatting>
  <conditionalFormatting sqref="C7:C148">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2"/>
  <sheetViews>
    <sheetView zoomScaleNormal="100" workbookViewId="0">
      <pane ySplit="5" topLeftCell="A162" activePane="bottomLeft" state="frozen"/>
      <selection pane="bottomLeft" activeCell="A175" sqref="A175:C182"/>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row r="181">
      <c r="A181" s="10" t="n">
        <v>44896</v>
      </c>
      <c r="B181" s="18">
        <f>IF(VLOOKUP(A181,'DB Country PMI'!$A:$AZ,MATCH($A$1,'DB Country PMI'!$A$1:$AZ$1,),)=0,#N/A,VLOOKUP(A181,'DB Country PMI'!$A:$AZ,MATCH($A$1,'DB Country PMI'!$A$1:$AZ$1,),))</f>
        <v/>
      </c>
      <c r="C181" s="24">
        <f>Table1346811121415161718192022252627[[#This Row],[PMI]]-B180</f>
        <v/>
      </c>
    </row>
    <row r="182">
      <c r="A182" s="10" t="n">
        <v>44927</v>
      </c>
      <c r="B182" s="18">
        <f>IF(VLOOKUP(A182,'DB Country PMI'!$A:$AZ,MATCH($A$1,'DB Country PMI'!$A$1:$AZ$1,),)=0,#N/A,VLOOKUP(A182,'DB Country PMI'!$A:$AZ,MATCH($A$1,'DB Country PMI'!$A$1:$AZ$1,),))</f>
        <v/>
      </c>
      <c r="C182" s="24">
        <f>Table1346811121415161718192022252627[[#This Row],[PMI]]-B181</f>
        <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8"/>
  <sheetViews>
    <sheetView zoomScaleNormal="100" workbookViewId="0">
      <pane ySplit="5" topLeftCell="A124" activePane="bottomLeft" state="frozen"/>
      <selection pane="bottomLeft" activeCell="A140" sqref="A140:C148"/>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row r="146">
      <c r="A146" s="10" t="n">
        <v>44896</v>
      </c>
      <c r="B146" s="18">
        <f>IF(VLOOKUP(A146,'DB Country PMI'!$A:$AZ,MATCH($A$1,'DB Country PMI'!$A$1:$AZ$1,),)=0,#N/A,VLOOKUP(A146,'DB Country PMI'!$A:$AZ,MATCH($A$1,'DB Country PMI'!$A$1:$AZ$1,),))</f>
        <v/>
      </c>
      <c r="C146" s="24">
        <f>Table13468111214151617181920222530[[#This Row],[PMI]]-B145</f>
        <v/>
      </c>
    </row>
    <row r="147">
      <c r="A147" s="10" t="n">
        <v>44927</v>
      </c>
      <c r="B147" s="18">
        <f>IF(VLOOKUP(A147,'DB Country PMI'!$A:$AZ,MATCH($A$1,'DB Country PMI'!$A$1:$AZ$1,),)=0,#N/A,VLOOKUP(A147,'DB Country PMI'!$A:$AZ,MATCH($A$1,'DB Country PMI'!$A$1:$AZ$1,),))</f>
        <v/>
      </c>
      <c r="C147" s="24">
        <f>Table13468111214151617181920222530[[#This Row],[PMI]]-B146</f>
        <v/>
      </c>
    </row>
    <row r="148">
      <c r="A148" s="10" t="n">
        <v>44958</v>
      </c>
      <c r="B148" s="18">
        <f>IF(VLOOKUP(A148,'DB Country PMI'!$A:$AZ,MATCH($A$1,'DB Country PMI'!$A$1:$AZ$1,),)=0,#N/A,VLOOKUP(A148,'DB Country PMI'!$A:$AZ,MATCH($A$1,'DB Country PMI'!$A$1:$AZ$1,),))</f>
        <v/>
      </c>
      <c r="C148" s="24">
        <f>Table13468111214151617181920222530[[#This Row],[PMI]]-B147</f>
        <v/>
      </c>
    </row>
  </sheetData>
  <conditionalFormatting sqref="C7:C148">
    <cfRule type="colorScale" priority="1">
      <colorScale>
        <cfvo type="min"/>
        <cfvo type="percentile" val="50"/>
        <cfvo type="max"/>
        <color rgb="FFF8696B"/>
        <color rgb="FFFCFCFF"/>
        <color rgb="FF5A8AC6"/>
      </colorScale>
    </cfRule>
  </conditionalFormatting>
  <conditionalFormatting sqref="B6:B148">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52"/>
  <sheetViews>
    <sheetView zoomScale="80" zoomScaleNormal="80" workbookViewId="0">
      <pane ySplit="5" topLeftCell="A128" activePane="bottomLeft" state="frozen"/>
      <selection pane="bottomLeft" activeCell="A144" sqref="A144:C152"/>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row r="150">
      <c r="A150" s="10" t="n">
        <v>44896</v>
      </c>
      <c r="B150" s="18">
        <f>IF(VLOOKUP(A150,'DB Country PMI'!$A:$AZ,MATCH($A$1,'DB Country PMI'!$A$1:$AZ$1,),)=0,#N/A,VLOOKUP(A150,'DB Country PMI'!$A:$AZ,MATCH($A$1,'DB Country PMI'!$A$1:$AZ$1,),))</f>
        <v/>
      </c>
      <c r="C150" s="24">
        <f>Table1346811121415161718192022252629[[#This Row],[PMI]]-B149</f>
        <v/>
      </c>
    </row>
    <row r="151">
      <c r="A151" s="10" t="n">
        <v>44927</v>
      </c>
      <c r="B151" s="18">
        <f>IF(VLOOKUP(A151,'DB Country PMI'!$A:$AZ,MATCH($A$1,'DB Country PMI'!$A$1:$AZ$1,),)=0,#N/A,VLOOKUP(A151,'DB Country PMI'!$A:$AZ,MATCH($A$1,'DB Country PMI'!$A$1:$AZ$1,),))</f>
        <v/>
      </c>
      <c r="C151" s="24">
        <f>Table1346811121415161718192022252629[[#This Row],[PMI]]-B150</f>
        <v/>
      </c>
    </row>
    <row r="152">
      <c r="A152" s="10" t="n">
        <v>44958</v>
      </c>
      <c r="B152" s="18">
        <f>IF(VLOOKUP(A152,'DB Country PMI'!$A:$AZ,MATCH($A$1,'DB Country PMI'!$A$1:$AZ$1,),)=0,#N/A,VLOOKUP(A152,'DB Country PMI'!$A:$AZ,MATCH($A$1,'DB Country PMI'!$A$1:$AZ$1,),))</f>
        <v/>
      </c>
      <c r="C152" s="24">
        <f>Table1346811121415161718192022252629[[#This Row],[PMI]]-B151</f>
        <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4"/>
  <sheetViews>
    <sheetView zoomScaleNormal="100" workbookViewId="0">
      <pane ySplit="5" topLeftCell="A132" activePane="bottomLeft" state="frozen"/>
      <selection pane="bottomLeft" activeCell="A143" sqref="A143: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row r="152">
      <c r="A152" s="10" t="n">
        <v>44896</v>
      </c>
      <c r="B152" s="18">
        <f>IF(VLOOKUP(A152,'DB Country PMI'!$A:$AZ,MATCH($A$1,'DB Country PMI'!$A$1:$AZ$1,),)=0,#N/A,VLOOKUP(A152,'DB Country PMI'!$A:$AZ,MATCH($A$1,'DB Country PMI'!$A$1:$AZ$1,),))</f>
        <v/>
      </c>
      <c r="C152" s="24">
        <f>Table1346811121415161718192022253033[[#This Row],[PMI]]-B151</f>
        <v/>
      </c>
    </row>
    <row r="153">
      <c r="A153" s="10" t="n">
        <v>44927</v>
      </c>
      <c r="B153" s="18">
        <f>IF(VLOOKUP(A153,'DB Country PMI'!$A:$AZ,MATCH($A$1,'DB Country PMI'!$A$1:$AZ$1,),)=0,#N/A,VLOOKUP(A153,'DB Country PMI'!$A:$AZ,MATCH($A$1,'DB Country PMI'!$A$1:$AZ$1,),))</f>
        <v/>
      </c>
      <c r="C153" s="24">
        <f>Table1346811121415161718192022253033[[#This Row],[PMI]]-B152</f>
        <v/>
      </c>
    </row>
    <row r="154">
      <c r="A154" s="10" t="n">
        <v>44958</v>
      </c>
      <c r="B154" s="18">
        <f>IF(VLOOKUP(A154,'DB Country PMI'!$A:$AZ,MATCH($A$1,'DB Country PMI'!$A$1:$AZ$1,),)=0,#N/A,VLOOKUP(A154,'DB Country PMI'!$A:$AZ,MATCH($A$1,'DB Country PMI'!$A$1:$AZ$1,),))</f>
        <v/>
      </c>
      <c r="C154" s="24">
        <f>Table1346811121415161718192022253033[[#This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4"/>
  <sheetViews>
    <sheetView zoomScale="90" zoomScaleNormal="90" workbookViewId="0">
      <pane ySplit="5" topLeftCell="A130" activePane="bottomLeft" state="frozen"/>
      <selection pane="bottomLeft" activeCell="A146" sqref="A146: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row r="152">
      <c r="A152" s="10" t="n">
        <v>44896</v>
      </c>
      <c r="B152" s="18">
        <f>IF(VLOOKUP(A152,'DB Country PMI'!$A:$AZ,MATCH($A$1,'DB Country PMI'!$A$1:$AZ$1,),)=0,#N/A,VLOOKUP(A152,'DB Country PMI'!$A:$AZ,MATCH($A$1,'DB Country PMI'!$A$1:$AZ$1,),))</f>
        <v/>
      </c>
      <c r="C152" s="24">
        <f>Table134681112141516171819[[#This Row],[PMI]]-B151</f>
        <v/>
      </c>
    </row>
    <row r="153">
      <c r="A153" s="10" t="n">
        <v>44927</v>
      </c>
      <c r="B153" s="18">
        <f>IF(VLOOKUP(A153,'DB Country PMI'!$A:$AZ,MATCH($A$1,'DB Country PMI'!$A$1:$AZ$1,),)=0,#N/A,VLOOKUP(A153,'DB Country PMI'!$A:$AZ,MATCH($A$1,'DB Country PMI'!$A$1:$AZ$1,),))</f>
        <v/>
      </c>
      <c r="C153" s="24">
        <f>Table134681112141516171819[[#This Row],[PMI]]-B152</f>
        <v/>
      </c>
    </row>
    <row r="154">
      <c r="A154" s="10" t="n">
        <v>44958</v>
      </c>
      <c r="B154" s="18">
        <f>IF(VLOOKUP(A154,'DB Country PMI'!$A:$AZ,MATCH($A$1,'DB Country PMI'!$A$1:$AZ$1,),)=0,#N/A,VLOOKUP(A154,'DB Country PMI'!$A:$AZ,MATCH($A$1,'DB Country PMI'!$A$1:$AZ$1,),))</f>
        <v/>
      </c>
      <c r="C154" s="24">
        <f>Table134681112141516171819[[#This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4"/>
  <sheetViews>
    <sheetView zoomScaleNormal="100" workbookViewId="0">
      <pane ySplit="5" topLeftCell="A133" activePane="bottomLeft" state="frozen"/>
      <selection pane="bottomLeft" activeCell="A146" sqref="A146: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row r="152">
      <c r="A152" s="10" t="n">
        <v>44896</v>
      </c>
      <c r="B152" s="18">
        <f>IF(VLOOKUP(A152,'DB Country PMI'!$A:$AZ,MATCH($A$1,'DB Country PMI'!$A$1:$AZ$1,),)=0,#N/A,VLOOKUP(A152,'DB Country PMI'!$A:$AZ,MATCH($A$1,'DB Country PMI'!$A$1:$AZ$1,),))</f>
        <v/>
      </c>
      <c r="C152" s="24">
        <f>Table13468111214151617181920[[#This Row],[PMI]]-B151</f>
        <v/>
      </c>
    </row>
    <row r="153">
      <c r="A153" s="10" t="n">
        <v>44927</v>
      </c>
      <c r="B153" s="18">
        <f>IF(VLOOKUP(A153,'DB Country PMI'!$A:$AZ,MATCH($A$1,'DB Country PMI'!$A$1:$AZ$1,),)=0,#N/A,VLOOKUP(A153,'DB Country PMI'!$A:$AZ,MATCH($A$1,'DB Country PMI'!$A$1:$AZ$1,),))</f>
        <v/>
      </c>
      <c r="C153" s="24">
        <f>Table13468111214151617181920[[#This Row],[PMI]]-B152</f>
        <v/>
      </c>
    </row>
    <row r="154">
      <c r="A154" s="10" t="n">
        <v>44958</v>
      </c>
      <c r="B154" s="18">
        <f>IF(VLOOKUP(A154,'DB Country PMI'!$A:$AZ,MATCH($A$1,'DB Country PMI'!$A$1:$AZ$1,),)=0,#N/A,VLOOKUP(A154,'DB Country PMI'!$A:$AZ,MATCH($A$1,'DB Country PMI'!$A$1:$AZ$1,),))</f>
        <v/>
      </c>
      <c r="C154" s="24">
        <f>Table13468111214151617181920[[#This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4"/>
  <sheetViews>
    <sheetView zoomScale="90" zoomScaleNormal="90" workbookViewId="0">
      <pane ySplit="5" topLeftCell="A131" activePane="bottomLeft" state="frozen"/>
      <selection pane="bottomLeft" activeCell="U153" sqref="U153"/>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row r="152">
      <c r="A152" s="10" t="n">
        <v>44896</v>
      </c>
      <c r="B152" s="18">
        <f>IF(VLOOKUP(A152,'DB Country PMI'!$A:$AZ,MATCH($A$1,'DB Country PMI'!$A$1:$AZ$1,),)=0,#N/A,VLOOKUP(A152,'DB Country PMI'!$A:$AZ,MATCH($A$1,'DB Country PMI'!$A$1:$AZ$1,),))</f>
        <v/>
      </c>
      <c r="C152" s="24">
        <f>Table134681112141516171819202225303334[[#This Row],[PMI]]-B151</f>
        <v/>
      </c>
    </row>
    <row r="153">
      <c r="A153" s="10" t="n">
        <v>44927</v>
      </c>
      <c r="B153" s="18">
        <f>IF(VLOOKUP(A153,'DB Country PMI'!$A:$AZ,MATCH($A$1,'DB Country PMI'!$A$1:$AZ$1,),)=0,#N/A,VLOOKUP(A153,'DB Country PMI'!$A:$AZ,MATCH($A$1,'DB Country PMI'!$A$1:$AZ$1,),))</f>
        <v/>
      </c>
      <c r="C153" s="24">
        <f>Table134681112141516171819202225303334[[#This Row],[PMI]]-B152</f>
        <v/>
      </c>
    </row>
    <row r="154">
      <c r="A154" s="10" t="n">
        <v>44958</v>
      </c>
      <c r="B154" s="18">
        <f>IF(VLOOKUP(A154,'DB Country PMI'!$A:$AZ,MATCH($A$1,'DB Country PMI'!$A$1:$AZ$1,),)=0,#N/A,VLOOKUP(A154,'DB Country PMI'!$A:$AZ,MATCH($A$1,'DB Country PMI'!$A$1:$AZ$1,),))</f>
        <v/>
      </c>
      <c r="C154" s="24">
        <f>Table134681112141516171819202225303334[[#This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4"/>
  <sheetViews>
    <sheetView zoomScaleNormal="100" workbookViewId="0">
      <pane ySplit="5" topLeftCell="A132" activePane="bottomLeft" state="frozen"/>
      <selection pane="bottomLeft" activeCell="A146" sqref="A146: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row r="152">
      <c r="A152" s="10" t="n">
        <v>44896</v>
      </c>
      <c r="B152" s="18">
        <f>IF(VLOOKUP(A152,'DB Country PMI'!$A:$AZ,MATCH($A$1,'DB Country PMI'!$A$1:$AZ$1,),)=0,#N/A,VLOOKUP(A152,'DB Country PMI'!$A:$AZ,MATCH($A$1,'DB Country PMI'!$A$1:$AZ$1,),))</f>
        <v/>
      </c>
      <c r="C152" s="24">
        <f>Table13468111214151617181920222530333435[[#This Row],[PMI]]-B151</f>
        <v/>
      </c>
    </row>
    <row r="153">
      <c r="A153" s="10" t="n">
        <v>44927</v>
      </c>
      <c r="B153" s="18">
        <f>IF(VLOOKUP(A153,'DB Country PMI'!$A:$AZ,MATCH($A$1,'DB Country PMI'!$A$1:$AZ$1,),)=0,#N/A,VLOOKUP(A153,'DB Country PMI'!$A:$AZ,MATCH($A$1,'DB Country PMI'!$A$1:$AZ$1,),))</f>
        <v/>
      </c>
      <c r="C153" s="24">
        <f>Table13468111214151617181920222530333435[[#This Row],[PMI]]-B152</f>
        <v/>
      </c>
    </row>
    <row r="154">
      <c r="A154" s="10" t="n">
        <v>44958</v>
      </c>
      <c r="B154" s="18">
        <f>IF(VLOOKUP(A154,'DB Country PMI'!$A:$AZ,MATCH($A$1,'DB Country PMI'!$A$1:$AZ$1,),)=0,#N/A,VLOOKUP(A154,'DB Country PMI'!$A:$AZ,MATCH($A$1,'DB Country PMI'!$A$1:$AZ$1,),))</f>
        <v/>
      </c>
      <c r="C154" s="24">
        <f>Table13468111214151617181920222530333435[[#This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4"/>
  <sheetViews>
    <sheetView zoomScaleNormal="100" workbookViewId="0">
      <pane ySplit="5" topLeftCell="A132" activePane="bottomLeft" state="frozen"/>
      <selection pane="bottomLeft" activeCell="A145" sqref="A145:C154"/>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row r="152">
      <c r="A152" s="10" t="n">
        <v>44896</v>
      </c>
      <c r="B152" s="18">
        <f>IF(VLOOKUP(A152,'DB Country PMI'!$A:$AZ,MATCH($A$1,'DB Country PMI'!$A$1:$AZ$1,),)=0,#N/A,VLOOKUP(A152,'DB Country PMI'!$A:$AZ,MATCH($A$1,'DB Country PMI'!$A$1:$AZ$1,),))</f>
        <v/>
      </c>
      <c r="C152" s="24">
        <f>Table1346811121415161718192022253033343536[[#This Row],[PMI]]-B151</f>
        <v/>
      </c>
    </row>
    <row r="153">
      <c r="A153" s="10" t="n">
        <v>44927</v>
      </c>
      <c r="B153" s="18">
        <f>IF(VLOOKUP(A153,'DB Country PMI'!$A:$AZ,MATCH($A$1,'DB Country PMI'!$A$1:$AZ$1,),)=0,#N/A,VLOOKUP(A153,'DB Country PMI'!$A:$AZ,MATCH($A$1,'DB Country PMI'!$A$1:$AZ$1,),))</f>
        <v/>
      </c>
      <c r="C153" s="24">
        <f>Table1346811121415161718192022253033343536[[#This Row],[PMI]]-B152</f>
        <v/>
      </c>
    </row>
    <row r="154">
      <c r="A154" s="10" t="n">
        <v>44958</v>
      </c>
      <c r="B154" s="18">
        <f>IF(VLOOKUP(A154,'DB Country PMI'!$A:$AZ,MATCH($A$1,'DB Country PMI'!$A$1:$AZ$1,),)=0,#N/A,VLOOKUP(A154,'DB Country PMI'!$A:$AZ,MATCH($A$1,'DB Country PMI'!$A$1:$AZ$1,),))</f>
        <v/>
      </c>
      <c r="C154" s="24">
        <f>Table1346811121415161718192022253033343536[[#This Row],[PMI]]-B153</f>
        <v/>
      </c>
    </row>
  </sheetData>
  <conditionalFormatting sqref="C7:C106">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5"/>
  <sheetViews>
    <sheetView zoomScale="90" zoomScaleNormal="90" workbookViewId="0">
      <pane ySplit="5" topLeftCell="A333" activePane="bottomLeft" state="frozen"/>
      <selection pane="bottomLeft" activeCell="A345" sqref="A345:C355"/>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row r="353">
      <c r="A353" s="10" t="n">
        <v>44896</v>
      </c>
      <c r="B353" s="18">
        <f>IF(VLOOKUP(A353,'DB Country PMI'!$A:$AZ,MATCH($A$1,'DB Country PMI'!$A$1:$AZ$1,),)=0,#N/A,VLOOKUP(A353,'DB Country PMI'!$A:$AZ,MATCH($A$1,'DB Country PMI'!$A$1:$AZ$1,),))</f>
        <v/>
      </c>
      <c r="C353" s="24">
        <f>Table13[[#This Row],[PMI]]-B352</f>
        <v/>
      </c>
    </row>
    <row r="354">
      <c r="A354" s="10" t="n">
        <v>44927</v>
      </c>
      <c r="B354" s="18">
        <f>IF(VLOOKUP(A354,'DB Country PMI'!$A:$AZ,MATCH($A$1,'DB Country PMI'!$A$1:$AZ$1,),)=0,#N/A,VLOOKUP(A354,'DB Country PMI'!$A:$AZ,MATCH($A$1,'DB Country PMI'!$A$1:$AZ$1,),))</f>
        <v/>
      </c>
      <c r="C354" s="24">
        <f>Table13[[#This Row],[PMI]]-B353</f>
        <v/>
      </c>
    </row>
    <row r="355">
      <c r="A355" s="10" t="n">
        <v>44958</v>
      </c>
      <c r="B355" s="18">
        <f>IF(VLOOKUP(A355,'DB Country PMI'!$A:$AZ,MATCH($A$1,'DB Country PMI'!$A$1:$AZ$1,),)=0,#N/A,VLOOKUP(A355,'DB Country PMI'!$A:$AZ,MATCH($A$1,'DB Country PMI'!$A$1:$AZ$1,),))</f>
        <v/>
      </c>
      <c r="C355" s="24">
        <f>Table13[[#This Row],[PMI]]-B354</f>
        <v/>
      </c>
    </row>
  </sheetData>
  <conditionalFormatting sqref="C198:C355">
    <cfRule type="colorScale" priority="2">
      <colorScale>
        <cfvo type="min"/>
        <cfvo type="percentile" val="50"/>
        <cfvo type="max"/>
        <color rgb="FFF8696B"/>
        <color rgb="FFFCFCFF"/>
        <color rgb="FF5A8AC6"/>
      </colorScale>
    </cfRule>
  </conditionalFormatting>
  <conditionalFormatting sqref="B198:B35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3"/>
  <sheetViews>
    <sheetView zoomScale="90" zoomScaleNormal="90" workbookViewId="0">
      <pane ySplit="5" topLeftCell="A110" activePane="bottomLeft" state="frozen"/>
      <selection activeCell="P121" sqref="P121"/>
      <selection pane="bottomLeft" activeCell="A126" sqref="A126:C133"/>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row r="131">
      <c r="A131" s="10" t="n">
        <v>44896</v>
      </c>
      <c r="B131" s="18">
        <f>IF(VLOOKUP(A131,'DB Country PMI'!$A:$AZ,MATCH($A$1,'DB Country PMI'!$A$1:$AZ$1,),)=0,#N/A,VLOOKUP(A131,'DB Country PMI'!$A:$AZ,MATCH($A$1,'DB Country PMI'!$A$1:$AZ$1,),))</f>
        <v/>
      </c>
      <c r="C131" s="24">
        <f>Table134[[#This Row],[PMI]]-B130</f>
        <v/>
      </c>
    </row>
    <row r="132">
      <c r="A132" s="10" t="n">
        <v>44927</v>
      </c>
      <c r="B132" s="18">
        <f>IF(VLOOKUP(A132,'DB Country PMI'!$A:$AZ,MATCH($A$1,'DB Country PMI'!$A$1:$AZ$1,),)=0,#N/A,VLOOKUP(A132,'DB Country PMI'!$A:$AZ,MATCH($A$1,'DB Country PMI'!$A$1:$AZ$1,),))</f>
        <v/>
      </c>
      <c r="C132" s="24">
        <f>Table134[[#This Row],[PMI]]-B131</f>
        <v/>
      </c>
    </row>
    <row r="133">
      <c r="A133" s="10" t="n">
        <v>44958</v>
      </c>
      <c r="B133" s="18">
        <f>IF(VLOOKUP(A133,'DB Country PMI'!$A:$AZ,MATCH($A$1,'DB Country PMI'!$A$1:$AZ$1,),)=0,#N/A,VLOOKUP(A133,'DB Country PMI'!$A:$AZ,MATCH($A$1,'DB Country PMI'!$A$1:$AZ$1,),))</f>
        <v/>
      </c>
      <c r="C133" s="24">
        <f>Table134[[#This Row],[PMI]]-B132</f>
        <v/>
      </c>
    </row>
  </sheetData>
  <conditionalFormatting sqref="B6:B133">
    <cfRule type="colorScale" priority="2">
      <colorScale>
        <cfvo type="min"/>
        <cfvo type="percentile" val="50"/>
        <cfvo type="max"/>
        <color rgb="FFF8696B"/>
        <color rgb="FFFFEB84"/>
        <color rgb="FF63BE7B"/>
      </colorScale>
    </cfRule>
  </conditionalFormatting>
  <conditionalFormatting sqref="C7:C133">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5"/>
  <sheetViews>
    <sheetView zoomScale="90" zoomScaleNormal="90" workbookViewId="0">
      <pane ySplit="5" topLeftCell="A59" activePane="bottomLeft" state="frozen"/>
      <selection pane="bottomLeft" activeCell="A74" sqref="A74:C85"/>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row r="83">
      <c r="A83" s="10" t="n">
        <v>44896</v>
      </c>
      <c r="B83" s="18">
        <f>IF(VLOOKUP(A83,'DB Country PMI'!$A:$AZ,MATCH($A$1,'DB Country PMI'!$A$1:$AZ$1,),)=0,#N/A,VLOOKUP(A83,'DB Country PMI'!$A:$AZ,MATCH($A$1,'DB Country PMI'!$A$1:$AZ$1,),))</f>
        <v/>
      </c>
      <c r="C83" s="24">
        <f>Table1345[[#This Row],[PMI]]-B82</f>
        <v/>
      </c>
    </row>
    <row r="84">
      <c r="A84" s="10" t="n">
        <v>44927</v>
      </c>
      <c r="B84" s="18">
        <f>IF(VLOOKUP(A84,'DB Country PMI'!$A:$AZ,MATCH($A$1,'DB Country PMI'!$A$1:$AZ$1,),)=0,#N/A,VLOOKUP(A84,'DB Country PMI'!$A:$AZ,MATCH($A$1,'DB Country PMI'!$A$1:$AZ$1,),))</f>
        <v/>
      </c>
      <c r="C84" s="24">
        <f>Table1345[[#This Row],[PMI]]-B83</f>
        <v/>
      </c>
    </row>
    <row r="85">
      <c r="A85" s="10" t="n">
        <v>44958</v>
      </c>
      <c r="B85" s="18">
        <f>IF(VLOOKUP(A85,'DB Country PMI'!$A:$AZ,MATCH($A$1,'DB Country PMI'!$A$1:$AZ$1,),)=0,#N/A,VLOOKUP(A85,'DB Country PMI'!$A:$AZ,MATCH($A$1,'DB Country PMI'!$A$1:$AZ$1,),))</f>
        <v/>
      </c>
      <c r="C85" s="24">
        <f>Table1345[[#This Row],[PMI]]-B84</f>
        <v/>
      </c>
    </row>
  </sheetData>
  <conditionalFormatting sqref="B6:B85">
    <cfRule type="colorScale" priority="51">
      <colorScale>
        <cfvo type="min"/>
        <cfvo type="percentile" val="50"/>
        <cfvo type="max"/>
        <color rgb="FFF8696B"/>
        <color rgb="FFFFEB84"/>
        <color rgb="FF63BE7B"/>
      </colorScale>
    </cfRule>
  </conditionalFormatting>
  <conditionalFormatting sqref="C7:C85">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3"/>
  <sheetViews>
    <sheetView zoomScaleNormal="100" workbookViewId="0">
      <pane ySplit="5" topLeftCell="A261" activePane="bottomLeft" state="frozen"/>
      <selection pane="bottomLeft" activeCell="A273" sqref="A273:C283"/>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row r="281">
      <c r="A281" s="10" t="n">
        <v>44896</v>
      </c>
      <c r="B281" s="18">
        <f>IF(VLOOKUP(A281,'DB Country PMI'!$A:$AZ,MATCH($A$1,'DB Country PMI'!$A$1:$AZ$1,),)=0,#N/A,VLOOKUP(A281,'DB Country PMI'!$A:$AZ,MATCH($A$1,'DB Country PMI'!$A$1:$AZ$1,),))</f>
        <v/>
      </c>
      <c r="C281" s="24">
        <f>Table1346[[#This Row],[PMI]]-B280</f>
        <v/>
      </c>
    </row>
    <row r="282">
      <c r="A282" s="10" t="n">
        <v>44927</v>
      </c>
      <c r="B282" s="18">
        <f>IF(VLOOKUP(A282,'DB Country PMI'!$A:$AZ,MATCH($A$1,'DB Country PMI'!$A$1:$AZ$1,),)=0,#N/A,VLOOKUP(A282,'DB Country PMI'!$A:$AZ,MATCH($A$1,'DB Country PMI'!$A$1:$AZ$1,),))</f>
        <v/>
      </c>
      <c r="C282" s="24">
        <f>Table1346[[#This Row],[PMI]]-B281</f>
        <v/>
      </c>
    </row>
    <row r="283">
      <c r="A283" s="10" t="n">
        <v>44958</v>
      </c>
      <c r="B283" s="18">
        <f>IF(VLOOKUP(A283,'DB Country PMI'!$A:$AZ,MATCH($A$1,'DB Country PMI'!$A$1:$AZ$1,),)=0,#N/A,VLOOKUP(A283,'DB Country PMI'!$A:$AZ,MATCH($A$1,'DB Country PMI'!$A$1:$AZ$1,),))</f>
        <v/>
      </c>
      <c r="C283" s="24">
        <f>Table1346[[#This Row],[PMI]]-B282</f>
        <v/>
      </c>
    </row>
  </sheetData>
  <conditionalFormatting sqref="C126:C283">
    <cfRule type="colorScale" priority="59">
      <colorScale>
        <cfvo type="min"/>
        <cfvo type="percentile" val="50"/>
        <cfvo type="max"/>
        <color rgb="FFF8696B"/>
        <color rgb="FFFCFCFF"/>
        <color rgb="FF5A8AC6"/>
      </colorScale>
    </cfRule>
  </conditionalFormatting>
  <conditionalFormatting sqref="B126:B28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4"/>
  <sheetViews>
    <sheetView zoomScale="90" zoomScaleNormal="90" workbookViewId="0">
      <pane ySplit="5" topLeftCell="A110" activePane="bottomLeft" state="frozen"/>
      <selection pane="bottomLeft" activeCell="AF139" sqref="AF139"/>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row r="131">
      <c r="A131" s="10" t="n">
        <v>44866</v>
      </c>
      <c r="B131" s="18">
        <f>IF(VLOOKUP(A131,'DB Country PMI'!$A:$AZ,MATCH($A$1,'DB Country PMI'!$A$1:$AZ$1,),)=0,#N/A,VLOOKUP(A131,'DB Country PMI'!$A:$AZ,MATCH($A$1,'DB Country PMI'!$A$1:$AZ$1,),))</f>
        <v/>
      </c>
      <c r="C131" s="24">
        <f>Table13467[[#This Row],[PMI]]-B130</f>
        <v/>
      </c>
    </row>
    <row r="132">
      <c r="A132" s="10" t="n">
        <v>44896</v>
      </c>
      <c r="B132" s="18">
        <f>IF(VLOOKUP(A132,'DB Country PMI'!$A:$AZ,MATCH($A$1,'DB Country PMI'!$A$1:$AZ$1,),)=0,#N/A,VLOOKUP(A132,'DB Country PMI'!$A:$AZ,MATCH($A$1,'DB Country PMI'!$A$1:$AZ$1,),))</f>
        <v/>
      </c>
      <c r="C132" s="24">
        <f>Table13467[[#This Row],[PMI]]-B131</f>
        <v/>
      </c>
    </row>
    <row r="133">
      <c r="A133" s="10" t="n">
        <v>44927</v>
      </c>
      <c r="B133" s="18">
        <f>IF(VLOOKUP(A133,'DB Country PMI'!$A:$AZ,MATCH($A$1,'DB Country PMI'!$A$1:$AZ$1,),)=0,#N/A,VLOOKUP(A133,'DB Country PMI'!$A:$AZ,MATCH($A$1,'DB Country PMI'!$A$1:$AZ$1,),))</f>
        <v/>
      </c>
      <c r="C133" s="24">
        <f>Table13467[[#This Row],[PMI]]-B132</f>
        <v/>
      </c>
    </row>
    <row r="134">
      <c r="A134" s="10" t="n">
        <v>44958</v>
      </c>
      <c r="B134" s="18">
        <f>IF(VLOOKUP(A134,'DB Country PMI'!$A:$AZ,MATCH($A$1,'DB Country PMI'!$A$1:$AZ$1,),)=0,#N/A,VLOOKUP(A134,'DB Country PMI'!$A:$AZ,MATCH($A$1,'DB Country PMI'!$A$1:$AZ$1,),))</f>
        <v/>
      </c>
      <c r="C134" s="24">
        <f>Table13467[[#This Row],[PMI]]-B133</f>
        <v/>
      </c>
    </row>
  </sheetData>
  <conditionalFormatting sqref="B6:B13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9"/>
  <sheetViews>
    <sheetView zoomScale="90" zoomScaleNormal="90" workbookViewId="0">
      <pane ySplit="5" topLeftCell="A75" activePane="bottomLeft" state="frozen"/>
      <selection pane="bottomLeft" activeCell="A86" sqref="A86:C99"/>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row r="97">
      <c r="A97" s="10" t="n">
        <v>44866</v>
      </c>
      <c r="B97" s="18">
        <f>IF(VLOOKUP(A97,'DB Country PMI'!$A:$AZ,MATCH($A$1,'DB Country PMI'!$A$1:$AZ$1,),)=0,#N/A,VLOOKUP(A97,'DB Country PMI'!$A:$AZ,MATCH($A$1,'DB Country PMI'!$A$1:$AZ$1,),))</f>
        <v/>
      </c>
      <c r="C97" s="24">
        <f>Table134689[[#This Row],[PMI]]-B96</f>
        <v/>
      </c>
    </row>
    <row r="98">
      <c r="A98" s="10" t="n">
        <v>44896</v>
      </c>
      <c r="B98" s="18">
        <f>IF(VLOOKUP(A98,'DB Country PMI'!$A:$AZ,MATCH($A$1,'DB Country PMI'!$A$1:$AZ$1,),)=0,#N/A,VLOOKUP(A98,'DB Country PMI'!$A:$AZ,MATCH($A$1,'DB Country PMI'!$A$1:$AZ$1,),))</f>
        <v/>
      </c>
      <c r="C98" s="24">
        <f>Table134689[[#This Row],[PMI]]-B97</f>
        <v/>
      </c>
    </row>
    <row r="99">
      <c r="A99" s="10" t="n">
        <v>44927</v>
      </c>
      <c r="B99" s="18">
        <f>IF(VLOOKUP(A99,'DB Country PMI'!$A:$AZ,MATCH($A$1,'DB Country PMI'!$A$1:$AZ$1,),)=0,#N/A,VLOOKUP(A99,'DB Country PMI'!$A:$AZ,MATCH($A$1,'DB Country PMI'!$A$1:$AZ$1,),))</f>
        <v/>
      </c>
      <c r="C99" s="24">
        <f>Table134689[[#This Row],[PMI]]-B98</f>
        <v/>
      </c>
    </row>
  </sheetData>
  <conditionalFormatting sqref="B6:B99">
    <cfRule type="colorScale" priority="54">
      <colorScale>
        <cfvo type="min"/>
        <cfvo type="percentile" val="50"/>
        <cfvo type="max"/>
        <color rgb="FFF8696B"/>
        <color rgb="FFFFEB84"/>
        <color rgb="FF63BE7B"/>
      </colorScale>
    </cfRule>
  </conditionalFormatting>
  <conditionalFormatting sqref="C7:C99">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51"/>
  <sheetViews>
    <sheetView zoomScaleNormal="100" workbookViewId="0">
      <pane ySplit="5" topLeftCell="A231" activePane="bottomLeft" state="frozen"/>
      <selection activeCell="B327" sqref="B327"/>
      <selection pane="bottomLeft" activeCell="A246" sqref="A246:C251"/>
    </sheetView>
  </sheetViews>
  <sheetFormatPr baseColWidth="8" defaultColWidth="9.1796875" defaultRowHeight="14.5"/>
  <cols>
    <col width="13.453125" customWidth="1" style="69" min="1" max="1"/>
    <col width="11.36328125" customWidth="1" style="69" min="2" max="2"/>
    <col width="9.1796875" customWidth="1" style="69" min="3" max="59"/>
    <col width="9.1796875" customWidth="1" style="69" min="60"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row r="249">
      <c r="A249" s="10" t="n">
        <v>44866</v>
      </c>
      <c r="B249" s="19">
        <f>IF(VLOOKUP(A249,'DB Country PMI'!$A:$AZ,MATCH($A$1,'DB Country PMI'!$A$1:$AZ$1,),)=0,#N/A,VLOOKUP(A249,'DB Country PMI'!$A:$AZ,MATCH($A$1,'DB Country PMI'!$A$1:$AZ$1,),))</f>
        <v/>
      </c>
      <c r="C249" s="26">
        <f>Table1346811121415161718192022253032[[#This Row],[PMI]]-B248</f>
        <v/>
      </c>
    </row>
    <row r="250">
      <c r="A250" s="10" t="n">
        <v>44896</v>
      </c>
      <c r="B250" s="19">
        <f>IF(VLOOKUP(A250,'DB Country PMI'!$A:$AZ,MATCH($A$1,'DB Country PMI'!$A$1:$AZ$1,),)=0,#N/A,VLOOKUP(A250,'DB Country PMI'!$A:$AZ,MATCH($A$1,'DB Country PMI'!$A$1:$AZ$1,),))</f>
        <v/>
      </c>
      <c r="C250" s="26">
        <f>Table1346811121415161718192022253032[[#This Row],[PMI]]-B249</f>
        <v/>
      </c>
    </row>
    <row r="251">
      <c r="A251" s="10" t="n">
        <v>44927</v>
      </c>
      <c r="B251" s="19">
        <f>IF(VLOOKUP(A251,'DB Country PMI'!$A:$AZ,MATCH($A$1,'DB Country PMI'!$A$1:$AZ$1,),)=0,#N/A,VLOOKUP(A251,'DB Country PMI'!$A:$AZ,MATCH($A$1,'DB Country PMI'!$A$1:$AZ$1,),))</f>
        <v/>
      </c>
      <c r="C251" s="26">
        <f>Table1346811121415161718192022253032[[#This Row],[PMI]]-B250</f>
        <v/>
      </c>
    </row>
  </sheetData>
  <conditionalFormatting sqref="C95:C251">
    <cfRule type="colorScale" priority="2">
      <colorScale>
        <cfvo type="min"/>
        <cfvo type="percentile" val="50"/>
        <cfvo type="max"/>
        <color rgb="FFF8696B"/>
        <color rgb="FFFCFCFF"/>
        <color rgb="FF5A8AC6"/>
      </colorScale>
    </cfRule>
  </conditionalFormatting>
  <conditionalFormatting sqref="B95:B2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2023-03-04T18:43:29Z</dcterms:modified>
  <cp:lastModifiedBy>Mark Mukherjee</cp:lastModifiedBy>
</cp:coreProperties>
</file>