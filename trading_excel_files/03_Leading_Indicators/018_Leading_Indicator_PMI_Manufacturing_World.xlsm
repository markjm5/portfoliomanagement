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tables/table7.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tables/table8.xml" ContentType="application/vnd.openxmlformats-officedocument.spreadsheetml.tab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0.xml" ContentType="application/vnd.openxmlformats-officedocument.drawing+xml"/>
  <Override PartName="/xl/tables/table9.xml" ContentType="application/vnd.openxmlformats-officedocument.spreadsheetml.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1.xml" ContentType="application/vnd.openxmlformats-officedocument.drawing+xml"/>
  <Override PartName="/xl/tables/table10.xml" ContentType="application/vnd.openxmlformats-officedocument.spreadsheetml.tab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2.xml" ContentType="application/vnd.openxmlformats-officedocument.drawing+xml"/>
  <Override PartName="/xl/tables/table11.xml" ContentType="application/vnd.openxmlformats-officedocument.spreadsheetml.tab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tables/table12.xml" ContentType="application/vnd.openxmlformats-officedocument.spreadsheetml.tab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4.xml" ContentType="application/vnd.openxmlformats-officedocument.drawing+xml"/>
  <Override PartName="/xl/tables/table13.xml" ContentType="application/vnd.openxmlformats-officedocument.spreadsheetml.tab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tables/table14.xml" ContentType="application/vnd.openxmlformats-officedocument.spreadsheetml.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6.xml" ContentType="application/vnd.openxmlformats-officedocument.drawing+xml"/>
  <Override PartName="/xl/tables/table15.xml" ContentType="application/vnd.openxmlformats-officedocument.spreadsheetml.tab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tables/table16.xml" ContentType="application/vnd.openxmlformats-officedocument.spreadsheetml.tab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8.xml" ContentType="application/vnd.openxmlformats-officedocument.drawing+xml"/>
  <Override PartName="/xl/tables/table17.xml" ContentType="application/vnd.openxmlformats-officedocument.spreadsheetml.tab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9.xml" ContentType="application/vnd.openxmlformats-officedocument.drawing+xml"/>
  <Override PartName="/xl/tables/table18.xml" ContentType="application/vnd.openxmlformats-officedocument.spreadsheetml.tab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0.xml" ContentType="application/vnd.openxmlformats-officedocument.drawing+xml"/>
  <Override PartName="/xl/tables/table19.xml" ContentType="application/vnd.openxmlformats-officedocument.spreadsheetml.tab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tables/table20.xml" ContentType="application/vnd.openxmlformats-officedocument.spreadsheetml.tab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2.xml" ContentType="application/vnd.openxmlformats-officedocument.drawing+xml"/>
  <Override PartName="/xl/tables/table21.xml" ContentType="application/vnd.openxmlformats-officedocument.spreadsheetml.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3.xml" ContentType="application/vnd.openxmlformats-officedocument.drawing+xml"/>
  <Override PartName="/xl/tables/table22.xml" ContentType="application/vnd.openxmlformats-officedocument.spreadsheetml.tab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4.xml" ContentType="application/vnd.openxmlformats-officedocument.drawing+xml"/>
  <Override PartName="/xl/tables/table23.xml" ContentType="application/vnd.openxmlformats-officedocument.spreadsheetml.tab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5.xml" ContentType="application/vnd.openxmlformats-officedocument.drawing+xml"/>
  <Override PartName="/xl/tables/table24.xml" ContentType="application/vnd.openxmlformats-officedocument.spreadsheetml.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6.xml" ContentType="application/vnd.openxmlformats-officedocument.drawing+xml"/>
  <Override PartName="/xl/tables/table25.xml" ContentType="application/vnd.openxmlformats-officedocument.spreadsheetml.tab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7.xml" ContentType="application/vnd.openxmlformats-officedocument.drawing+xml"/>
  <Override PartName="/xl/tables/table26.xml" ContentType="application/vnd.openxmlformats-officedocument.spreadsheetml.tab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8.xml" ContentType="application/vnd.openxmlformats-officedocument.drawing+xml"/>
  <Override PartName="/xl/tables/table27.xml" ContentType="application/vnd.openxmlformats-officedocument.spreadsheetml.tab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9.xml" ContentType="application/vnd.openxmlformats-officedocument.drawing+xml"/>
  <Override PartName="/xl/tables/table28.xml" ContentType="application/vnd.openxmlformats-officedocument.spreadsheetml.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30.xml" ContentType="application/vnd.openxmlformats-officedocument.drawing+xml"/>
  <Override PartName="/xl/tables/table29.xml" ContentType="application/vnd.openxmlformats-officedocument.spreadsheetml.tab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1.xml" ContentType="application/vnd.openxmlformats-officedocument.drawing+xml"/>
  <Override PartName="/xl/tables/table30.xml" ContentType="application/vnd.openxmlformats-officedocument.spreadsheetml.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2.xml" ContentType="application/vnd.openxmlformats-officedocument.drawing+xml"/>
  <Override PartName="/xl/tables/table31.xml" ContentType="application/vnd.openxmlformats-officedocument.spreadsheetml.tab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35A248A9-FA90-6241-AC3C-81E3311F0BAC}" xr6:coauthVersionLast="47" xr6:coauthVersionMax="47" xr10:uidLastSave="{00000000-0000-0000-0000-000000000000}"/>
  <bookViews>
    <workbookView xWindow="-44540" yWindow="-480" windowWidth="68800" windowHeight="28220" tabRatio="804" activeTab="2" xr2:uid="{A6828C6A-7CD9-42C6-9C84-D3A2E245D2D3}"/>
  </bookViews>
  <sheets>
    <sheet name="Note" sheetId="1" r:id="rId1"/>
    <sheet name="Database" sheetId="38" r:id="rId2"/>
    <sheet name="DB Country PMI" sheetId="39" r:id="rId3"/>
    <sheet name="Summary" sheetId="37" r:id="rId4"/>
    <sheet name="Global" sheetId="2" r:id="rId5"/>
    <sheet name="US" sheetId="10" r:id="rId6"/>
    <sheet name="China" sheetId="22" r:id="rId7"/>
    <sheet name="Euro Area" sheetId="13" r:id="rId8"/>
    <sheet name="Japan" sheetId="17" r:id="rId9"/>
    <sheet name="Germany" sheetId="14" r:id="rId10"/>
    <sheet name="France" sheetId="15" r:id="rId11"/>
    <sheet name="UK" sheetId="11" r:id="rId12"/>
    <sheet name="Italy" sheetId="16" r:id="rId13"/>
    <sheet name="Spain" sheetId="19" r:id="rId14"/>
    <sheet name="Brazil" sheetId="23" r:id="rId15"/>
    <sheet name="Mexico" sheetId="25" r:id="rId16"/>
    <sheet name="Russia" sheetId="24" r:id="rId17"/>
    <sheet name="India" sheetId="30" r:id="rId18"/>
    <sheet name="Canada" sheetId="8" r:id="rId19"/>
    <sheet name="Australia" sheetId="26" r:id="rId20"/>
    <sheet name="Indonesia" sheetId="29" r:id="rId21"/>
    <sheet name="SouthKorea" sheetId="28" r:id="rId22"/>
    <sheet name="Taiwan" sheetId="32" r:id="rId23"/>
    <sheet name="Greece" sheetId="20" r:id="rId24"/>
    <sheet name="Ireland" sheetId="21" r:id="rId25"/>
    <sheet name="Turkey" sheetId="33" r:id="rId26"/>
    <sheet name="CzechRepublic" sheetId="34" r:id="rId27"/>
    <sheet name="Poland" sheetId="35" r:id="rId28"/>
    <sheet name="Denmark" sheetId="3" r:id="rId29"/>
    <sheet name="Vietnam" sheetId="4" r:id="rId30"/>
    <sheet name="Thailand" sheetId="5" r:id="rId31"/>
    <sheet name="South Africa" sheetId="6" r:id="rId32"/>
    <sheet name="Hong Kong" sheetId="7" r:id="rId33"/>
    <sheet name="Saudi Arabia" sheetId="9" r:id="rId34"/>
    <sheet name="NewZealand" sheetId="31" r:id="rId3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37" i="31" l="1"/>
  <c r="C86" i="9"/>
  <c r="C85" i="9"/>
  <c r="C119" i="7"/>
  <c r="C71" i="5"/>
  <c r="C119" i="4"/>
  <c r="C341" i="3"/>
  <c r="C140" i="35"/>
  <c r="C140" i="34"/>
  <c r="C140" i="33"/>
  <c r="C140" i="21"/>
  <c r="C140" i="20"/>
  <c r="C140" i="32"/>
  <c r="C138" i="28"/>
  <c r="C134" i="29"/>
  <c r="C134" i="8"/>
  <c r="C140" i="30"/>
  <c r="C140" i="24"/>
  <c r="C134" i="25"/>
  <c r="C140" i="23"/>
  <c r="C186" i="19"/>
  <c r="C186" i="16"/>
  <c r="C210" i="11"/>
  <c r="E210" i="11"/>
  <c r="F210" i="11"/>
  <c r="C166" i="15"/>
  <c r="C173" i="14"/>
  <c r="C172" i="17"/>
  <c r="C210" i="13"/>
  <c r="E210" i="13"/>
  <c r="F210" i="13"/>
  <c r="C209" i="22"/>
  <c r="E209" i="22"/>
  <c r="C140" i="10"/>
  <c r="C140" i="2"/>
  <c r="E140" i="2"/>
  <c r="F140" i="2"/>
  <c r="C93" i="37"/>
  <c r="D93" i="37"/>
  <c r="E93" i="37"/>
  <c r="F93" i="37"/>
  <c r="G93" i="37"/>
  <c r="H93" i="37"/>
  <c r="I93" i="37"/>
  <c r="J93" i="37"/>
  <c r="K93" i="37"/>
  <c r="L93" i="37"/>
  <c r="M93" i="37"/>
  <c r="N93" i="37"/>
  <c r="O93" i="37"/>
  <c r="P93" i="37"/>
  <c r="Q93" i="37"/>
  <c r="R93" i="37"/>
  <c r="S93" i="37"/>
  <c r="T93" i="37"/>
  <c r="U93" i="37"/>
  <c r="V93" i="37"/>
  <c r="W93" i="37"/>
  <c r="X93" i="37"/>
  <c r="Y93" i="37"/>
  <c r="Z93" i="37"/>
  <c r="AA93" i="37"/>
  <c r="AB93" i="37"/>
  <c r="C92" i="37"/>
  <c r="D92" i="37"/>
  <c r="E92" i="37"/>
  <c r="F92" i="37"/>
  <c r="G92" i="37"/>
  <c r="H92" i="37"/>
  <c r="I92" i="37"/>
  <c r="J92" i="37"/>
  <c r="K92" i="37"/>
  <c r="L92" i="37"/>
  <c r="M92" i="37"/>
  <c r="N92" i="37"/>
  <c r="O92" i="37"/>
  <c r="P92" i="37"/>
  <c r="Q92" i="37"/>
  <c r="R92" i="37"/>
  <c r="S92" i="37"/>
  <c r="T92" i="37"/>
  <c r="U92" i="37"/>
  <c r="V92" i="37"/>
  <c r="W92" i="37"/>
  <c r="X92" i="37"/>
  <c r="Y92" i="37"/>
  <c r="Z92" i="37"/>
  <c r="AA92" i="37"/>
  <c r="AB92" i="37"/>
  <c r="C236" i="31"/>
  <c r="C268" i="6"/>
  <c r="C70" i="5"/>
  <c r="C118" i="4"/>
  <c r="C340" i="3"/>
  <c r="C139" i="35"/>
  <c r="C139" i="34"/>
  <c r="C139" i="33"/>
  <c r="C139" i="21"/>
  <c r="C139" i="20"/>
  <c r="C139" i="32"/>
  <c r="C137" i="28"/>
  <c r="C133" i="29"/>
  <c r="C168" i="26"/>
  <c r="C133" i="8"/>
  <c r="C139" i="30"/>
  <c r="C139" i="24"/>
  <c r="C133" i="25"/>
  <c r="C139" i="23"/>
  <c r="C185" i="19"/>
  <c r="C185" i="16"/>
  <c r="C209" i="11"/>
  <c r="E209" i="11"/>
  <c r="F209" i="11"/>
  <c r="C165" i="15"/>
  <c r="C172" i="14"/>
  <c r="C171" i="17"/>
  <c r="C209" i="13"/>
  <c r="E209" i="13"/>
  <c r="F209" i="13"/>
  <c r="C208" i="22"/>
  <c r="E208" i="22"/>
  <c r="C139" i="10"/>
  <c r="C139" i="2"/>
  <c r="E139" i="2"/>
  <c r="F139" i="2"/>
  <c r="C235" i="31"/>
  <c r="C83" i="9"/>
  <c r="C84" i="9"/>
  <c r="C118" i="7"/>
  <c r="C117" i="7"/>
  <c r="C267" i="6"/>
  <c r="C69" i="5"/>
  <c r="C117" i="4"/>
  <c r="C339" i="3"/>
  <c r="C138" i="35"/>
  <c r="C138" i="34"/>
  <c r="C138" i="33"/>
  <c r="C138" i="21"/>
  <c r="C138" i="20"/>
  <c r="C138" i="32"/>
  <c r="C136" i="28"/>
  <c r="C132" i="29"/>
  <c r="C167" i="26"/>
  <c r="C132" i="8"/>
  <c r="C138" i="30"/>
  <c r="C138" i="24"/>
  <c r="C132" i="25"/>
  <c r="C138" i="23"/>
  <c r="C184" i="19"/>
  <c r="C184" i="16"/>
  <c r="C208" i="11"/>
  <c r="E208" i="11"/>
  <c r="F208" i="11"/>
  <c r="C164" i="15"/>
  <c r="C171" i="14"/>
  <c r="C170" i="17"/>
  <c r="C208" i="13"/>
  <c r="E208" i="13"/>
  <c r="F208" i="13"/>
  <c r="C207" i="22"/>
  <c r="E207" i="22"/>
  <c r="C138" i="10"/>
  <c r="C138" i="2"/>
  <c r="E138" i="2"/>
  <c r="F138" i="2"/>
  <c r="C91" i="37"/>
  <c r="D91" i="37"/>
  <c r="E91" i="37"/>
  <c r="F91" i="37"/>
  <c r="G91" i="37"/>
  <c r="H91" i="37"/>
  <c r="I91" i="37"/>
  <c r="J91" i="37"/>
  <c r="K91" i="37"/>
  <c r="L91" i="37"/>
  <c r="M91" i="37"/>
  <c r="N91" i="37"/>
  <c r="O91" i="37"/>
  <c r="P91" i="37"/>
  <c r="Q91" i="37"/>
  <c r="R91" i="37"/>
  <c r="S91" i="37"/>
  <c r="T91" i="37"/>
  <c r="U91" i="37"/>
  <c r="V91" i="37"/>
  <c r="W91" i="37"/>
  <c r="X91" i="37"/>
  <c r="Y91" i="37"/>
  <c r="Z91" i="37"/>
  <c r="AA91" i="37"/>
  <c r="AB91" i="37"/>
  <c r="C183" i="16"/>
  <c r="C234" i="31"/>
  <c r="C82" i="9"/>
  <c r="C266" i="6"/>
  <c r="C68" i="5"/>
  <c r="C116" i="4"/>
  <c r="C338" i="3"/>
  <c r="C137" i="35"/>
  <c r="C137" i="34"/>
  <c r="C137" i="33"/>
  <c r="C137" i="21"/>
  <c r="C137" i="20"/>
  <c r="C137" i="32"/>
  <c r="C135" i="28"/>
  <c r="C131" i="29"/>
  <c r="C166" i="26"/>
  <c r="C131" i="8"/>
  <c r="C137" i="30"/>
  <c r="C137" i="24"/>
  <c r="C131" i="25"/>
  <c r="C137" i="23"/>
  <c r="C183" i="19"/>
  <c r="C207" i="11"/>
  <c r="E207" i="11"/>
  <c r="F207" i="11"/>
  <c r="C163" i="15"/>
  <c r="C170" i="14"/>
  <c r="C169" i="17"/>
  <c r="C207" i="13"/>
  <c r="E207" i="13"/>
  <c r="F207" i="13"/>
  <c r="C206" i="22"/>
  <c r="E206" i="22"/>
  <c r="C137" i="10"/>
  <c r="C137" i="2"/>
  <c r="E137" i="2"/>
  <c r="F137" i="2"/>
  <c r="C90" i="37"/>
  <c r="D90" i="37"/>
  <c r="E90" i="37"/>
  <c r="F90" i="37"/>
  <c r="G90" i="37"/>
  <c r="H90" i="37"/>
  <c r="I90" i="37"/>
  <c r="J90" i="37"/>
  <c r="K90" i="37"/>
  <c r="L90" i="37"/>
  <c r="M90" i="37"/>
  <c r="N90" i="37"/>
  <c r="O90" i="37"/>
  <c r="P90" i="37"/>
  <c r="Q90" i="37"/>
  <c r="R90" i="37"/>
  <c r="S90" i="37"/>
  <c r="T90" i="37"/>
  <c r="U90" i="37"/>
  <c r="V90" i="37"/>
  <c r="W90" i="37"/>
  <c r="X90" i="37"/>
  <c r="Y90" i="37"/>
  <c r="Z90" i="37"/>
  <c r="AA90" i="37"/>
  <c r="AB90" i="37"/>
  <c r="C89" i="37"/>
  <c r="D89" i="37"/>
  <c r="E89" i="37"/>
  <c r="F89" i="37"/>
  <c r="G89" i="37"/>
  <c r="H89" i="37"/>
  <c r="I89" i="37"/>
  <c r="J89" i="37"/>
  <c r="K89" i="37"/>
  <c r="L89" i="37"/>
  <c r="M89" i="37"/>
  <c r="N89" i="37"/>
  <c r="O89" i="37"/>
  <c r="P89" i="37"/>
  <c r="Q89" i="37"/>
  <c r="R89" i="37"/>
  <c r="S89" i="37"/>
  <c r="T89" i="37"/>
  <c r="U89" i="37"/>
  <c r="V89" i="37"/>
  <c r="W89" i="37"/>
  <c r="X89" i="37"/>
  <c r="Y89" i="37"/>
  <c r="Z89" i="37"/>
  <c r="AA89" i="37"/>
  <c r="AB89" i="37"/>
  <c r="C233" i="31"/>
  <c r="C116" i="7"/>
  <c r="C265" i="6"/>
  <c r="C67" i="5"/>
  <c r="C115" i="4"/>
  <c r="C337" i="3"/>
  <c r="C136" i="35"/>
  <c r="C136" i="34"/>
  <c r="C136" i="33"/>
  <c r="C136" i="21"/>
  <c r="C136" i="20"/>
  <c r="C136" i="32"/>
  <c r="C134" i="28"/>
  <c r="C130" i="29"/>
  <c r="C165" i="26"/>
  <c r="C130" i="8"/>
  <c r="C136" i="30"/>
  <c r="C136" i="24"/>
  <c r="C130" i="25"/>
  <c r="C136" i="23"/>
  <c r="C182" i="19"/>
  <c r="C182" i="16"/>
  <c r="C206" i="11"/>
  <c r="E206" i="11"/>
  <c r="F206" i="11"/>
  <c r="C162" i="15"/>
  <c r="C169" i="14"/>
  <c r="C168" i="17"/>
  <c r="C206" i="13"/>
  <c r="E206" i="13"/>
  <c r="F206" i="13"/>
  <c r="C205" i="22"/>
  <c r="E205" i="22"/>
  <c r="C136" i="10"/>
  <c r="C136" i="2"/>
  <c r="E136" i="2"/>
  <c r="F136" i="2"/>
  <c r="C88" i="37"/>
  <c r="D88" i="37"/>
  <c r="E88" i="37"/>
  <c r="F88" i="37"/>
  <c r="G88" i="37"/>
  <c r="H88" i="37"/>
  <c r="I88" i="37"/>
  <c r="J88" i="37"/>
  <c r="K88" i="37"/>
  <c r="L88" i="37"/>
  <c r="M88" i="37"/>
  <c r="N88" i="37"/>
  <c r="O88" i="37"/>
  <c r="P88" i="37"/>
  <c r="Q88" i="37"/>
  <c r="R88" i="37"/>
  <c r="S88" i="37"/>
  <c r="T88" i="37"/>
  <c r="U88" i="37"/>
  <c r="V88" i="37"/>
  <c r="W88" i="37"/>
  <c r="X88" i="37"/>
  <c r="Y88" i="37"/>
  <c r="Z88" i="37"/>
  <c r="AA88" i="37"/>
  <c r="AB88" i="37"/>
  <c r="C232" i="31"/>
  <c r="C81" i="9"/>
  <c r="C80" i="9"/>
  <c r="C114" i="7"/>
  <c r="C115" i="7"/>
  <c r="C264" i="6"/>
  <c r="C66" i="5"/>
  <c r="C114" i="4"/>
  <c r="C336" i="3"/>
  <c r="C135" i="35"/>
  <c r="C135" i="34"/>
  <c r="C135" i="33"/>
  <c r="C135" i="21"/>
  <c r="C135" i="20"/>
  <c r="C135" i="32"/>
  <c r="C133" i="28"/>
  <c r="C129" i="29"/>
  <c r="C164" i="26"/>
  <c r="C128" i="8"/>
  <c r="C129" i="8"/>
  <c r="C135" i="30"/>
  <c r="C135" i="24"/>
  <c r="C129" i="25"/>
  <c r="C135" i="23"/>
  <c r="C181" i="19"/>
  <c r="C181" i="16"/>
  <c r="C205" i="11"/>
  <c r="E205" i="11"/>
  <c r="F205" i="11"/>
  <c r="C161" i="15"/>
  <c r="C168" i="14"/>
  <c r="C167" i="17"/>
  <c r="C205" i="13"/>
  <c r="E205" i="13"/>
  <c r="F205" i="13"/>
  <c r="C204" i="22"/>
  <c r="E204" i="22"/>
  <c r="C135" i="10"/>
  <c r="C135" i="2"/>
  <c r="E135" i="2"/>
  <c r="F135" i="2"/>
  <c r="C85" i="37"/>
  <c r="R85" i="37"/>
  <c r="R82" i="37"/>
  <c r="R83" i="37"/>
  <c r="R84" i="37"/>
  <c r="R86" i="37"/>
  <c r="R87" i="37"/>
  <c r="C87" i="37"/>
  <c r="D87" i="37"/>
  <c r="E87" i="37"/>
  <c r="F87" i="37"/>
  <c r="G87" i="37"/>
  <c r="H87" i="37"/>
  <c r="I87" i="37"/>
  <c r="J87" i="37"/>
  <c r="K87" i="37"/>
  <c r="L87" i="37"/>
  <c r="M87" i="37"/>
  <c r="N87" i="37"/>
  <c r="O87" i="37"/>
  <c r="P87" i="37"/>
  <c r="Q87" i="37"/>
  <c r="S87" i="37"/>
  <c r="T87" i="37"/>
  <c r="U87" i="37"/>
  <c r="V87" i="37"/>
  <c r="W87" i="37"/>
  <c r="X87" i="37"/>
  <c r="Y87" i="37"/>
  <c r="Z87" i="37"/>
  <c r="AA87" i="37"/>
  <c r="AB87" i="37"/>
  <c r="C231" i="31"/>
  <c r="C263" i="6"/>
  <c r="C65" i="5"/>
  <c r="C113" i="4"/>
  <c r="C335" i="3"/>
  <c r="C134" i="35"/>
  <c r="C134" i="34"/>
  <c r="C134" i="33"/>
  <c r="C134" i="21"/>
  <c r="C134" i="20"/>
  <c r="C134" i="32"/>
  <c r="C132" i="28"/>
  <c r="C128" i="29"/>
  <c r="C163" i="26"/>
  <c r="C134" i="30"/>
  <c r="C134" i="24"/>
  <c r="C128" i="25"/>
  <c r="C134" i="23"/>
  <c r="C180" i="19"/>
  <c r="C180" i="16"/>
  <c r="C204" i="11"/>
  <c r="E204" i="11"/>
  <c r="F204" i="11"/>
  <c r="C160" i="15"/>
  <c r="C167" i="14"/>
  <c r="C166" i="17"/>
  <c r="C204" i="13"/>
  <c r="E204" i="13"/>
  <c r="F204" i="13"/>
  <c r="C203" i="22"/>
  <c r="E203" i="22"/>
  <c r="C134" i="10"/>
  <c r="C134" i="2"/>
  <c r="E134" i="2"/>
  <c r="F134" i="2"/>
  <c r="C86" i="37"/>
  <c r="D86" i="37"/>
  <c r="E86" i="37"/>
  <c r="F86" i="37"/>
  <c r="G86" i="37"/>
  <c r="H86" i="37"/>
  <c r="I86" i="37"/>
  <c r="J86" i="37"/>
  <c r="K86" i="37"/>
  <c r="L86" i="37"/>
  <c r="M86" i="37"/>
  <c r="N86" i="37"/>
  <c r="O86" i="37"/>
  <c r="P86" i="37"/>
  <c r="Q86" i="37"/>
  <c r="S86" i="37"/>
  <c r="T86" i="37"/>
  <c r="U86" i="37"/>
  <c r="V86" i="37"/>
  <c r="W86" i="37"/>
  <c r="X86" i="37"/>
  <c r="Y86" i="37"/>
  <c r="Z86" i="37"/>
  <c r="AA86" i="37"/>
  <c r="AB86" i="37"/>
  <c r="C230" i="31"/>
  <c r="C79" i="9"/>
  <c r="C112" i="7"/>
  <c r="C113" i="7"/>
  <c r="C262" i="6"/>
  <c r="C63" i="5"/>
  <c r="C64" i="5"/>
  <c r="C112" i="4"/>
  <c r="C334" i="3"/>
  <c r="C133" i="35"/>
  <c r="C133" i="34"/>
  <c r="C133" i="33"/>
  <c r="C133" i="21"/>
  <c r="C133" i="20"/>
  <c r="C133" i="32"/>
  <c r="C131" i="28"/>
  <c r="C127" i="29"/>
  <c r="C162" i="26"/>
  <c r="C127" i="8"/>
  <c r="C133" i="30"/>
  <c r="C133" i="24"/>
  <c r="C127" i="25"/>
  <c r="C133" i="23"/>
  <c r="C179" i="19"/>
  <c r="C179" i="16"/>
  <c r="C203" i="11"/>
  <c r="E203" i="11"/>
  <c r="F203" i="11"/>
  <c r="C159" i="15"/>
  <c r="C166" i="14"/>
  <c r="C165" i="17"/>
  <c r="C203" i="13"/>
  <c r="E203" i="13"/>
  <c r="F203" i="13"/>
  <c r="C202" i="22"/>
  <c r="E202" i="22"/>
  <c r="C133" i="10"/>
  <c r="C133" i="2"/>
  <c r="E133" i="2"/>
  <c r="F133" i="2"/>
  <c r="D85" i="37"/>
  <c r="E85" i="37"/>
  <c r="F85" i="37"/>
  <c r="G85" i="37"/>
  <c r="H85" i="37"/>
  <c r="I85" i="37"/>
  <c r="J85" i="37"/>
  <c r="K85" i="37"/>
  <c r="L85" i="37"/>
  <c r="M85" i="37"/>
  <c r="N85" i="37"/>
  <c r="O85" i="37"/>
  <c r="P85" i="37"/>
  <c r="Q85" i="37"/>
  <c r="S85" i="37"/>
  <c r="T85" i="37"/>
  <c r="U85" i="37"/>
  <c r="V85" i="37"/>
  <c r="W85" i="37"/>
  <c r="X85" i="37"/>
  <c r="Y85" i="37"/>
  <c r="Z85" i="37"/>
  <c r="AA85" i="37"/>
  <c r="AB85" i="37"/>
  <c r="C229" i="31"/>
  <c r="C78" i="9"/>
  <c r="C111" i="7"/>
  <c r="C261" i="6"/>
  <c r="C111" i="4"/>
  <c r="C332" i="3"/>
  <c r="C333" i="3"/>
  <c r="C132" i="35"/>
  <c r="C132" i="34"/>
  <c r="C132" i="33"/>
  <c r="C132" i="21"/>
  <c r="C132" i="20"/>
  <c r="C132" i="32"/>
  <c r="C130" i="28"/>
  <c r="C126" i="29"/>
  <c r="C161" i="26"/>
  <c r="C126" i="8"/>
  <c r="C132" i="30"/>
  <c r="C132" i="24"/>
  <c r="C126" i="25"/>
  <c r="C132" i="23"/>
  <c r="C178" i="19"/>
  <c r="C178" i="16"/>
  <c r="C202" i="11"/>
  <c r="E202" i="11"/>
  <c r="F202" i="11"/>
  <c r="C158" i="15"/>
  <c r="C165" i="14"/>
  <c r="C164" i="17"/>
  <c r="C202" i="13"/>
  <c r="E202" i="13"/>
  <c r="F202" i="13"/>
  <c r="C201" i="22"/>
  <c r="E201" i="22"/>
  <c r="C132" i="10"/>
  <c r="C132" i="2"/>
  <c r="E132" i="2"/>
  <c r="F132" i="2"/>
  <c r="C228" i="31"/>
  <c r="C77" i="9"/>
  <c r="C260" i="6"/>
  <c r="C62" i="5"/>
  <c r="C110" i="4"/>
  <c r="C131" i="35"/>
  <c r="C131" i="34"/>
  <c r="C131" i="33"/>
  <c r="C131" i="21"/>
  <c r="C131" i="20"/>
  <c r="C131" i="32"/>
  <c r="C129" i="28"/>
  <c r="C125" i="29"/>
  <c r="C160" i="26"/>
  <c r="C125" i="8"/>
  <c r="C131" i="30"/>
  <c r="C131" i="24"/>
  <c r="C125" i="25"/>
  <c r="C131" i="23"/>
  <c r="C177" i="19"/>
  <c r="C177" i="16"/>
  <c r="C201" i="11"/>
  <c r="E201" i="11"/>
  <c r="F201" i="11"/>
  <c r="C157" i="15"/>
  <c r="C164" i="14"/>
  <c r="C163" i="17"/>
  <c r="C201" i="13"/>
  <c r="E201" i="13"/>
  <c r="F201" i="13"/>
  <c r="C200" i="22"/>
  <c r="E200" i="22"/>
  <c r="C131" i="10" l="1"/>
  <c r="C131" i="2"/>
  <c r="E131" i="2"/>
  <c r="F131" i="2"/>
  <c r="S84" i="37"/>
  <c r="S82" i="37"/>
  <c r="S83" i="37"/>
  <c r="C84" i="37"/>
  <c r="D84" i="37"/>
  <c r="E84" i="37"/>
  <c r="F84" i="37"/>
  <c r="G84" i="37"/>
  <c r="H84" i="37"/>
  <c r="I84" i="37"/>
  <c r="J84" i="37"/>
  <c r="K84" i="37"/>
  <c r="L84" i="37"/>
  <c r="M84" i="37"/>
  <c r="N84" i="37"/>
  <c r="O84" i="37"/>
  <c r="P84" i="37"/>
  <c r="Q84" i="37"/>
  <c r="T84" i="37"/>
  <c r="U84" i="37"/>
  <c r="V84" i="37"/>
  <c r="W84" i="37"/>
  <c r="X84" i="37"/>
  <c r="Y84" i="37"/>
  <c r="Z84" i="37"/>
  <c r="AA84" i="37"/>
  <c r="AB84" i="37"/>
  <c r="C259" i="6"/>
  <c r="C83" i="37"/>
  <c r="C227" i="31"/>
  <c r="C76" i="9"/>
  <c r="C110" i="7"/>
  <c r="C109" i="7"/>
  <c r="C258" i="6"/>
  <c r="C61" i="5"/>
  <c r="C109" i="4"/>
  <c r="C331" i="3"/>
  <c r="C130" i="35"/>
  <c r="C130" i="34"/>
  <c r="C130" i="33"/>
  <c r="C130" i="21"/>
  <c r="C130" i="20"/>
  <c r="C130" i="32"/>
  <c r="C128" i="28"/>
  <c r="C124" i="29"/>
  <c r="C159" i="26"/>
  <c r="C158" i="26"/>
  <c r="C124" i="8"/>
  <c r="C130" i="30"/>
  <c r="C130" i="24"/>
  <c r="C124" i="25"/>
  <c r="C130" i="23"/>
  <c r="C176" i="19"/>
  <c r="C176" i="16"/>
  <c r="C200" i="11"/>
  <c r="E200" i="11"/>
  <c r="F200" i="11"/>
  <c r="C156" i="15"/>
  <c r="C163" i="14"/>
  <c r="C162" i="17"/>
  <c r="C200" i="13"/>
  <c r="E200" i="13"/>
  <c r="F200" i="13"/>
  <c r="C199" i="22"/>
  <c r="E199" i="22"/>
  <c r="C130" i="10"/>
  <c r="C130" i="2"/>
  <c r="E130" i="2"/>
  <c r="F130" i="2"/>
  <c r="D83" i="37"/>
  <c r="E83" i="37"/>
  <c r="F83" i="37"/>
  <c r="G83" i="37"/>
  <c r="H83" i="37"/>
  <c r="I83" i="37"/>
  <c r="J83" i="37"/>
  <c r="K83" i="37"/>
  <c r="L83" i="37"/>
  <c r="M83" i="37"/>
  <c r="N83" i="37"/>
  <c r="O83" i="37"/>
  <c r="P83" i="37"/>
  <c r="Q83" i="37"/>
  <c r="T83" i="37"/>
  <c r="U83" i="37"/>
  <c r="V83" i="37"/>
  <c r="W83" i="37"/>
  <c r="X83" i="37"/>
  <c r="Y83" i="37"/>
  <c r="Z83" i="37"/>
  <c r="AA83" i="37"/>
  <c r="AB83" i="37"/>
  <c r="S81" i="37" l="1"/>
  <c r="C82" i="37"/>
  <c r="D82" i="37"/>
  <c r="E82" i="37"/>
  <c r="F82" i="37"/>
  <c r="G82" i="37"/>
  <c r="H82" i="37"/>
  <c r="I82" i="37"/>
  <c r="J82" i="37"/>
  <c r="K82" i="37"/>
  <c r="L82" i="37"/>
  <c r="M82" i="37"/>
  <c r="N82" i="37"/>
  <c r="O82" i="37"/>
  <c r="P82" i="37"/>
  <c r="Q82" i="37"/>
  <c r="T82" i="37"/>
  <c r="U82" i="37"/>
  <c r="V82" i="37"/>
  <c r="W82" i="37"/>
  <c r="X82" i="37"/>
  <c r="Y82" i="37"/>
  <c r="Z82" i="37"/>
  <c r="AA82" i="37"/>
  <c r="AB82" i="37"/>
  <c r="C226" i="31"/>
  <c r="C75" i="9"/>
  <c r="C108" i="7"/>
  <c r="C60" i="5"/>
  <c r="C108" i="4"/>
  <c r="C330" i="3"/>
  <c r="C129" i="35"/>
  <c r="C129" i="34"/>
  <c r="C129" i="33"/>
  <c r="C129" i="21"/>
  <c r="C129" i="20"/>
  <c r="C129" i="32"/>
  <c r="C127" i="28"/>
  <c r="C123" i="29"/>
  <c r="C123" i="8"/>
  <c r="C129" i="30"/>
  <c r="C123" i="25"/>
  <c r="C129" i="24"/>
  <c r="C129" i="23"/>
  <c r="C175" i="19"/>
  <c r="C175" i="16"/>
  <c r="C199" i="11"/>
  <c r="E199" i="11"/>
  <c r="F199" i="11"/>
  <c r="C155" i="15"/>
  <c r="C162" i="14"/>
  <c r="C161" i="17"/>
  <c r="C199" i="13"/>
  <c r="E199" i="13"/>
  <c r="F199" i="13"/>
  <c r="C198" i="22"/>
  <c r="E198" i="22"/>
  <c r="C129" i="10"/>
  <c r="C129" i="2"/>
  <c r="E129" i="2"/>
  <c r="F129" i="2"/>
  <c r="C81" i="37"/>
  <c r="D81" i="37"/>
  <c r="E81" i="37"/>
  <c r="F81" i="37"/>
  <c r="G81" i="37"/>
  <c r="H81" i="37"/>
  <c r="I81" i="37"/>
  <c r="J81" i="37"/>
  <c r="K81" i="37"/>
  <c r="L81" i="37"/>
  <c r="M81" i="37"/>
  <c r="N81" i="37"/>
  <c r="O81" i="37"/>
  <c r="P81" i="37"/>
  <c r="Q81" i="37"/>
  <c r="R81" i="37"/>
  <c r="T81" i="37"/>
  <c r="U81" i="37"/>
  <c r="V81" i="37"/>
  <c r="W81" i="37"/>
  <c r="X81" i="37"/>
  <c r="Y81" i="37"/>
  <c r="Z81" i="37"/>
  <c r="AA81" i="37"/>
  <c r="AB81" i="37"/>
  <c r="C225" i="31"/>
  <c r="C74" i="9"/>
  <c r="C73" i="9"/>
  <c r="C106" i="7"/>
  <c r="C107" i="7"/>
  <c r="C257" i="6"/>
  <c r="C59" i="5"/>
  <c r="C107" i="4"/>
  <c r="C329" i="3"/>
  <c r="C128" i="35"/>
  <c r="C128" i="34"/>
  <c r="C128" i="33"/>
  <c r="C128" i="21"/>
  <c r="C128" i="20"/>
  <c r="C128" i="32"/>
  <c r="C126" i="28"/>
  <c r="C122" i="29"/>
  <c r="C157" i="26"/>
  <c r="C122" i="8"/>
  <c r="C128" i="30"/>
  <c r="C128" i="24"/>
  <c r="C122" i="25"/>
  <c r="C128" i="23"/>
  <c r="C174" i="19"/>
  <c r="C174" i="16"/>
  <c r="C198" i="11"/>
  <c r="E198" i="11"/>
  <c r="F198" i="11"/>
  <c r="C154" i="15"/>
  <c r="C161" i="14"/>
  <c r="C160" i="17"/>
  <c r="C198" i="13"/>
  <c r="E198" i="13"/>
  <c r="F198" i="13"/>
  <c r="C197" i="22"/>
  <c r="E197" i="22"/>
  <c r="C128" i="10"/>
  <c r="C128" i="2"/>
  <c r="E128" i="2"/>
  <c r="F128" i="2"/>
  <c r="C80" i="37" l="1"/>
  <c r="D80" i="37"/>
  <c r="E80" i="37"/>
  <c r="F80" i="37"/>
  <c r="G80" i="37"/>
  <c r="H80" i="37"/>
  <c r="I80" i="37"/>
  <c r="J80" i="37"/>
  <c r="K80" i="37"/>
  <c r="L80" i="37"/>
  <c r="M80" i="37"/>
  <c r="N80" i="37"/>
  <c r="O80" i="37"/>
  <c r="P80" i="37"/>
  <c r="Q80" i="37"/>
  <c r="R80" i="37"/>
  <c r="S80" i="37"/>
  <c r="T80" i="37"/>
  <c r="U80" i="37"/>
  <c r="V80" i="37"/>
  <c r="W80" i="37"/>
  <c r="X80" i="37"/>
  <c r="Y80" i="37"/>
  <c r="Z80" i="37"/>
  <c r="AA80" i="37"/>
  <c r="AB80" i="37"/>
  <c r="C224" i="31"/>
  <c r="C256" i="6"/>
  <c r="C58" i="5"/>
  <c r="C106" i="4"/>
  <c r="C328" i="3"/>
  <c r="C127" i="35"/>
  <c r="C127" i="34"/>
  <c r="C127" i="33"/>
  <c r="C127" i="21"/>
  <c r="C127" i="20"/>
  <c r="C127" i="32"/>
  <c r="C125" i="28"/>
  <c r="C121" i="29"/>
  <c r="C156" i="26"/>
  <c r="C121" i="8"/>
  <c r="C127" i="30"/>
  <c r="C127" i="24"/>
  <c r="C121" i="25"/>
  <c r="C127" i="23"/>
  <c r="C173" i="19"/>
  <c r="C173" i="16"/>
  <c r="C197" i="11"/>
  <c r="E197" i="11"/>
  <c r="F197" i="11"/>
  <c r="C153" i="15"/>
  <c r="C160" i="14"/>
  <c r="C159" i="17"/>
  <c r="C197" i="13"/>
  <c r="E197" i="13"/>
  <c r="F197" i="13"/>
  <c r="C196" i="22"/>
  <c r="E196" i="22"/>
  <c r="C127" i="10"/>
  <c r="C127" i="2"/>
  <c r="E127" i="2"/>
  <c r="F127" i="2"/>
  <c r="C223" i="31" l="1"/>
  <c r="C72" i="9"/>
  <c r="C104" i="7"/>
  <c r="C105" i="7"/>
  <c r="C255" i="6"/>
  <c r="C57" i="5"/>
  <c r="C105" i="4"/>
  <c r="C327" i="3"/>
  <c r="C126" i="35"/>
  <c r="C126" i="34"/>
  <c r="C126" i="33"/>
  <c r="C126" i="21"/>
  <c r="C126" i="20"/>
  <c r="C126" i="32"/>
  <c r="C124" i="28"/>
  <c r="C120" i="29"/>
  <c r="C155" i="26"/>
  <c r="C120" i="8"/>
  <c r="C126" i="30"/>
  <c r="C126" i="24"/>
  <c r="C120" i="25"/>
  <c r="C126" i="23"/>
  <c r="C172" i="19"/>
  <c r="C172" i="16"/>
  <c r="C196" i="11"/>
  <c r="E196" i="11"/>
  <c r="F196" i="11"/>
  <c r="C152" i="15"/>
  <c r="C159" i="14"/>
  <c r="C158" i="17"/>
  <c r="C196" i="13"/>
  <c r="E196" i="13"/>
  <c r="F196" i="13"/>
  <c r="C195" i="22"/>
  <c r="E195" i="22"/>
  <c r="C126" i="10"/>
  <c r="C126" i="2"/>
  <c r="E126" i="2"/>
  <c r="F126" i="2"/>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C71" i="9" l="1"/>
  <c r="C254" i="6"/>
  <c r="C56" i="5"/>
  <c r="C104" i="4"/>
  <c r="C326" i="3"/>
  <c r="C125" i="35"/>
  <c r="C125" i="34"/>
  <c r="C125" i="33"/>
  <c r="C125" i="21"/>
  <c r="C125" i="20"/>
  <c r="C125" i="32"/>
  <c r="C123" i="28"/>
  <c r="C119" i="29"/>
  <c r="C154" i="26"/>
  <c r="C119" i="8"/>
  <c r="C125" i="30"/>
  <c r="C125" i="24"/>
  <c r="C119" i="25"/>
  <c r="C125" i="23"/>
  <c r="C171" i="19"/>
  <c r="C171" i="16"/>
  <c r="C195" i="11"/>
  <c r="E195" i="11"/>
  <c r="F195" i="11"/>
  <c r="C151" i="15"/>
  <c r="C158" i="14"/>
  <c r="C157" i="17"/>
  <c r="C195" i="13"/>
  <c r="E195" i="13"/>
  <c r="F195" i="13"/>
  <c r="C194" i="22"/>
  <c r="E194" i="22"/>
  <c r="C125" i="10"/>
  <c r="C125" i="2"/>
  <c r="E125" i="2"/>
  <c r="F125" i="2"/>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C77" i="37" l="1"/>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C222" i="31"/>
  <c r="C70" i="9"/>
  <c r="C253" i="6"/>
  <c r="C55" i="5"/>
  <c r="C103" i="4"/>
  <c r="C325" i="3"/>
  <c r="C124" i="35"/>
  <c r="C124" i="34"/>
  <c r="C124" i="33"/>
  <c r="C124" i="21"/>
  <c r="C124" i="20"/>
  <c r="C124" i="32"/>
  <c r="C122" i="28"/>
  <c r="C118" i="29"/>
  <c r="C153" i="26"/>
  <c r="C118" i="8"/>
  <c r="C124" i="30"/>
  <c r="C124" i="24"/>
  <c r="C118" i="25"/>
  <c r="C124" i="23"/>
  <c r="C170" i="19"/>
  <c r="C170" i="16"/>
  <c r="C194" i="11"/>
  <c r="E194" i="11"/>
  <c r="F194" i="11"/>
  <c r="C150" i="15"/>
  <c r="C157" i="14"/>
  <c r="C156" i="17"/>
  <c r="C194" i="13"/>
  <c r="E194" i="13"/>
  <c r="F194" i="13"/>
  <c r="C193" i="22"/>
  <c r="E193" i="22"/>
  <c r="C124" i="10"/>
  <c r="C124" i="2"/>
  <c r="E124" i="2"/>
  <c r="F124" i="2"/>
  <c r="C76" i="37" l="1"/>
  <c r="D76" i="37"/>
  <c r="E76" i="37"/>
  <c r="F76" i="37"/>
  <c r="G76" i="37"/>
  <c r="H76" i="37"/>
  <c r="I76" i="37"/>
  <c r="J76" i="37"/>
  <c r="K76" i="37"/>
  <c r="L76" i="37"/>
  <c r="M76" i="37"/>
  <c r="N76" i="37"/>
  <c r="O76" i="37"/>
  <c r="P76" i="37"/>
  <c r="Q76" i="37"/>
  <c r="R76" i="37"/>
  <c r="S76" i="37"/>
  <c r="T76" i="37"/>
  <c r="U76" i="37"/>
  <c r="V76" i="37"/>
  <c r="W76" i="37"/>
  <c r="X76" i="37"/>
  <c r="Y76" i="37"/>
  <c r="Z76" i="37"/>
  <c r="AA76" i="37"/>
  <c r="AB76" i="37"/>
  <c r="C221" i="31"/>
  <c r="C220" i="31"/>
  <c r="C69" i="9"/>
  <c r="C103" i="7"/>
  <c r="C252" i="6"/>
  <c r="C54" i="5"/>
  <c r="C102" i="4"/>
  <c r="C324" i="3"/>
  <c r="C123" i="35"/>
  <c r="C123" i="34"/>
  <c r="C123" i="33"/>
  <c r="C123" i="21"/>
  <c r="C123" i="20"/>
  <c r="C123" i="32"/>
  <c r="C121" i="28"/>
  <c r="C117" i="29"/>
  <c r="C152" i="26"/>
  <c r="C117" i="8"/>
  <c r="C123" i="30"/>
  <c r="C123" i="24"/>
  <c r="C117" i="25"/>
  <c r="C123" i="23"/>
  <c r="C169" i="19"/>
  <c r="C169" i="16"/>
  <c r="C193" i="11"/>
  <c r="E193" i="11"/>
  <c r="F193" i="11"/>
  <c r="C149" i="15"/>
  <c r="C156" i="14"/>
  <c r="C155" i="17"/>
  <c r="C193" i="13"/>
  <c r="E193" i="13"/>
  <c r="F193" i="13"/>
  <c r="C192" i="22"/>
  <c r="E192" i="22"/>
  <c r="C123" i="10"/>
  <c r="C123" i="2"/>
  <c r="E123" i="2"/>
  <c r="F123" i="2"/>
  <c r="C75" i="37" l="1"/>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C219" i="31"/>
  <c r="C68" i="9"/>
  <c r="C102" i="7"/>
  <c r="C251" i="6"/>
  <c r="C53" i="5"/>
  <c r="C101" i="4"/>
  <c r="C323" i="3"/>
  <c r="C122" i="35"/>
  <c r="C122" i="34"/>
  <c r="C122" i="33"/>
  <c r="C122" i="21"/>
  <c r="C122" i="20"/>
  <c r="C122" i="32"/>
  <c r="C120" i="28"/>
  <c r="C116" i="29"/>
  <c r="C151" i="26"/>
  <c r="C116" i="8"/>
  <c r="C122" i="30"/>
  <c r="C122" i="24"/>
  <c r="C116" i="25"/>
  <c r="C122" i="23"/>
  <c r="C168" i="19"/>
  <c r="C168" i="16"/>
  <c r="C192" i="11"/>
  <c r="E192" i="11"/>
  <c r="F192" i="11"/>
  <c r="C148" i="15"/>
  <c r="C155" i="14"/>
  <c r="C154" i="17"/>
  <c r="C192" i="13"/>
  <c r="E192" i="13"/>
  <c r="F192" i="13"/>
  <c r="C191" i="22"/>
  <c r="E191" i="22"/>
  <c r="C122" i="10"/>
  <c r="C122" i="2"/>
  <c r="E122" i="2"/>
  <c r="F122" i="2"/>
  <c r="C218" i="31" l="1"/>
  <c r="C217" i="31"/>
  <c r="C67" i="9"/>
  <c r="C100" i="7"/>
  <c r="C101" i="7"/>
  <c r="C250" i="6"/>
  <c r="C52" i="5"/>
  <c r="C100" i="4"/>
  <c r="C322" i="3"/>
  <c r="C121" i="35"/>
  <c r="C121" i="34"/>
  <c r="C121" i="33"/>
  <c r="C121" i="21"/>
  <c r="C121" i="20"/>
  <c r="C121" i="32"/>
  <c r="C119" i="28"/>
  <c r="C115" i="29"/>
  <c r="C150" i="26"/>
  <c r="C115" i="8"/>
  <c r="C121" i="30"/>
  <c r="C121" i="24"/>
  <c r="C115" i="25"/>
  <c r="C121" i="23"/>
  <c r="C167" i="19"/>
  <c r="C167" i="16"/>
  <c r="C191" i="11"/>
  <c r="E191" i="11"/>
  <c r="F191" i="11"/>
  <c r="C147" i="15"/>
  <c r="C154" i="14"/>
  <c r="C153" i="17"/>
  <c r="C191" i="13"/>
  <c r="E191" i="13"/>
  <c r="F191" i="13"/>
  <c r="C190" i="22"/>
  <c r="E190" i="22"/>
  <c r="C121" i="10"/>
  <c r="C121" i="2"/>
  <c r="E121" i="2"/>
  <c r="F121" i="2"/>
  <c r="C74" i="37"/>
  <c r="D74" i="37"/>
  <c r="E74" i="37"/>
  <c r="F74" i="37"/>
  <c r="G74" i="37"/>
  <c r="H74" i="37"/>
  <c r="I74" i="37"/>
  <c r="J74" i="37"/>
  <c r="K74" i="37"/>
  <c r="L74" i="37"/>
  <c r="M74" i="37"/>
  <c r="N74" i="37"/>
  <c r="O74" i="37"/>
  <c r="P74" i="37"/>
  <c r="Q74" i="37"/>
  <c r="R74" i="37"/>
  <c r="S74" i="37"/>
  <c r="T74" i="37"/>
  <c r="U74" i="37"/>
  <c r="V74" i="37"/>
  <c r="W74" i="37"/>
  <c r="X74" i="37"/>
  <c r="Y74" i="37"/>
  <c r="Z74" i="37"/>
  <c r="AA74" i="37"/>
  <c r="AB74" i="37"/>
  <c r="C66" i="9" l="1"/>
  <c r="C249" i="6"/>
  <c r="C51" i="5"/>
  <c r="C99" i="4"/>
  <c r="C321" i="3"/>
  <c r="C120" i="35"/>
  <c r="C120" i="34"/>
  <c r="C120" i="33"/>
  <c r="C120" i="21"/>
  <c r="C120" i="20"/>
  <c r="C120" i="32"/>
  <c r="C118" i="28"/>
  <c r="C114" i="29"/>
  <c r="C149" i="26"/>
  <c r="C114" i="8"/>
  <c r="C120" i="30"/>
  <c r="C120" i="24"/>
  <c r="C114" i="25"/>
  <c r="C120" i="23"/>
  <c r="C166" i="19"/>
  <c r="C166" i="16"/>
  <c r="C190" i="11"/>
  <c r="E190" i="11"/>
  <c r="F190" i="11"/>
  <c r="C146" i="15"/>
  <c r="C153" i="14"/>
  <c r="C152" i="17"/>
  <c r="C190" i="13"/>
  <c r="E190" i="13"/>
  <c r="F190" i="13"/>
  <c r="C189" i="22"/>
  <c r="E189" i="22"/>
  <c r="C120" i="10"/>
  <c r="C120" i="2"/>
  <c r="E120" i="2"/>
  <c r="F120" i="2"/>
  <c r="C73" i="37"/>
  <c r="D73" i="37"/>
  <c r="E73" i="37"/>
  <c r="F73" i="37"/>
  <c r="G73" i="37"/>
  <c r="H73" i="37"/>
  <c r="I73" i="37"/>
  <c r="J73" i="37"/>
  <c r="K73" i="37"/>
  <c r="L73" i="37"/>
  <c r="M73" i="37"/>
  <c r="N73" i="37"/>
  <c r="O73" i="37"/>
  <c r="P73" i="37"/>
  <c r="Q73" i="37"/>
  <c r="R73" i="37"/>
  <c r="S73" i="37"/>
  <c r="T73" i="37"/>
  <c r="U73" i="37"/>
  <c r="V73" i="37"/>
  <c r="W73" i="37"/>
  <c r="X73" i="37"/>
  <c r="Y73" i="37"/>
  <c r="Z73" i="37"/>
  <c r="AA73" i="37"/>
  <c r="AB73" i="37"/>
  <c r="C72" i="37" l="1"/>
  <c r="D72" i="37"/>
  <c r="E72" i="37"/>
  <c r="F72" i="37"/>
  <c r="G72" i="37"/>
  <c r="H72" i="37"/>
  <c r="I72" i="37"/>
  <c r="J72" i="37"/>
  <c r="K72" i="37"/>
  <c r="L72" i="37"/>
  <c r="M72" i="37"/>
  <c r="N72" i="37"/>
  <c r="O72" i="37"/>
  <c r="P72" i="37"/>
  <c r="Q72" i="37"/>
  <c r="R72" i="37"/>
  <c r="S72" i="37"/>
  <c r="T72" i="37"/>
  <c r="U72" i="37"/>
  <c r="V72" i="37"/>
  <c r="W72" i="37"/>
  <c r="X72" i="37"/>
  <c r="Y72" i="37"/>
  <c r="Z72" i="37"/>
  <c r="AA72" i="37"/>
  <c r="AB72" i="37"/>
  <c r="C216" i="31"/>
  <c r="C64" i="9"/>
  <c r="C65" i="9"/>
  <c r="C98" i="7"/>
  <c r="C99" i="7"/>
  <c r="C248" i="6"/>
  <c r="C50" i="5"/>
  <c r="C98" i="4"/>
  <c r="C320" i="3"/>
  <c r="C119" i="35"/>
  <c r="C119" i="34"/>
  <c r="C119" i="33"/>
  <c r="C119" i="21"/>
  <c r="C119" i="20"/>
  <c r="C119" i="32"/>
  <c r="C117" i="28"/>
  <c r="C113" i="29"/>
  <c r="C148" i="26"/>
  <c r="C113" i="8"/>
  <c r="C119" i="30"/>
  <c r="C119" i="24"/>
  <c r="C113" i="25"/>
  <c r="C119" i="23"/>
  <c r="C165" i="19"/>
  <c r="C165" i="16"/>
  <c r="C189" i="11"/>
  <c r="E189" i="11"/>
  <c r="F189" i="11"/>
  <c r="C145" i="15"/>
  <c r="C152" i="14"/>
  <c r="C151" i="17"/>
  <c r="C189" i="13"/>
  <c r="E189" i="13"/>
  <c r="F189" i="13"/>
  <c r="C188" i="22"/>
  <c r="E188" i="22"/>
  <c r="C119" i="10"/>
  <c r="C119" i="2"/>
  <c r="E119" i="2"/>
  <c r="F119" i="2"/>
  <c r="C71" i="37" l="1"/>
  <c r="D71" i="37"/>
  <c r="E71" i="37"/>
  <c r="F71" i="37"/>
  <c r="G71" i="37"/>
  <c r="H71" i="37"/>
  <c r="I71" i="37"/>
  <c r="J71" i="37"/>
  <c r="K71" i="37"/>
  <c r="L71" i="37"/>
  <c r="M71" i="37"/>
  <c r="N71" i="37"/>
  <c r="O71" i="37"/>
  <c r="P71" i="37"/>
  <c r="Q71" i="37"/>
  <c r="R71" i="37"/>
  <c r="S71" i="37"/>
  <c r="T71" i="37"/>
  <c r="U71" i="37"/>
  <c r="V71" i="37"/>
  <c r="W71" i="37"/>
  <c r="X71" i="37"/>
  <c r="Y71" i="37"/>
  <c r="Z71" i="37"/>
  <c r="AA71" i="37"/>
  <c r="AB71" i="37"/>
  <c r="C215" i="31"/>
  <c r="C247" i="6"/>
  <c r="C49" i="5"/>
  <c r="C97" i="4"/>
  <c r="C319" i="3"/>
  <c r="C118" i="35"/>
  <c r="C118" i="34"/>
  <c r="C118" i="33"/>
  <c r="C118" i="21"/>
  <c r="C118" i="20"/>
  <c r="C118" i="32"/>
  <c r="C116" i="28"/>
  <c r="C112" i="29"/>
  <c r="C147" i="26"/>
  <c r="C112" i="8"/>
  <c r="C118" i="30"/>
  <c r="C118" i="24"/>
  <c r="C112" i="25"/>
  <c r="C118" i="23"/>
  <c r="C164" i="19"/>
  <c r="C164" i="16"/>
  <c r="C188" i="11"/>
  <c r="E188" i="11"/>
  <c r="F188" i="11"/>
  <c r="C144" i="15"/>
  <c r="C151" i="14"/>
  <c r="C150" i="17"/>
  <c r="C188" i="13"/>
  <c r="E188" i="13"/>
  <c r="F188" i="13"/>
  <c r="C187" i="22"/>
  <c r="E187" i="22"/>
  <c r="C118" i="10"/>
  <c r="C118" i="2"/>
  <c r="E118" i="2"/>
  <c r="F118" i="2"/>
  <c r="C69" i="37" l="1"/>
  <c r="D69" i="37"/>
  <c r="E69" i="37"/>
  <c r="F69" i="37"/>
  <c r="G69" i="37"/>
  <c r="H69" i="37"/>
  <c r="I69" i="37"/>
  <c r="J69" i="37"/>
  <c r="K69" i="37"/>
  <c r="L69" i="37"/>
  <c r="M69" i="37"/>
  <c r="N69" i="37"/>
  <c r="O69" i="37"/>
  <c r="P69" i="37"/>
  <c r="Q69" i="37"/>
  <c r="R69" i="37"/>
  <c r="S69" i="37"/>
  <c r="T69" i="37"/>
  <c r="U69" i="37"/>
  <c r="V69" i="37"/>
  <c r="W69" i="37"/>
  <c r="X69" i="37"/>
  <c r="Y69" i="37"/>
  <c r="Z69" i="37"/>
  <c r="AA69" i="37"/>
  <c r="AB69" i="37"/>
  <c r="C70" i="37"/>
  <c r="D70" i="37"/>
  <c r="E70" i="37"/>
  <c r="F70" i="37"/>
  <c r="G70" i="37"/>
  <c r="H70" i="37"/>
  <c r="I70" i="37"/>
  <c r="J70" i="37"/>
  <c r="K70" i="37"/>
  <c r="L70" i="37"/>
  <c r="M70" i="37"/>
  <c r="N70" i="37"/>
  <c r="O70" i="37"/>
  <c r="P70" i="37"/>
  <c r="Q70" i="37"/>
  <c r="R70" i="37"/>
  <c r="S70" i="37"/>
  <c r="T70" i="37"/>
  <c r="U70" i="37"/>
  <c r="V70" i="37"/>
  <c r="W70" i="37"/>
  <c r="X70" i="37"/>
  <c r="Y70" i="37"/>
  <c r="Z70" i="37"/>
  <c r="AA70" i="37"/>
  <c r="AB70" i="37"/>
  <c r="C214" i="31"/>
  <c r="C213" i="31"/>
  <c r="C62" i="9"/>
  <c r="C63" i="9"/>
  <c r="C96" i="7"/>
  <c r="C97" i="7"/>
  <c r="C245" i="6"/>
  <c r="C246" i="6"/>
  <c r="C47" i="5"/>
  <c r="C48" i="5"/>
  <c r="C95" i="4"/>
  <c r="C96" i="4"/>
  <c r="C317" i="3"/>
  <c r="C318" i="3"/>
  <c r="C116" i="35"/>
  <c r="C117" i="35"/>
  <c r="C116" i="34"/>
  <c r="C117" i="34"/>
  <c r="C116" i="33"/>
  <c r="C117" i="33"/>
  <c r="C116" i="21"/>
  <c r="C117" i="21"/>
  <c r="C116" i="20"/>
  <c r="C117" i="20"/>
  <c r="C116" i="32"/>
  <c r="C117" i="32"/>
  <c r="C114" i="28"/>
  <c r="C115" i="28"/>
  <c r="C110" i="29"/>
  <c r="C111" i="29"/>
  <c r="C145" i="26"/>
  <c r="C146" i="26"/>
  <c r="C110" i="8"/>
  <c r="C111" i="8"/>
  <c r="C116" i="30"/>
  <c r="C117" i="30"/>
  <c r="C116" i="24"/>
  <c r="C117" i="24"/>
  <c r="C110" i="25"/>
  <c r="C111" i="25"/>
  <c r="C116" i="23"/>
  <c r="C117" i="23"/>
  <c r="C162" i="19"/>
  <c r="C163" i="19"/>
  <c r="C162" i="16"/>
  <c r="C163" i="16"/>
  <c r="C186" i="11"/>
  <c r="E186" i="11"/>
  <c r="F186" i="11"/>
  <c r="C187" i="11"/>
  <c r="E187" i="11"/>
  <c r="F187" i="11"/>
  <c r="C142" i="15"/>
  <c r="C143" i="15"/>
  <c r="C149" i="14"/>
  <c r="C150" i="14"/>
  <c r="C148" i="17"/>
  <c r="C149" i="17"/>
  <c r="C186" i="13"/>
  <c r="E186" i="13"/>
  <c r="F186" i="13"/>
  <c r="C187" i="13"/>
  <c r="E187" i="13"/>
  <c r="F187" i="13"/>
  <c r="C185" i="22"/>
  <c r="E185" i="22"/>
  <c r="C186" i="22"/>
  <c r="E186" i="22"/>
  <c r="C116" i="10"/>
  <c r="C117" i="10"/>
  <c r="C116" i="2"/>
  <c r="E116" i="2"/>
  <c r="F116" i="2"/>
  <c r="C117" i="2"/>
  <c r="E117" i="2"/>
  <c r="F117" i="2"/>
  <c r="C211" i="31" l="1"/>
  <c r="C212" i="31"/>
  <c r="C59" i="9"/>
  <c r="C60" i="9"/>
  <c r="C61" i="9"/>
  <c r="C93" i="7"/>
  <c r="C94" i="7"/>
  <c r="C95" i="7"/>
  <c r="C242" i="6"/>
  <c r="C243" i="6"/>
  <c r="C244" i="6"/>
  <c r="C44" i="5"/>
  <c r="C45" i="5"/>
  <c r="C46" i="5"/>
  <c r="C92" i="4"/>
  <c r="C93" i="4"/>
  <c r="C94" i="4"/>
  <c r="C314" i="3"/>
  <c r="C315" i="3"/>
  <c r="C316" i="3"/>
  <c r="C113" i="35"/>
  <c r="C114" i="35"/>
  <c r="C115" i="35"/>
  <c r="C113" i="34"/>
  <c r="C114" i="34"/>
  <c r="C115" i="34"/>
  <c r="C113" i="33"/>
  <c r="C114" i="33"/>
  <c r="C115" i="33"/>
  <c r="C113" i="21"/>
  <c r="C114" i="21"/>
  <c r="C115" i="21"/>
  <c r="C113" i="20"/>
  <c r="C114" i="20"/>
  <c r="C115" i="20"/>
  <c r="C113" i="32"/>
  <c r="C114" i="32"/>
  <c r="C115" i="32"/>
  <c r="C111" i="28"/>
  <c r="C112" i="28"/>
  <c r="C113" i="28"/>
  <c r="C107" i="29"/>
  <c r="C108" i="29"/>
  <c r="C109" i="29"/>
  <c r="C142" i="26"/>
  <c r="C143" i="26"/>
  <c r="C144" i="26"/>
  <c r="C107" i="8"/>
  <c r="C108" i="8"/>
  <c r="C109" i="8"/>
  <c r="C113" i="30"/>
  <c r="C114" i="30"/>
  <c r="C115" i="30"/>
  <c r="C113" i="24"/>
  <c r="C114" i="24"/>
  <c r="C115" i="24"/>
  <c r="C107" i="25"/>
  <c r="C108" i="25"/>
  <c r="C109" i="25"/>
  <c r="C113" i="23"/>
  <c r="C114" i="23"/>
  <c r="C115" i="23"/>
  <c r="C159" i="19"/>
  <c r="C160" i="19"/>
  <c r="C161" i="19"/>
  <c r="C159" i="16"/>
  <c r="C160" i="16"/>
  <c r="C161" i="16"/>
  <c r="C183" i="11"/>
  <c r="E183" i="11"/>
  <c r="F183" i="11"/>
  <c r="C184" i="11"/>
  <c r="E184" i="11"/>
  <c r="F184" i="11"/>
  <c r="C185" i="11"/>
  <c r="E185" i="11"/>
  <c r="F185" i="11"/>
  <c r="C139" i="15"/>
  <c r="C140" i="15"/>
  <c r="C141" i="15"/>
  <c r="C146" i="14"/>
  <c r="C147" i="14"/>
  <c r="C148" i="14"/>
  <c r="C145" i="17"/>
  <c r="C146" i="17"/>
  <c r="C147" i="17"/>
  <c r="C183" i="13"/>
  <c r="E183" i="13"/>
  <c r="F183" i="13"/>
  <c r="C184" i="13"/>
  <c r="E184" i="13"/>
  <c r="F184" i="13"/>
  <c r="C185" i="13"/>
  <c r="E185" i="13"/>
  <c r="F185" i="13"/>
  <c r="C182" i="22"/>
  <c r="E182" i="22"/>
  <c r="C183" i="22"/>
  <c r="E183" i="22"/>
  <c r="C184" i="22"/>
  <c r="E184" i="22"/>
  <c r="C115" i="10"/>
  <c r="C113" i="10"/>
  <c r="C114" i="10"/>
  <c r="C113" i="2"/>
  <c r="E113" i="2"/>
  <c r="F113" i="2"/>
  <c r="C114" i="2"/>
  <c r="E114" i="2"/>
  <c r="F114" i="2"/>
  <c r="C115" i="2"/>
  <c r="E115" i="2"/>
  <c r="F115" i="2"/>
  <c r="C66" i="37"/>
  <c r="D66" i="37"/>
  <c r="E66" i="37"/>
  <c r="F66" i="37"/>
  <c r="G66" i="37"/>
  <c r="H66" i="37"/>
  <c r="I66" i="37"/>
  <c r="J66" i="37"/>
  <c r="K66" i="37"/>
  <c r="L66" i="37"/>
  <c r="M66" i="37"/>
  <c r="N66" i="37"/>
  <c r="O66" i="37"/>
  <c r="P66" i="37"/>
  <c r="Q66" i="37"/>
  <c r="R66" i="37"/>
  <c r="S66" i="37"/>
  <c r="T66" i="37"/>
  <c r="U66" i="37"/>
  <c r="V66" i="37"/>
  <c r="W66" i="37"/>
  <c r="X66" i="37"/>
  <c r="Y66" i="37"/>
  <c r="Z66" i="37"/>
  <c r="AA66" i="37"/>
  <c r="AB66" i="37"/>
  <c r="C67" i="37"/>
  <c r="D67" i="37"/>
  <c r="E67" i="37"/>
  <c r="F67" i="37"/>
  <c r="G67" i="37"/>
  <c r="H67" i="37"/>
  <c r="I67" i="37"/>
  <c r="J67" i="37"/>
  <c r="K67" i="37"/>
  <c r="L67" i="37"/>
  <c r="M67" i="37"/>
  <c r="N67" i="37"/>
  <c r="O67" i="37"/>
  <c r="P67" i="37"/>
  <c r="Q67" i="37"/>
  <c r="R67" i="37"/>
  <c r="S67" i="37"/>
  <c r="T67" i="37"/>
  <c r="U67" i="37"/>
  <c r="V67" i="37"/>
  <c r="W67" i="37"/>
  <c r="X67" i="37"/>
  <c r="Y67" i="37"/>
  <c r="Z67" i="37"/>
  <c r="AA67" i="37"/>
  <c r="AB67" i="37"/>
  <c r="C68" i="37"/>
  <c r="D68" i="37"/>
  <c r="E68" i="37"/>
  <c r="F68" i="37"/>
  <c r="G68" i="37"/>
  <c r="H68" i="37"/>
  <c r="I68" i="37"/>
  <c r="J68" i="37"/>
  <c r="K68" i="37"/>
  <c r="L68" i="37"/>
  <c r="M68" i="37"/>
  <c r="N68" i="37"/>
  <c r="O68" i="37"/>
  <c r="P68" i="37"/>
  <c r="Q68" i="37"/>
  <c r="R68" i="37"/>
  <c r="S68" i="37"/>
  <c r="T68" i="37"/>
  <c r="U68" i="37"/>
  <c r="V68" i="37"/>
  <c r="W68" i="37"/>
  <c r="X68" i="37"/>
  <c r="Y68" i="37"/>
  <c r="Z68" i="37"/>
  <c r="AA68" i="37"/>
  <c r="AB68" i="37"/>
  <c r="E19" i="13" l="1"/>
  <c r="F19" i="13"/>
  <c r="E20" i="13"/>
  <c r="F20" i="13"/>
  <c r="E21" i="13"/>
  <c r="F21" i="13"/>
  <c r="E22" i="13"/>
  <c r="F22" i="13"/>
  <c r="E23" i="13"/>
  <c r="F23" i="13"/>
  <c r="E24" i="13"/>
  <c r="F24" i="13"/>
  <c r="E25" i="13"/>
  <c r="F25" i="13"/>
  <c r="E26" i="13"/>
  <c r="F26" i="13"/>
  <c r="E27" i="13"/>
  <c r="F27" i="13"/>
  <c r="E28" i="13"/>
  <c r="F28" i="13"/>
  <c r="E29" i="13"/>
  <c r="F29" i="13"/>
  <c r="E30" i="13"/>
  <c r="F30" i="13"/>
  <c r="E31" i="13"/>
  <c r="F31" i="13"/>
  <c r="E32" i="13"/>
  <c r="F32" i="13"/>
  <c r="E33" i="13"/>
  <c r="F33" i="13"/>
  <c r="E34" i="13"/>
  <c r="F34" i="13"/>
  <c r="E35" i="13"/>
  <c r="F35" i="13"/>
  <c r="E36" i="13"/>
  <c r="F36" i="13"/>
  <c r="E37" i="13"/>
  <c r="F37" i="13"/>
  <c r="E38" i="13"/>
  <c r="F38" i="13"/>
  <c r="E39" i="13"/>
  <c r="F39" i="13"/>
  <c r="E40" i="13"/>
  <c r="F40" i="13"/>
  <c r="E41" i="13"/>
  <c r="F41" i="13"/>
  <c r="E42" i="13"/>
  <c r="F42" i="13"/>
  <c r="E43" i="13"/>
  <c r="F43" i="13"/>
  <c r="E44" i="13"/>
  <c r="F44" i="13"/>
  <c r="E45" i="13"/>
  <c r="F45" i="13"/>
  <c r="E46" i="13"/>
  <c r="F46" i="13"/>
  <c r="E47" i="13"/>
  <c r="F47" i="13"/>
  <c r="E48" i="13"/>
  <c r="F48" i="13"/>
  <c r="E49" i="13"/>
  <c r="F49" i="13"/>
  <c r="E50" i="13"/>
  <c r="F50" i="13"/>
  <c r="E51" i="13"/>
  <c r="F51" i="13"/>
  <c r="E52" i="13"/>
  <c r="F52" i="13"/>
  <c r="E53" i="13"/>
  <c r="F53" i="13"/>
  <c r="E54" i="13"/>
  <c r="F54" i="13"/>
  <c r="E55" i="13"/>
  <c r="F55" i="13"/>
  <c r="E56" i="13"/>
  <c r="F56" i="13"/>
  <c r="E57" i="13"/>
  <c r="F57" i="13"/>
  <c r="E58" i="13"/>
  <c r="F58" i="13"/>
  <c r="E59" i="13"/>
  <c r="F59" i="13"/>
  <c r="E60" i="13"/>
  <c r="F60" i="13"/>
  <c r="E61" i="13"/>
  <c r="F61" i="13"/>
  <c r="E62" i="13"/>
  <c r="F62" i="13"/>
  <c r="E63" i="13"/>
  <c r="F63" i="13"/>
  <c r="E64" i="13"/>
  <c r="F64" i="13"/>
  <c r="E65" i="13"/>
  <c r="F65" i="13"/>
  <c r="E66" i="13"/>
  <c r="F66" i="13"/>
  <c r="E67" i="13"/>
  <c r="F67" i="13"/>
  <c r="E68" i="13"/>
  <c r="F68" i="13"/>
  <c r="E69" i="13"/>
  <c r="F69" i="13"/>
  <c r="E70" i="13"/>
  <c r="F70" i="13"/>
  <c r="E71" i="13"/>
  <c r="F71" i="13"/>
  <c r="E72" i="13"/>
  <c r="F72" i="13"/>
  <c r="E73" i="13"/>
  <c r="F73" i="13"/>
  <c r="E74" i="13"/>
  <c r="F74" i="13"/>
  <c r="E75" i="13"/>
  <c r="F75" i="13"/>
  <c r="E76" i="13"/>
  <c r="F76" i="13"/>
  <c r="E77" i="13"/>
  <c r="F77" i="13"/>
  <c r="E78" i="13"/>
  <c r="F78" i="13"/>
  <c r="E79" i="13"/>
  <c r="F79" i="13"/>
  <c r="E80" i="13"/>
  <c r="F80" i="13"/>
  <c r="E81" i="13"/>
  <c r="F81" i="13"/>
  <c r="E82" i="13"/>
  <c r="F82" i="13"/>
  <c r="E83" i="13"/>
  <c r="F83" i="13"/>
  <c r="E84" i="13"/>
  <c r="F84" i="13"/>
  <c r="E85" i="13"/>
  <c r="F85" i="13"/>
  <c r="E86" i="13"/>
  <c r="F86" i="13"/>
  <c r="E87" i="13"/>
  <c r="F87" i="13"/>
  <c r="E88" i="13"/>
  <c r="F88" i="13"/>
  <c r="E89" i="13"/>
  <c r="F89" i="13"/>
  <c r="E90" i="13"/>
  <c r="F90" i="13"/>
  <c r="E91" i="13"/>
  <c r="F91" i="13"/>
  <c r="E92" i="13"/>
  <c r="F92" i="13"/>
  <c r="E93" i="13"/>
  <c r="F93" i="13"/>
  <c r="E94" i="13"/>
  <c r="F94" i="13"/>
  <c r="E95" i="13"/>
  <c r="F95" i="13"/>
  <c r="E96" i="13"/>
  <c r="F96" i="13"/>
  <c r="E97" i="13"/>
  <c r="F97" i="13"/>
  <c r="E98" i="13"/>
  <c r="F98" i="13"/>
  <c r="E99" i="13"/>
  <c r="F99" i="13"/>
  <c r="E100" i="13"/>
  <c r="F100" i="13"/>
  <c r="E101" i="13"/>
  <c r="F101" i="13"/>
  <c r="E102" i="13"/>
  <c r="F102" i="13"/>
  <c r="E103" i="13"/>
  <c r="F103" i="13"/>
  <c r="E104" i="13"/>
  <c r="F104" i="13"/>
  <c r="E105" i="13"/>
  <c r="F105" i="13"/>
  <c r="E106" i="13"/>
  <c r="F106" i="13"/>
  <c r="E107" i="13"/>
  <c r="F107" i="13"/>
  <c r="E108" i="13"/>
  <c r="F108" i="13"/>
  <c r="E109" i="13"/>
  <c r="F109" i="13"/>
  <c r="E110" i="13"/>
  <c r="F110" i="13"/>
  <c r="E111" i="13"/>
  <c r="F111" i="13"/>
  <c r="E112" i="13"/>
  <c r="F112" i="13"/>
  <c r="E113" i="13"/>
  <c r="F113" i="13"/>
  <c r="E114" i="13"/>
  <c r="F114" i="13"/>
  <c r="E115" i="13"/>
  <c r="F115" i="13"/>
  <c r="E116" i="13"/>
  <c r="F116" i="13"/>
  <c r="E117" i="13"/>
  <c r="F117" i="13"/>
  <c r="E118" i="13"/>
  <c r="F118" i="13"/>
  <c r="E119" i="13"/>
  <c r="F119" i="13"/>
  <c r="E120" i="13"/>
  <c r="F120" i="13"/>
  <c r="E121" i="13"/>
  <c r="F121" i="13"/>
  <c r="E122" i="13"/>
  <c r="F122" i="13"/>
  <c r="E123" i="13"/>
  <c r="F123" i="13"/>
  <c r="E124" i="13"/>
  <c r="F124" i="13"/>
  <c r="E125" i="13"/>
  <c r="F125" i="13"/>
  <c r="E126" i="13"/>
  <c r="F126" i="13"/>
  <c r="E127" i="13"/>
  <c r="F127" i="13"/>
  <c r="E128" i="13"/>
  <c r="F128" i="13"/>
  <c r="E129" i="13"/>
  <c r="F129" i="13"/>
  <c r="E130" i="13"/>
  <c r="F130" i="13"/>
  <c r="E131" i="13"/>
  <c r="F131" i="13"/>
  <c r="E132" i="13"/>
  <c r="F132" i="13"/>
  <c r="E133" i="13"/>
  <c r="F133" i="13"/>
  <c r="E134" i="13"/>
  <c r="F134" i="13"/>
  <c r="E135" i="13"/>
  <c r="F135" i="13"/>
  <c r="E136" i="13"/>
  <c r="F136" i="13"/>
  <c r="E137" i="13"/>
  <c r="F137" i="13"/>
  <c r="E138" i="13"/>
  <c r="F138" i="13"/>
  <c r="E139" i="13"/>
  <c r="F139" i="13"/>
  <c r="E140" i="13"/>
  <c r="F140" i="13"/>
  <c r="E141" i="13"/>
  <c r="F141" i="13"/>
  <c r="E142" i="13"/>
  <c r="F142" i="13"/>
  <c r="E143" i="13"/>
  <c r="F143" i="13"/>
  <c r="E144" i="13"/>
  <c r="F144" i="13"/>
  <c r="E145" i="13"/>
  <c r="F145" i="13"/>
  <c r="E146" i="13"/>
  <c r="F146" i="13"/>
  <c r="E147" i="13"/>
  <c r="F147" i="13"/>
  <c r="E148" i="13"/>
  <c r="F148" i="13"/>
  <c r="E149" i="13"/>
  <c r="F149" i="13"/>
  <c r="E150" i="13"/>
  <c r="F150" i="13"/>
  <c r="E151" i="13"/>
  <c r="F151" i="13"/>
  <c r="E152" i="13"/>
  <c r="F152" i="13"/>
  <c r="E153" i="13"/>
  <c r="F153" i="13"/>
  <c r="E154" i="13"/>
  <c r="F154" i="13"/>
  <c r="E155" i="13"/>
  <c r="F155" i="13"/>
  <c r="E156" i="13"/>
  <c r="F156" i="13"/>
  <c r="E157" i="13"/>
  <c r="F157" i="13"/>
  <c r="E158" i="13"/>
  <c r="F158" i="13"/>
  <c r="E159" i="13"/>
  <c r="F159" i="13"/>
  <c r="E160" i="13"/>
  <c r="F160" i="13"/>
  <c r="E161" i="13"/>
  <c r="F161" i="13"/>
  <c r="E162" i="13"/>
  <c r="F162" i="13"/>
  <c r="E163" i="13"/>
  <c r="F163" i="13"/>
  <c r="E164" i="13"/>
  <c r="F164" i="13"/>
  <c r="E165" i="13"/>
  <c r="F165" i="13"/>
  <c r="E166" i="13"/>
  <c r="F166" i="13"/>
  <c r="E167" i="13"/>
  <c r="F167" i="13"/>
  <c r="E168" i="13"/>
  <c r="F168" i="13"/>
  <c r="E169" i="13"/>
  <c r="F169" i="13"/>
  <c r="E170" i="13"/>
  <c r="F170" i="13"/>
  <c r="E171" i="13"/>
  <c r="F171" i="13"/>
  <c r="E172" i="13"/>
  <c r="F172" i="13"/>
  <c r="E173" i="13"/>
  <c r="F173" i="13"/>
  <c r="E174" i="13"/>
  <c r="F174" i="13"/>
  <c r="E175" i="13"/>
  <c r="F175" i="13"/>
  <c r="E176" i="13"/>
  <c r="F176" i="13"/>
  <c r="E177" i="13"/>
  <c r="F177" i="13"/>
  <c r="E178" i="13"/>
  <c r="F178" i="13"/>
  <c r="E179" i="13"/>
  <c r="F179" i="13"/>
  <c r="E180" i="13"/>
  <c r="F180" i="13"/>
  <c r="E181" i="13"/>
  <c r="F181" i="13"/>
  <c r="E182" i="13"/>
  <c r="F182" i="13"/>
  <c r="F18" i="13"/>
  <c r="E18" i="13"/>
  <c r="E19" i="11"/>
  <c r="F19" i="11"/>
  <c r="E20" i="11"/>
  <c r="F20" i="11"/>
  <c r="E21" i="11"/>
  <c r="F21" i="11"/>
  <c r="E22" i="11"/>
  <c r="F22" i="11"/>
  <c r="E23" i="11"/>
  <c r="F23" i="11"/>
  <c r="E24" i="11"/>
  <c r="F24" i="11"/>
  <c r="E25" i="11"/>
  <c r="F25" i="11"/>
  <c r="E26" i="11"/>
  <c r="F26" i="11"/>
  <c r="E27" i="11"/>
  <c r="F27" i="11"/>
  <c r="E28" i="11"/>
  <c r="F28" i="11"/>
  <c r="E29" i="11"/>
  <c r="F29" i="11"/>
  <c r="E30" i="11"/>
  <c r="F30" i="11"/>
  <c r="E31" i="11"/>
  <c r="F31" i="11"/>
  <c r="E32" i="11"/>
  <c r="F32" i="11"/>
  <c r="E33" i="11"/>
  <c r="F33" i="11"/>
  <c r="E34" i="11"/>
  <c r="F34" i="11"/>
  <c r="E35" i="11"/>
  <c r="F35" i="11"/>
  <c r="E36" i="11"/>
  <c r="F36" i="11"/>
  <c r="E37" i="11"/>
  <c r="F37" i="11"/>
  <c r="E38" i="11"/>
  <c r="F38" i="11"/>
  <c r="E39" i="11"/>
  <c r="F39" i="11"/>
  <c r="E40" i="11"/>
  <c r="F40" i="11"/>
  <c r="E41" i="11"/>
  <c r="F41" i="11"/>
  <c r="E42" i="11"/>
  <c r="F42" i="11"/>
  <c r="E43" i="11"/>
  <c r="F43" i="11"/>
  <c r="E44" i="11"/>
  <c r="F44" i="11"/>
  <c r="E45" i="11"/>
  <c r="F45" i="11"/>
  <c r="E46" i="11"/>
  <c r="F46" i="11"/>
  <c r="E47" i="11"/>
  <c r="F47" i="11"/>
  <c r="E48" i="11"/>
  <c r="F48" i="11"/>
  <c r="E49" i="11"/>
  <c r="F49" i="11"/>
  <c r="E50" i="11"/>
  <c r="F50" i="11"/>
  <c r="E51" i="11"/>
  <c r="F51" i="11"/>
  <c r="E52" i="11"/>
  <c r="F52" i="11"/>
  <c r="E53" i="11"/>
  <c r="F53" i="11"/>
  <c r="E54" i="11"/>
  <c r="F54" i="11"/>
  <c r="E55" i="11"/>
  <c r="F55" i="11"/>
  <c r="E56" i="11"/>
  <c r="F56" i="11"/>
  <c r="E57" i="11"/>
  <c r="F57" i="11"/>
  <c r="E58" i="11"/>
  <c r="F58" i="11"/>
  <c r="E59" i="11"/>
  <c r="F59" i="11"/>
  <c r="E60" i="11"/>
  <c r="F60" i="11"/>
  <c r="E61" i="11"/>
  <c r="F61" i="11"/>
  <c r="E62" i="11"/>
  <c r="F62" i="11"/>
  <c r="E63" i="11"/>
  <c r="F63" i="11"/>
  <c r="E64" i="11"/>
  <c r="F64" i="11"/>
  <c r="E65" i="11"/>
  <c r="F65" i="11"/>
  <c r="E66" i="11"/>
  <c r="F66" i="11"/>
  <c r="E67" i="11"/>
  <c r="F67" i="11"/>
  <c r="E68" i="11"/>
  <c r="F68" i="11"/>
  <c r="E69" i="11"/>
  <c r="F69" i="11"/>
  <c r="E70" i="11"/>
  <c r="F70" i="11"/>
  <c r="E71" i="11"/>
  <c r="F71" i="11"/>
  <c r="E72" i="11"/>
  <c r="F72" i="11"/>
  <c r="E73" i="11"/>
  <c r="F73" i="11"/>
  <c r="E74" i="11"/>
  <c r="F74" i="11"/>
  <c r="E75" i="11"/>
  <c r="F75" i="11"/>
  <c r="E76" i="11"/>
  <c r="F76" i="11"/>
  <c r="E77" i="11"/>
  <c r="F77" i="11"/>
  <c r="E78" i="11"/>
  <c r="F78" i="11"/>
  <c r="E79" i="11"/>
  <c r="F79" i="11"/>
  <c r="E80" i="11"/>
  <c r="F80" i="11"/>
  <c r="E81" i="11"/>
  <c r="F81" i="11"/>
  <c r="E82" i="11"/>
  <c r="F82" i="11"/>
  <c r="E83" i="11"/>
  <c r="F83" i="11"/>
  <c r="E84" i="11"/>
  <c r="F84" i="11"/>
  <c r="E85" i="11"/>
  <c r="F85" i="11"/>
  <c r="E86" i="11"/>
  <c r="F86" i="11"/>
  <c r="E87" i="11"/>
  <c r="F87" i="11"/>
  <c r="E88" i="11"/>
  <c r="F88" i="11"/>
  <c r="E89" i="11"/>
  <c r="F89" i="11"/>
  <c r="E90" i="11"/>
  <c r="F90" i="11"/>
  <c r="E91" i="11"/>
  <c r="F91" i="11"/>
  <c r="E92" i="11"/>
  <c r="F92" i="11"/>
  <c r="E93" i="11"/>
  <c r="F93" i="11"/>
  <c r="E94" i="11"/>
  <c r="F94" i="11"/>
  <c r="E95" i="11"/>
  <c r="F95" i="11"/>
  <c r="E96" i="11"/>
  <c r="F96" i="11"/>
  <c r="E97" i="11"/>
  <c r="F97" i="11"/>
  <c r="E98" i="11"/>
  <c r="F98" i="11"/>
  <c r="E99" i="11"/>
  <c r="F99" i="11"/>
  <c r="E100" i="11"/>
  <c r="F100" i="11"/>
  <c r="E101" i="11"/>
  <c r="F101" i="11"/>
  <c r="E102" i="11"/>
  <c r="F102" i="11"/>
  <c r="E103" i="11"/>
  <c r="F103" i="11"/>
  <c r="E104" i="11"/>
  <c r="F104" i="11"/>
  <c r="E105" i="11"/>
  <c r="F105" i="11"/>
  <c r="E106" i="11"/>
  <c r="F106" i="11"/>
  <c r="E107" i="11"/>
  <c r="F107" i="11"/>
  <c r="E108" i="11"/>
  <c r="F108" i="11"/>
  <c r="E109" i="11"/>
  <c r="F109" i="11"/>
  <c r="E110" i="11"/>
  <c r="F110" i="11"/>
  <c r="E111" i="11"/>
  <c r="F111" i="11"/>
  <c r="E112" i="11"/>
  <c r="F112" i="11"/>
  <c r="E113" i="11"/>
  <c r="F113" i="11"/>
  <c r="E114" i="11"/>
  <c r="F114" i="11"/>
  <c r="E115" i="11"/>
  <c r="F115" i="11"/>
  <c r="E116" i="11"/>
  <c r="F116" i="11"/>
  <c r="E117" i="11"/>
  <c r="F117" i="11"/>
  <c r="E118" i="11"/>
  <c r="F118" i="11"/>
  <c r="E119" i="11"/>
  <c r="F119" i="11"/>
  <c r="E120" i="11"/>
  <c r="F120" i="11"/>
  <c r="E121" i="11"/>
  <c r="F121" i="11"/>
  <c r="E122" i="11"/>
  <c r="F122" i="11"/>
  <c r="E123" i="11"/>
  <c r="F123" i="11"/>
  <c r="E124" i="11"/>
  <c r="F124" i="11"/>
  <c r="E125" i="11"/>
  <c r="F125" i="11"/>
  <c r="E126" i="11"/>
  <c r="F126" i="11"/>
  <c r="E127" i="11"/>
  <c r="F127" i="11"/>
  <c r="E128" i="11"/>
  <c r="F128" i="11"/>
  <c r="E129" i="11"/>
  <c r="F129" i="11"/>
  <c r="E130" i="11"/>
  <c r="F130" i="11"/>
  <c r="E131" i="11"/>
  <c r="F131" i="11"/>
  <c r="E132" i="11"/>
  <c r="F132" i="11"/>
  <c r="E133" i="11"/>
  <c r="F133" i="11"/>
  <c r="E134" i="11"/>
  <c r="F134" i="11"/>
  <c r="E135" i="11"/>
  <c r="F135" i="11"/>
  <c r="E136" i="11"/>
  <c r="F136" i="11"/>
  <c r="E137" i="11"/>
  <c r="F137" i="11"/>
  <c r="E138" i="11"/>
  <c r="F138" i="11"/>
  <c r="E139" i="11"/>
  <c r="F139" i="11"/>
  <c r="E140" i="11"/>
  <c r="F140" i="11"/>
  <c r="E141" i="11"/>
  <c r="F141" i="11"/>
  <c r="E142" i="11"/>
  <c r="F142" i="11"/>
  <c r="E143" i="11"/>
  <c r="F143" i="11"/>
  <c r="E144" i="11"/>
  <c r="F144" i="11"/>
  <c r="E145" i="11"/>
  <c r="F145" i="11"/>
  <c r="E146" i="11"/>
  <c r="F146" i="11"/>
  <c r="E147" i="11"/>
  <c r="F147" i="11"/>
  <c r="E148" i="11"/>
  <c r="F148" i="11"/>
  <c r="E149" i="11"/>
  <c r="F149" i="11"/>
  <c r="E150" i="11"/>
  <c r="F150" i="11"/>
  <c r="E151" i="11"/>
  <c r="F151" i="11"/>
  <c r="E152" i="11"/>
  <c r="F152" i="11"/>
  <c r="E153" i="11"/>
  <c r="F153" i="11"/>
  <c r="E154" i="11"/>
  <c r="F154" i="11"/>
  <c r="E155" i="11"/>
  <c r="F155" i="11"/>
  <c r="E156" i="11"/>
  <c r="F156" i="11"/>
  <c r="E157" i="11"/>
  <c r="F157" i="11"/>
  <c r="E158" i="11"/>
  <c r="F158" i="11"/>
  <c r="E159" i="11"/>
  <c r="F159" i="11"/>
  <c r="E160" i="11"/>
  <c r="F160" i="11"/>
  <c r="E161" i="11"/>
  <c r="F161" i="11"/>
  <c r="E162" i="11"/>
  <c r="F162" i="11"/>
  <c r="E163" i="11"/>
  <c r="F163" i="11"/>
  <c r="E164" i="11"/>
  <c r="F164" i="11"/>
  <c r="E165" i="11"/>
  <c r="F165" i="11"/>
  <c r="E166" i="11"/>
  <c r="F166" i="11"/>
  <c r="E167" i="11"/>
  <c r="F167" i="11"/>
  <c r="E168" i="11"/>
  <c r="F168" i="11"/>
  <c r="E169" i="11"/>
  <c r="F169" i="11"/>
  <c r="E170" i="11"/>
  <c r="F170" i="11"/>
  <c r="E171" i="11"/>
  <c r="F171" i="11"/>
  <c r="E172" i="11"/>
  <c r="F172" i="11"/>
  <c r="E173" i="11"/>
  <c r="F173" i="11"/>
  <c r="E174" i="11"/>
  <c r="F174" i="11"/>
  <c r="E175" i="11"/>
  <c r="F175" i="11"/>
  <c r="E176" i="11"/>
  <c r="F176" i="11"/>
  <c r="E177" i="11"/>
  <c r="F177" i="11"/>
  <c r="E178" i="11"/>
  <c r="F178" i="11"/>
  <c r="E179" i="11"/>
  <c r="F179" i="11"/>
  <c r="E180" i="11"/>
  <c r="F180" i="11"/>
  <c r="E181" i="11"/>
  <c r="F181" i="11"/>
  <c r="E182" i="11"/>
  <c r="F182" i="11"/>
  <c r="F18" i="11"/>
  <c r="E18" i="11"/>
  <c r="C24" i="37" l="1"/>
  <c r="D24" i="37"/>
  <c r="E24" i="37"/>
  <c r="F24" i="37"/>
  <c r="G24" i="37"/>
  <c r="H24" i="37"/>
  <c r="I24" i="37"/>
  <c r="J24" i="37"/>
  <c r="K24" i="37"/>
  <c r="L24" i="37"/>
  <c r="M24" i="37"/>
  <c r="N24" i="37"/>
  <c r="O24" i="37"/>
  <c r="P24" i="37"/>
  <c r="Q24" i="37"/>
  <c r="R24" i="37"/>
  <c r="S24" i="37"/>
  <c r="T24" i="37"/>
  <c r="U24" i="37"/>
  <c r="V24" i="37"/>
  <c r="W24" i="37"/>
  <c r="X24" i="37"/>
  <c r="Y24" i="37"/>
  <c r="Z24" i="37"/>
  <c r="AA24" i="37"/>
  <c r="AB24" i="37"/>
  <c r="C25" i="37"/>
  <c r="D25" i="37"/>
  <c r="E25" i="37"/>
  <c r="F25" i="37"/>
  <c r="G25" i="37"/>
  <c r="H25" i="37"/>
  <c r="I25" i="37"/>
  <c r="J25" i="37"/>
  <c r="K25" i="37"/>
  <c r="L25" i="37"/>
  <c r="M25" i="37"/>
  <c r="N25" i="37"/>
  <c r="O25" i="37"/>
  <c r="P25" i="37"/>
  <c r="Q25" i="37"/>
  <c r="R25" i="37"/>
  <c r="S25" i="37"/>
  <c r="T25" i="37"/>
  <c r="U25" i="37"/>
  <c r="V25" i="37"/>
  <c r="W25" i="37"/>
  <c r="X25" i="37"/>
  <c r="Y25" i="37"/>
  <c r="Z25" i="37"/>
  <c r="AA25" i="37"/>
  <c r="AB25"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C27" i="37"/>
  <c r="D27" i="37"/>
  <c r="E27" i="37"/>
  <c r="F27" i="37"/>
  <c r="G27" i="37"/>
  <c r="H27" i="37"/>
  <c r="I27" i="37"/>
  <c r="J27" i="37"/>
  <c r="K27" i="37"/>
  <c r="L27" i="37"/>
  <c r="M27" i="37"/>
  <c r="N27" i="37"/>
  <c r="O27" i="37"/>
  <c r="P27" i="37"/>
  <c r="Q27" i="37"/>
  <c r="R27" i="37"/>
  <c r="S27" i="37"/>
  <c r="T27" i="37"/>
  <c r="U27" i="37"/>
  <c r="V27" i="37"/>
  <c r="W27" i="37"/>
  <c r="X27" i="37"/>
  <c r="Y27" i="37"/>
  <c r="Z27" i="37"/>
  <c r="AA27" i="37"/>
  <c r="AB27"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C30" i="37"/>
  <c r="D30" i="37"/>
  <c r="E30" i="37"/>
  <c r="F30" i="37"/>
  <c r="G30" i="37"/>
  <c r="H30" i="37"/>
  <c r="I30" i="37"/>
  <c r="J30" i="37"/>
  <c r="K30" i="37"/>
  <c r="L30" i="37"/>
  <c r="M30" i="37"/>
  <c r="N30" i="37"/>
  <c r="O30" i="37"/>
  <c r="P30" i="37"/>
  <c r="Q30" i="37"/>
  <c r="R30" i="37"/>
  <c r="S30" i="37"/>
  <c r="T30" i="37"/>
  <c r="U30" i="37"/>
  <c r="V30" i="37"/>
  <c r="W30" i="37"/>
  <c r="X30" i="37"/>
  <c r="Y30" i="37"/>
  <c r="Z30" i="37"/>
  <c r="AA30" i="37"/>
  <c r="AB30" i="37"/>
  <c r="C31" i="37"/>
  <c r="D31" i="37"/>
  <c r="E31" i="37"/>
  <c r="F31" i="37"/>
  <c r="G31" i="37"/>
  <c r="H31" i="37"/>
  <c r="I31" i="37"/>
  <c r="J31" i="37"/>
  <c r="K31" i="37"/>
  <c r="L31" i="37"/>
  <c r="M31" i="37"/>
  <c r="N31" i="37"/>
  <c r="O31" i="37"/>
  <c r="P31" i="37"/>
  <c r="Q31" i="37"/>
  <c r="R31" i="37"/>
  <c r="S31" i="37"/>
  <c r="T31" i="37"/>
  <c r="U31" i="37"/>
  <c r="V31" i="37"/>
  <c r="W31" i="37"/>
  <c r="X31" i="37"/>
  <c r="Y31" i="37"/>
  <c r="Z31" i="37"/>
  <c r="AA31" i="37"/>
  <c r="AB31" i="37"/>
  <c r="C32" i="37"/>
  <c r="D32" i="37"/>
  <c r="E32" i="37"/>
  <c r="F32" i="37"/>
  <c r="G32" i="37"/>
  <c r="H32" i="37"/>
  <c r="I32" i="37"/>
  <c r="J32" i="37"/>
  <c r="K32" i="37"/>
  <c r="L32" i="37"/>
  <c r="M32" i="37"/>
  <c r="N32" i="37"/>
  <c r="O32" i="37"/>
  <c r="P32" i="37"/>
  <c r="Q32" i="37"/>
  <c r="R32" i="37"/>
  <c r="S32" i="37"/>
  <c r="T32" i="37"/>
  <c r="U32" i="37"/>
  <c r="V32" i="37"/>
  <c r="W32" i="37"/>
  <c r="X32" i="37"/>
  <c r="Y32" i="37"/>
  <c r="Z32" i="37"/>
  <c r="AA32" i="37"/>
  <c r="AB32" i="37"/>
  <c r="C33" i="37"/>
  <c r="D33" i="37"/>
  <c r="E33" i="37"/>
  <c r="F33" i="37"/>
  <c r="G33" i="37"/>
  <c r="H33" i="37"/>
  <c r="I33" i="37"/>
  <c r="J33" i="37"/>
  <c r="K33" i="37"/>
  <c r="L33" i="37"/>
  <c r="M33" i="37"/>
  <c r="N33" i="37"/>
  <c r="O33" i="37"/>
  <c r="P33" i="37"/>
  <c r="Q33" i="37"/>
  <c r="R33" i="37"/>
  <c r="S33" i="37"/>
  <c r="T33" i="37"/>
  <c r="U33" i="37"/>
  <c r="V33" i="37"/>
  <c r="W33" i="37"/>
  <c r="X33" i="37"/>
  <c r="Y33" i="37"/>
  <c r="Z33" i="37"/>
  <c r="AA33" i="37"/>
  <c r="AB33" i="37"/>
  <c r="C34" i="37"/>
  <c r="D34" i="37"/>
  <c r="E34" i="37"/>
  <c r="F34" i="37"/>
  <c r="G34" i="37"/>
  <c r="H34" i="37"/>
  <c r="I34" i="37"/>
  <c r="J34" i="37"/>
  <c r="K34" i="37"/>
  <c r="L34" i="37"/>
  <c r="M34" i="37"/>
  <c r="N34" i="37"/>
  <c r="O34" i="37"/>
  <c r="P34" i="37"/>
  <c r="Q34" i="37"/>
  <c r="R34" i="37"/>
  <c r="S34" i="37"/>
  <c r="T34" i="37"/>
  <c r="U34" i="37"/>
  <c r="V34" i="37"/>
  <c r="W34" i="37"/>
  <c r="X34" i="37"/>
  <c r="Y34" i="37"/>
  <c r="Z34" i="37"/>
  <c r="AA34" i="37"/>
  <c r="AB34"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C36" i="37"/>
  <c r="D36" i="37"/>
  <c r="E36" i="37"/>
  <c r="F36" i="37"/>
  <c r="G36" i="37"/>
  <c r="H36" i="37"/>
  <c r="I36" i="37"/>
  <c r="J36" i="37"/>
  <c r="K36" i="37"/>
  <c r="L36" i="37"/>
  <c r="M36" i="37"/>
  <c r="N36" i="37"/>
  <c r="O36" i="37"/>
  <c r="P36" i="37"/>
  <c r="Q36" i="37"/>
  <c r="R36" i="37"/>
  <c r="S36" i="37"/>
  <c r="T36" i="37"/>
  <c r="U36" i="37"/>
  <c r="V36" i="37"/>
  <c r="W36" i="37"/>
  <c r="X36" i="37"/>
  <c r="Y36" i="37"/>
  <c r="Z36" i="37"/>
  <c r="AA36" i="37"/>
  <c r="AB36"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C41" i="37"/>
  <c r="D41" i="37"/>
  <c r="E41" i="37"/>
  <c r="F41" i="37"/>
  <c r="G41" i="37"/>
  <c r="H41" i="37"/>
  <c r="I41" i="37"/>
  <c r="J41" i="37"/>
  <c r="K41" i="37"/>
  <c r="L41" i="37"/>
  <c r="M41" i="37"/>
  <c r="N41" i="37"/>
  <c r="O41" i="37"/>
  <c r="P41" i="37"/>
  <c r="Q41" i="37"/>
  <c r="R41" i="37"/>
  <c r="S41" i="37"/>
  <c r="T41" i="37"/>
  <c r="U41" i="37"/>
  <c r="V41" i="37"/>
  <c r="W41" i="37"/>
  <c r="X41" i="37"/>
  <c r="Y41" i="37"/>
  <c r="Z41" i="37"/>
  <c r="AA41" i="37"/>
  <c r="AB41" i="37"/>
  <c r="C42" i="37"/>
  <c r="D42" i="37"/>
  <c r="E42" i="37"/>
  <c r="F42" i="37"/>
  <c r="G42" i="37"/>
  <c r="H42" i="37"/>
  <c r="I42" i="37"/>
  <c r="J42" i="37"/>
  <c r="K42" i="37"/>
  <c r="L42" i="37"/>
  <c r="M42" i="37"/>
  <c r="N42" i="37"/>
  <c r="O42" i="37"/>
  <c r="P42" i="37"/>
  <c r="Q42" i="37"/>
  <c r="R42" i="37"/>
  <c r="S42" i="37"/>
  <c r="T42" i="37"/>
  <c r="U42" i="37"/>
  <c r="V42" i="37"/>
  <c r="W42" i="37"/>
  <c r="X42" i="37"/>
  <c r="Y42" i="37"/>
  <c r="Z42" i="37"/>
  <c r="AA42" i="37"/>
  <c r="AB42" i="37"/>
  <c r="C43" i="37"/>
  <c r="D43" i="37"/>
  <c r="E43" i="37"/>
  <c r="F43" i="37"/>
  <c r="G43" i="37"/>
  <c r="H43" i="37"/>
  <c r="I43" i="37"/>
  <c r="J43" i="37"/>
  <c r="K43" i="37"/>
  <c r="L43" i="37"/>
  <c r="M43" i="37"/>
  <c r="N43" i="37"/>
  <c r="O43" i="37"/>
  <c r="P43" i="37"/>
  <c r="Q43" i="37"/>
  <c r="R43" i="37"/>
  <c r="S43" i="37"/>
  <c r="T43" i="37"/>
  <c r="U43" i="37"/>
  <c r="V43" i="37"/>
  <c r="W43" i="37"/>
  <c r="X43" i="37"/>
  <c r="Y43" i="37"/>
  <c r="Z43" i="37"/>
  <c r="AA43" i="37"/>
  <c r="AB43" i="37"/>
  <c r="C44" i="37"/>
  <c r="D44" i="37"/>
  <c r="E44" i="37"/>
  <c r="F44" i="37"/>
  <c r="G44" i="37"/>
  <c r="H44" i="37"/>
  <c r="I44" i="37"/>
  <c r="J44" i="37"/>
  <c r="K44" i="37"/>
  <c r="L44" i="37"/>
  <c r="M44" i="37"/>
  <c r="N44" i="37"/>
  <c r="O44" i="37"/>
  <c r="P44" i="37"/>
  <c r="Q44" i="37"/>
  <c r="R44" i="37"/>
  <c r="S44" i="37"/>
  <c r="T44" i="37"/>
  <c r="U44" i="37"/>
  <c r="V44" i="37"/>
  <c r="W44" i="37"/>
  <c r="X44" i="37"/>
  <c r="Y44" i="37"/>
  <c r="Z44" i="37"/>
  <c r="AA44" i="37"/>
  <c r="AB44" i="37"/>
  <c r="C45" i="37"/>
  <c r="D45" i="37"/>
  <c r="E45" i="37"/>
  <c r="F45" i="37"/>
  <c r="G45" i="37"/>
  <c r="H45" i="37"/>
  <c r="I45" i="37"/>
  <c r="J45" i="37"/>
  <c r="K45" i="37"/>
  <c r="L45" i="37"/>
  <c r="M45" i="37"/>
  <c r="N45" i="37"/>
  <c r="O45" i="37"/>
  <c r="P45" i="37"/>
  <c r="Q45" i="37"/>
  <c r="R45" i="37"/>
  <c r="S45" i="37"/>
  <c r="T45" i="37"/>
  <c r="U45" i="37"/>
  <c r="V45" i="37"/>
  <c r="W45" i="37"/>
  <c r="X45" i="37"/>
  <c r="Y45" i="37"/>
  <c r="Z45" i="37"/>
  <c r="AA45" i="37"/>
  <c r="AB45" i="37"/>
  <c r="C46" i="37"/>
  <c r="D46" i="37"/>
  <c r="E46" i="37"/>
  <c r="F46" i="37"/>
  <c r="G46" i="37"/>
  <c r="H46" i="37"/>
  <c r="I46" i="37"/>
  <c r="J46" i="37"/>
  <c r="K46" i="37"/>
  <c r="L46" i="37"/>
  <c r="M46" i="37"/>
  <c r="N46" i="37"/>
  <c r="O46" i="37"/>
  <c r="P46" i="37"/>
  <c r="Q46" i="37"/>
  <c r="R46" i="37"/>
  <c r="S46" i="37"/>
  <c r="T46" i="37"/>
  <c r="U46" i="37"/>
  <c r="V46" i="37"/>
  <c r="W46" i="37"/>
  <c r="X46" i="37"/>
  <c r="Y46" i="37"/>
  <c r="Z46" i="37"/>
  <c r="AA46" i="37"/>
  <c r="AB46" i="37"/>
  <c r="C47" i="37"/>
  <c r="D47" i="37"/>
  <c r="E47" i="37"/>
  <c r="F47" i="37"/>
  <c r="G47" i="37"/>
  <c r="H47" i="37"/>
  <c r="I47" i="37"/>
  <c r="J47" i="37"/>
  <c r="K47" i="37"/>
  <c r="L47" i="37"/>
  <c r="M47" i="37"/>
  <c r="N47" i="37"/>
  <c r="O47" i="37"/>
  <c r="P47" i="37"/>
  <c r="Q47" i="37"/>
  <c r="R47" i="37"/>
  <c r="S47" i="37"/>
  <c r="T47" i="37"/>
  <c r="U47" i="37"/>
  <c r="V47" i="37"/>
  <c r="W47" i="37"/>
  <c r="X47" i="37"/>
  <c r="Y47" i="37"/>
  <c r="Z47" i="37"/>
  <c r="AA47" i="37"/>
  <c r="AB47" i="37"/>
  <c r="C48" i="37"/>
  <c r="D48" i="37"/>
  <c r="E48" i="37"/>
  <c r="F48" i="37"/>
  <c r="G48" i="37"/>
  <c r="H48" i="37"/>
  <c r="I48" i="37"/>
  <c r="J48" i="37"/>
  <c r="K48" i="37"/>
  <c r="L48" i="37"/>
  <c r="M48" i="37"/>
  <c r="N48" i="37"/>
  <c r="O48" i="37"/>
  <c r="P48" i="37"/>
  <c r="Q48" i="37"/>
  <c r="R48" i="37"/>
  <c r="S48" i="37"/>
  <c r="T48" i="37"/>
  <c r="U48" i="37"/>
  <c r="V48" i="37"/>
  <c r="W48" i="37"/>
  <c r="X48" i="37"/>
  <c r="Y48" i="37"/>
  <c r="Z48" i="37"/>
  <c r="AA48" i="37"/>
  <c r="AB48" i="37"/>
  <c r="C49" i="37"/>
  <c r="D49" i="37"/>
  <c r="E49" i="37"/>
  <c r="F49" i="37"/>
  <c r="G49" i="37"/>
  <c r="H49" i="37"/>
  <c r="I49" i="37"/>
  <c r="J49" i="37"/>
  <c r="K49" i="37"/>
  <c r="L49" i="37"/>
  <c r="M49" i="37"/>
  <c r="N49" i="37"/>
  <c r="O49" i="37"/>
  <c r="P49" i="37"/>
  <c r="Q49" i="37"/>
  <c r="R49" i="37"/>
  <c r="S49" i="37"/>
  <c r="T49" i="37"/>
  <c r="U49" i="37"/>
  <c r="V49" i="37"/>
  <c r="W49" i="37"/>
  <c r="X49" i="37"/>
  <c r="Y49" i="37"/>
  <c r="Z49" i="37"/>
  <c r="AA49" i="37"/>
  <c r="AB49" i="37"/>
  <c r="C50" i="37"/>
  <c r="D50" i="37"/>
  <c r="E50" i="37"/>
  <c r="F50" i="37"/>
  <c r="G50" i="37"/>
  <c r="H50" i="37"/>
  <c r="I50" i="37"/>
  <c r="J50" i="37"/>
  <c r="K50" i="37"/>
  <c r="L50" i="37"/>
  <c r="M50" i="37"/>
  <c r="N50" i="37"/>
  <c r="O50" i="37"/>
  <c r="P50" i="37"/>
  <c r="Q50" i="37"/>
  <c r="R50" i="37"/>
  <c r="S50" i="37"/>
  <c r="T50" i="37"/>
  <c r="U50" i="37"/>
  <c r="V50" i="37"/>
  <c r="W50" i="37"/>
  <c r="X50" i="37"/>
  <c r="Y50" i="37"/>
  <c r="Z50" i="37"/>
  <c r="AA50" i="37"/>
  <c r="AB50" i="37"/>
  <c r="C51" i="37"/>
  <c r="D51" i="37"/>
  <c r="E51" i="37"/>
  <c r="F51" i="37"/>
  <c r="G51" i="37"/>
  <c r="H51" i="37"/>
  <c r="I51" i="37"/>
  <c r="J51" i="37"/>
  <c r="K51" i="37"/>
  <c r="L51" i="37"/>
  <c r="M51" i="37"/>
  <c r="N51" i="37"/>
  <c r="O51" i="37"/>
  <c r="P51" i="37"/>
  <c r="Q51" i="37"/>
  <c r="R51" i="37"/>
  <c r="S51" i="37"/>
  <c r="T51" i="37"/>
  <c r="U51" i="37"/>
  <c r="V51" i="37"/>
  <c r="W51" i="37"/>
  <c r="X51" i="37"/>
  <c r="Y51" i="37"/>
  <c r="Z51" i="37"/>
  <c r="AA51" i="37"/>
  <c r="AB51" i="37"/>
  <c r="C52" i="37"/>
  <c r="D52" i="37"/>
  <c r="E52" i="37"/>
  <c r="F52" i="37"/>
  <c r="G52" i="37"/>
  <c r="H52" i="37"/>
  <c r="I52" i="37"/>
  <c r="J52" i="37"/>
  <c r="K52" i="37"/>
  <c r="L52" i="37"/>
  <c r="M52" i="37"/>
  <c r="N52" i="37"/>
  <c r="O52" i="37"/>
  <c r="P52" i="37"/>
  <c r="Q52" i="37"/>
  <c r="R52" i="37"/>
  <c r="S52" i="37"/>
  <c r="T52" i="37"/>
  <c r="U52" i="37"/>
  <c r="V52" i="37"/>
  <c r="W52" i="37"/>
  <c r="X52" i="37"/>
  <c r="Y52" i="37"/>
  <c r="Z52" i="37"/>
  <c r="AA52" i="37"/>
  <c r="AB52" i="37"/>
  <c r="C53" i="37"/>
  <c r="D53" i="37"/>
  <c r="E53" i="37"/>
  <c r="F53" i="37"/>
  <c r="G53" i="37"/>
  <c r="H53" i="37"/>
  <c r="I53" i="37"/>
  <c r="J53" i="37"/>
  <c r="K53" i="37"/>
  <c r="L53" i="37"/>
  <c r="M53" i="37"/>
  <c r="N53" i="37"/>
  <c r="O53" i="37"/>
  <c r="P53" i="37"/>
  <c r="Q53" i="37"/>
  <c r="R53" i="37"/>
  <c r="S53" i="37"/>
  <c r="T53" i="37"/>
  <c r="U53" i="37"/>
  <c r="V53" i="37"/>
  <c r="W53" i="37"/>
  <c r="X53" i="37"/>
  <c r="Y53" i="37"/>
  <c r="Z53" i="37"/>
  <c r="AA53" i="37"/>
  <c r="AB53" i="37"/>
  <c r="C54" i="37"/>
  <c r="D54" i="37"/>
  <c r="E54" i="37"/>
  <c r="F54" i="37"/>
  <c r="G54" i="37"/>
  <c r="H54" i="37"/>
  <c r="I54" i="37"/>
  <c r="J54" i="37"/>
  <c r="K54" i="37"/>
  <c r="L54" i="37"/>
  <c r="M54" i="37"/>
  <c r="N54" i="37"/>
  <c r="O54" i="37"/>
  <c r="P54" i="37"/>
  <c r="Q54" i="37"/>
  <c r="R54" i="37"/>
  <c r="S54" i="37"/>
  <c r="T54" i="37"/>
  <c r="U54" i="37"/>
  <c r="V54" i="37"/>
  <c r="W54" i="37"/>
  <c r="X54" i="37"/>
  <c r="Y54" i="37"/>
  <c r="Z54" i="37"/>
  <c r="AA54" i="37"/>
  <c r="AB54" i="37"/>
  <c r="C55" i="37"/>
  <c r="D55" i="37"/>
  <c r="E55" i="37"/>
  <c r="F55" i="37"/>
  <c r="G55" i="37"/>
  <c r="H55" i="37"/>
  <c r="I55" i="37"/>
  <c r="J55" i="37"/>
  <c r="K55" i="37"/>
  <c r="L55" i="37"/>
  <c r="M55" i="37"/>
  <c r="N55" i="37"/>
  <c r="O55" i="37"/>
  <c r="P55" i="37"/>
  <c r="Q55" i="37"/>
  <c r="R55" i="37"/>
  <c r="S55" i="37"/>
  <c r="T55" i="37"/>
  <c r="U55" i="37"/>
  <c r="V55" i="37"/>
  <c r="W55" i="37"/>
  <c r="X55" i="37"/>
  <c r="Y55" i="37"/>
  <c r="Z55" i="37"/>
  <c r="AA55" i="37"/>
  <c r="AB55"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C57" i="37"/>
  <c r="D57" i="37"/>
  <c r="E57" i="37"/>
  <c r="F57" i="37"/>
  <c r="G57" i="37"/>
  <c r="H57" i="37"/>
  <c r="I57" i="37"/>
  <c r="J57" i="37"/>
  <c r="K57" i="37"/>
  <c r="L57" i="37"/>
  <c r="M57" i="37"/>
  <c r="N57" i="37"/>
  <c r="O57" i="37"/>
  <c r="P57" i="37"/>
  <c r="Q57" i="37"/>
  <c r="R57" i="37"/>
  <c r="S57" i="37"/>
  <c r="T57" i="37"/>
  <c r="U57" i="37"/>
  <c r="V57" i="37"/>
  <c r="W57" i="37"/>
  <c r="X57" i="37"/>
  <c r="Y57" i="37"/>
  <c r="Z57" i="37"/>
  <c r="AA57" i="37"/>
  <c r="AB57"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C60" i="37"/>
  <c r="D60" i="37"/>
  <c r="E60" i="37"/>
  <c r="F60" i="37"/>
  <c r="G60" i="37"/>
  <c r="H60" i="37"/>
  <c r="I60" i="37"/>
  <c r="J60" i="37"/>
  <c r="K60" i="37"/>
  <c r="L60" i="37"/>
  <c r="M60" i="37"/>
  <c r="N60" i="37"/>
  <c r="O60" i="37"/>
  <c r="P60" i="37"/>
  <c r="Q60" i="37"/>
  <c r="R60" i="37"/>
  <c r="S60" i="37"/>
  <c r="T60" i="37"/>
  <c r="U60" i="37"/>
  <c r="V60" i="37"/>
  <c r="W60" i="37"/>
  <c r="X60" i="37"/>
  <c r="Y60" i="37"/>
  <c r="Z60" i="37"/>
  <c r="AA60" i="37"/>
  <c r="AB60" i="37"/>
  <c r="C61" i="37"/>
  <c r="D61" i="37"/>
  <c r="E61" i="37"/>
  <c r="F61" i="37"/>
  <c r="G61" i="37"/>
  <c r="H61" i="37"/>
  <c r="I61" i="37"/>
  <c r="J61" i="37"/>
  <c r="K61" i="37"/>
  <c r="L61" i="37"/>
  <c r="M61" i="37"/>
  <c r="N61" i="37"/>
  <c r="O61" i="37"/>
  <c r="P61" i="37"/>
  <c r="Q61" i="37"/>
  <c r="R61" i="37"/>
  <c r="S61" i="37"/>
  <c r="T61" i="37"/>
  <c r="U61" i="37"/>
  <c r="V61" i="37"/>
  <c r="W61" i="37"/>
  <c r="X61" i="37"/>
  <c r="Y61" i="37"/>
  <c r="Z61" i="37"/>
  <c r="AA61" i="37"/>
  <c r="AB61" i="37"/>
  <c r="C62" i="37"/>
  <c r="D62" i="37"/>
  <c r="E62" i="37"/>
  <c r="F62" i="37"/>
  <c r="G62" i="37"/>
  <c r="H62" i="37"/>
  <c r="I62" i="37"/>
  <c r="J62" i="37"/>
  <c r="K62" i="37"/>
  <c r="L62" i="37"/>
  <c r="M62" i="37"/>
  <c r="N62" i="37"/>
  <c r="O62" i="37"/>
  <c r="P62" i="37"/>
  <c r="Q62" i="37"/>
  <c r="R62" i="37"/>
  <c r="S62" i="37"/>
  <c r="T62" i="37"/>
  <c r="U62" i="37"/>
  <c r="V62" i="37"/>
  <c r="W62" i="37"/>
  <c r="X62" i="37"/>
  <c r="Y62" i="37"/>
  <c r="Z62" i="37"/>
  <c r="AA62" i="37"/>
  <c r="AB62" i="37"/>
  <c r="C63" i="37"/>
  <c r="D63" i="37"/>
  <c r="E63" i="37"/>
  <c r="F63" i="37"/>
  <c r="G63" i="37"/>
  <c r="H63" i="37"/>
  <c r="I63" i="37"/>
  <c r="J63" i="37"/>
  <c r="K63" i="37"/>
  <c r="L63" i="37"/>
  <c r="M63" i="37"/>
  <c r="N63" i="37"/>
  <c r="O63" i="37"/>
  <c r="P63" i="37"/>
  <c r="Q63" i="37"/>
  <c r="R63" i="37"/>
  <c r="S63" i="37"/>
  <c r="T63" i="37"/>
  <c r="U63" i="37"/>
  <c r="V63" i="37"/>
  <c r="W63" i="37"/>
  <c r="X63" i="37"/>
  <c r="Y63" i="37"/>
  <c r="Z63" i="37"/>
  <c r="AA63" i="37"/>
  <c r="AB63" i="37"/>
  <c r="C64" i="37"/>
  <c r="D64" i="37"/>
  <c r="E64" i="37"/>
  <c r="F64" i="37"/>
  <c r="G64" i="37"/>
  <c r="H64" i="37"/>
  <c r="I64" i="37"/>
  <c r="J64" i="37"/>
  <c r="K64" i="37"/>
  <c r="L64" i="37"/>
  <c r="M64" i="37"/>
  <c r="N64" i="37"/>
  <c r="O64" i="37"/>
  <c r="P64" i="37"/>
  <c r="Q64" i="37"/>
  <c r="R64" i="37"/>
  <c r="S64" i="37"/>
  <c r="T64" i="37"/>
  <c r="U64" i="37"/>
  <c r="V64" i="37"/>
  <c r="W64" i="37"/>
  <c r="X64" i="37"/>
  <c r="Y64" i="37"/>
  <c r="Z64" i="37"/>
  <c r="AA64" i="37"/>
  <c r="AB64" i="37"/>
  <c r="C65" i="37"/>
  <c r="D65" i="37"/>
  <c r="D9" i="37" s="1"/>
  <c r="E65" i="37"/>
  <c r="F65" i="37"/>
  <c r="P17" i="1" s="1"/>
  <c r="G65" i="37"/>
  <c r="H65" i="37"/>
  <c r="I65" i="37"/>
  <c r="J65" i="37"/>
  <c r="K65" i="37"/>
  <c r="L65" i="37"/>
  <c r="M65" i="37"/>
  <c r="N65" i="37"/>
  <c r="P25" i="1" s="1"/>
  <c r="O65" i="37"/>
  <c r="P65" i="37"/>
  <c r="Q65" i="37"/>
  <c r="R65" i="37"/>
  <c r="P29" i="1" s="1"/>
  <c r="S65" i="37"/>
  <c r="T65" i="37"/>
  <c r="U65" i="37"/>
  <c r="V65" i="37"/>
  <c r="W65" i="37"/>
  <c r="X65" i="37"/>
  <c r="Y65" i="37"/>
  <c r="Z65" i="37"/>
  <c r="P37" i="1" s="1"/>
  <c r="AA65" i="37"/>
  <c r="AB65" i="37"/>
  <c r="C13" i="37"/>
  <c r="D13" i="37"/>
  <c r="E13" i="37"/>
  <c r="F13" i="37"/>
  <c r="G13" i="37"/>
  <c r="H13" i="37"/>
  <c r="I13" i="37"/>
  <c r="J13" i="37"/>
  <c r="K13" i="37"/>
  <c r="L13" i="37"/>
  <c r="M13" i="37"/>
  <c r="N13" i="37"/>
  <c r="O13" i="37"/>
  <c r="P13" i="37"/>
  <c r="Q13" i="37"/>
  <c r="R13" i="37"/>
  <c r="S13" i="37"/>
  <c r="T13" i="37"/>
  <c r="U13" i="37"/>
  <c r="V13" i="37"/>
  <c r="W13" i="37"/>
  <c r="X13" i="37"/>
  <c r="Y13" i="37"/>
  <c r="Z13" i="37"/>
  <c r="AA13" i="37"/>
  <c r="AB13" i="37"/>
  <c r="C14" i="37"/>
  <c r="D14" i="37"/>
  <c r="E14" i="37"/>
  <c r="F14" i="37"/>
  <c r="G14" i="37"/>
  <c r="H14" i="37"/>
  <c r="I14" i="37"/>
  <c r="J14" i="37"/>
  <c r="K14" i="37"/>
  <c r="L14" i="37"/>
  <c r="M14" i="37"/>
  <c r="N14" i="37"/>
  <c r="O14" i="37"/>
  <c r="P14" i="37"/>
  <c r="Q14" i="37"/>
  <c r="R14" i="37"/>
  <c r="S14" i="37"/>
  <c r="T14" i="37"/>
  <c r="U14" i="37"/>
  <c r="V14" i="37"/>
  <c r="W14" i="37"/>
  <c r="X14" i="37"/>
  <c r="Y14" i="37"/>
  <c r="Z14" i="37"/>
  <c r="AA14" i="37"/>
  <c r="AB14" i="37"/>
  <c r="C15" i="37"/>
  <c r="D15" i="37"/>
  <c r="E15" i="37"/>
  <c r="F15" i="37"/>
  <c r="G15" i="37"/>
  <c r="H15" i="37"/>
  <c r="I15" i="37"/>
  <c r="J15" i="37"/>
  <c r="K15" i="37"/>
  <c r="L15" i="37"/>
  <c r="M15" i="37"/>
  <c r="N15" i="37"/>
  <c r="O15" i="37"/>
  <c r="P15" i="37"/>
  <c r="Q15" i="37"/>
  <c r="R15" i="37"/>
  <c r="S15" i="37"/>
  <c r="T15" i="37"/>
  <c r="U15" i="37"/>
  <c r="V15" i="37"/>
  <c r="W15" i="37"/>
  <c r="X15" i="37"/>
  <c r="Y15" i="37"/>
  <c r="Z15" i="37"/>
  <c r="AA15" i="37"/>
  <c r="AB15" i="37"/>
  <c r="C16" i="37"/>
  <c r="D16" i="37"/>
  <c r="E16" i="37"/>
  <c r="F16" i="37"/>
  <c r="G16" i="37"/>
  <c r="H16" i="37"/>
  <c r="I16" i="37"/>
  <c r="J16" i="37"/>
  <c r="K16" i="37"/>
  <c r="L16" i="37"/>
  <c r="M16" i="37"/>
  <c r="N16" i="37"/>
  <c r="O16" i="37"/>
  <c r="P16" i="37"/>
  <c r="Q16" i="37"/>
  <c r="R16" i="37"/>
  <c r="S16" i="37"/>
  <c r="T16" i="37"/>
  <c r="U16" i="37"/>
  <c r="V16" i="37"/>
  <c r="W16" i="37"/>
  <c r="X16" i="37"/>
  <c r="Y16" i="37"/>
  <c r="Z16" i="37"/>
  <c r="AA16" i="37"/>
  <c r="AB16" i="37"/>
  <c r="C17" i="37"/>
  <c r="D17" i="37"/>
  <c r="E17" i="37"/>
  <c r="F17" i="37"/>
  <c r="G17" i="37"/>
  <c r="H17" i="37"/>
  <c r="I17" i="37"/>
  <c r="J17" i="37"/>
  <c r="K17" i="37"/>
  <c r="L17" i="37"/>
  <c r="M17" i="37"/>
  <c r="N17" i="37"/>
  <c r="O17" i="37"/>
  <c r="P17" i="37"/>
  <c r="Q17" i="37"/>
  <c r="R17" i="37"/>
  <c r="S17" i="37"/>
  <c r="T17" i="37"/>
  <c r="U17" i="37"/>
  <c r="V17" i="37"/>
  <c r="W17" i="37"/>
  <c r="X17" i="37"/>
  <c r="Y17" i="37"/>
  <c r="Z17" i="37"/>
  <c r="AA17" i="37"/>
  <c r="AB17" i="37"/>
  <c r="C18" i="37"/>
  <c r="D18" i="37"/>
  <c r="E18" i="37"/>
  <c r="F18" i="37"/>
  <c r="G18" i="37"/>
  <c r="H18" i="37"/>
  <c r="I18" i="37"/>
  <c r="J18" i="37"/>
  <c r="K18" i="37"/>
  <c r="L18" i="37"/>
  <c r="M18" i="37"/>
  <c r="N18" i="37"/>
  <c r="O18" i="37"/>
  <c r="P18" i="37"/>
  <c r="Q18" i="37"/>
  <c r="R18" i="37"/>
  <c r="S18" i="37"/>
  <c r="T18" i="37"/>
  <c r="U18" i="37"/>
  <c r="V18" i="37"/>
  <c r="W18" i="37"/>
  <c r="X18" i="37"/>
  <c r="Y18" i="37"/>
  <c r="Z18" i="37"/>
  <c r="AA18" i="37"/>
  <c r="AB18" i="37"/>
  <c r="C19" i="37"/>
  <c r="D19" i="37"/>
  <c r="E19" i="37"/>
  <c r="F19" i="37"/>
  <c r="G19" i="37"/>
  <c r="H19" i="37"/>
  <c r="I19" i="37"/>
  <c r="J19" i="37"/>
  <c r="K19" i="37"/>
  <c r="L19" i="37"/>
  <c r="M19" i="37"/>
  <c r="N19" i="37"/>
  <c r="O19" i="37"/>
  <c r="P19" i="37"/>
  <c r="Q19" i="37"/>
  <c r="R19" i="37"/>
  <c r="S19" i="37"/>
  <c r="T19" i="37"/>
  <c r="U19" i="37"/>
  <c r="V19" i="37"/>
  <c r="W19" i="37"/>
  <c r="X19" i="37"/>
  <c r="Y19" i="37"/>
  <c r="Z19" i="37"/>
  <c r="AA19" i="37"/>
  <c r="AB19" i="37"/>
  <c r="C20" i="37"/>
  <c r="D20" i="37"/>
  <c r="E20" i="37"/>
  <c r="F20" i="37"/>
  <c r="G20" i="37"/>
  <c r="H20" i="37"/>
  <c r="I20" i="37"/>
  <c r="J20" i="37"/>
  <c r="K20" i="37"/>
  <c r="L20" i="37"/>
  <c r="M20" i="37"/>
  <c r="N20" i="37"/>
  <c r="O20" i="37"/>
  <c r="P20" i="37"/>
  <c r="Q20" i="37"/>
  <c r="R20" i="37"/>
  <c r="S20" i="37"/>
  <c r="T20" i="37"/>
  <c r="U20" i="37"/>
  <c r="V20" i="37"/>
  <c r="W20" i="37"/>
  <c r="X20" i="37"/>
  <c r="Y20" i="37"/>
  <c r="Z20" i="37"/>
  <c r="AA20" i="37"/>
  <c r="AB20" i="37"/>
  <c r="C21" i="37"/>
  <c r="D21" i="37"/>
  <c r="E21" i="37"/>
  <c r="F21" i="37"/>
  <c r="G21" i="37"/>
  <c r="H21" i="37"/>
  <c r="I21" i="37"/>
  <c r="J21" i="37"/>
  <c r="K21" i="37"/>
  <c r="L21" i="37"/>
  <c r="M21" i="37"/>
  <c r="N21" i="37"/>
  <c r="O21" i="37"/>
  <c r="P21" i="37"/>
  <c r="Q21" i="37"/>
  <c r="R21" i="37"/>
  <c r="S21" i="37"/>
  <c r="T21" i="37"/>
  <c r="U21" i="37"/>
  <c r="V21" i="37"/>
  <c r="W21" i="37"/>
  <c r="X21" i="37"/>
  <c r="Y21" i="37"/>
  <c r="Z21" i="37"/>
  <c r="AA21" i="37"/>
  <c r="AB21" i="37"/>
  <c r="C22" i="37"/>
  <c r="D22" i="37"/>
  <c r="E22" i="37"/>
  <c r="F22" i="37"/>
  <c r="G22" i="37"/>
  <c r="H22" i="37"/>
  <c r="I22" i="37"/>
  <c r="J22" i="37"/>
  <c r="K22" i="37"/>
  <c r="L22" i="37"/>
  <c r="M22" i="37"/>
  <c r="N22" i="37"/>
  <c r="O22" i="37"/>
  <c r="P22" i="37"/>
  <c r="Q22" i="37"/>
  <c r="R22" i="37"/>
  <c r="S22" i="37"/>
  <c r="T22" i="37"/>
  <c r="U22" i="37"/>
  <c r="V22" i="37"/>
  <c r="W22" i="37"/>
  <c r="X22" i="37"/>
  <c r="Y22" i="37"/>
  <c r="Z22" i="37"/>
  <c r="AA22" i="37"/>
  <c r="AB22" i="37"/>
  <c r="C23" i="37"/>
  <c r="D23" i="37"/>
  <c r="E23" i="37"/>
  <c r="F23" i="37"/>
  <c r="G23" i="37"/>
  <c r="H23" i="37"/>
  <c r="I23" i="37"/>
  <c r="J23" i="37"/>
  <c r="K23" i="37"/>
  <c r="L23" i="37"/>
  <c r="M23" i="37"/>
  <c r="N23" i="37"/>
  <c r="O23" i="37"/>
  <c r="P23" i="37"/>
  <c r="Q23" i="37"/>
  <c r="R23" i="37"/>
  <c r="S23" i="37"/>
  <c r="T23" i="37"/>
  <c r="U23" i="37"/>
  <c r="V23" i="37"/>
  <c r="W23" i="37"/>
  <c r="X23" i="37"/>
  <c r="Y23" i="37"/>
  <c r="Z23" i="37"/>
  <c r="AA23" i="37"/>
  <c r="AB23" i="37"/>
  <c r="AB12" i="37"/>
  <c r="AA12" i="37"/>
  <c r="Z12" i="37"/>
  <c r="Y12" i="37"/>
  <c r="X12" i="37"/>
  <c r="W12" i="37"/>
  <c r="V12" i="37"/>
  <c r="U12" i="37"/>
  <c r="T12" i="37"/>
  <c r="S12" i="37"/>
  <c r="R12" i="37"/>
  <c r="Q12" i="37"/>
  <c r="P12" i="37"/>
  <c r="O12" i="37"/>
  <c r="N12" i="37"/>
  <c r="M12" i="37"/>
  <c r="L12" i="37"/>
  <c r="K12" i="37"/>
  <c r="J12" i="37"/>
  <c r="I12" i="37"/>
  <c r="H12" i="37"/>
  <c r="G12" i="37"/>
  <c r="F12" i="37"/>
  <c r="E12" i="37"/>
  <c r="D12" i="37"/>
  <c r="C12" i="37"/>
  <c r="X9" i="37" l="1"/>
  <c r="P35" i="1"/>
  <c r="L9" i="37"/>
  <c r="P23" i="1"/>
  <c r="W9" i="37"/>
  <c r="P34" i="1"/>
  <c r="K9" i="37"/>
  <c r="P22" i="1"/>
  <c r="J9" i="37"/>
  <c r="P21" i="1"/>
  <c r="I9" i="37"/>
  <c r="P20" i="1"/>
  <c r="H9" i="37"/>
  <c r="P19" i="1"/>
  <c r="U9" i="37"/>
  <c r="P32" i="1"/>
  <c r="Q9" i="37"/>
  <c r="P28" i="1"/>
  <c r="E9" i="37"/>
  <c r="P16" i="1"/>
  <c r="V9" i="37"/>
  <c r="P33" i="1"/>
  <c r="T9" i="37"/>
  <c r="P31" i="1"/>
  <c r="P9" i="37"/>
  <c r="P27" i="1"/>
  <c r="Z9" i="37"/>
  <c r="S9" i="37"/>
  <c r="P30" i="1"/>
  <c r="AB9" i="37"/>
  <c r="P39" i="1"/>
  <c r="O9" i="37"/>
  <c r="P26" i="1"/>
  <c r="R9" i="37"/>
  <c r="C9" i="37"/>
  <c r="P15" i="1"/>
  <c r="N9" i="37"/>
  <c r="G9" i="37"/>
  <c r="P18" i="1"/>
  <c r="AA9" i="37"/>
  <c r="P38" i="1"/>
  <c r="Y9" i="37"/>
  <c r="P36" i="1"/>
  <c r="M9" i="37"/>
  <c r="P24" i="1"/>
  <c r="F9" i="37"/>
  <c r="AA5" i="37" l="1"/>
  <c r="AA6" i="37" s="1"/>
  <c r="Z4" i="37"/>
  <c r="AA4" i="37"/>
  <c r="AB4" i="37"/>
  <c r="R4" i="37"/>
  <c r="R3" i="37"/>
  <c r="F4" i="37"/>
  <c r="S3" i="37"/>
  <c r="H3" i="37"/>
  <c r="V5" i="37"/>
  <c r="V6" i="37" s="1"/>
  <c r="U5" i="37"/>
  <c r="U6" i="37" s="1"/>
  <c r="O5" i="37"/>
  <c r="O6" i="37" s="1"/>
  <c r="N5" i="37"/>
  <c r="N6" i="37" s="1"/>
  <c r="L5" i="37"/>
  <c r="L6" i="37" s="1"/>
  <c r="J5" i="37"/>
  <c r="J6" i="37" s="1"/>
  <c r="I5" i="37"/>
  <c r="I6" i="37" s="1"/>
  <c r="E4" i="37"/>
  <c r="Z5" i="37"/>
  <c r="Z6" i="37" s="1"/>
  <c r="X5" i="37"/>
  <c r="X6" i="37" s="1"/>
  <c r="W5" i="37"/>
  <c r="W6" i="37" s="1"/>
  <c r="Q4" i="37"/>
  <c r="O4" i="37"/>
  <c r="N4" i="37"/>
  <c r="AG3" i="37"/>
  <c r="R7" i="37" s="1"/>
  <c r="G3" i="37"/>
  <c r="F3" i="37"/>
  <c r="AG2" i="37"/>
  <c r="C8" i="37" s="1"/>
  <c r="F7" i="37" l="1"/>
  <c r="W8" i="37"/>
  <c r="W10" i="37" s="1"/>
  <c r="C10" i="37"/>
  <c r="C5" i="37"/>
  <c r="C6" i="37" s="1"/>
  <c r="H4" i="37"/>
  <c r="T5" i="37"/>
  <c r="T6" i="37" s="1"/>
  <c r="M8" i="37"/>
  <c r="M10" i="37" s="1"/>
  <c r="Y8" i="37"/>
  <c r="Y10" i="37" s="1"/>
  <c r="C3" i="37"/>
  <c r="P8" i="37"/>
  <c r="P10" i="37" s="1"/>
  <c r="Q8" i="37"/>
  <c r="Q10" i="37" s="1"/>
  <c r="R8" i="37"/>
  <c r="R10" i="37" s="1"/>
  <c r="U4" i="37"/>
  <c r="J3" i="37"/>
  <c r="AB8" i="37"/>
  <c r="AB10" i="37" s="1"/>
  <c r="Y4" i="37"/>
  <c r="D8" i="37"/>
  <c r="D10" i="37" s="1"/>
  <c r="T3" i="37"/>
  <c r="E8" i="37"/>
  <c r="E10" i="37" s="1"/>
  <c r="Y3" i="37"/>
  <c r="K4" i="37"/>
  <c r="M4" i="37"/>
  <c r="V3" i="37"/>
  <c r="P3" i="37"/>
  <c r="I4" i="37"/>
  <c r="L4" i="37"/>
  <c r="K3" i="37"/>
  <c r="K5" i="37"/>
  <c r="K6" i="37" s="1"/>
  <c r="F8" i="37"/>
  <c r="F10" i="37" s="1"/>
  <c r="L8" i="37"/>
  <c r="L10" i="37" s="1"/>
  <c r="D3" i="37"/>
  <c r="AB3" i="37"/>
  <c r="N8" i="37"/>
  <c r="N10" i="37" s="1"/>
  <c r="F5" i="37"/>
  <c r="F6" i="37" s="1"/>
  <c r="R5" i="37"/>
  <c r="R6" i="37" s="1"/>
  <c r="E3" i="37"/>
  <c r="Q3" i="37"/>
  <c r="X8" i="37"/>
  <c r="X10" i="37" s="1"/>
  <c r="W4" i="37"/>
  <c r="I3" i="37"/>
  <c r="Z8" i="37"/>
  <c r="Z10" i="37" s="1"/>
  <c r="AA8" i="37"/>
  <c r="AA10" i="37" s="1"/>
  <c r="X4" i="37"/>
  <c r="W3" i="37"/>
  <c r="M3" i="37"/>
  <c r="U3" i="37"/>
  <c r="O3" i="37"/>
  <c r="AA3" i="37"/>
  <c r="N3" i="37"/>
  <c r="Z3" i="37"/>
  <c r="I8" i="37"/>
  <c r="I10" i="37" s="1"/>
  <c r="U8" i="37"/>
  <c r="U10" i="37" s="1"/>
  <c r="O8" i="37"/>
  <c r="O10" i="37" s="1"/>
  <c r="G4" i="37"/>
  <c r="S4" i="37"/>
  <c r="C4" i="37"/>
  <c r="E7" i="37"/>
  <c r="Q7" i="37"/>
  <c r="AB7" i="37"/>
  <c r="D4" i="37"/>
  <c r="M5" i="37"/>
  <c r="M6" i="37" s="1"/>
  <c r="S7" i="37"/>
  <c r="T7" i="37"/>
  <c r="P4" i="37"/>
  <c r="Y5" i="37"/>
  <c r="Y6" i="37" s="1"/>
  <c r="G7" i="37"/>
  <c r="S8" i="37"/>
  <c r="S10" i="37" s="1"/>
  <c r="G8" i="37"/>
  <c r="G10" i="37" s="1"/>
  <c r="E5" i="37"/>
  <c r="E6" i="37" s="1"/>
  <c r="AB5" i="37"/>
  <c r="AB6" i="37" s="1"/>
  <c r="K7" i="37"/>
  <c r="W7" i="37"/>
  <c r="H8" i="37"/>
  <c r="H10" i="37" s="1"/>
  <c r="T8" i="37"/>
  <c r="T10" i="37" s="1"/>
  <c r="H7" i="37"/>
  <c r="I7" i="37"/>
  <c r="U7" i="37"/>
  <c r="L3" i="37"/>
  <c r="T4" i="37"/>
  <c r="J4" i="37"/>
  <c r="V4" i="37"/>
  <c r="G5" i="37"/>
  <c r="G6" i="37" s="1"/>
  <c r="S5" i="37"/>
  <c r="S6" i="37" s="1"/>
  <c r="M7" i="37"/>
  <c r="Y7" i="37"/>
  <c r="J8" i="37"/>
  <c r="J10" i="37" s="1"/>
  <c r="V8" i="37"/>
  <c r="V10" i="37" s="1"/>
  <c r="H5" i="37"/>
  <c r="H6" i="37" s="1"/>
  <c r="N7" i="37"/>
  <c r="Z7" i="37"/>
  <c r="K8" i="37"/>
  <c r="K10" i="37" s="1"/>
  <c r="D5" i="37"/>
  <c r="D6" i="37" s="1"/>
  <c r="P5" i="37"/>
  <c r="P6" i="37" s="1"/>
  <c r="J7" i="37"/>
  <c r="V7" i="37"/>
  <c r="X3" i="37"/>
  <c r="Q5" i="37"/>
  <c r="Q6" i="37" s="1"/>
  <c r="L7" i="37"/>
  <c r="X7" i="37"/>
  <c r="C7" i="37"/>
  <c r="O7" i="37"/>
  <c r="AA7" i="37"/>
  <c r="D7" i="37"/>
  <c r="P7" i="37"/>
  <c r="C112" i="35" l="1"/>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112" i="34"/>
  <c r="C111" i="34"/>
  <c r="C110" i="34"/>
  <c r="C109" i="34"/>
  <c r="C108" i="34"/>
  <c r="C107" i="34"/>
  <c r="C106" i="34"/>
  <c r="C105" i="34"/>
  <c r="C104" i="34"/>
  <c r="C103" i="34"/>
  <c r="C102" i="34"/>
  <c r="C101" i="34"/>
  <c r="C100" i="34"/>
  <c r="C99" i="34"/>
  <c r="C98" i="34"/>
  <c r="C97" i="34"/>
  <c r="C96" i="34"/>
  <c r="C95" i="34"/>
  <c r="C94" i="34"/>
  <c r="C93" i="34"/>
  <c r="C92" i="34"/>
  <c r="C91" i="34"/>
  <c r="C90" i="34"/>
  <c r="C89" i="34"/>
  <c r="C88" i="34"/>
  <c r="C87" i="34"/>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107" i="32"/>
  <c r="C108" i="32"/>
  <c r="C109" i="32"/>
  <c r="C110" i="32"/>
  <c r="C111" i="32"/>
  <c r="C112"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107" i="31"/>
  <c r="C108" i="31"/>
  <c r="C109" i="31"/>
  <c r="C110" i="31"/>
  <c r="C111" i="31"/>
  <c r="C112" i="31"/>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07" i="28"/>
  <c r="C108" i="28"/>
  <c r="C109" i="28"/>
  <c r="C110"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07" i="26"/>
  <c r="C108" i="26"/>
  <c r="C109" i="26"/>
  <c r="C110" i="26"/>
  <c r="C111" i="26"/>
  <c r="C112" i="26"/>
  <c r="C113" i="26"/>
  <c r="C114" i="26"/>
  <c r="C115" i="26"/>
  <c r="C116" i="26"/>
  <c r="C117" i="26"/>
  <c r="C118" i="26"/>
  <c r="C119" i="26"/>
  <c r="C120" i="26"/>
  <c r="C121" i="26"/>
  <c r="C122" i="26"/>
  <c r="C123" i="26"/>
  <c r="C124" i="26"/>
  <c r="C125" i="26"/>
  <c r="C126" i="26"/>
  <c r="C127" i="26"/>
  <c r="C128" i="26"/>
  <c r="C129" i="26"/>
  <c r="C130" i="26"/>
  <c r="C131" i="26"/>
  <c r="C132" i="26"/>
  <c r="C133" i="26"/>
  <c r="C134" i="26"/>
  <c r="C135" i="26"/>
  <c r="C136" i="26"/>
  <c r="C137" i="26"/>
  <c r="C138" i="26"/>
  <c r="C139" i="26"/>
  <c r="C140" i="26"/>
  <c r="C141"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41" i="17"/>
  <c r="C142" i="17"/>
  <c r="C143" i="17"/>
  <c r="C144"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E7" i="22"/>
  <c r="E8" i="22"/>
  <c r="E9" i="22"/>
  <c r="E10" i="22"/>
  <c r="E11" i="22"/>
  <c r="E12" i="22"/>
  <c r="E13" i="22"/>
  <c r="E14" i="22"/>
  <c r="E15" i="22"/>
  <c r="E16" i="22"/>
  <c r="E17" i="22"/>
  <c r="E18" i="22"/>
  <c r="E19" i="22"/>
  <c r="E20" i="22"/>
  <c r="E21" i="22"/>
  <c r="E22" i="22"/>
  <c r="E23" i="22"/>
  <c r="E24" i="22"/>
  <c r="E25" i="22"/>
  <c r="E26" i="22"/>
  <c r="E27" i="22"/>
  <c r="E28" i="22"/>
  <c r="E29" i="22"/>
  <c r="E30" i="22"/>
  <c r="E31" i="22"/>
  <c r="E32" i="22"/>
  <c r="E33" i="22"/>
  <c r="E34" i="22"/>
  <c r="E35" i="22"/>
  <c r="E36" i="22"/>
  <c r="E37" i="22"/>
  <c r="E38" i="22"/>
  <c r="E39" i="22"/>
  <c r="E40" i="22"/>
  <c r="E41" i="22"/>
  <c r="E42" i="22"/>
  <c r="E43" i="22"/>
  <c r="E44" i="22"/>
  <c r="E45" i="22"/>
  <c r="E46" i="22"/>
  <c r="E47" i="22"/>
  <c r="E48" i="22"/>
  <c r="E49" i="22"/>
  <c r="E50" i="22"/>
  <c r="E51" i="22"/>
  <c r="E52" i="22"/>
  <c r="E53" i="22"/>
  <c r="E54" i="22"/>
  <c r="E55" i="22"/>
  <c r="E56" i="22"/>
  <c r="E57" i="22"/>
  <c r="E58" i="22"/>
  <c r="E59" i="22"/>
  <c r="E60" i="22"/>
  <c r="E61" i="22"/>
  <c r="E62" i="22"/>
  <c r="E63" i="22"/>
  <c r="E64" i="22"/>
  <c r="E65" i="22"/>
  <c r="E66" i="22"/>
  <c r="E67" i="22"/>
  <c r="E68" i="22"/>
  <c r="E69" i="22"/>
  <c r="E70" i="22"/>
  <c r="E71" i="22"/>
  <c r="E72" i="22"/>
  <c r="E73" i="22"/>
  <c r="E74" i="22"/>
  <c r="E75" i="22"/>
  <c r="E76" i="22"/>
  <c r="E77" i="22"/>
  <c r="E78" i="22"/>
  <c r="E79" i="22"/>
  <c r="E80" i="22"/>
  <c r="E81" i="22"/>
  <c r="E82" i="22"/>
  <c r="E83" i="22"/>
  <c r="E84" i="22"/>
  <c r="E85" i="22"/>
  <c r="E86" i="22"/>
  <c r="E87" i="22"/>
  <c r="E88" i="22"/>
  <c r="E89" i="22"/>
  <c r="E90" i="22"/>
  <c r="E91" i="22"/>
  <c r="E92" i="22"/>
  <c r="E93" i="22"/>
  <c r="E94" i="22"/>
  <c r="E95" i="22"/>
  <c r="E96" i="22"/>
  <c r="E97" i="22"/>
  <c r="E98" i="22"/>
  <c r="E99" i="22"/>
  <c r="E100" i="22"/>
  <c r="E101" i="22"/>
  <c r="E102" i="22"/>
  <c r="E103" i="22"/>
  <c r="E104" i="22"/>
  <c r="E105" i="22"/>
  <c r="E106" i="22"/>
  <c r="E107" i="22"/>
  <c r="E108" i="22"/>
  <c r="E109" i="22"/>
  <c r="E110" i="22"/>
  <c r="E111" i="22"/>
  <c r="E112" i="22"/>
  <c r="E113" i="22"/>
  <c r="E114" i="22"/>
  <c r="E115" i="22"/>
  <c r="E116" i="22"/>
  <c r="E117" i="22"/>
  <c r="E118" i="22"/>
  <c r="E119" i="22"/>
  <c r="E120" i="22"/>
  <c r="E121" i="22"/>
  <c r="E122" i="22"/>
  <c r="E123" i="22"/>
  <c r="E124" i="22"/>
  <c r="E125" i="22"/>
  <c r="E126" i="22"/>
  <c r="E127" i="22"/>
  <c r="E128" i="22"/>
  <c r="E129" i="22"/>
  <c r="E130" i="22"/>
  <c r="E131" i="22"/>
  <c r="E132" i="22"/>
  <c r="E133" i="22"/>
  <c r="E134" i="22"/>
  <c r="E135" i="22"/>
  <c r="E136" i="22"/>
  <c r="E137" i="22"/>
  <c r="E138" i="22"/>
  <c r="E139" i="22"/>
  <c r="E140" i="22"/>
  <c r="E141" i="22"/>
  <c r="E142" i="22"/>
  <c r="E143" i="22"/>
  <c r="E144" i="22"/>
  <c r="E145" i="22"/>
  <c r="E146" i="22"/>
  <c r="E147" i="22"/>
  <c r="E148" i="22"/>
  <c r="E149" i="22"/>
  <c r="E150" i="22"/>
  <c r="E151" i="22"/>
  <c r="E152" i="22"/>
  <c r="E153" i="22"/>
  <c r="E154" i="22"/>
  <c r="E155" i="22"/>
  <c r="E156" i="22"/>
  <c r="E157" i="22"/>
  <c r="E158" i="22"/>
  <c r="E159" i="22"/>
  <c r="E160" i="22"/>
  <c r="E161" i="22"/>
  <c r="E162" i="22"/>
  <c r="E163" i="22"/>
  <c r="E164" i="22"/>
  <c r="E165" i="22"/>
  <c r="E166" i="22"/>
  <c r="E167" i="22"/>
  <c r="E168" i="22"/>
  <c r="E169" i="22"/>
  <c r="E170" i="22"/>
  <c r="E171" i="22"/>
  <c r="E172" i="22"/>
  <c r="E173" i="22"/>
  <c r="E174" i="22"/>
  <c r="E175" i="22"/>
  <c r="E176" i="22"/>
  <c r="E177" i="22"/>
  <c r="E178" i="22"/>
  <c r="E179" i="22"/>
  <c r="E180" i="22"/>
  <c r="E181" i="22"/>
  <c r="C113" i="22" l="1"/>
  <c r="C114" i="22"/>
  <c r="C115" i="22"/>
  <c r="C116" i="22"/>
  <c r="C117" i="22"/>
  <c r="C118" i="22"/>
  <c r="C119" i="22"/>
  <c r="C120" i="22"/>
  <c r="C121" i="22"/>
  <c r="C122" i="22"/>
  <c r="C123" i="22"/>
  <c r="C124" i="22"/>
  <c r="C125" i="22"/>
  <c r="C126" i="22"/>
  <c r="C127" i="22"/>
  <c r="C128" i="22"/>
  <c r="C129" i="22"/>
  <c r="C130" i="22"/>
  <c r="C131" i="22"/>
  <c r="C132" i="22"/>
  <c r="C133" i="22"/>
  <c r="C134" i="22"/>
  <c r="C135" i="22"/>
  <c r="C136" i="22"/>
  <c r="C137" i="22"/>
  <c r="C138" i="22"/>
  <c r="C139" i="22"/>
  <c r="C140" i="22"/>
  <c r="C141" i="22"/>
  <c r="C142" i="22"/>
  <c r="C143" i="22"/>
  <c r="C144" i="22"/>
  <c r="C145" i="22"/>
  <c r="C146" i="22"/>
  <c r="C147" i="22"/>
  <c r="C148" i="22"/>
  <c r="C149" i="22"/>
  <c r="C150" i="22"/>
  <c r="C151" i="22"/>
  <c r="C152" i="22"/>
  <c r="C153" i="22"/>
  <c r="C154" i="22"/>
  <c r="C155" i="22"/>
  <c r="C156" i="22"/>
  <c r="C157" i="22"/>
  <c r="C158" i="22"/>
  <c r="C159" i="22"/>
  <c r="C160" i="22"/>
  <c r="C161" i="22"/>
  <c r="C162" i="22"/>
  <c r="C163" i="22"/>
  <c r="C164" i="22"/>
  <c r="C165" i="22"/>
  <c r="C166" i="22"/>
  <c r="C167" i="22"/>
  <c r="C168" i="22"/>
  <c r="C169" i="22"/>
  <c r="C170" i="22"/>
  <c r="C171" i="22"/>
  <c r="C172" i="22"/>
  <c r="C173" i="22"/>
  <c r="C174" i="22"/>
  <c r="C175" i="22"/>
  <c r="C176" i="22"/>
  <c r="C177" i="22"/>
  <c r="C178" i="22"/>
  <c r="C179" i="22"/>
  <c r="C180" i="22"/>
  <c r="C181" i="22"/>
  <c r="C112" i="22" l="1"/>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39" i="16"/>
  <c r="C140" i="16"/>
  <c r="C141" i="16"/>
  <c r="C142" i="16"/>
  <c r="C143" i="16"/>
  <c r="C144" i="16"/>
  <c r="C145" i="16"/>
  <c r="C146" i="16"/>
  <c r="C147" i="16"/>
  <c r="C148" i="16"/>
  <c r="C149" i="16"/>
  <c r="C150" i="16"/>
  <c r="C151" i="16"/>
  <c r="C152" i="16"/>
  <c r="C153" i="16"/>
  <c r="C154" i="16"/>
  <c r="C155" i="16"/>
  <c r="C156" i="16"/>
  <c r="C157" i="16"/>
  <c r="C158"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K2" i="15"/>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K2" i="11"/>
  <c r="C107" i="10"/>
  <c r="C108" i="10"/>
  <c r="C109" i="10"/>
  <c r="C110" i="10"/>
  <c r="C111" i="10"/>
  <c r="C112"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K2" i="10"/>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K2" i="9"/>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K2" i="8"/>
  <c r="K2" i="2" l="1"/>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K2" i="7"/>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92" i="6"/>
  <c r="C93" i="6"/>
  <c r="C94" i="6"/>
  <c r="C95" i="6"/>
  <c r="C96" i="6"/>
  <c r="C97" i="6"/>
  <c r="C98" i="6"/>
  <c r="C99" i="6"/>
  <c r="C100" i="6"/>
  <c r="C101" i="6"/>
  <c r="C102" i="6"/>
  <c r="C103" i="6"/>
  <c r="C104" i="6"/>
  <c r="C105"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K2" i="6"/>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K2" i="5"/>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K2" i="4"/>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K2"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E19" i="2" l="1"/>
  <c r="F19" i="2"/>
  <c r="E20" i="2"/>
  <c r="F20" i="2"/>
  <c r="E21" i="2"/>
  <c r="F21" i="2"/>
  <c r="E22" i="2"/>
  <c r="F22" i="2"/>
  <c r="E23" i="2"/>
  <c r="F23" i="2"/>
  <c r="E24" i="2"/>
  <c r="F24" i="2"/>
  <c r="E25" i="2"/>
  <c r="F25" i="2"/>
  <c r="E26" i="2"/>
  <c r="F26" i="2"/>
  <c r="E27" i="2"/>
  <c r="F27" i="2"/>
  <c r="E28" i="2"/>
  <c r="F28" i="2"/>
  <c r="E29" i="2"/>
  <c r="F29" i="2"/>
  <c r="E30" i="2"/>
  <c r="F30" i="2"/>
  <c r="E31" i="2"/>
  <c r="F31" i="2"/>
  <c r="E32" i="2"/>
  <c r="F32" i="2"/>
  <c r="E33" i="2"/>
  <c r="F33" i="2"/>
  <c r="E34" i="2"/>
  <c r="F34" i="2"/>
  <c r="E35" i="2"/>
  <c r="F35" i="2"/>
  <c r="E36" i="2"/>
  <c r="F36" i="2"/>
  <c r="E37" i="2"/>
  <c r="F37" i="2"/>
  <c r="E38" i="2"/>
  <c r="F38" i="2"/>
  <c r="E39" i="2"/>
  <c r="F39" i="2"/>
  <c r="E40" i="2"/>
  <c r="F40" i="2"/>
  <c r="E41" i="2"/>
  <c r="F41" i="2"/>
  <c r="E42" i="2"/>
  <c r="F42" i="2"/>
  <c r="E43" i="2"/>
  <c r="F43" i="2"/>
  <c r="E44" i="2"/>
  <c r="F44" i="2"/>
  <c r="E45" i="2"/>
  <c r="F45" i="2"/>
  <c r="E46" i="2"/>
  <c r="F46" i="2"/>
  <c r="E47" i="2"/>
  <c r="F47" i="2"/>
  <c r="E48" i="2"/>
  <c r="F48" i="2"/>
  <c r="E49" i="2"/>
  <c r="F49" i="2"/>
  <c r="E50" i="2"/>
  <c r="F50" i="2"/>
  <c r="E51" i="2"/>
  <c r="F51" i="2"/>
  <c r="E52" i="2"/>
  <c r="F52" i="2"/>
  <c r="E53" i="2"/>
  <c r="F53" i="2"/>
  <c r="E54" i="2"/>
  <c r="F54" i="2"/>
  <c r="E55" i="2"/>
  <c r="F55" i="2"/>
  <c r="E56" i="2"/>
  <c r="F56" i="2"/>
  <c r="E57" i="2"/>
  <c r="F57" i="2"/>
  <c r="E58" i="2"/>
  <c r="F58" i="2"/>
  <c r="E59" i="2"/>
  <c r="F59" i="2"/>
  <c r="E60" i="2"/>
  <c r="F60" i="2"/>
  <c r="E61" i="2"/>
  <c r="F61" i="2"/>
  <c r="E62" i="2"/>
  <c r="F62" i="2"/>
  <c r="E63" i="2"/>
  <c r="F63" i="2"/>
  <c r="E64" i="2"/>
  <c r="F64" i="2"/>
  <c r="E65" i="2"/>
  <c r="F65" i="2"/>
  <c r="E66" i="2"/>
  <c r="F66" i="2"/>
  <c r="E67" i="2"/>
  <c r="F67" i="2"/>
  <c r="E68" i="2"/>
  <c r="F68" i="2"/>
  <c r="E69" i="2"/>
  <c r="F69" i="2"/>
  <c r="E70" i="2"/>
  <c r="F70" i="2"/>
  <c r="E71" i="2"/>
  <c r="F71" i="2"/>
  <c r="E72" i="2"/>
  <c r="F72" i="2"/>
  <c r="E73" i="2"/>
  <c r="F73" i="2"/>
  <c r="E74" i="2"/>
  <c r="F74" i="2"/>
  <c r="E75" i="2"/>
  <c r="F75" i="2"/>
  <c r="E76" i="2"/>
  <c r="F76" i="2"/>
  <c r="E77" i="2"/>
  <c r="F77" i="2"/>
  <c r="E78" i="2"/>
  <c r="F78" i="2"/>
  <c r="E79" i="2"/>
  <c r="F79" i="2"/>
  <c r="E80" i="2"/>
  <c r="F80" i="2"/>
  <c r="E81" i="2"/>
  <c r="F81" i="2"/>
  <c r="E82" i="2"/>
  <c r="F82" i="2"/>
  <c r="E83" i="2"/>
  <c r="F83" i="2"/>
  <c r="E84" i="2"/>
  <c r="F84" i="2"/>
  <c r="E85" i="2"/>
  <c r="F85" i="2"/>
  <c r="E86" i="2"/>
  <c r="F86" i="2"/>
  <c r="E87" i="2"/>
  <c r="F87" i="2"/>
  <c r="E88" i="2"/>
  <c r="F88" i="2"/>
  <c r="E89" i="2"/>
  <c r="F89" i="2"/>
  <c r="E90" i="2"/>
  <c r="F90" i="2"/>
  <c r="E91" i="2"/>
  <c r="F91" i="2"/>
  <c r="E92" i="2"/>
  <c r="F92" i="2"/>
  <c r="E93" i="2"/>
  <c r="F93" i="2"/>
  <c r="E94" i="2"/>
  <c r="F94" i="2"/>
  <c r="E95" i="2"/>
  <c r="F95" i="2"/>
  <c r="E96" i="2"/>
  <c r="F96" i="2"/>
  <c r="E97" i="2"/>
  <c r="F97" i="2"/>
  <c r="E98" i="2"/>
  <c r="F98" i="2"/>
  <c r="E99" i="2"/>
  <c r="F99" i="2"/>
  <c r="E100" i="2"/>
  <c r="F100" i="2"/>
  <c r="E101" i="2"/>
  <c r="F101" i="2"/>
  <c r="E102" i="2"/>
  <c r="F102" i="2"/>
  <c r="E103" i="2"/>
  <c r="F103" i="2"/>
  <c r="E104" i="2"/>
  <c r="F104" i="2"/>
  <c r="E105" i="2"/>
  <c r="F105" i="2"/>
  <c r="E106" i="2"/>
  <c r="F106" i="2"/>
  <c r="E107" i="2"/>
  <c r="F107" i="2"/>
  <c r="E108" i="2"/>
  <c r="F108" i="2"/>
  <c r="E109" i="2"/>
  <c r="F109" i="2"/>
  <c r="E110" i="2"/>
  <c r="F110" i="2"/>
  <c r="E111" i="2"/>
  <c r="F111" i="2"/>
  <c r="E112" i="2"/>
  <c r="F112" i="2"/>
  <c r="F18" i="2"/>
  <c r="E18"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Q13" i="1"/>
  <c r="Q24" i="1" l="1"/>
  <c r="R24" i="1" s="1"/>
  <c r="Q36" i="1"/>
  <c r="R36" i="1" s="1"/>
  <c r="Q33" i="1"/>
  <c r="R33" i="1" s="1"/>
  <c r="Q25" i="1"/>
  <c r="R25" i="1" s="1"/>
  <c r="Q37" i="1"/>
  <c r="R37" i="1" s="1"/>
  <c r="Q26" i="1"/>
  <c r="R26" i="1" s="1"/>
  <c r="Q38" i="1"/>
  <c r="R38" i="1" s="1"/>
  <c r="Q31" i="1"/>
  <c r="R31" i="1" s="1"/>
  <c r="Q22" i="1"/>
  <c r="R22" i="1" s="1"/>
  <c r="Q27" i="1"/>
  <c r="R27" i="1" s="1"/>
  <c r="Q39" i="1"/>
  <c r="R39" i="1" s="1"/>
  <c r="Q16" i="1"/>
  <c r="R16" i="1" s="1"/>
  <c r="Q28" i="1"/>
  <c r="R28" i="1" s="1"/>
  <c r="Q15" i="1"/>
  <c r="R15" i="1" s="1"/>
  <c r="Q17" i="1"/>
  <c r="R17" i="1" s="1"/>
  <c r="Q29" i="1"/>
  <c r="R29" i="1" s="1"/>
  <c r="Q32" i="1"/>
  <c r="R32" i="1" s="1"/>
  <c r="Q21" i="1"/>
  <c r="R21" i="1" s="1"/>
  <c r="Q18" i="1"/>
  <c r="R18" i="1" s="1"/>
  <c r="Q30" i="1"/>
  <c r="R30" i="1" s="1"/>
  <c r="Q19" i="1"/>
  <c r="R19" i="1" s="1"/>
  <c r="Q20" i="1"/>
  <c r="R20" i="1" s="1"/>
  <c r="Q34" i="1"/>
  <c r="R34" i="1" s="1"/>
  <c r="Q23" i="1"/>
  <c r="R23" i="1" s="1"/>
  <c r="Q35" i="1"/>
  <c r="R35" i="1" s="1"/>
</calcChain>
</file>

<file path=xl/sharedStrings.xml><?xml version="1.0" encoding="utf-8"?>
<sst xmlns="http://schemas.openxmlformats.org/spreadsheetml/2006/main" count="394" uniqueCount="153">
  <si>
    <t>ISM Manufacturing</t>
  </si>
  <si>
    <t>Definition</t>
  </si>
  <si>
    <t>Process / TO DO LIST</t>
  </si>
  <si>
    <t>Summary</t>
  </si>
  <si>
    <t>* input new month</t>
  </si>
  <si>
    <t>TO DO LIST</t>
  </si>
  <si>
    <t>Comments</t>
  </si>
  <si>
    <t>ISM</t>
  </si>
  <si>
    <t>Change %</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</si>
  <si>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</si>
  <si>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Date</t>
  </si>
  <si>
    <t>PMI</t>
  </si>
  <si>
    <t>Global Manufacturing PMI</t>
  </si>
  <si>
    <t>ACWI</t>
  </si>
  <si>
    <t>mom</t>
  </si>
  <si>
    <t>PMI yoy</t>
  </si>
  <si>
    <t>ACWI yoy</t>
  </si>
  <si>
    <t>Global</t>
  </si>
  <si>
    <t>https://www.markiteconomics.com/Survey/Page.mvc/PressReleases</t>
  </si>
  <si>
    <t>JPMorgan Global Manufacturing PMI</t>
  </si>
  <si>
    <t>Denmark</t>
  </si>
  <si>
    <t xml:space="preserve"> Manufacturing PMI</t>
  </si>
  <si>
    <t>Vietnam</t>
  </si>
  <si>
    <t>Thailand</t>
  </si>
  <si>
    <t>South Africa</t>
  </si>
  <si>
    <t>Hong-Kong</t>
  </si>
  <si>
    <t>Canada</t>
  </si>
  <si>
    <t>Saudi Arabia</t>
  </si>
  <si>
    <t>U.S.</t>
  </si>
  <si>
    <t>U.K.</t>
  </si>
  <si>
    <t>Euro Area</t>
  </si>
  <si>
    <t>Germany</t>
  </si>
  <si>
    <t>France</t>
  </si>
  <si>
    <t>Italy</t>
  </si>
  <si>
    <t>Spain</t>
  </si>
  <si>
    <t>Greece</t>
  </si>
  <si>
    <t>Ireland</t>
  </si>
  <si>
    <t>Caixin China</t>
  </si>
  <si>
    <t>Official PMI</t>
  </si>
  <si>
    <t>mom2</t>
  </si>
  <si>
    <t>https://tradingeconomics.com/china/business-confidence</t>
  </si>
  <si>
    <t>Caixin PMI</t>
  </si>
  <si>
    <t>Japan</t>
  </si>
  <si>
    <t>Brazil</t>
  </si>
  <si>
    <t>India</t>
  </si>
  <si>
    <t>Russia</t>
  </si>
  <si>
    <t>Mexico</t>
  </si>
  <si>
    <t>Australia</t>
  </si>
  <si>
    <t>South Korea</t>
  </si>
  <si>
    <t>Indonesia</t>
  </si>
  <si>
    <t>New Zealand</t>
  </si>
  <si>
    <t>Taiwan</t>
  </si>
  <si>
    <t>Turkey</t>
  </si>
  <si>
    <t>Czech Republic</t>
  </si>
  <si>
    <t>Poland</t>
  </si>
  <si>
    <t>Last month</t>
  </si>
  <si>
    <t>US ISM</t>
  </si>
  <si>
    <t>US</t>
  </si>
  <si>
    <t xml:space="preserve">China </t>
  </si>
  <si>
    <t>Eurozone</t>
  </si>
  <si>
    <t xml:space="preserve">Japan </t>
  </si>
  <si>
    <t>UK</t>
  </si>
  <si>
    <t xml:space="preserve">Italy </t>
  </si>
  <si>
    <t xml:space="preserve">S Korea </t>
  </si>
  <si>
    <t xml:space="preserve">Czech </t>
  </si>
  <si>
    <t>Previous month</t>
  </si>
  <si>
    <t>max 12m</t>
  </si>
  <si>
    <t>12 months</t>
  </si>
  <si>
    <t>min 12m</t>
  </si>
  <si>
    <t>12m avg</t>
  </si>
  <si>
    <t>Last vs 12m avg</t>
  </si>
  <si>
    <t>Y/Y</t>
  </si>
  <si>
    <t>M/M</t>
  </si>
  <si>
    <t>Growth / Contraction</t>
  </si>
  <si>
    <t>Slower/Faster</t>
  </si>
  <si>
    <t>*to update</t>
  </si>
  <si>
    <t>*modify max/min/avg</t>
  </si>
  <si>
    <t>EWU</t>
  </si>
  <si>
    <t>EWU yoy</t>
  </si>
  <si>
    <t>EZU</t>
  </si>
  <si>
    <t>EZU yoy</t>
  </si>
  <si>
    <t>Euro Area GDP qoq %</t>
  </si>
  <si>
    <t>Euro Area PMI</t>
  </si>
  <si>
    <t>https://tradingeconomics.com/country-list/manufacturing-pmi</t>
  </si>
  <si>
    <t>Country</t>
  </si>
  <si>
    <t>Last</t>
  </si>
  <si>
    <t>Previous</t>
  </si>
  <si>
    <t>Database</t>
  </si>
  <si>
    <t>Update each month for each country</t>
  </si>
  <si>
    <t>%</t>
  </si>
  <si>
    <t>World GDP</t>
  </si>
  <si>
    <t>GDP yoy %</t>
  </si>
  <si>
    <t>Austria</t>
  </si>
  <si>
    <t>China</t>
  </si>
  <si>
    <t>Colombia</t>
  </si>
  <si>
    <t>Egypt</t>
  </si>
  <si>
    <t>Hong Kong</t>
  </si>
  <si>
    <t>Hungary</t>
  </si>
  <si>
    <t>Israel</t>
  </si>
  <si>
    <t>Kazakhstan</t>
  </si>
  <si>
    <t>Kenya</t>
  </si>
  <si>
    <t>Lebanon</t>
  </si>
  <si>
    <t>Malaysia</t>
  </si>
  <si>
    <t>Myanmar</t>
  </si>
  <si>
    <t>Netherlands</t>
  </si>
  <si>
    <t>Nigeria</t>
  </si>
  <si>
    <t>Norway</t>
  </si>
  <si>
    <t>Philippines</t>
  </si>
  <si>
    <t>Puerto Rico</t>
  </si>
  <si>
    <t>Qatar</t>
  </si>
  <si>
    <t>Singapore</t>
  </si>
  <si>
    <t>Sri Lanka</t>
  </si>
  <si>
    <t>Sweden</t>
  </si>
  <si>
    <t>Switzerland</t>
  </si>
  <si>
    <t>United Arab Emirates</t>
  </si>
  <si>
    <t>United Kingdom</t>
  </si>
  <si>
    <t>United States</t>
  </si>
  <si>
    <t>Reference</t>
  </si>
  <si>
    <t>Unit</t>
  </si>
  <si>
    <t>points</t>
  </si>
  <si>
    <t>PMI Manufacturing</t>
  </si>
  <si>
    <t>T</t>
  </si>
  <si>
    <t>Ca</t>
  </si>
  <si>
    <t>australia</t>
  </si>
  <si>
    <t>brazil</t>
  </si>
  <si>
    <t>canada</t>
  </si>
  <si>
    <t>denmark</t>
  </si>
  <si>
    <t>france</t>
  </si>
  <si>
    <t>germany</t>
  </si>
  <si>
    <t>global</t>
  </si>
  <si>
    <t>greece</t>
  </si>
  <si>
    <t>india</t>
  </si>
  <si>
    <t>indonesia</t>
  </si>
  <si>
    <t>ireland</t>
  </si>
  <si>
    <t>italy</t>
  </si>
  <si>
    <t>japan</t>
  </si>
  <si>
    <t>mexico</t>
  </si>
  <si>
    <t>poland</t>
  </si>
  <si>
    <t>russia</t>
  </si>
  <si>
    <t>spain</t>
  </si>
  <si>
    <t>taiwan</t>
  </si>
  <si>
    <t>thailand</t>
  </si>
  <si>
    <t>turkey</t>
  </si>
  <si>
    <t>vietnam</t>
  </si>
  <si>
    <t>czech-republic</t>
  </si>
  <si>
    <t>euro-area</t>
  </si>
  <si>
    <t>hong-kong</t>
  </si>
  <si>
    <t>new-zealand</t>
  </si>
  <si>
    <t>saudi-arabia</t>
  </si>
  <si>
    <t>south-africa</t>
  </si>
  <si>
    <t>south-korea</t>
  </si>
  <si>
    <t>united-kingdom</t>
  </si>
  <si>
    <t>united-states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</si>
</sst>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8">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4" fillId="0" borderId="0" applyNumberFormat="0" applyFill="0" applyBorder="0" applyAlignment="0" applyProtection="0"/>
    <xf numFmtId="0" fontId="9" fillId="0" borderId="0"/>
  </cellStyleXfs>
  <cellXfs count="109">
    <xf numFmtId="0" fontId="0" fillId="0" borderId="0" xfId="0"/>
    <xf numFmtId="0" fontId="0" fillId="2" borderId="0" xfId="0" applyFill="1"/>
    <xf numFmtId="0" fontId="4" fillId="0" borderId="0" xfId="2"/>
    <xf numFmtId="0" fontId="0" fillId="2" borderId="0" xfId="0" applyFill="1" applyAlignment="1">
      <alignment wrapText="1"/>
    </xf>
    <xf numFmtId="0" fontId="6" fillId="0" borderId="0" xfId="0" applyFont="1"/>
    <xf numFmtId="0" fontId="0" fillId="2" borderId="0" xfId="0" applyFill="1" applyAlignment="1">
      <alignment vertical="center"/>
    </xf>
    <xf numFmtId="0" fontId="7" fillId="2" borderId="0" xfId="0" applyFont="1" applyFill="1"/>
    <xf numFmtId="14" fontId="8" fillId="2" borderId="8" xfId="0" applyNumberFormat="1" applyFont="1" applyFill="1" applyBorder="1" applyAlignment="1">
      <alignment horizontal="center"/>
    </xf>
    <xf numFmtId="14" fontId="3" fillId="2" borderId="8" xfId="0" applyNumberFormat="1" applyFont="1" applyFill="1" applyBorder="1" applyAlignment="1">
      <alignment horizontal="center"/>
    </xf>
    <xf numFmtId="0" fontId="3" fillId="2" borderId="9" xfId="0" applyFont="1" applyFill="1" applyBorder="1" applyAlignment="1">
      <alignment horizontal="center"/>
    </xf>
    <xf numFmtId="0" fontId="0" fillId="2" borderId="0" xfId="0" applyFill="1"/>
    <xf numFmtId="0" fontId="0" fillId="0" borderId="0" xfId="0"/>
    <xf numFmtId="0" fontId="3" fillId="2" borderId="11" xfId="0" applyFont="1" applyFill="1" applyBorder="1" applyAlignment="1">
      <alignment horizontal="center"/>
    </xf>
    <xf numFmtId="0" fontId="3" fillId="2" borderId="12" xfId="0" applyFont="1" applyFill="1" applyBorder="1" applyAlignment="1">
      <alignment horizontal="center"/>
    </xf>
    <xf numFmtId="0" fontId="0" fillId="2" borderId="10" xfId="0" applyFill="1" applyBorder="1" applyAlignment="1">
      <alignment horizontal="center"/>
    </xf>
    <xf numFmtId="14" fontId="0" fillId="2" borderId="7" xfId="0" applyNumberFormat="1" applyFill="1" applyBorder="1" applyAlignment="1">
      <alignment horizontal="center"/>
    </xf>
    <xf numFmtId="2" fontId="0" fillId="2" borderId="10" xfId="0" applyNumberFormat="1" applyFill="1" applyBorder="1" applyAlignment="1">
      <alignment horizontal="center"/>
    </xf>
    <xf numFmtId="0" fontId="0" fillId="2" borderId="5" xfId="0" applyFill="1" applyBorder="1" applyAlignment="1">
      <alignment horizontal="center"/>
    </xf>
    <xf numFmtId="10" fontId="0" fillId="2" borderId="5" xfId="1" applyNumberFormat="1" applyFont="1" applyFill="1" applyBorder="1" applyAlignment="1">
      <alignment horizontal="center"/>
    </xf>
    <xf numFmtId="14" fontId="0" fillId="2" borderId="24" xfId="0" applyNumberFormat="1" applyFill="1" applyBorder="1" applyAlignment="1">
      <alignment horizontal="center"/>
    </xf>
    <xf numFmtId="0" fontId="0" fillId="2" borderId="25" xfId="0" applyFill="1" applyBorder="1" applyAlignment="1">
      <alignment horizontal="center"/>
    </xf>
    <xf numFmtId="2" fontId="0" fillId="2" borderId="25" xfId="0" applyNumberFormat="1" applyFill="1" applyBorder="1" applyAlignment="1">
      <alignment horizontal="center"/>
    </xf>
    <xf numFmtId="10" fontId="0" fillId="2" borderId="26" xfId="1" applyNumberFormat="1" applyFont="1" applyFill="1" applyBorder="1" applyAlignment="1">
      <alignment horizontal="center"/>
    </xf>
    <xf numFmtId="14" fontId="0" fillId="2" borderId="21" xfId="0" applyNumberFormat="1" applyFill="1" applyBorder="1" applyAlignment="1">
      <alignment horizontal="center"/>
    </xf>
    <xf numFmtId="0" fontId="0" fillId="2" borderId="22" xfId="0" applyFill="1" applyBorder="1" applyAlignment="1">
      <alignment horizontal="center"/>
    </xf>
    <xf numFmtId="2" fontId="0" fillId="2" borderId="22" xfId="0" applyNumberFormat="1" applyFill="1" applyBorder="1" applyAlignment="1">
      <alignment horizontal="center"/>
    </xf>
    <xf numFmtId="0" fontId="0" fillId="2" borderId="23"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3" borderId="29" xfId="0" applyFill="1" applyBorder="1" applyAlignment="1">
      <alignment horizontal="center"/>
    </xf>
    <xf numFmtId="0" fontId="0" fillId="2" borderId="10" xfId="0" applyNumberFormat="1" applyFill="1" applyBorder="1" applyAlignment="1">
      <alignment horizontal="center"/>
    </xf>
    <xf numFmtId="0" fontId="0" fillId="2" borderId="0" xfId="0" applyFill="1" applyAlignment="1">
      <alignment horizontal="center"/>
    </xf>
    <xf numFmtId="0" fontId="0" fillId="3" borderId="30" xfId="0" applyFill="1" applyBorder="1" applyAlignment="1">
      <alignment horizontal="center"/>
    </xf>
    <xf numFmtId="164" fontId="0" fillId="2" borderId="10" xfId="0" applyNumberFormat="1" applyFill="1" applyBorder="1" applyAlignment="1">
      <alignment horizontal="center"/>
    </xf>
    <xf numFmtId="14" fontId="0" fillId="2" borderId="0" xfId="0" applyNumberFormat="1" applyFill="1"/>
    <xf numFmtId="164" fontId="13" fillId="5" borderId="10" xfId="0" applyNumberFormat="1" applyFont="1" applyFill="1" applyBorder="1" applyAlignment="1">
      <alignment horizontal="center" vertical="center"/>
    </xf>
    <xf numFmtId="17" fontId="10" fillId="5" borderId="10" xfId="0" applyNumberFormat="1" applyFont="1" applyFill="1" applyBorder="1" applyAlignment="1">
      <alignment horizontal="left" vertical="top" wrapText="1"/>
    </xf>
    <xf numFmtId="164" fontId="11" fillId="0" borderId="10" xfId="0" applyNumberFormat="1" applyFont="1" applyBorder="1" applyAlignment="1">
      <alignment horizontal="center" vertical="center"/>
    </xf>
    <xf numFmtId="0" fontId="8" fillId="2" borderId="0" xfId="0" applyFont="1" applyFill="1"/>
    <xf numFmtId="17" fontId="14" fillId="2" borderId="31" xfId="0" applyNumberFormat="1" applyFont="1" applyFill="1" applyBorder="1" applyAlignment="1">
      <alignment horizontal="left" vertical="top" wrapText="1"/>
    </xf>
    <xf numFmtId="0" fontId="11" fillId="0" borderId="16" xfId="0" applyFont="1" applyBorder="1"/>
    <xf numFmtId="164" fontId="13" fillId="5" borderId="17" xfId="0" applyNumberFormat="1" applyFont="1" applyFill="1" applyBorder="1" applyAlignment="1">
      <alignment horizontal="center" vertical="center"/>
    </xf>
    <xf numFmtId="0" fontId="12" fillId="5" borderId="19" xfId="0" applyFont="1" applyFill="1" applyBorder="1" applyAlignment="1">
      <alignment horizontal="center" vertical="center"/>
    </xf>
    <xf numFmtId="0" fontId="12" fillId="5" borderId="20" xfId="0" applyFont="1" applyFill="1" applyBorder="1" applyAlignment="1">
      <alignment horizontal="center" vertical="center"/>
    </xf>
    <xf numFmtId="0" fontId="11" fillId="4" borderId="13" xfId="0" applyFont="1" applyFill="1" applyBorder="1"/>
    <xf numFmtId="0" fontId="12" fillId="4" borderId="14" xfId="0" applyFont="1" applyFill="1" applyBorder="1" applyAlignment="1">
      <alignment horizontal="center" textRotation="90"/>
    </xf>
    <xf numFmtId="0" fontId="12" fillId="4" borderId="14" xfId="0" applyFont="1" applyFill="1" applyBorder="1" applyAlignment="1">
      <alignment horizontal="left" textRotation="90"/>
    </xf>
    <xf numFmtId="0" fontId="12" fillId="4" borderId="15" xfId="0" applyFont="1" applyFill="1" applyBorder="1" applyAlignment="1">
      <alignment horizontal="center" textRotation="90"/>
    </xf>
    <xf numFmtId="164" fontId="13" fillId="5" borderId="25" xfId="0" applyNumberFormat="1" applyFont="1" applyFill="1" applyBorder="1" applyAlignment="1">
      <alignment horizontal="center" vertical="center"/>
    </xf>
    <xf numFmtId="164" fontId="13" fillId="5" borderId="34"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3" fillId="5" borderId="16" xfId="0" applyFont="1" applyFill="1" applyBorder="1" applyAlignment="1">
      <alignment horizontal="center" vertical="center" textRotation="90"/>
    </xf>
    <xf numFmtId="0" fontId="3" fillId="5" borderId="10" xfId="0" applyFont="1" applyFill="1" applyBorder="1" applyAlignment="1">
      <alignment horizontal="center" vertical="center" textRotation="90"/>
    </xf>
    <xf numFmtId="0" fontId="3" fillId="5" borderId="17" xfId="0" applyFont="1" applyFill="1" applyBorder="1" applyAlignment="1">
      <alignment horizontal="center" vertical="center" textRotation="90"/>
    </xf>
    <xf numFmtId="0" fontId="3" fillId="4" borderId="32" xfId="0" applyFont="1" applyFill="1" applyBorder="1"/>
    <xf numFmtId="0" fontId="3" fillId="4" borderId="32" xfId="0" applyFont="1" applyFill="1" applyBorder="1" applyAlignment="1">
      <alignment vertical="center" wrapText="1"/>
    </xf>
    <xf numFmtId="0" fontId="3" fillId="4" borderId="33" xfId="0" applyFont="1" applyFill="1" applyBorder="1" applyAlignment="1">
      <alignment vertical="center" wrapText="1"/>
    </xf>
    <xf numFmtId="165" fontId="0" fillId="2" borderId="10" xfId="1" applyNumberFormat="1" applyFont="1" applyFill="1" applyBorder="1" applyAlignment="1">
      <alignment horizontal="center"/>
    </xf>
    <xf numFmtId="0" fontId="0" fillId="3" borderId="27" xfId="0" applyFill="1" applyBorder="1" applyAlignment="1">
      <alignment horizontal="center" wrapText="1"/>
    </xf>
    <xf numFmtId="0" fontId="0" fillId="3" borderId="28" xfId="0" applyFill="1" applyBorder="1" applyAlignment="1">
      <alignment horizontal="center" wrapText="1"/>
    </xf>
    <xf numFmtId="0" fontId="0" fillId="3" borderId="30" xfId="0" applyFill="1" applyBorder="1" applyAlignment="1">
      <alignment horizontal="center" wrapText="1"/>
    </xf>
    <xf numFmtId="0" fontId="3" fillId="4" borderId="35" xfId="0" applyFont="1" applyFill="1" applyBorder="1" applyAlignment="1">
      <alignment horizontal="center"/>
    </xf>
    <xf numFmtId="0" fontId="3" fillId="4" borderId="36" xfId="0" applyFont="1" applyFill="1" applyBorder="1" applyAlignment="1">
      <alignment horizontal="center"/>
    </xf>
    <xf numFmtId="0" fontId="3" fillId="4" borderId="9" xfId="0" applyFont="1" applyFill="1" applyBorder="1" applyAlignment="1">
      <alignment horizontal="center"/>
    </xf>
    <xf numFmtId="164" fontId="0" fillId="2" borderId="10" xfId="1" applyNumberFormat="1" applyFont="1" applyFill="1" applyBorder="1" applyAlignment="1">
      <alignment horizontal="center"/>
    </xf>
    <xf numFmtId="165" fontId="15" fillId="2" borderId="10" xfId="0" applyNumberFormat="1" applyFont="1" applyFill="1" applyBorder="1" applyAlignment="1">
      <alignment horizontal="center"/>
    </xf>
    <xf numFmtId="0" fontId="0" fillId="2" borderId="22" xfId="0" applyFill="1" applyBorder="1"/>
    <xf numFmtId="0" fontId="3" fillId="2" borderId="8" xfId="0" applyFont="1" applyFill="1" applyBorder="1"/>
    <xf numFmtId="0" fontId="3" fillId="2" borderId="37" xfId="0" applyFont="1" applyFill="1" applyBorder="1"/>
    <xf numFmtId="10" fontId="0" fillId="2" borderId="0" xfId="0" applyNumberFormat="1" applyFill="1" applyAlignment="1">
      <alignment horizontal="center"/>
    </xf>
    <xf numFmtId="0" fontId="0" fillId="0" borderId="10" xfId="0" applyFill="1" applyBorder="1" applyAlignment="1">
      <alignment horizontal="center"/>
    </xf>
    <xf numFmtId="0" fontId="16" fillId="0" borderId="10" xfId="0" applyFont="1" applyBorder="1" applyAlignment="1">
      <alignment horizontal="center" vertical="center"/>
    </xf>
    <xf numFmtId="17" fontId="16" fillId="0" borderId="10" xfId="0" applyNumberFormat="1" applyFont="1" applyBorder="1" applyAlignment="1">
      <alignment horizontal="center" vertical="center"/>
    </xf>
    <xf numFmtId="47" fontId="16" fillId="0" borderId="10" xfId="0" applyNumberFormat="1" applyFont="1" applyBorder="1" applyAlignment="1">
      <alignment horizontal="center" vertical="center"/>
    </xf>
    <xf numFmtId="0" fontId="16" fillId="0" borderId="10" xfId="0" applyFont="1" applyBorder="1" applyAlignment="1">
      <alignment horizontal="center"/>
    </xf>
    <xf numFmtId="2" fontId="16" fillId="0" borderId="10" xfId="0" applyNumberFormat="1" applyFont="1" applyBorder="1" applyAlignment="1">
      <alignment horizontal="center" vertical="center"/>
    </xf>
    <xf numFmtId="17" fontId="0" fillId="2" borderId="10" xfId="0" applyNumberFormat="1" applyFill="1" applyBorder="1" applyAlignment="1">
      <alignment horizontal="center"/>
    </xf>
    <xf numFmtId="166" fontId="0" fillId="0" borderId="0" xfId="0" applyNumberFormat="1"/>
    <xf numFmtId="0" fontId="0" fillId="0" borderId="0" xfId="0"/>
    <xf numFmtId="0" fontId="3" fillId="4" borderId="10" xfId="0" applyFont="1" applyFill="1" applyBorder="1" applyAlignment="1">
      <alignment horizontal="center"/>
    </xf>
    <xf numFmtId="0" fontId="0" fillId="0" borderId="10" xfId="0" applyFont="1" applyBorder="1" applyAlignment="1">
      <alignment horizontal="center"/>
    </xf>
    <xf numFmtId="0" fontId="3" fillId="2" borderId="0" xfId="0" applyFont="1" applyFill="1"/>
    <xf numFmtId="0" fontId="0" fillId="0" borderId="0" xfId="0"/>
    <xf numFmtId="0" fontId="0" fillId="0" borderId="0" xfId="0" applyAlignment="1">
      <alignment vertical="center"/>
    </xf>
    <xf numFmtId="0" fontId="0" fillId="2" borderId="0" xfId="0" applyFill="1"/>
    <xf numFmtId="0" fontId="3" fillId="4" borderId="5" xfId="0" applyFont="1" applyFill="1" applyBorder="1" applyAlignment="1">
      <alignment horizontal="center"/>
    </xf>
    <xf numFmtId="0" fontId="3" fillId="4" borderId="6" xfId="0" applyFont="1" applyFill="1" applyBorder="1" applyAlignment="1">
      <alignment horizontal="center"/>
    </xf>
    <xf numFmtId="0" fontId="3" fillId="4" borderId="7" xfId="0" applyFont="1" applyFill="1" applyBorder="1" applyAlignment="1">
      <alignment horizontal="center"/>
    </xf>
    <xf numFmtId="0" fontId="0" fillId="2" borderId="0" xfId="0" applyFill="1" applyAlignment="1">
      <alignment wrapText="1"/>
    </xf>
    <xf numFmtId="0" fontId="0" fillId="0" borderId="0" xfId="0" applyAlignment="1">
      <alignment wrapText="1"/>
    </xf>
    <xf numFmtId="0" fontId="3" fillId="2" borderId="0" xfId="0" applyFont="1" applyFill="1" applyAlignment="1">
      <alignment horizontal="center" vertical="center"/>
    </xf>
    <xf numFmtId="0" fontId="3" fillId="2" borderId="1" xfId="0" applyFont="1" applyFill="1" applyBorder="1" applyAlignment="1">
      <alignment horizontal="center" vertical="center"/>
    </xf>
    <xf numFmtId="0" fontId="2" fillId="3"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5" fillId="2" borderId="0" xfId="0" applyFont="1" applyFill="1" applyAlignment="1">
      <alignment wrapText="1"/>
    </xf>
    <xf numFmtId="0" fontId="3" fillId="2" borderId="0" xfId="0" applyFont="1" applyFill="1" applyAlignment="1">
      <alignment wrapText="1"/>
    </xf>
    <xf numFmtId="0" fontId="0" fillId="4" borderId="6" xfId="0" applyFill="1" applyBorder="1" applyAlignment="1">
      <alignment horizontal="center"/>
    </xf>
    <xf numFmtId="0" fontId="0" fillId="4" borderId="7" xfId="0" applyFill="1" applyBorder="1" applyAlignment="1">
      <alignment horizontal="center"/>
    </xf>
    <xf numFmtId="0" fontId="3" fillId="4" borderId="2" xfId="0" applyFont="1" applyFill="1" applyBorder="1" applyAlignment="1">
      <alignment horizontal="center"/>
    </xf>
    <xf numFmtId="0" fontId="3" fillId="4" borderId="3" xfId="0" applyFont="1" applyFill="1" applyBorder="1" applyAlignment="1">
      <alignment horizontal="center"/>
    </xf>
    <xf numFmtId="0" fontId="3" fillId="4" borderId="4" xfId="0" applyFont="1" applyFill="1" applyBorder="1" applyAlignment="1">
      <alignment horizontal="center"/>
    </xf>
    <xf numFmtId="0" fontId="0" fillId="0" borderId="0" xfId="0" applyAlignment="1"/>
  </cellXfs>
  <cellStyles count="4">
    <cellStyle name="Hyperlink" xfId="2" builtinId="8"/>
    <cellStyle name="Normal" xfId="0" builtinId="0"/>
    <cellStyle name="Normal 3" xfId="3" xr:uid="{FECC0765-5E06-4356-9C39-E12BCDAA3E3F}"/>
    <cellStyle name="Per cent" xfId="1" builtinId="5"/>
  </cellStyles>
  <dxfs count="276">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Global!$K$2</c:f>
              <c:strCache>
                <c:ptCount val="1"/>
                <c:pt idx="0">
                  <c:v>Global Manufacturing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7A2A-4CE0-A3A4-FCD7D6A3C0C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A2A-4CE0-A3A4-FCD7D6A3C0C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Global PMI yoy (lhs) vs MSCI yoy - ACWI (rhs)</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round/>
            </a:ln>
            <a:effectLst/>
          </c:spPr>
          <c:marker>
            <c:symbol val="none"/>
          </c:marker>
          <c:cat>
            <c:numRef>
              <c:f>Global!$A$6:$A$140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Global!$E$6:$E$140</c:f>
              <c:numCache>
                <c:formatCode>General</c:formatCode>
                <c:ptCount val="13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3-12A1-4538-9BAF-B3CCD94D4D14}"/>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round/>
            </a:ln>
            <a:effectLst/>
          </c:spPr>
          <c:marker>
            <c:symbol val="none"/>
          </c:marker>
          <c:cat>
            <c:numRef>
              <c:f>Global!$A$6:$A$140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Global!$F$6:$F$140</c:f>
              <c:numCache>
                <c:formatCode>General</c:formatCode>
                <c:ptCount val="135"/>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4-12A1-4538-9BAF-B3CCD94D4D14}"/>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12488"/>
        <c:crosses val="autoZero"/>
        <c:auto val="1"/>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valAx>
        <c:axId val="1174921344"/>
        <c:scaling>
          <c:orientation val="minMax"/>
          <c:min val="-0.2"/>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dateAx>
        <c:axId val="1174921016"/>
        <c:scaling>
          <c:orientation val="minMax"/>
        </c:scaling>
        <c:delete val="1"/>
        <c:axPos val="b"/>
        <c:numFmt formatCode="m/d/yy" sourceLinked="1"/>
        <c:majorTickMark val="out"/>
        <c:minorTickMark val="none"/>
        <c:tickLblPos val="nextTo"/>
        <c:crossAx val="1174921344"/>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Global!$K$2</c:f>
              <c:strCache>
                <c:ptCount val="1"/>
                <c:pt idx="0">
                  <c:v>Global Manufacturing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24C8-488C-86F5-737F0DE16C3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4C8-488C-86F5-737F0DE16C3D}"/>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US!$K$2</c:f>
              <c:strCache>
                <c:ptCount val="1"/>
                <c:pt idx="0">
                  <c:v>U.S. Manufacturing PMI</c:v>
                </c:pt>
              </c:strCache>
            </c:strRef>
          </c:tx>
          <c:spPr>
            <a:solidFill>
              <a:schemeClr val="accent1">
                <a:shade val="76000"/>
              </a:schemeClr>
            </a:solidFill>
            <a:ln>
              <a:noFill/>
            </a:ln>
            <a:effectLst/>
          </c:spPr>
          <c:cat>
            <c:numRef>
              <c:f>US!$A$6:$A$320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US!$B$6:$B$320</c:f>
              <c:numCache>
                <c:formatCode>General</c:formatCode>
                <c:ptCount val="315"/>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7606-4C26-B0BA-F5CDB2532DF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606-4C26-B0BA-F5CDB2532DF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China!$K$2</c:f>
              <c:strCache>
                <c:ptCount val="1"/>
                <c:pt idx="0">
                  <c:v>Caixin China Manufacturing PMI</c:v>
                </c:pt>
              </c:strCache>
            </c:strRef>
          </c:tx>
          <c:spPr>
            <a:solidFill>
              <a:schemeClr val="accent1">
                <a:shade val="76000"/>
              </a:schemeClr>
            </a:solidFill>
            <a:ln>
              <a:noFill/>
            </a:ln>
            <a:effectLst/>
          </c:spPr>
          <c:cat>
            <c:numRef>
              <c:f>China!$A$6:$A$320</c:f>
              <c:numCache>
                <c:formatCode>m/d/yy</c:formatCode>
                <c:ptCount val="31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China!$B$6:$B$320</c:f>
              <c:numCache>
                <c:formatCode>General</c:formatCode>
                <c:ptCount val="31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4867-4394-AD76-8507F03C00C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867-4394-AD76-8507F03C00C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China!$B$5</c:f>
              <c:strCache>
                <c:ptCount val="1"/>
                <c:pt idx="0">
                  <c:v>Caixin PMI</c:v>
                </c:pt>
              </c:strCache>
            </c:strRef>
          </c:tx>
          <c:spPr>
            <a:ln w="28575" cap="rnd">
              <a:solidFill>
                <a:schemeClr val="accent1"/>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F45-49B9-A9A2-096DEA0C40D6}"/>
            </c:ext>
          </c:extLst>
        </c:ser>
        <c:ser>
          <c:idx val="2"/>
          <c:order val="1"/>
          <c:tx>
            <c:strRef>
              <c:f>China!$D$5</c:f>
              <c:strCache>
                <c:ptCount val="1"/>
                <c:pt idx="0">
                  <c:v>Official PMI</c:v>
                </c:pt>
              </c:strCache>
            </c:strRef>
          </c:tx>
          <c:spPr>
            <a:ln w="28575" cap="rnd">
              <a:solidFill>
                <a:schemeClr val="accent3"/>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2-AF45-49B9-A9A2-096DEA0C40D6}"/>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622808"/>
        <c:crosses val="autoZero"/>
        <c:auto val="1"/>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1" i="0" baseline="0">
                <a:effectLst/>
              </a:rPr>
              <a:t>Caixin China PMI (lhs) vs China GDP growth yoy %</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extLst>
          <c:ext xmlns:c15="http://schemas.microsoft.com/office/drawing/2012/chart" uri="{02D57815-91ED-43cb-92C2-25804820EDAC}">
            <c15:filteredBarSeries>
              <c15:ser>
                <c:idx val="1"/>
                <c:order val="1"/>
                <c:tx>
                  <c:strRef>
                    <c:extLst>
                      <c:ext uri="{02D57815-91ED-43cb-92C2-25804820EDAC}">
                        <c15:formulaRef>
                          <c15:sqref>China!$C$5</c15:sqref>
                        </c15:formulaRef>
                      </c:ext>
                    </c:extLst>
                    <c:strCache>
                      <c:ptCount val="1"/>
                      <c:pt idx="0">
                        <c:v>mom</c:v>
                      </c:pt>
                    </c:strCache>
                  </c:strRef>
                </c:tx>
                <c:spPr>
                  <a:solidFill>
                    <a:schemeClr val="accent2"/>
                  </a:solidFill>
                  <a:ln>
                    <a:noFill/>
                  </a:ln>
                  <a:effectLst/>
                </c:spPr>
                <c:invertIfNegative val="0"/>
                <c:cat>
                  <c:numRef>
                    <c:extLst>
                      <c:ext uri="{02D57815-91ED-43cb-92C2-25804820EDAC}">
                        <c15:formulaRef>
                          <c15:sqref>China!$A$6:$A$209</c15:sqref>
                        </c15:formulaRef>
                      </c:ext>
                    </c:extLst>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extLst>
                      <c:ext uri="{02D57815-91ED-43cb-92C2-25804820EDAC}">
                        <c15:formulaRef>
                          <c15:sqref>China!$C$6:$C$209</c15:sqref>
                        </c15:formulaRef>
                      </c:ext>
                    </c:extLst>
                    <c:numCache>
                      <c:formatCode>General</c:formatCode>
                      <c:ptCount val="204"/>
                      <c:pt idx="1">
                        <c:v>0.79999999999999716</c:v>
                      </c:pt>
                      <c:pt idx="2">
                        <c:v>2.3000000000000043</c:v>
                      </c:pt>
                      <c:pt idx="3">
                        <c:v>-0.80000000000000426</c:v>
                      </c:pt>
                      <c:pt idx="4">
                        <c:v>-1.1000000000000014</c:v>
                      </c:pt>
                      <c:pt idx="5">
                        <c:v>-2.2999999999999972</c:v>
                      </c:pt>
                      <c:pt idx="6">
                        <c:v>0.5</c:v>
                      </c:pt>
                      <c:pt idx="7">
                        <c:v>-0.89999999999999858</c:v>
                      </c:pt>
                      <c:pt idx="8">
                        <c:v>0.29999999999999716</c:v>
                      </c:pt>
                      <c:pt idx="9">
                        <c:v>-0.79999999999999716</c:v>
                      </c:pt>
                      <c:pt idx="10">
                        <c:v>-0.30000000000000426</c:v>
                      </c:pt>
                      <c:pt idx="11">
                        <c:v>0.30000000000000426</c:v>
                      </c:pt>
                      <c:pt idx="12">
                        <c:v>0.10000000000000142</c:v>
                      </c:pt>
                      <c:pt idx="13">
                        <c:v>0.5</c:v>
                      </c:pt>
                      <c:pt idx="14">
                        <c:v>0.29999999999999716</c:v>
                      </c:pt>
                      <c:pt idx="15">
                        <c:v>1.7000000000000028</c:v>
                      </c:pt>
                      <c:pt idx="16">
                        <c:v>9.9999999999994316E-2</c:v>
                      </c:pt>
                      <c:pt idx="17">
                        <c:v>0.10000000000000142</c:v>
                      </c:pt>
                      <c:pt idx="18">
                        <c:v>0.10000000000000142</c:v>
                      </c:pt>
                      <c:pt idx="19">
                        <c:v>-0.39999999999999858</c:v>
                      </c:pt>
                      <c:pt idx="20">
                        <c:v>-0.20000000000000284</c:v>
                      </c:pt>
                      <c:pt idx="21">
                        <c:v>-0.29999999999999716</c:v>
                      </c:pt>
                      <c:pt idx="22">
                        <c:v>0.89999999999999858</c:v>
                      </c:pt>
                      <c:pt idx="23">
                        <c:v>-0.60000000000000142</c:v>
                      </c:pt>
                      <c:pt idx="24">
                        <c:v>-0.39999999999999858</c:v>
                      </c:pt>
                      <c:pt idx="25">
                        <c:v>1</c:v>
                      </c:pt>
                      <c:pt idx="26">
                        <c:v>-0.70000000000000284</c:v>
                      </c:pt>
                      <c:pt idx="27">
                        <c:v>1</c:v>
                      </c:pt>
                      <c:pt idx="28">
                        <c:v>0.80000000000000426</c:v>
                      </c:pt>
                      <c:pt idx="29">
                        <c:v>0.89999999999999858</c:v>
                      </c:pt>
                      <c:pt idx="30">
                        <c:v>-1.7999999999999972</c:v>
                      </c:pt>
                      <c:pt idx="31">
                        <c:v>0.19999999999999574</c:v>
                      </c:pt>
                      <c:pt idx="32">
                        <c:v>1.6000000000000014</c:v>
                      </c:pt>
                      <c:pt idx="33">
                        <c:v>0.20000000000000284</c:v>
                      </c:pt>
                      <c:pt idx="34">
                        <c:v>-2.4000000000000057</c:v>
                      </c:pt>
                      <c:pt idx="35">
                        <c:v>0.5</c:v>
                      </c:pt>
                      <c:pt idx="36">
                        <c:v>-9.9999999999994316E-2</c:v>
                      </c:pt>
                      <c:pt idx="37">
                        <c:v>-0.40000000000000568</c:v>
                      </c:pt>
                      <c:pt idx="38">
                        <c:v>1.6000000000000014</c:v>
                      </c:pt>
                      <c:pt idx="39">
                        <c:v>1</c:v>
                      </c:pt>
                      <c:pt idx="40">
                        <c:v>-0.69999999999999574</c:v>
                      </c:pt>
                      <c:pt idx="41">
                        <c:v>-1.4000000000000057</c:v>
                      </c:pt>
                      <c:pt idx="42">
                        <c:v>0</c:v>
                      </c:pt>
                      <c:pt idx="43">
                        <c:v>-4.0999999999999943</c:v>
                      </c:pt>
                      <c:pt idx="44">
                        <c:v>-1.5</c:v>
                      </c:pt>
                      <c:pt idx="45">
                        <c:v>-2.5</c:v>
                      </c:pt>
                      <c:pt idx="46">
                        <c:v>-4.3000000000000043</c:v>
                      </c:pt>
                      <c:pt idx="47">
                        <c:v>0.30000000000000426</c:v>
                      </c:pt>
                      <c:pt idx="48">
                        <c:v>1</c:v>
                      </c:pt>
                      <c:pt idx="49">
                        <c:v>2.8999999999999986</c:v>
                      </c:pt>
                      <c:pt idx="50">
                        <c:v>-0.30000000000000426</c:v>
                      </c:pt>
                      <c:pt idx="51">
                        <c:v>5.3000000000000043</c:v>
                      </c:pt>
                      <c:pt idx="52">
                        <c:v>1.1000000000000014</c:v>
                      </c:pt>
                      <c:pt idx="53">
                        <c:v>0.59999999999999432</c:v>
                      </c:pt>
                      <c:pt idx="54">
                        <c:v>1</c:v>
                      </c:pt>
                      <c:pt idx="55">
                        <c:v>2.3000000000000043</c:v>
                      </c:pt>
                      <c:pt idx="56">
                        <c:v>-0.10000000000000142</c:v>
                      </c:pt>
                      <c:pt idx="57">
                        <c:v>0.39999999999999858</c:v>
                      </c:pt>
                      <c:pt idx="58">
                        <c:v>0.30000000000000426</c:v>
                      </c:pt>
                      <c:pt idx="59">
                        <c:v>0.39999999999999858</c:v>
                      </c:pt>
                      <c:pt idx="60">
                        <c:v>1.2999999999999972</c:v>
                      </c:pt>
                      <c:pt idx="61">
                        <c:v>-1.6000000000000014</c:v>
                      </c:pt>
                      <c:pt idx="62">
                        <c:v>1.2000000000000028</c:v>
                      </c:pt>
                      <c:pt idx="63">
                        <c:v>-1.6000000000000014</c:v>
                      </c:pt>
                      <c:pt idx="64">
                        <c:v>-2.6999999999999957</c:v>
                      </c:pt>
                      <c:pt idx="65">
                        <c:v>-2.3000000000000043</c:v>
                      </c:pt>
                      <c:pt idx="66">
                        <c:v>-1</c:v>
                      </c:pt>
                      <c:pt idx="67">
                        <c:v>2.5</c:v>
                      </c:pt>
                      <c:pt idx="68">
                        <c:v>1</c:v>
                      </c:pt>
                      <c:pt idx="69">
                        <c:v>1.8999999999999986</c:v>
                      </c:pt>
                      <c:pt idx="70">
                        <c:v>0.5</c:v>
                      </c:pt>
                      <c:pt idx="71">
                        <c:v>-0.89999999999999858</c:v>
                      </c:pt>
                      <c:pt idx="72">
                        <c:v>0.10000000000000142</c:v>
                      </c:pt>
                      <c:pt idx="73">
                        <c:v>-2.7999999999999972</c:v>
                      </c:pt>
                      <c:pt idx="74">
                        <c:v>9.9999999999994316E-2</c:v>
                      </c:pt>
                      <c:pt idx="75">
                        <c:v>0</c:v>
                      </c:pt>
                      <c:pt idx="76">
                        <c:v>-0.19999999999999574</c:v>
                      </c:pt>
                      <c:pt idx="77">
                        <c:v>-1.5</c:v>
                      </c:pt>
                      <c:pt idx="78">
                        <c:v>-0.80000000000000426</c:v>
                      </c:pt>
                      <c:pt idx="79">
                        <c:v>0.60000000000000142</c:v>
                      </c:pt>
                      <c:pt idx="80">
                        <c:v>0</c:v>
                      </c:pt>
                      <c:pt idx="81">
                        <c:v>1.1000000000000014</c:v>
                      </c:pt>
                      <c:pt idx="82">
                        <c:v>-3.2999999999999972</c:v>
                      </c:pt>
                      <c:pt idx="83">
                        <c:v>1</c:v>
                      </c:pt>
                      <c:pt idx="84">
                        <c:v>9.9999999999994316E-2</c:v>
                      </c:pt>
                      <c:pt idx="85">
                        <c:v>0.80000000000000426</c:v>
                      </c:pt>
                      <c:pt idx="86">
                        <c:v>-1.3000000000000043</c:v>
                      </c:pt>
                      <c:pt idx="87">
                        <c:v>1</c:v>
                      </c:pt>
                      <c:pt idx="88">
                        <c:v>-0.89999999999999858</c:v>
                      </c:pt>
                      <c:pt idx="89">
                        <c:v>-0.19999999999999574</c:v>
                      </c:pt>
                      <c:pt idx="90">
                        <c:v>1.0999999999999943</c:v>
                      </c:pt>
                      <c:pt idx="91">
                        <c:v>-1.5999999999999943</c:v>
                      </c:pt>
                      <c:pt idx="92">
                        <c:v>0.19999999999999574</c:v>
                      </c:pt>
                      <c:pt idx="93">
                        <c:v>1.6000000000000014</c:v>
                      </c:pt>
                      <c:pt idx="94">
                        <c:v>1</c:v>
                      </c:pt>
                      <c:pt idx="95">
                        <c:v>1</c:v>
                      </c:pt>
                      <c:pt idx="96">
                        <c:v>0.79999999999999716</c:v>
                      </c:pt>
                      <c:pt idx="97">
                        <c:v>-1.8999999999999986</c:v>
                      </c:pt>
                      <c:pt idx="98">
                        <c:v>1.2000000000000028</c:v>
                      </c:pt>
                      <c:pt idx="99">
                        <c:v>-1.2000000000000028</c:v>
                      </c:pt>
                      <c:pt idx="100">
                        <c:v>-1.1999999999999957</c:v>
                      </c:pt>
                      <c:pt idx="101">
                        <c:v>-1</c:v>
                      </c:pt>
                      <c:pt idx="102">
                        <c:v>-0.5</c:v>
                      </c:pt>
                      <c:pt idx="103">
                        <c:v>2.3999999999999986</c:v>
                      </c:pt>
                      <c:pt idx="104">
                        <c:v>0.10000000000000142</c:v>
                      </c:pt>
                      <c:pt idx="105">
                        <c:v>0.69999999999999574</c:v>
                      </c:pt>
                      <c:pt idx="106">
                        <c:v>-0.10000000000000142</c:v>
                      </c:pt>
                      <c:pt idx="107">
                        <c:v>-0.29999999999999716</c:v>
                      </c:pt>
                      <c:pt idx="108">
                        <c:v>-1</c:v>
                      </c:pt>
                      <c:pt idx="109">
                        <c:v>-1</c:v>
                      </c:pt>
                      <c:pt idx="110">
                        <c:v>-0.5</c:v>
                      </c:pt>
                      <c:pt idx="111">
                        <c:v>0.10000000000000142</c:v>
                      </c:pt>
                      <c:pt idx="112">
                        <c:v>1.2999999999999972</c:v>
                      </c:pt>
                      <c:pt idx="113">
                        <c:v>1.3000000000000043</c:v>
                      </c:pt>
                      <c:pt idx="114">
                        <c:v>1</c:v>
                      </c:pt>
                      <c:pt idx="115">
                        <c:v>-1.5</c:v>
                      </c:pt>
                      <c:pt idx="116">
                        <c:v>0.89999999999999858</c:v>
                      </c:pt>
                      <c:pt idx="117">
                        <c:v>-0.30000000000000426</c:v>
                      </c:pt>
                      <c:pt idx="118">
                        <c:v>-0.5</c:v>
                      </c:pt>
                      <c:pt idx="119">
                        <c:v>-0.19999999999999574</c:v>
                      </c:pt>
                      <c:pt idx="120">
                        <c:v>-0.30000000000000426</c:v>
                      </c:pt>
                      <c:pt idx="121">
                        <c:v>0.10000000000000142</c:v>
                      </c:pt>
                      <c:pt idx="122">
                        <c:v>0.20000000000000284</c:v>
                      </c:pt>
                      <c:pt idx="123">
                        <c:v>0</c:v>
                      </c:pt>
                      <c:pt idx="124">
                        <c:v>0.10000000000000142</c:v>
                      </c:pt>
                      <c:pt idx="125">
                        <c:v>0</c:v>
                      </c:pt>
                      <c:pt idx="126">
                        <c:v>-0.20000000000000284</c:v>
                      </c:pt>
                      <c:pt idx="127">
                        <c:v>-2.7000000000000028</c:v>
                      </c:pt>
                      <c:pt idx="128">
                        <c:v>-9.9999999999994316E-2</c:v>
                      </c:pt>
                      <c:pt idx="129">
                        <c:v>1.0999999999999943</c:v>
                      </c:pt>
                      <c:pt idx="130">
                        <c:v>0.30000000000000426</c:v>
                      </c:pt>
                      <c:pt idx="131">
                        <c:v>-0.39999999999999858</c:v>
                      </c:pt>
                      <c:pt idx="132">
                        <c:v>0.19999999999999574</c:v>
                      </c:pt>
                      <c:pt idx="133">
                        <c:v>-0.39999999999999858</c:v>
                      </c:pt>
                      <c:pt idx="134">
                        <c:v>1.7000000000000028</c:v>
                      </c:pt>
                      <c:pt idx="135">
                        <c:v>-0.30000000000000426</c:v>
                      </c:pt>
                      <c:pt idx="136">
                        <c:v>-0.19999999999999574</c:v>
                      </c:pt>
                      <c:pt idx="137">
                        <c:v>-0.60000000000000142</c:v>
                      </c:pt>
                      <c:pt idx="138">
                        <c:v>2</c:v>
                      </c:pt>
                      <c:pt idx="139">
                        <c:v>-0.60000000000000142</c:v>
                      </c:pt>
                      <c:pt idx="140">
                        <c:v>0.10000000000000142</c:v>
                      </c:pt>
                      <c:pt idx="141">
                        <c:v>1.1000000000000014</c:v>
                      </c:pt>
                      <c:pt idx="142">
                        <c:v>-0.30000000000000426</c:v>
                      </c:pt>
                      <c:pt idx="143">
                        <c:v>1</c:v>
                      </c:pt>
                      <c:pt idx="144">
                        <c:v>-0.89999999999999858</c:v>
                      </c:pt>
                      <c:pt idx="145">
                        <c:v>0.70000000000000284</c:v>
                      </c:pt>
                      <c:pt idx="146">
                        <c:v>-0.5</c:v>
                      </c:pt>
                      <c:pt idx="147">
                        <c:v>-0.90000000000000568</c:v>
                      </c:pt>
                      <c:pt idx="148">
                        <c:v>-0.69999999999999574</c:v>
                      </c:pt>
                      <c:pt idx="149">
                        <c:v>0.79999999999999716</c:v>
                      </c:pt>
                      <c:pt idx="150">
                        <c:v>0.70000000000000284</c:v>
                      </c:pt>
                      <c:pt idx="151">
                        <c:v>0.5</c:v>
                      </c:pt>
                      <c:pt idx="152">
                        <c:v>-0.60000000000000142</c:v>
                      </c:pt>
                      <c:pt idx="153">
                        <c:v>0</c:v>
                      </c:pt>
                      <c:pt idx="154">
                        <c:v>-0.20000000000000284</c:v>
                      </c:pt>
                      <c:pt idx="155">
                        <c:v>0.70000000000000284</c:v>
                      </c:pt>
                      <c:pt idx="156">
                        <c:v>0.10000000000000142</c:v>
                      </c:pt>
                      <c:pt idx="157">
                        <c:v>-0.10000000000000142</c:v>
                      </c:pt>
                      <c:pt idx="158">
                        <c:v>-0.5</c:v>
                      </c:pt>
                      <c:pt idx="159">
                        <c:v>0.10000000000000142</c:v>
                      </c:pt>
                      <c:pt idx="160">
                        <c:v>0</c:v>
                      </c:pt>
                      <c:pt idx="161">
                        <c:v>-0.10000000000000142</c:v>
                      </c:pt>
                      <c:pt idx="162">
                        <c:v>-0.20000000000000284</c:v>
                      </c:pt>
                      <c:pt idx="163">
                        <c:v>-0.19999999999999574</c:v>
                      </c:pt>
                      <c:pt idx="164">
                        <c:v>-0.60000000000000142</c:v>
                      </c:pt>
                      <c:pt idx="165">
                        <c:v>0.10000000000000142</c:v>
                      </c:pt>
                      <c:pt idx="166">
                        <c:v>0.10000000000000142</c:v>
                      </c:pt>
                      <c:pt idx="167">
                        <c:v>-0.5</c:v>
                      </c:pt>
                      <c:pt idx="168">
                        <c:v>-1.4000000000000057</c:v>
                      </c:pt>
                      <c:pt idx="169">
                        <c:v>1.6000000000000014</c:v>
                      </c:pt>
                      <c:pt idx="170">
                        <c:v>0.89999999999999858</c:v>
                      </c:pt>
                      <c:pt idx="171">
                        <c:v>-0.59999999999999432</c:v>
                      </c:pt>
                      <c:pt idx="172">
                        <c:v>0</c:v>
                      </c:pt>
                      <c:pt idx="173">
                        <c:v>-0.80000000000000426</c:v>
                      </c:pt>
                      <c:pt idx="174">
                        <c:v>0.5</c:v>
                      </c:pt>
                      <c:pt idx="175">
                        <c:v>0.5</c:v>
                      </c:pt>
                      <c:pt idx="176">
                        <c:v>1</c:v>
                      </c:pt>
                      <c:pt idx="177">
                        <c:v>0.30000000000000426</c:v>
                      </c:pt>
                      <c:pt idx="178">
                        <c:v>9.9999999999994316E-2</c:v>
                      </c:pt>
                      <c:pt idx="179">
                        <c:v>-0.29999999999999716</c:v>
                      </c:pt>
                      <c:pt idx="180">
                        <c:v>-0.39999999999999858</c:v>
                      </c:pt>
                      <c:pt idx="181">
                        <c:v>-10.800000000000004</c:v>
                      </c:pt>
                      <c:pt idx="182">
                        <c:v>9.8000000000000043</c:v>
                      </c:pt>
                      <c:pt idx="183">
                        <c:v>-0.70000000000000284</c:v>
                      </c:pt>
                      <c:pt idx="184">
                        <c:v>1.3000000000000043</c:v>
                      </c:pt>
                      <c:pt idx="185">
                        <c:v>0.5</c:v>
                      </c:pt>
                      <c:pt idx="186">
                        <c:v>1.5999999999999943</c:v>
                      </c:pt>
                      <c:pt idx="187">
                        <c:v>0.30000000000000426</c:v>
                      </c:pt>
                      <c:pt idx="188">
                        <c:v>-0.10000000000000142</c:v>
                      </c:pt>
                      <c:pt idx="189">
                        <c:v>0.60000000000000142</c:v>
                      </c:pt>
                      <c:pt idx="190">
                        <c:v>1.2999999999999972</c:v>
                      </c:pt>
                      <c:pt idx="191">
                        <c:v>-1.8999999999999986</c:v>
                      </c:pt>
                      <c:pt idx="192">
                        <c:v>-1.5</c:v>
                      </c:pt>
                      <c:pt idx="193">
                        <c:v>-0.60000000000000142</c:v>
                      </c:pt>
                      <c:pt idx="194">
                        <c:v>-0.29999999999999716</c:v>
                      </c:pt>
                      <c:pt idx="195">
                        <c:v>1.2999999999999972</c:v>
                      </c:pt>
                      <c:pt idx="196">
                        <c:v>0.10000000000000142</c:v>
                      </c:pt>
                      <c:pt idx="197">
                        <c:v>-0.70000000000000284</c:v>
                      </c:pt>
                      <c:pt idx="198">
                        <c:v>-1</c:v>
                      </c:pt>
                      <c:pt idx="199">
                        <c:v>-1.0999999999999943</c:v>
                      </c:pt>
                      <c:pt idx="200">
                        <c:v>0.79999999999999716</c:v>
                      </c:pt>
                      <c:pt idx="201">
                        <c:v>0.60000000000000142</c:v>
                      </c:pt>
                      <c:pt idx="202">
                        <c:v>-0.70000000000000284</c:v>
                      </c:pt>
                      <c:pt idx="203">
                        <c:v>1</c:v>
                      </c:pt>
                    </c:numCache>
                  </c:numRef>
                </c:val>
                <c:extLst>
                  <c:ext xmlns:c16="http://schemas.microsoft.com/office/drawing/2014/chart" uri="{C3380CC4-5D6E-409C-BE32-E72D297353CC}">
                    <c16:uniqueId val="{00000001-ABE3-4250-8160-055590245071}"/>
                  </c:ext>
                </c:extLst>
              </c15:ser>
            </c15:filteredBarSeries>
          </c:ext>
        </c:extLst>
      </c:barChart>
      <c:barChart>
        <c:barDir val="col"/>
        <c:grouping val="clustered"/>
        <c:varyColors val="0"/>
        <c:ser>
          <c:idx val="4"/>
          <c:order val="2"/>
          <c:tx>
            <c:strRef>
              <c:f>China!$F$5</c:f>
              <c:strCache>
                <c:ptCount val="1"/>
                <c:pt idx="0">
                  <c:v>GDP yoy %</c:v>
                </c:pt>
              </c:strCache>
            </c:strRef>
          </c:tx>
          <c:spPr>
            <a:solidFill>
              <a:srgbClr val="92D050"/>
            </a:solidFill>
            <a:ln w="22225">
              <a:solidFill>
                <a:srgbClr val="92D050"/>
              </a:solidFill>
            </a:ln>
            <a:effectLst/>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0.10400000000000001</c:v>
                </c:pt>
                <c:pt idx="26">
                  <c:v>0.13</c:v>
                </c:pt>
                <c:pt idx="29">
                  <c:v>0.126</c:v>
                </c:pt>
                <c:pt idx="32">
                  <c:v>0.115</c:v>
                </c:pt>
                <c:pt idx="35">
                  <c:v>0.11199999999999999</c:v>
                </c:pt>
                <c:pt idx="38">
                  <c:v>0.106</c:v>
                </c:pt>
                <c:pt idx="41">
                  <c:v>0.10099999999999999</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4-ABE3-4250-8160-055590245071}"/>
            </c:ext>
          </c:extLst>
        </c:ser>
        <c:dLbls>
          <c:showLegendKey val="0"/>
          <c:showVal val="0"/>
          <c:showCatName val="0"/>
          <c:showSerName val="0"/>
          <c:showPercent val="0"/>
          <c:showBubbleSize val="0"/>
        </c:dLbls>
        <c:gapWidth val="219"/>
        <c:axId val="158629407"/>
        <c:axId val="158629079"/>
      </c:barChart>
      <c:lineChart>
        <c:grouping val="standard"/>
        <c:varyColors val="0"/>
        <c:ser>
          <c:idx val="0"/>
          <c:order val="0"/>
          <c:tx>
            <c:strRef>
              <c:f>China!$B$5</c:f>
              <c:strCache>
                <c:ptCount val="1"/>
                <c:pt idx="0">
                  <c:v>Caixin PMI</c:v>
                </c:pt>
              </c:strCache>
            </c:strRef>
          </c:tx>
          <c:spPr>
            <a:ln w="28575" cap="rnd">
              <a:solidFill>
                <a:schemeClr val="tx1"/>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BE3-4250-8160-055590245071}"/>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3175"/>
        <c:crosses val="autoZero"/>
        <c:auto val="1"/>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valAx>
        <c:axId val="15862907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'Euro Area'!$K$2</c:f>
              <c:strCache>
                <c:ptCount val="1"/>
                <c:pt idx="0">
                  <c:v>Euro Area Manufacturing PMI</c:v>
                </c:pt>
              </c:strCache>
            </c:strRef>
          </c:tx>
          <c:spPr>
            <a:solidFill>
              <a:schemeClr val="accent1">
                <a:shade val="76000"/>
              </a:schemeClr>
            </a:solidFill>
            <a:ln>
              <a:noFill/>
            </a:ln>
            <a:effectLst/>
          </c:spPr>
          <c:cat>
            <c:numRef>
              <c:f>'Euro Area'!$A$6:$A$319</c:f>
              <c:numCache>
                <c:formatCode>m/d/yy</c:formatCode>
                <c:ptCount val="314"/>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Area'!$B$6:$B$319</c:f>
              <c:numCache>
                <c:formatCode>General</c:formatCode>
                <c:ptCount val="314"/>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C02B-4A48-B3B1-BF2A4FF7B0B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02B-4A48-B3B1-BF2A4FF7B0B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Euro Area PMI vs EZU</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round/>
            </a:ln>
            <a:effectLst/>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3-3F4F-4CE4-B5B4-33CFCB1484D8}"/>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round/>
            </a:ln>
            <a:effectLst/>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4-3F4F-4CE4-B5B4-33CFCB1484D8}"/>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20856"/>
        <c:crosses val="autoZero"/>
        <c:auto val="1"/>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valAx>
        <c:axId val="155451659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Euro Area PMI (lhs)  vs Euro Area GDP q/q% (rhs)</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1"/>
          <c:tx>
            <c:strRef>
              <c:f>'Euro Area'!$G$5</c:f>
              <c:strCache>
                <c:ptCount val="1"/>
                <c:pt idx="0">
                  <c:v>Euro Area GDP qoq %</c:v>
                </c:pt>
              </c:strCache>
            </c:strRef>
          </c:tx>
          <c:spPr>
            <a:solidFill>
              <a:schemeClr val="accent6"/>
            </a:solidFill>
            <a:ln w="22225">
              <a:solidFill>
                <a:srgbClr val="FF0000"/>
              </a:solidFill>
            </a:ln>
            <a:effectLst/>
          </c:spPr>
          <c:invertIfNegative val="0"/>
          <c:dPt>
            <c:idx val="24"/>
            <c:invertIfNegative val="0"/>
            <c:bubble3D val="0"/>
            <c:spPr>
              <a:solidFill>
                <a:srgbClr val="FF0000"/>
              </a:solidFill>
              <a:ln w="22225">
                <a:solidFill>
                  <a:srgbClr val="FF0000"/>
                </a:solidFill>
              </a:ln>
              <a:effectLst/>
            </c:spPr>
            <c:extLst>
              <c:ext xmlns:c16="http://schemas.microsoft.com/office/drawing/2014/chart" uri="{C3380CC4-5D6E-409C-BE32-E72D297353CC}">
                <c16:uniqueId val="{00000006-1747-40ED-A685-2B78062237B3}"/>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1.6265967103903822E-2</c:v>
                </c:pt>
                <c:pt idx="3">
                  <c:v>5.9800035783534877E-3</c:v>
                </c:pt>
                <c:pt idx="6">
                  <c:v>2.8172025350974295E-2</c:v>
                </c:pt>
                <c:pt idx="9">
                  <c:v>2.9118461876363577E-2</c:v>
                </c:pt>
                <c:pt idx="12">
                  <c:v>2.5258257420124997E-2</c:v>
                </c:pt>
                <c:pt idx="15">
                  <c:v>3.643398665829789E-2</c:v>
                </c:pt>
                <c:pt idx="18">
                  <c:v>4.2691360855606764E-2</c:v>
                </c:pt>
                <c:pt idx="21">
                  <c:v>2.6026508340188048E-2</c:v>
                </c:pt>
                <c:pt idx="24">
                  <c:v>4.6339850729940846E-2</c:v>
                </c:pt>
                <c:pt idx="27">
                  <c:v>3.0493376920174287E-2</c:v>
                </c:pt>
                <c:pt idx="30">
                  <c:v>2.4774984060077498E-2</c:v>
                </c:pt>
                <c:pt idx="33">
                  <c:v>1.9952615974581311E-2</c:v>
                </c:pt>
                <c:pt idx="36">
                  <c:v>2.1525728817948675E-2</c:v>
                </c:pt>
                <c:pt idx="39">
                  <c:v>2.1406240553486056E-2</c:v>
                </c:pt>
                <c:pt idx="42">
                  <c:v>-1.441173190349565E-2</c:v>
                </c:pt>
                <c:pt idx="45">
                  <c:v>-2.238680884382227E-2</c:v>
                </c:pt>
                <c:pt idx="48">
                  <c:v>-6.6026419133766945E-2</c:v>
                </c:pt>
                <c:pt idx="51">
                  <c:v>-0.11428933086664661</c:v>
                </c:pt>
                <c:pt idx="54">
                  <c:v>-9.7251306297287954E-3</c:v>
                </c:pt>
                <c:pt idx="57">
                  <c:v>1.3559608281368929E-2</c:v>
                </c:pt>
                <c:pt idx="60">
                  <c:v>2.2327831345095639E-2</c:v>
                </c:pt>
                <c:pt idx="63">
                  <c:v>1.5680085064055937E-2</c:v>
                </c:pt>
                <c:pt idx="66">
                  <c:v>3.7326174249129096E-2</c:v>
                </c:pt>
                <c:pt idx="69">
                  <c:v>1.8661024144199789E-2</c:v>
                </c:pt>
                <c:pt idx="72">
                  <c:v>2.5320207001568118E-2</c:v>
                </c:pt>
                <c:pt idx="75">
                  <c:v>3.0521728783740265E-2</c:v>
                </c:pt>
                <c:pt idx="78">
                  <c:v>5.5775662172719009E-4</c:v>
                </c:pt>
                <c:pt idx="81">
                  <c:v>-1.6870932538581851E-4</c:v>
                </c:pt>
                <c:pt idx="84">
                  <c:v>-1.1363810389469431E-2</c:v>
                </c:pt>
                <c:pt idx="87">
                  <c:v>-5.7291699306327715E-3</c:v>
                </c:pt>
                <c:pt idx="90">
                  <c:v>-1.5012298757958176E-2</c:v>
                </c:pt>
                <c:pt idx="93">
                  <c:v>-4.7763410477339452E-3</c:v>
                </c:pt>
                <c:pt idx="96">
                  <c:v>-1.6433110475805646E-2</c:v>
                </c:pt>
                <c:pt idx="99">
                  <c:v>-1.4558675021881018E-2</c:v>
                </c:pt>
                <c:pt idx="102">
                  <c:v>2.0202351650639772E-2</c:v>
                </c:pt>
                <c:pt idx="105">
                  <c:v>1.5113428497260717E-2</c:v>
                </c:pt>
                <c:pt idx="108">
                  <c:v>9.7653584824304307E-3</c:v>
                </c:pt>
                <c:pt idx="111">
                  <c:v>1.8653115252922348E-2</c:v>
                </c:pt>
                <c:pt idx="114">
                  <c:v>6.3627255008551487E-3</c:v>
                </c:pt>
                <c:pt idx="117">
                  <c:v>1.7182132943003081E-2</c:v>
                </c:pt>
                <c:pt idx="120">
                  <c:v>1.920721404559167E-2</c:v>
                </c:pt>
                <c:pt idx="123">
                  <c:v>3.0421047543182755E-2</c:v>
                </c:pt>
                <c:pt idx="126">
                  <c:v>1.5051901564708814E-2</c:v>
                </c:pt>
                <c:pt idx="129">
                  <c:v>1.7395214723969543E-2</c:v>
                </c:pt>
                <c:pt idx="132">
                  <c:v>1.8054687759743837E-2</c:v>
                </c:pt>
                <c:pt idx="135">
                  <c:v>2.5441995020369257E-2</c:v>
                </c:pt>
                <c:pt idx="138">
                  <c:v>1.1205420116856768E-2</c:v>
                </c:pt>
                <c:pt idx="141">
                  <c:v>1.5222007500805379E-2</c:v>
                </c:pt>
                <c:pt idx="144">
                  <c:v>3.171176605552839E-2</c:v>
                </c:pt>
                <c:pt idx="147">
                  <c:v>2.7000313892701744E-2</c:v>
                </c:pt>
                <c:pt idx="150">
                  <c:v>2.7245342877053824E-2</c:v>
                </c:pt>
                <c:pt idx="153">
                  <c:v>2.7751292547078421E-2</c:v>
                </c:pt>
                <c:pt idx="156">
                  <c:v>2.936166237860971E-2</c:v>
                </c:pt>
                <c:pt idx="159">
                  <c:v>1.6126375141170435E-2</c:v>
                </c:pt>
                <c:pt idx="162">
                  <c:v>1.5336299951477006E-2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5-1747-40ED-A685-2B78062237B3}"/>
            </c:ext>
          </c:extLst>
        </c:ser>
        <c:dLbls>
          <c:showLegendKey val="0"/>
          <c:showVal val="0"/>
          <c:showCatName val="0"/>
          <c:showSerName val="0"/>
          <c:showPercent val="0"/>
          <c:showBubbleSize val="0"/>
        </c:dLbls>
        <c:gapWidth val="219"/>
        <c:axId val="1554513968"/>
        <c:axId val="1554514296"/>
      </c:barChart>
      <c:lineChart>
        <c:grouping val="standard"/>
        <c:varyColors val="0"/>
        <c:ser>
          <c:idx val="0"/>
          <c:order val="0"/>
          <c:tx>
            <c:strRef>
              <c:f>'Euro Area'!$B$5</c:f>
              <c:strCache>
                <c:ptCount val="1"/>
                <c:pt idx="0">
                  <c:v>Euro Area PMI</c:v>
                </c:pt>
              </c:strCache>
            </c:strRef>
          </c:tx>
          <c:spPr>
            <a:ln w="28575" cap="rnd">
              <a:solidFill>
                <a:schemeClr val="accent1">
                  <a:lumMod val="75000"/>
                </a:schemeClr>
              </a:solidFill>
              <a:round/>
            </a:ln>
            <a:effectLst/>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0-1747-40ED-A685-2B78062237B3}"/>
            </c:ext>
          </c:extLst>
        </c:ser>
        <c:dLbls>
          <c:showLegendKey val="0"/>
          <c:showVal val="0"/>
          <c:showCatName val="0"/>
          <c:showSerName val="0"/>
          <c:showPercent val="0"/>
          <c:showBubbleSize val="0"/>
        </c:dLbls>
        <c:marker val="1"/>
        <c:smooth val="0"/>
        <c:axId val="1554494288"/>
        <c:axId val="1554495600"/>
      </c:lineChart>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95600"/>
        <c:crosses val="autoZero"/>
        <c:auto val="1"/>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valAx>
        <c:axId val="1554514296"/>
        <c:scaling>
          <c:orientation val="minMax"/>
          <c:min val="-6.0000000000000012E-2"/>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513968"/>
        <c:scaling>
          <c:orientation val="minMax"/>
        </c:scaling>
        <c:delete val="1"/>
        <c:axPos val="b"/>
        <c:numFmt formatCode="m/d/yy" sourceLinked="1"/>
        <c:majorTickMark val="out"/>
        <c:minorTickMark val="none"/>
        <c:tickLblPos val="nextTo"/>
        <c:crossAx val="155451429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Japan!$K$2</c:f>
              <c:strCache>
                <c:ptCount val="1"/>
                <c:pt idx="0">
                  <c:v>Japan Manufacturing PMI</c:v>
                </c:pt>
              </c:strCache>
            </c:strRef>
          </c:tx>
          <c:spPr>
            <a:solidFill>
              <a:schemeClr val="accent1">
                <a:shade val="76000"/>
              </a:schemeClr>
            </a:solidFill>
            <a:ln>
              <a:noFill/>
            </a:ln>
            <a:effectLst/>
          </c:spPr>
          <c:cat>
            <c:numRef>
              <c:f>Japan!$A$6:$A$320</c:f>
              <c:numCache>
                <c:formatCode>m/d/yy</c:formatCode>
                <c:ptCount val="315"/>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Japan!$B$6:$B$320</c:f>
              <c:numCache>
                <c:formatCode>General</c:formatCode>
                <c:ptCount val="315"/>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7110-48CD-9B89-9D7FE2CF042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110-48CD-9B89-9D7FE2CF042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Germany!$K$2</c:f>
              <c:strCache>
                <c:ptCount val="1"/>
                <c:pt idx="0">
                  <c:v>Germany Manufacturing PMI</c:v>
                </c:pt>
              </c:strCache>
            </c:strRef>
          </c:tx>
          <c:spPr>
            <a:solidFill>
              <a:schemeClr val="accent1">
                <a:shade val="76000"/>
              </a:schemeClr>
            </a:solidFill>
            <a:ln>
              <a:noFill/>
            </a:ln>
            <a:effectLst/>
          </c:spPr>
          <c:cat>
            <c:numRef>
              <c:f>Germany!$A$6:$A$320</c:f>
              <c:numCache>
                <c:formatCode>m/d/yy</c:formatCode>
                <c:ptCount val="315"/>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Germany!$B$6:$B$320</c:f>
              <c:numCache>
                <c:formatCode>General</c:formatCode>
                <c:ptCount val="315"/>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ECBB-49B6-A4BC-02B780BA8CB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CBB-49B6-A4BC-02B780BA8CB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70"/>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France!$K$2</c:f>
              <c:strCache>
                <c:ptCount val="1"/>
                <c:pt idx="0">
                  <c:v>France Manufacturing PMI</c:v>
                </c:pt>
              </c:strCache>
            </c:strRef>
          </c:tx>
          <c:spPr>
            <a:solidFill>
              <a:schemeClr val="accent1">
                <a:shade val="76000"/>
              </a:schemeClr>
            </a:solidFill>
            <a:ln>
              <a:noFill/>
            </a:ln>
            <a:effectLst/>
          </c:spPr>
          <c:cat>
            <c:numRef>
              <c:f>France!$A$6:$A$320</c:f>
              <c:numCache>
                <c:formatCode>m/d/yy</c:formatCode>
                <c:ptCount val="315"/>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France!$B$6:$B$320</c:f>
              <c:numCache>
                <c:formatCode>General</c:formatCode>
                <c:ptCount val="315"/>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C54D-435B-A1B4-E740D26A64B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54D-435B-A1B4-E740D26A64BD}"/>
                  </c:ext>
                </c:extLst>
              </c15:ser>
            </c15:filteredLineSeries>
          </c:ext>
        </c:extLst>
      </c:lineChart>
      <c:dateAx>
        <c:axId val="781995520"/>
        <c:scaling>
          <c:orientation val="minMax"/>
          <c:max val="44470"/>
          <c:min val="39722"/>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UK!$K$2</c:f>
              <c:strCache>
                <c:ptCount val="1"/>
                <c:pt idx="0">
                  <c:v>U.K. Manufacturing PMI</c:v>
                </c:pt>
              </c:strCache>
            </c:strRef>
          </c:tx>
          <c:spPr>
            <a:solidFill>
              <a:schemeClr val="accent1">
                <a:shade val="76000"/>
              </a:schemeClr>
            </a:solidFill>
            <a:ln>
              <a:noFill/>
            </a:ln>
            <a:effectLst/>
          </c:spPr>
          <c:cat>
            <c:numRef>
              <c:f>UK!$A$6:$A$320</c:f>
              <c:numCache>
                <c:formatCode>m/d/yy</c:formatCode>
                <c:ptCount val="31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UK!$B$6:$B$320</c:f>
              <c:numCache>
                <c:formatCode>General</c:formatCode>
                <c:ptCount val="31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EC47-4FE2-A3E2-57A07F3D2B8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C47-4FE2-A3E2-57A07F3D2B8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UK!$B$5</c:f>
              <c:strCache>
                <c:ptCount val="1"/>
                <c:pt idx="0">
                  <c:v>PMI</c:v>
                </c:pt>
              </c:strCache>
            </c:strRef>
          </c:tx>
          <c:spPr>
            <a:ln w="28575" cap="rnd">
              <a:solidFill>
                <a:schemeClr val="accent1"/>
              </a:solidFill>
              <a:round/>
            </a:ln>
            <a:effectLst/>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6289-44C7-B412-3A586F267A7F}"/>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2"/>
          <c:order val="1"/>
          <c:tx>
            <c:strRef>
              <c:f>UK!$D$5</c:f>
              <c:strCache>
                <c:ptCount val="1"/>
                <c:pt idx="0">
                  <c:v>EWU</c:v>
                </c:pt>
              </c:strCache>
            </c:strRef>
          </c:tx>
          <c:spPr>
            <a:ln w="28575" cap="rnd">
              <a:solidFill>
                <a:schemeClr val="accent3"/>
              </a:solidFill>
              <a:round/>
            </a:ln>
            <a:effectLst/>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2-6289-44C7-B412-3A586F267A7F}"/>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1"/>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valAx>
        <c:axId val="1554502816"/>
        <c:scaling>
          <c:orientation val="minMax"/>
          <c:min val="10"/>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Italy!$K$2</c:f>
              <c:strCache>
                <c:ptCount val="1"/>
                <c:pt idx="0">
                  <c:v>Italy Manufacturing PMI</c:v>
                </c:pt>
              </c:strCache>
            </c:strRef>
          </c:tx>
          <c:spPr>
            <a:solidFill>
              <a:schemeClr val="accent1">
                <a:shade val="76000"/>
              </a:schemeClr>
            </a:solidFill>
            <a:ln>
              <a:noFill/>
            </a:ln>
            <a:effectLst/>
          </c:spPr>
          <c:cat>
            <c:numRef>
              <c:f>Italy!$A$6:$A$320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Italy!$B$6:$B$320</c:f>
              <c:numCache>
                <c:formatCode>General</c:formatCode>
                <c:ptCount val="315"/>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2081-4C9B-A00F-46088FE2C9C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081-4C9B-A00F-46088FE2C9C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Spain!$K$2</c:f>
              <c:strCache>
                <c:ptCount val="1"/>
                <c:pt idx="0">
                  <c:v>Spain Manufacturing PMI</c:v>
                </c:pt>
              </c:strCache>
            </c:strRef>
          </c:tx>
          <c:spPr>
            <a:solidFill>
              <a:schemeClr val="accent1">
                <a:shade val="76000"/>
              </a:schemeClr>
            </a:solidFill>
            <a:ln>
              <a:noFill/>
            </a:ln>
            <a:effectLst/>
          </c:spPr>
          <c:cat>
            <c:numRef>
              <c:f>Spain!$A$6:$A$320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Spain!$B$6:$B$320</c:f>
              <c:numCache>
                <c:formatCode>General</c:formatCode>
                <c:ptCount val="315"/>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4C36-4918-9E4F-F6A1CACAB63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C36-4918-9E4F-F6A1CACAB63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Brazil!$K$2</c:f>
              <c:strCache>
                <c:ptCount val="1"/>
                <c:pt idx="0">
                  <c:v>Brazil Manufacturing PMI</c:v>
                </c:pt>
              </c:strCache>
            </c:strRef>
          </c:tx>
          <c:spPr>
            <a:solidFill>
              <a:schemeClr val="accent1">
                <a:shade val="76000"/>
              </a:schemeClr>
            </a:solidFill>
            <a:ln>
              <a:noFill/>
            </a:ln>
            <a:effectLst/>
          </c:spPr>
          <c:cat>
            <c:numRef>
              <c:f>Brazil!$A$6:$A$320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Brazil!$B$6:$B$320</c:f>
              <c:numCache>
                <c:formatCode>General</c:formatCode>
                <c:ptCount val="31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420D-4CF8-8397-6BF1C8C46A7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20D-4CF8-8397-6BF1C8C46A7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6"/>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Mexico!$K$2</c:f>
              <c:strCache>
                <c:ptCount val="1"/>
                <c:pt idx="0">
                  <c:v>Mexico Manufacturing PMI</c:v>
                </c:pt>
              </c:strCache>
            </c:strRef>
          </c:tx>
          <c:spPr>
            <a:solidFill>
              <a:schemeClr val="accent1">
                <a:shade val="76000"/>
              </a:schemeClr>
            </a:solidFill>
            <a:ln>
              <a:noFill/>
            </a:ln>
            <a:effectLst/>
          </c:spPr>
          <c:cat>
            <c:numRef>
              <c:f>Mexico!$A$6:$A$320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Mexico!$B$6:$B$320</c:f>
              <c:numCache>
                <c:formatCode>General</c:formatCode>
                <c:ptCount val="315"/>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51FB-463A-A840-27891331DDE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51FB-463A-A840-27891331DDE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Russia!$K$2</c:f>
              <c:strCache>
                <c:ptCount val="1"/>
                <c:pt idx="0">
                  <c:v>Russia Manufacturing PMI</c:v>
                </c:pt>
              </c:strCache>
            </c:strRef>
          </c:tx>
          <c:spPr>
            <a:solidFill>
              <a:schemeClr val="accent1">
                <a:shade val="76000"/>
              </a:schemeClr>
            </a:solidFill>
            <a:ln>
              <a:noFill/>
            </a:ln>
            <a:effectLst/>
          </c:spPr>
          <c:cat>
            <c:numRef>
              <c:f>Russia!$A$6:$A$320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Russia!$B$6:$B$320</c:f>
              <c:numCache>
                <c:formatCode>General</c:formatCode>
                <c:ptCount val="31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285C-42DA-AD52-F5F883911CB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85C-42DA-AD52-F5F883911CB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India!$K$2</c:f>
              <c:strCache>
                <c:ptCount val="1"/>
                <c:pt idx="0">
                  <c:v>India Manufacturing PMI</c:v>
                </c:pt>
              </c:strCache>
            </c:strRef>
          </c:tx>
          <c:spPr>
            <a:solidFill>
              <a:schemeClr val="accent1">
                <a:shade val="76000"/>
              </a:schemeClr>
            </a:solidFill>
            <a:ln>
              <a:noFill/>
            </a:ln>
            <a:effectLst/>
          </c:spPr>
          <c:cat>
            <c:numRef>
              <c:f>India!$A$6:$A$320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India!$B$6:$B$320</c:f>
              <c:numCache>
                <c:formatCode>General</c:formatCode>
                <c:ptCount val="31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DD2C-4B0E-B88E-3F483CA4CA2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DD2C-4B0E-B88E-3F483CA4CA2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Canada!$K$2</c:f>
              <c:strCache>
                <c:ptCount val="1"/>
                <c:pt idx="0">
                  <c:v>Canada Manufacturing PMI</c:v>
                </c:pt>
              </c:strCache>
            </c:strRef>
          </c:tx>
          <c:spPr>
            <a:solidFill>
              <a:schemeClr val="accent1">
                <a:shade val="76000"/>
              </a:schemeClr>
            </a:solidFill>
            <a:ln>
              <a:noFill/>
            </a:ln>
            <a:effectLst/>
          </c:spPr>
          <c:cat>
            <c:numRef>
              <c:f>Canada!$A$6:$A$320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Canada!$B$6:$B$320</c:f>
              <c:numCache>
                <c:formatCode>General</c:formatCode>
                <c:ptCount val="315"/>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E67C-4B59-8977-06D761AD158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67C-4B59-8977-06D761AD158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Australia!$K$2</c:f>
              <c:strCache>
                <c:ptCount val="1"/>
                <c:pt idx="0">
                  <c:v>Australia Manufacturing PMI</c:v>
                </c:pt>
              </c:strCache>
            </c:strRef>
          </c:tx>
          <c:spPr>
            <a:solidFill>
              <a:schemeClr val="accent1">
                <a:shade val="76000"/>
              </a:schemeClr>
            </a:solidFill>
            <a:ln>
              <a:noFill/>
            </a:ln>
            <a:effectLst/>
          </c:spPr>
          <c:cat>
            <c:numRef>
              <c:f>Australia!$A$6:$A$319</c:f>
              <c:numCache>
                <c:formatCode>m/d/yy</c:formatCode>
                <c:ptCount val="314"/>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Australia!$B$6:$B$319</c:f>
              <c:numCache>
                <c:formatCode>General</c:formatCode>
                <c:ptCount val="314"/>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1D1D-4E68-B5AD-F9C0CCCE682A}"/>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1D1D-4E68-B5AD-F9C0CCCE682A}"/>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6"/>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Indonesia!$K$2</c:f>
              <c:strCache>
                <c:ptCount val="1"/>
                <c:pt idx="0">
                  <c:v>Indonesia Manufacturing PMI</c:v>
                </c:pt>
              </c:strCache>
            </c:strRef>
          </c:tx>
          <c:spPr>
            <a:solidFill>
              <a:schemeClr val="accent1">
                <a:shade val="76000"/>
              </a:schemeClr>
            </a:solidFill>
            <a:ln>
              <a:noFill/>
            </a:ln>
            <a:effectLst/>
          </c:spPr>
          <c:cat>
            <c:numRef>
              <c:f>Indonesia!$A$6:$A$320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Indonesia!$B$6:$B$320</c:f>
              <c:numCache>
                <c:formatCode>General</c:formatCode>
                <c:ptCount val="315"/>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C09A-413E-8FFD-A8BF6118C782}"/>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09A-413E-8FFD-A8BF6118C782}"/>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SouthKorea!$K$2</c:f>
              <c:strCache>
                <c:ptCount val="1"/>
                <c:pt idx="0">
                  <c:v>South Korea Manufacturing PMI</c:v>
                </c:pt>
              </c:strCache>
            </c:strRef>
          </c:tx>
          <c:spPr>
            <a:solidFill>
              <a:schemeClr val="accent1">
                <a:shade val="76000"/>
              </a:schemeClr>
            </a:solidFill>
            <a:ln>
              <a:noFill/>
            </a:ln>
            <a:effectLst/>
          </c:spPr>
          <c:cat>
            <c:numRef>
              <c:f>SouthKorea!$A$6:$A$320</c:f>
              <c:numCache>
                <c:formatCode>m/d/yy</c:formatCode>
                <c:ptCount val="31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SouthKorea!$B$6:$B$320</c:f>
              <c:numCache>
                <c:formatCode>General</c:formatCode>
                <c:ptCount val="315"/>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D2ED-4147-BBB6-6240650BC9E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D2ED-4147-BBB6-6240650BC9E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Taiwan!$K$2</c:f>
              <c:strCache>
                <c:ptCount val="1"/>
                <c:pt idx="0">
                  <c:v>Taiwan Manufacturing PMI</c:v>
                </c:pt>
              </c:strCache>
            </c:strRef>
          </c:tx>
          <c:spPr>
            <a:solidFill>
              <a:schemeClr val="accent1">
                <a:shade val="76000"/>
              </a:schemeClr>
            </a:solidFill>
            <a:ln>
              <a:noFill/>
            </a:ln>
            <a:effectLst/>
          </c:spPr>
          <c:cat>
            <c:numRef>
              <c:f>Taiwan!$A$6:$A$320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Taiwan!$B$6:$B$320</c:f>
              <c:numCache>
                <c:formatCode>General</c:formatCode>
                <c:ptCount val="31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A816-449D-BDCB-2893A59E1BE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A816-449D-BDCB-2893A59E1BE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2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Greece!$K$2</c:f>
              <c:strCache>
                <c:ptCount val="1"/>
                <c:pt idx="0">
                  <c:v>Greece Manufacturing PMI</c:v>
                </c:pt>
              </c:strCache>
            </c:strRef>
          </c:tx>
          <c:spPr>
            <a:solidFill>
              <a:schemeClr val="accent1">
                <a:shade val="76000"/>
              </a:schemeClr>
            </a:solidFill>
            <a:ln>
              <a:noFill/>
            </a:ln>
            <a:effectLst/>
          </c:spPr>
          <c:cat>
            <c:numRef>
              <c:f>Greece!$A$6:$A$320</c:f>
              <c:numCache>
                <c:formatCode>m/d/yy</c:formatCode>
                <c:ptCount val="31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Greece!$B$6:$B$320</c:f>
              <c:numCache>
                <c:formatCode>General</c:formatCode>
                <c:ptCount val="31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9F83-4C15-95DA-CFAC4D654A4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9F83-4C15-95DA-CFAC4D654A4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Ireland!$K$2</c:f>
              <c:strCache>
                <c:ptCount val="1"/>
                <c:pt idx="0">
                  <c:v>Ireland Manufacturing PMI</c:v>
                </c:pt>
              </c:strCache>
            </c:strRef>
          </c:tx>
          <c:spPr>
            <a:solidFill>
              <a:schemeClr val="accent1">
                <a:shade val="76000"/>
              </a:schemeClr>
            </a:solidFill>
            <a:ln>
              <a:noFill/>
            </a:ln>
            <a:effectLst/>
          </c:spPr>
          <c:cat>
            <c:numRef>
              <c:f>Ireland!$A$6:$A$320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Ireland!$B$6:$B$320</c:f>
              <c:numCache>
                <c:formatCode>General</c:formatCode>
                <c:ptCount val="31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771F-4E45-82ED-4FE22B05D98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71F-4E45-82ED-4FE22B05D98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Turkey!$K$2</c:f>
              <c:strCache>
                <c:ptCount val="1"/>
                <c:pt idx="0">
                  <c:v>Turkey Manufacturing PMI</c:v>
                </c:pt>
              </c:strCache>
            </c:strRef>
          </c:tx>
          <c:spPr>
            <a:solidFill>
              <a:schemeClr val="accent1">
                <a:shade val="76000"/>
              </a:schemeClr>
            </a:solidFill>
            <a:ln>
              <a:noFill/>
            </a:ln>
            <a:effectLst/>
          </c:spPr>
          <c:cat>
            <c:numRef>
              <c:f>Turkey!$A$6:$A$320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Turkey!$B$6:$B$320</c:f>
              <c:numCache>
                <c:formatCode>General</c:formatCode>
                <c:ptCount val="31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4049-429C-9DBB-AA15BAB9A6C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049-429C-9DBB-AA15BAB9A6C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CzechRepublic!$K$2</c:f>
              <c:strCache>
                <c:ptCount val="1"/>
                <c:pt idx="0">
                  <c:v>Czech Republic Manufacturing PMI</c:v>
                </c:pt>
              </c:strCache>
            </c:strRef>
          </c:tx>
          <c:spPr>
            <a:solidFill>
              <a:schemeClr val="accent1">
                <a:shade val="76000"/>
              </a:schemeClr>
            </a:solidFill>
            <a:ln>
              <a:noFill/>
            </a:ln>
            <a:effectLst/>
          </c:spPr>
          <c:cat>
            <c:numRef>
              <c:f>CzechRepublic!$A$6:$A$320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CzechRepublic!$B$6:$B$320</c:f>
              <c:numCache>
                <c:formatCode>General</c:formatCode>
                <c:ptCount val="31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0828-40E5-9AD6-DDFBB7E9871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0828-40E5-9AD6-DDFBB7E9871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Poland!$K$2</c:f>
              <c:strCache>
                <c:ptCount val="1"/>
                <c:pt idx="0">
                  <c:v>Poland Manufacturing PMI</c:v>
                </c:pt>
              </c:strCache>
            </c:strRef>
          </c:tx>
          <c:spPr>
            <a:solidFill>
              <a:schemeClr val="accent1">
                <a:shade val="76000"/>
              </a:schemeClr>
            </a:solidFill>
            <a:ln>
              <a:noFill/>
            </a:ln>
            <a:effectLst/>
          </c:spPr>
          <c:cat>
            <c:numRef>
              <c:f>Poland!$A$6:$A$320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Poland!$B$6:$B$320</c:f>
              <c:numCache>
                <c:formatCode>General</c:formatCode>
                <c:ptCount val="31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2F73-4F1F-86A0-4307B6961B1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F73-4F1F-86A0-4307B6961B1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Denmark!$K$2</c:f>
              <c:strCache>
                <c:ptCount val="1"/>
                <c:pt idx="0">
                  <c:v>Denmark Manufacturing PMI</c:v>
                </c:pt>
              </c:strCache>
            </c:strRef>
          </c:tx>
          <c:spPr>
            <a:solidFill>
              <a:schemeClr val="accent1">
                <a:shade val="76000"/>
              </a:schemeClr>
            </a:solidFill>
            <a:ln>
              <a:noFill/>
            </a:ln>
            <a:effectLst/>
          </c:spPr>
          <c:cat>
            <c:numRef>
              <c:f>Denmark!$A$6:$A$350</c:f>
              <c:numCache>
                <c:formatCode>m/d/yy</c:formatCode>
                <c:ptCount val="345"/>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Denmark!$B$6:$B$350</c:f>
              <c:numCache>
                <c:formatCode>General</c:formatCode>
                <c:ptCount val="345"/>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C455-4B1A-AF55-0833926ECF8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455-4B1A-AF55-0833926ECF8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70"/>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Vietnam!$K$2</c:f>
              <c:strCache>
                <c:ptCount val="1"/>
                <c:pt idx="0">
                  <c:v>Vietnam Manufacturing PMI</c:v>
                </c:pt>
              </c:strCache>
            </c:strRef>
          </c:tx>
          <c:spPr>
            <a:solidFill>
              <a:schemeClr val="accent1">
                <a:shade val="76000"/>
              </a:schemeClr>
            </a:solidFill>
            <a:ln>
              <a:noFill/>
            </a:ln>
            <a:effectLst/>
          </c:spPr>
          <c:cat>
            <c:numRef>
              <c:f>Vietnam!$A$6:$A$292</c:f>
              <c:numCache>
                <c:formatCode>m/d/yy</c:formatCode>
                <c:ptCount val="287"/>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Vietnam!$B$6:$B$292</c:f>
              <c:numCache>
                <c:formatCode>General</c:formatCode>
                <c:ptCount val="287"/>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A7CA-4C1D-A171-3C198AFED17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A7CA-4C1D-A171-3C198AFED17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Thailand!$K$2</c:f>
              <c:strCache>
                <c:ptCount val="1"/>
                <c:pt idx="0">
                  <c:v>Thailand Manufacturing PMI</c:v>
                </c:pt>
              </c:strCache>
            </c:strRef>
          </c:tx>
          <c:spPr>
            <a:solidFill>
              <a:schemeClr val="accent1">
                <a:shade val="76000"/>
              </a:schemeClr>
            </a:solidFill>
            <a:ln>
              <a:noFill/>
            </a:ln>
            <a:effectLst/>
          </c:spPr>
          <c:cat>
            <c:numRef>
              <c:f>Thailand!$A$6:$A$291</c:f>
              <c:numCache>
                <c:formatCode>m/d/yy</c:formatCode>
                <c:ptCount val="28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Thailand!$B$6:$B$291</c:f>
              <c:numCache>
                <c:formatCode>General</c:formatCode>
                <c:ptCount val="28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C89C-4702-BF38-0D513573B6B9}"/>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89C-4702-BF38-0D513573B6B9}"/>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2"/>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'South Africa'!$K$2</c:f>
              <c:strCache>
                <c:ptCount val="1"/>
                <c:pt idx="0">
                  <c:v>South Africa Manufacturing PMI</c:v>
                </c:pt>
              </c:strCache>
            </c:strRef>
          </c:tx>
          <c:spPr>
            <a:solidFill>
              <a:schemeClr val="accent1">
                <a:shade val="76000"/>
              </a:schemeClr>
            </a:solidFill>
            <a:ln>
              <a:noFill/>
            </a:ln>
            <a:effectLst/>
          </c:spPr>
          <c:cat>
            <c:numRef>
              <c:f>'South Africa'!$A$6:$A$291</c:f>
              <c:numCache>
                <c:formatCode>m/d/yy</c:formatCode>
                <c:ptCount val="28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Africa'!$B$6:$B$291</c:f>
              <c:numCache>
                <c:formatCode>General</c:formatCode>
                <c:ptCount val="286"/>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19BA-485A-BE88-03AC58E654A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19BA-485A-BE88-03AC58E654A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'Hong Kong'!$K$2</c:f>
              <c:strCache>
                <c:ptCount val="1"/>
                <c:pt idx="0">
                  <c:v>Hong-Kong Manufacturing PMI</c:v>
                </c:pt>
              </c:strCache>
            </c:strRef>
          </c:tx>
          <c:spPr>
            <a:solidFill>
              <a:schemeClr val="accent1">
                <a:shade val="76000"/>
              </a:schemeClr>
            </a:solidFill>
            <a:ln>
              <a:noFill/>
            </a:ln>
            <a:effectLst/>
          </c:spPr>
          <c:cat>
            <c:numRef>
              <c:f>'Hong Kong'!$A$6:$A$291</c:f>
              <c:numCache>
                <c:formatCode>m/d/yy</c:formatCode>
                <c:ptCount val="286"/>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Kong'!$B$6:$B$291</c:f>
              <c:numCache>
                <c:formatCode>General</c:formatCode>
                <c:ptCount val="286"/>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5BC8-4DC2-8D76-9CB5069D473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5BC8-4DC2-8D76-9CB5069D473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'Saudi Arabia'!$K$2</c:f>
              <c:strCache>
                <c:ptCount val="1"/>
                <c:pt idx="0">
                  <c:v>Saudi Arabia Manufacturing PMI</c:v>
                </c:pt>
              </c:strCache>
            </c:strRef>
          </c:tx>
          <c:spPr>
            <a:solidFill>
              <a:schemeClr val="accent1">
                <a:shade val="76000"/>
              </a:schemeClr>
            </a:solidFill>
            <a:ln>
              <a:noFill/>
            </a:ln>
            <a:effectLst/>
          </c:spPr>
          <c:cat>
            <c:numRef>
              <c:f>'Saudi Arabia'!$A$6:$A$291</c:f>
              <c:numCache>
                <c:formatCode>m/d/yy</c:formatCode>
                <c:ptCount val="286"/>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Arabia'!$B$6:$B$291</c:f>
              <c:numCache>
                <c:formatCode>General</c:formatCode>
                <c:ptCount val="286"/>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4124-4265-891A-728E25E99FD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124-4265-891A-728E25E99FD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4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NewZealand!$K$2</c:f>
              <c:strCache>
                <c:ptCount val="1"/>
                <c:pt idx="0">
                  <c:v>New Zealand Manufacturing PMI</c:v>
                </c:pt>
              </c:strCache>
            </c:strRef>
          </c:tx>
          <c:spPr>
            <a:solidFill>
              <a:schemeClr val="accent1">
                <a:shade val="76000"/>
              </a:schemeClr>
            </a:solidFill>
            <a:ln>
              <a:noFill/>
            </a:ln>
            <a:effectLst/>
          </c:spPr>
          <c:cat>
            <c:numRef>
              <c:f>NewZealand!$A$6:$A$292</c:f>
              <c:numCache>
                <c:formatCode>m/d/yy</c:formatCode>
                <c:ptCount val="287"/>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NewZealand!$B$6:$B$292</c:f>
              <c:numCache>
                <c:formatCode>0.00</c:formatCode>
                <c:ptCount val="287"/>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9AC5-4DB4-ABC8-C29B508EE9E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9AC5-4DB4-ABC8-C29B508EE9E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4">
  <a:schemeClr val="accent1"/>
</cs:colorStyle>
</file>

<file path=xl/charts/colors19.xml><?xml version="1.0" encoding="utf-8"?>
<cs:colorStyle xmlns:cs="http://schemas.microsoft.com/office/drawing/2012/chartStyle" xmlns:a="http://schemas.openxmlformats.org/drawingml/2006/main" meth="withinLinear" id="14">
  <a:schemeClr val="accent1"/>
</cs:colorStyle>
</file>

<file path=xl/charts/colors20.xml><?xml version="1.0" encoding="utf-8"?>
<cs:colorStyle xmlns:cs="http://schemas.microsoft.com/office/drawing/2012/chartStyle" xmlns:a="http://schemas.openxmlformats.org/drawingml/2006/main" meth="withinLinear" id="14">
  <a:schemeClr val="accent1"/>
</cs:colorStyle>
</file>

<file path=xl/charts/colors21.xml><?xml version="1.0" encoding="utf-8"?>
<cs:colorStyle xmlns:cs="http://schemas.microsoft.com/office/drawing/2012/chartStyle" xmlns:a="http://schemas.openxmlformats.org/drawingml/2006/main" meth="withinLinear" id="14">
  <a:schemeClr val="accent1"/>
</cs:colorStyle>
</file>

<file path=xl/charts/colors22.xml><?xml version="1.0" encoding="utf-8"?>
<cs:colorStyle xmlns:cs="http://schemas.microsoft.com/office/drawing/2012/chartStyle" xmlns:a="http://schemas.openxmlformats.org/drawingml/2006/main" meth="withinLinear" id="14">
  <a:schemeClr val="accent1"/>
</cs:colorStyle>
</file>

<file path=xl/charts/colors23.xml><?xml version="1.0" encoding="utf-8"?>
<cs:colorStyle xmlns:cs="http://schemas.microsoft.com/office/drawing/2012/chartStyle" xmlns:a="http://schemas.openxmlformats.org/drawingml/2006/main" meth="withinLinear" id="14">
  <a:schemeClr val="accent1"/>
</cs:colorStyle>
</file>

<file path=xl/charts/colors24.xml><?xml version="1.0" encoding="utf-8"?>
<cs:colorStyle xmlns:cs="http://schemas.microsoft.com/office/drawing/2012/chartStyle" xmlns:a="http://schemas.openxmlformats.org/drawingml/2006/main" meth="withinLinear" id="14">
  <a:schemeClr val="accent1"/>
</cs:colorStyle>
</file>

<file path=xl/charts/colors25.xml><?xml version="1.0" encoding="utf-8"?>
<cs:colorStyle xmlns:cs="http://schemas.microsoft.com/office/drawing/2012/chartStyle" xmlns:a="http://schemas.openxmlformats.org/drawingml/2006/main" meth="withinLinear" id="14">
  <a:schemeClr val="accent1"/>
</cs:colorStyle>
</file>

<file path=xl/charts/colors26.xml><?xml version="1.0" encoding="utf-8"?>
<cs:colorStyle xmlns:cs="http://schemas.microsoft.com/office/drawing/2012/chartStyle" xmlns:a="http://schemas.openxmlformats.org/drawingml/2006/main" meth="withinLinear" id="14">
  <a:schemeClr val="accent1"/>
</cs:colorStyle>
</file>

<file path=xl/charts/colors27.xml><?xml version="1.0" encoding="utf-8"?>
<cs:colorStyle xmlns:cs="http://schemas.microsoft.com/office/drawing/2012/chartStyle" xmlns:a="http://schemas.openxmlformats.org/drawingml/2006/main" meth="withinLinear" id="14">
  <a:schemeClr val="accent1"/>
</cs:colorStyle>
</file>

<file path=xl/charts/colors28.xml><?xml version="1.0" encoding="utf-8"?>
<cs:colorStyle xmlns:cs="http://schemas.microsoft.com/office/drawing/2012/chartStyle" xmlns:a="http://schemas.openxmlformats.org/drawingml/2006/main" meth="withinLinear" id="14">
  <a:schemeClr val="accent1"/>
</cs:colorStyle>
</file>

<file path=xl/charts/colors29.xml><?xml version="1.0" encoding="utf-8"?>
<cs:colorStyle xmlns:cs="http://schemas.microsoft.com/office/drawing/2012/chartStyle" xmlns:a="http://schemas.openxmlformats.org/drawingml/2006/main" meth="withinLinear" id="14">
  <a:schemeClr val="accent1"/>
</cs:colorStyle>
</file>

<file path=xl/charts/colors30.xml><?xml version="1.0" encoding="utf-8"?>
<cs:colorStyle xmlns:cs="http://schemas.microsoft.com/office/drawing/2012/chartStyle" xmlns:a="http://schemas.openxmlformats.org/drawingml/2006/main" meth="withinLinear" id="14">
  <a:schemeClr val="accent1"/>
</cs:colorStyle>
</file>

<file path=xl/charts/colors31.xml><?xml version="1.0" encoding="utf-8"?>
<cs:colorStyle xmlns:cs="http://schemas.microsoft.com/office/drawing/2012/chartStyle" xmlns:a="http://schemas.openxmlformats.org/drawingml/2006/main" meth="withinLinear" id="14">
  <a:schemeClr val="accent1"/>
</cs:colorStyle>
</file>

<file path=xl/charts/colors32.xml><?xml version="1.0" encoding="utf-8"?>
<cs:colorStyle xmlns:cs="http://schemas.microsoft.com/office/drawing/2012/chartStyle" xmlns:a="http://schemas.openxmlformats.org/drawingml/2006/main" meth="withinLinear" id="14">
  <a:schemeClr val="accent1"/>
</cs:colorStyle>
</file>

<file path=xl/charts/colors33.xml><?xml version="1.0" encoding="utf-8"?>
<cs:colorStyle xmlns:cs="http://schemas.microsoft.com/office/drawing/2012/chartStyle" xmlns:a="http://schemas.openxmlformats.org/drawingml/2006/main" meth="withinLinear" id="14">
  <a:schemeClr val="accent1"/>
</cs:colorStyle>
</file>

<file path=xl/charts/colors34.xml><?xml version="1.0" encoding="utf-8"?>
<cs:colorStyle xmlns:cs="http://schemas.microsoft.com/office/drawing/2012/chartStyle" xmlns:a="http://schemas.openxmlformats.org/drawingml/2006/main" meth="withinLinear" id="14">
  <a:schemeClr val="accent1"/>
</cs:colorStyle>
</file>

<file path=xl/charts/colors35.xml><?xml version="1.0" encoding="utf-8"?>
<cs:colorStyle xmlns:cs="http://schemas.microsoft.com/office/drawing/2012/chartStyle" xmlns:a="http://schemas.openxmlformats.org/drawingml/2006/main" meth="withinLinear" id="14">
  <a:schemeClr val="accent1"/>
</cs:colorStyle>
</file>

<file path=xl/charts/colors36.xml><?xml version="1.0" encoding="utf-8"?>
<cs:colorStyle xmlns:cs="http://schemas.microsoft.com/office/drawing/2012/chartStyle" xmlns:a="http://schemas.openxmlformats.org/drawingml/2006/main" meth="withinLinear" id="14">
  <a:schemeClr val="accent1"/>
</cs:colorStyle>
</file>

<file path=xl/charts/colors37.xml><?xml version="1.0" encoding="utf-8"?>
<cs:colorStyle xmlns:cs="http://schemas.microsoft.com/office/drawing/2012/chartStyle" xmlns:a="http://schemas.openxmlformats.org/drawingml/2006/main" meth="withinLinear" id="14">
  <a:schemeClr val="accent1"/>
</cs:colorStyle>
</file>

<file path=xl/charts/colors3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0</xdr:colOff>
      <xdr:row>2</xdr:row>
      <xdr:rowOff>0</xdr:rowOff>
    </xdr:from>
    <xdr:to>
      <xdr:col>19</xdr:col>
      <xdr:colOff>0</xdr:colOff>
      <xdr:row>7</xdr:row>
      <xdr:rowOff>19050</xdr:rowOff>
    </xdr:to>
    <xdr:graphicFrame macro="">
      <xdr:nvGraphicFramePr>
        <xdr:cNvPr id="4" name="Chart 7">
          <a:extLst>
            <a:ext uri="{FF2B5EF4-FFF2-40B4-BE49-F238E27FC236}">
              <a16:creationId xmlns:a16="http://schemas.microsoft.com/office/drawing/2014/main" id="{E264E388-9E57-49E3-8980-3C45004ED5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377825</xdr:colOff>
      <xdr:row>125</xdr:row>
      <xdr:rowOff>130174</xdr:rowOff>
    </xdr:from>
    <xdr:to>
      <xdr:col>15</xdr:col>
      <xdr:colOff>396875</xdr:colOff>
      <xdr:row>142</xdr:row>
      <xdr:rowOff>158750</xdr:rowOff>
    </xdr:to>
    <xdr:graphicFrame macro="">
      <xdr:nvGraphicFramePr>
        <xdr:cNvPr id="4" name="Chart 3">
          <a:extLst>
            <a:ext uri="{FF2B5EF4-FFF2-40B4-BE49-F238E27FC236}">
              <a16:creationId xmlns:a16="http://schemas.microsoft.com/office/drawing/2014/main" id="{225E8CD1-6CEE-4925-984C-AF680BDD7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385763</xdr:colOff>
      <xdr:row>105</xdr:row>
      <xdr:rowOff>179388</xdr:rowOff>
    </xdr:from>
    <xdr:to>
      <xdr:col>15</xdr:col>
      <xdr:colOff>452438</xdr:colOff>
      <xdr:row>125</xdr:row>
      <xdr:rowOff>26988</xdr:rowOff>
    </xdr:to>
    <xdr:graphicFrame macro="">
      <xdr:nvGraphicFramePr>
        <xdr:cNvPr id="5" name="Chart 7">
          <a:extLst>
            <a:ext uri="{FF2B5EF4-FFF2-40B4-BE49-F238E27FC236}">
              <a16:creationId xmlns:a16="http://schemas.microsoft.com/office/drawing/2014/main" id="{1346FF0E-FF8D-4DA4-9841-AE3E3C10DE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295275</xdr:colOff>
      <xdr:row>120</xdr:row>
      <xdr:rowOff>149225</xdr:rowOff>
    </xdr:from>
    <xdr:to>
      <xdr:col>14</xdr:col>
      <xdr:colOff>26671</xdr:colOff>
      <xdr:row>140</xdr:row>
      <xdr:rowOff>12065</xdr:rowOff>
    </xdr:to>
    <xdr:graphicFrame macro="">
      <xdr:nvGraphicFramePr>
        <xdr:cNvPr id="3" name="Chart 7">
          <a:extLst>
            <a:ext uri="{FF2B5EF4-FFF2-40B4-BE49-F238E27FC236}">
              <a16:creationId xmlns:a16="http://schemas.microsoft.com/office/drawing/2014/main" id="{BE9FBE73-11F4-4B36-9FF0-07EA12C2BC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298450</xdr:colOff>
      <xdr:row>167</xdr:row>
      <xdr:rowOff>95250</xdr:rowOff>
    </xdr:from>
    <xdr:to>
      <xdr:col>16</xdr:col>
      <xdr:colOff>639446</xdr:colOff>
      <xdr:row>186</xdr:row>
      <xdr:rowOff>148590</xdr:rowOff>
    </xdr:to>
    <xdr:graphicFrame macro="">
      <xdr:nvGraphicFramePr>
        <xdr:cNvPr id="2" name="Chart 7">
          <a:extLst>
            <a:ext uri="{FF2B5EF4-FFF2-40B4-BE49-F238E27FC236}">
              <a16:creationId xmlns:a16="http://schemas.microsoft.com/office/drawing/2014/main" id="{E9336F3C-9F4A-4733-8D12-576D20FCB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323849</xdr:colOff>
      <xdr:row>187</xdr:row>
      <xdr:rowOff>69850</xdr:rowOff>
    </xdr:from>
    <xdr:to>
      <xdr:col>16</xdr:col>
      <xdr:colOff>635000</xdr:colOff>
      <xdr:row>209</xdr:row>
      <xdr:rowOff>25400</xdr:rowOff>
    </xdr:to>
    <xdr:graphicFrame macro="">
      <xdr:nvGraphicFramePr>
        <xdr:cNvPr id="4" name="Chart 3">
          <a:extLst>
            <a:ext uri="{FF2B5EF4-FFF2-40B4-BE49-F238E27FC236}">
              <a16:creationId xmlns:a16="http://schemas.microsoft.com/office/drawing/2014/main" id="{CCACB8E6-D570-49CF-9667-2A2F926849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317500</xdr:colOff>
      <xdr:row>147</xdr:row>
      <xdr:rowOff>0</xdr:rowOff>
    </xdr:from>
    <xdr:to>
      <xdr:col>16</xdr:col>
      <xdr:colOff>666750</xdr:colOff>
      <xdr:row>166</xdr:row>
      <xdr:rowOff>161931</xdr:rowOff>
    </xdr:to>
    <xdr:graphicFrame macro="">
      <xdr:nvGraphicFramePr>
        <xdr:cNvPr id="3" name="Chart 2">
          <a:extLst>
            <a:ext uri="{FF2B5EF4-FFF2-40B4-BE49-F238E27FC236}">
              <a16:creationId xmlns:a16="http://schemas.microsoft.com/office/drawing/2014/main" id="{42D4A448-52F8-4785-B5AB-70619A1990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403225</xdr:colOff>
      <xdr:row>191</xdr:row>
      <xdr:rowOff>60325</xdr:rowOff>
    </xdr:from>
    <xdr:to>
      <xdr:col>17</xdr:col>
      <xdr:colOff>45721</xdr:colOff>
      <xdr:row>210</xdr:row>
      <xdr:rowOff>113665</xdr:rowOff>
    </xdr:to>
    <xdr:graphicFrame macro="">
      <xdr:nvGraphicFramePr>
        <xdr:cNvPr id="3" name="Chart 7">
          <a:extLst>
            <a:ext uri="{FF2B5EF4-FFF2-40B4-BE49-F238E27FC236}">
              <a16:creationId xmlns:a16="http://schemas.microsoft.com/office/drawing/2014/main" id="{D7C97C08-5C31-4C32-B0FF-2B3BD83229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381000</xdr:colOff>
      <xdr:row>174</xdr:row>
      <xdr:rowOff>92075</xdr:rowOff>
    </xdr:from>
    <xdr:to>
      <xdr:col>17</xdr:col>
      <xdr:colOff>6350</xdr:colOff>
      <xdr:row>190</xdr:row>
      <xdr:rowOff>139700</xdr:rowOff>
    </xdr:to>
    <xdr:graphicFrame macro="">
      <xdr:nvGraphicFramePr>
        <xdr:cNvPr id="4" name="Chart 3">
          <a:extLst>
            <a:ext uri="{FF2B5EF4-FFF2-40B4-BE49-F238E27FC236}">
              <a16:creationId xmlns:a16="http://schemas.microsoft.com/office/drawing/2014/main" id="{48FB0426-3EC0-4763-8D35-EC2B6930D9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376236</xdr:colOff>
      <xdr:row>155</xdr:row>
      <xdr:rowOff>142875</xdr:rowOff>
    </xdr:from>
    <xdr:to>
      <xdr:col>17</xdr:col>
      <xdr:colOff>152400</xdr:colOff>
      <xdr:row>173</xdr:row>
      <xdr:rowOff>161925</xdr:rowOff>
    </xdr:to>
    <xdr:graphicFrame macro="">
      <xdr:nvGraphicFramePr>
        <xdr:cNvPr id="5" name="Chart 4">
          <a:extLst>
            <a:ext uri="{FF2B5EF4-FFF2-40B4-BE49-F238E27FC236}">
              <a16:creationId xmlns:a16="http://schemas.microsoft.com/office/drawing/2014/main" id="{5ABB03AD-AC5B-431A-8379-2E04AE9220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230187</xdr:colOff>
      <xdr:row>152</xdr:row>
      <xdr:rowOff>166687</xdr:rowOff>
    </xdr:from>
    <xdr:to>
      <xdr:col>12</xdr:col>
      <xdr:colOff>660083</xdr:colOff>
      <xdr:row>172</xdr:row>
      <xdr:rowOff>29527</xdr:rowOff>
    </xdr:to>
    <xdr:graphicFrame macro="">
      <xdr:nvGraphicFramePr>
        <xdr:cNvPr id="2" name="Chart 7">
          <a:extLst>
            <a:ext uri="{FF2B5EF4-FFF2-40B4-BE49-F238E27FC236}">
              <a16:creationId xmlns:a16="http://schemas.microsoft.com/office/drawing/2014/main" id="{27335399-E7AF-45B8-80F1-6DB2E2134C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211418</xdr:colOff>
      <xdr:row>154</xdr:row>
      <xdr:rowOff>59952</xdr:rowOff>
    </xdr:from>
    <xdr:to>
      <xdr:col>12</xdr:col>
      <xdr:colOff>645050</xdr:colOff>
      <xdr:row>173</xdr:row>
      <xdr:rowOff>113292</xdr:rowOff>
    </xdr:to>
    <xdr:graphicFrame macro="">
      <xdr:nvGraphicFramePr>
        <xdr:cNvPr id="3" name="Chart 7">
          <a:extLst>
            <a:ext uri="{FF2B5EF4-FFF2-40B4-BE49-F238E27FC236}">
              <a16:creationId xmlns:a16="http://schemas.microsoft.com/office/drawing/2014/main" id="{2C9A978E-1EAD-4841-93C4-87EDA291B4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188912</xdr:colOff>
      <xdr:row>147</xdr:row>
      <xdr:rowOff>58737</xdr:rowOff>
    </xdr:from>
    <xdr:to>
      <xdr:col>12</xdr:col>
      <xdr:colOff>618808</xdr:colOff>
      <xdr:row>166</xdr:row>
      <xdr:rowOff>112077</xdr:rowOff>
    </xdr:to>
    <xdr:graphicFrame macro="">
      <xdr:nvGraphicFramePr>
        <xdr:cNvPr id="2" name="Chart 7">
          <a:extLst>
            <a:ext uri="{FF2B5EF4-FFF2-40B4-BE49-F238E27FC236}">
              <a16:creationId xmlns:a16="http://schemas.microsoft.com/office/drawing/2014/main" id="{A103F04A-3C54-4DC0-B28D-FC5C97448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400050</xdr:colOff>
      <xdr:row>191</xdr:row>
      <xdr:rowOff>38100</xdr:rowOff>
    </xdr:from>
    <xdr:to>
      <xdr:col>16</xdr:col>
      <xdr:colOff>131446</xdr:colOff>
      <xdr:row>210</xdr:row>
      <xdr:rowOff>91440</xdr:rowOff>
    </xdr:to>
    <xdr:graphicFrame macro="">
      <xdr:nvGraphicFramePr>
        <xdr:cNvPr id="2" name="Chart 7">
          <a:extLst>
            <a:ext uri="{FF2B5EF4-FFF2-40B4-BE49-F238E27FC236}">
              <a16:creationId xmlns:a16="http://schemas.microsoft.com/office/drawing/2014/main" id="{23893871-87A5-4CAD-A25B-102A56821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457200</xdr:colOff>
      <xdr:row>175</xdr:row>
      <xdr:rowOff>19050</xdr:rowOff>
    </xdr:from>
    <xdr:to>
      <xdr:col>16</xdr:col>
      <xdr:colOff>95250</xdr:colOff>
      <xdr:row>190</xdr:row>
      <xdr:rowOff>180975</xdr:rowOff>
    </xdr:to>
    <xdr:graphicFrame macro="">
      <xdr:nvGraphicFramePr>
        <xdr:cNvPr id="3" name="Chart 2">
          <a:extLst>
            <a:ext uri="{FF2B5EF4-FFF2-40B4-BE49-F238E27FC236}">
              <a16:creationId xmlns:a16="http://schemas.microsoft.com/office/drawing/2014/main" id="{A296B466-81E5-4D5C-B556-FE0A4529E7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247650</xdr:colOff>
      <xdr:row>166</xdr:row>
      <xdr:rowOff>127000</xdr:rowOff>
    </xdr:from>
    <xdr:to>
      <xdr:col>12</xdr:col>
      <xdr:colOff>588646</xdr:colOff>
      <xdr:row>185</xdr:row>
      <xdr:rowOff>180340</xdr:rowOff>
    </xdr:to>
    <xdr:graphicFrame macro="">
      <xdr:nvGraphicFramePr>
        <xdr:cNvPr id="2" name="Chart 7">
          <a:extLst>
            <a:ext uri="{FF2B5EF4-FFF2-40B4-BE49-F238E27FC236}">
              <a16:creationId xmlns:a16="http://schemas.microsoft.com/office/drawing/2014/main" id="{E4527A61-CC0D-4EA1-904D-BAA8FF311B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269875</xdr:colOff>
      <xdr:row>166</xdr:row>
      <xdr:rowOff>177800</xdr:rowOff>
    </xdr:from>
    <xdr:to>
      <xdr:col>13</xdr:col>
      <xdr:colOff>1271</xdr:colOff>
      <xdr:row>186</xdr:row>
      <xdr:rowOff>40640</xdr:rowOff>
    </xdr:to>
    <xdr:graphicFrame macro="">
      <xdr:nvGraphicFramePr>
        <xdr:cNvPr id="2" name="Chart 7">
          <a:extLst>
            <a:ext uri="{FF2B5EF4-FFF2-40B4-BE49-F238E27FC236}">
              <a16:creationId xmlns:a16="http://schemas.microsoft.com/office/drawing/2014/main" id="{7FFEDBB3-95F4-42C4-9A17-48B3A7EFD2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209550</xdr:colOff>
      <xdr:row>121</xdr:row>
      <xdr:rowOff>98425</xdr:rowOff>
    </xdr:from>
    <xdr:to>
      <xdr:col>13</xdr:col>
      <xdr:colOff>74296</xdr:colOff>
      <xdr:row>140</xdr:row>
      <xdr:rowOff>31750</xdr:rowOff>
    </xdr:to>
    <xdr:graphicFrame macro="">
      <xdr:nvGraphicFramePr>
        <xdr:cNvPr id="2" name="Chart 7">
          <a:extLst>
            <a:ext uri="{FF2B5EF4-FFF2-40B4-BE49-F238E27FC236}">
              <a16:creationId xmlns:a16="http://schemas.microsoft.com/office/drawing/2014/main" id="{120BF0E6-F525-4108-ABA4-FBF3D23CB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285750</xdr:colOff>
      <xdr:row>114</xdr:row>
      <xdr:rowOff>168275</xdr:rowOff>
    </xdr:from>
    <xdr:to>
      <xdr:col>12</xdr:col>
      <xdr:colOff>626746</xdr:colOff>
      <xdr:row>134</xdr:row>
      <xdr:rowOff>31115</xdr:rowOff>
    </xdr:to>
    <xdr:graphicFrame macro="">
      <xdr:nvGraphicFramePr>
        <xdr:cNvPr id="2" name="Chart 7">
          <a:extLst>
            <a:ext uri="{FF2B5EF4-FFF2-40B4-BE49-F238E27FC236}">
              <a16:creationId xmlns:a16="http://schemas.microsoft.com/office/drawing/2014/main" id="{E9955CEF-8471-4ADE-A366-82ACCECD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304800</xdr:colOff>
      <xdr:row>121</xdr:row>
      <xdr:rowOff>0</xdr:rowOff>
    </xdr:from>
    <xdr:to>
      <xdr:col>12</xdr:col>
      <xdr:colOff>645796</xdr:colOff>
      <xdr:row>140</xdr:row>
      <xdr:rowOff>53340</xdr:rowOff>
    </xdr:to>
    <xdr:graphicFrame macro="">
      <xdr:nvGraphicFramePr>
        <xdr:cNvPr id="2" name="Chart 7">
          <a:extLst>
            <a:ext uri="{FF2B5EF4-FFF2-40B4-BE49-F238E27FC236}">
              <a16:creationId xmlns:a16="http://schemas.microsoft.com/office/drawing/2014/main" id="{7C25F5C2-A6C1-429E-A09B-EA88C68DE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288925</xdr:colOff>
      <xdr:row>121</xdr:row>
      <xdr:rowOff>111125</xdr:rowOff>
    </xdr:from>
    <xdr:to>
      <xdr:col>13</xdr:col>
      <xdr:colOff>153671</xdr:colOff>
      <xdr:row>140</xdr:row>
      <xdr:rowOff>44450</xdr:rowOff>
    </xdr:to>
    <xdr:graphicFrame macro="">
      <xdr:nvGraphicFramePr>
        <xdr:cNvPr id="2" name="Chart 7">
          <a:extLst>
            <a:ext uri="{FF2B5EF4-FFF2-40B4-BE49-F238E27FC236}">
              <a16:creationId xmlns:a16="http://schemas.microsoft.com/office/drawing/2014/main" id="{0D1F6B6D-4E73-408E-A0D0-8B293917BD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250825</xdr:colOff>
      <xdr:row>114</xdr:row>
      <xdr:rowOff>133350</xdr:rowOff>
    </xdr:from>
    <xdr:to>
      <xdr:col>12</xdr:col>
      <xdr:colOff>680721</xdr:colOff>
      <xdr:row>133</xdr:row>
      <xdr:rowOff>186690</xdr:rowOff>
    </xdr:to>
    <xdr:graphicFrame macro="">
      <xdr:nvGraphicFramePr>
        <xdr:cNvPr id="3" name="Chart 7">
          <a:extLst>
            <a:ext uri="{FF2B5EF4-FFF2-40B4-BE49-F238E27FC236}">
              <a16:creationId xmlns:a16="http://schemas.microsoft.com/office/drawing/2014/main" id="{493EA772-7A21-4FB2-9E27-B6D8B3BA4B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349250</xdr:colOff>
      <xdr:row>148</xdr:row>
      <xdr:rowOff>165100</xdr:rowOff>
    </xdr:from>
    <xdr:to>
      <xdr:col>12</xdr:col>
      <xdr:colOff>690246</xdr:colOff>
      <xdr:row>168</xdr:row>
      <xdr:rowOff>27940</xdr:rowOff>
    </xdr:to>
    <xdr:graphicFrame macro="">
      <xdr:nvGraphicFramePr>
        <xdr:cNvPr id="2" name="Chart 7">
          <a:extLst>
            <a:ext uri="{FF2B5EF4-FFF2-40B4-BE49-F238E27FC236}">
              <a16:creationId xmlns:a16="http://schemas.microsoft.com/office/drawing/2014/main" id="{E321E355-688B-4F98-9A06-89BC0600B8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349250</xdr:colOff>
      <xdr:row>114</xdr:row>
      <xdr:rowOff>136525</xdr:rowOff>
    </xdr:from>
    <xdr:to>
      <xdr:col>12</xdr:col>
      <xdr:colOff>690246</xdr:colOff>
      <xdr:row>133</xdr:row>
      <xdr:rowOff>189865</xdr:rowOff>
    </xdr:to>
    <xdr:graphicFrame macro="">
      <xdr:nvGraphicFramePr>
        <xdr:cNvPr id="3" name="Chart 7">
          <a:extLst>
            <a:ext uri="{FF2B5EF4-FFF2-40B4-BE49-F238E27FC236}">
              <a16:creationId xmlns:a16="http://schemas.microsoft.com/office/drawing/2014/main" id="{A05F8354-C3A4-4784-B0DD-AD76EBFC8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288925</xdr:colOff>
      <xdr:row>118</xdr:row>
      <xdr:rowOff>123825</xdr:rowOff>
    </xdr:from>
    <xdr:to>
      <xdr:col>13</xdr:col>
      <xdr:colOff>20321</xdr:colOff>
      <xdr:row>137</xdr:row>
      <xdr:rowOff>177165</xdr:rowOff>
    </xdr:to>
    <xdr:graphicFrame macro="">
      <xdr:nvGraphicFramePr>
        <xdr:cNvPr id="4" name="Chart 7">
          <a:extLst>
            <a:ext uri="{FF2B5EF4-FFF2-40B4-BE49-F238E27FC236}">
              <a16:creationId xmlns:a16="http://schemas.microsoft.com/office/drawing/2014/main" id="{A4EB2B72-3345-4785-8269-0B26B4F60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371475</xdr:colOff>
      <xdr:row>121</xdr:row>
      <xdr:rowOff>9525</xdr:rowOff>
    </xdr:from>
    <xdr:to>
      <xdr:col>13</xdr:col>
      <xdr:colOff>13971</xdr:colOff>
      <xdr:row>140</xdr:row>
      <xdr:rowOff>62865</xdr:rowOff>
    </xdr:to>
    <xdr:graphicFrame macro="">
      <xdr:nvGraphicFramePr>
        <xdr:cNvPr id="2" name="Chart 7">
          <a:extLst>
            <a:ext uri="{FF2B5EF4-FFF2-40B4-BE49-F238E27FC236}">
              <a16:creationId xmlns:a16="http://schemas.microsoft.com/office/drawing/2014/main" id="{933796B4-7E82-4761-803C-B19F7B3463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292100</xdr:colOff>
      <xdr:row>120</xdr:row>
      <xdr:rowOff>168275</xdr:rowOff>
    </xdr:from>
    <xdr:to>
      <xdr:col>12</xdr:col>
      <xdr:colOff>633096</xdr:colOff>
      <xdr:row>140</xdr:row>
      <xdr:rowOff>31115</xdr:rowOff>
    </xdr:to>
    <xdr:graphicFrame macro="">
      <xdr:nvGraphicFramePr>
        <xdr:cNvPr id="2" name="Chart 7">
          <a:extLst>
            <a:ext uri="{FF2B5EF4-FFF2-40B4-BE49-F238E27FC236}">
              <a16:creationId xmlns:a16="http://schemas.microsoft.com/office/drawing/2014/main" id="{EA53FA4B-B883-4774-AAD3-E479FADAF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292100</xdr:colOff>
      <xdr:row>120</xdr:row>
      <xdr:rowOff>152400</xdr:rowOff>
    </xdr:from>
    <xdr:to>
      <xdr:col>12</xdr:col>
      <xdr:colOff>633096</xdr:colOff>
      <xdr:row>140</xdr:row>
      <xdr:rowOff>15240</xdr:rowOff>
    </xdr:to>
    <xdr:graphicFrame macro="">
      <xdr:nvGraphicFramePr>
        <xdr:cNvPr id="2" name="Chart 7">
          <a:extLst>
            <a:ext uri="{FF2B5EF4-FFF2-40B4-BE49-F238E27FC236}">
              <a16:creationId xmlns:a16="http://schemas.microsoft.com/office/drawing/2014/main" id="{F508B689-CA48-41AC-BF0C-FAD2EB2F65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177800</xdr:colOff>
      <xdr:row>121</xdr:row>
      <xdr:rowOff>6350</xdr:rowOff>
    </xdr:from>
    <xdr:to>
      <xdr:col>12</xdr:col>
      <xdr:colOff>607696</xdr:colOff>
      <xdr:row>140</xdr:row>
      <xdr:rowOff>59690</xdr:rowOff>
    </xdr:to>
    <xdr:graphicFrame macro="">
      <xdr:nvGraphicFramePr>
        <xdr:cNvPr id="2" name="Chart 7">
          <a:extLst>
            <a:ext uri="{FF2B5EF4-FFF2-40B4-BE49-F238E27FC236}">
              <a16:creationId xmlns:a16="http://schemas.microsoft.com/office/drawing/2014/main" id="{DA968F17-88B5-43E5-9649-E727AD3771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222250</xdr:colOff>
      <xdr:row>120</xdr:row>
      <xdr:rowOff>152400</xdr:rowOff>
    </xdr:from>
    <xdr:to>
      <xdr:col>12</xdr:col>
      <xdr:colOff>563246</xdr:colOff>
      <xdr:row>140</xdr:row>
      <xdr:rowOff>15240</xdr:rowOff>
    </xdr:to>
    <xdr:graphicFrame macro="">
      <xdr:nvGraphicFramePr>
        <xdr:cNvPr id="2" name="Chart 7">
          <a:extLst>
            <a:ext uri="{FF2B5EF4-FFF2-40B4-BE49-F238E27FC236}">
              <a16:creationId xmlns:a16="http://schemas.microsoft.com/office/drawing/2014/main" id="{215E8A41-7FBC-4BF4-9EFA-98057464C8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206375</xdr:colOff>
      <xdr:row>120</xdr:row>
      <xdr:rowOff>139700</xdr:rowOff>
    </xdr:from>
    <xdr:to>
      <xdr:col>12</xdr:col>
      <xdr:colOff>636271</xdr:colOff>
      <xdr:row>140</xdr:row>
      <xdr:rowOff>2540</xdr:rowOff>
    </xdr:to>
    <xdr:graphicFrame macro="">
      <xdr:nvGraphicFramePr>
        <xdr:cNvPr id="2" name="Chart 7">
          <a:extLst>
            <a:ext uri="{FF2B5EF4-FFF2-40B4-BE49-F238E27FC236}">
              <a16:creationId xmlns:a16="http://schemas.microsoft.com/office/drawing/2014/main" id="{F4844E4E-52D7-4BF8-89EA-74501ABBFC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298450</xdr:colOff>
      <xdr:row>321</xdr:row>
      <xdr:rowOff>180975</xdr:rowOff>
    </xdr:from>
    <xdr:to>
      <xdr:col>13</xdr:col>
      <xdr:colOff>29846</xdr:colOff>
      <xdr:row>341</xdr:row>
      <xdr:rowOff>43815</xdr:rowOff>
    </xdr:to>
    <xdr:graphicFrame macro="">
      <xdr:nvGraphicFramePr>
        <xdr:cNvPr id="5" name="Chart 7">
          <a:extLst>
            <a:ext uri="{FF2B5EF4-FFF2-40B4-BE49-F238E27FC236}">
              <a16:creationId xmlns:a16="http://schemas.microsoft.com/office/drawing/2014/main" id="{F3C85DFC-780C-41C7-994E-4FC3CEA6AD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260350</xdr:colOff>
      <xdr:row>100</xdr:row>
      <xdr:rowOff>63500</xdr:rowOff>
    </xdr:from>
    <xdr:to>
      <xdr:col>12</xdr:col>
      <xdr:colOff>690246</xdr:colOff>
      <xdr:row>119</xdr:row>
      <xdr:rowOff>116840</xdr:rowOff>
    </xdr:to>
    <xdr:graphicFrame macro="">
      <xdr:nvGraphicFramePr>
        <xdr:cNvPr id="5" name="Chart 7">
          <a:extLst>
            <a:ext uri="{FF2B5EF4-FFF2-40B4-BE49-F238E27FC236}">
              <a16:creationId xmlns:a16="http://schemas.microsoft.com/office/drawing/2014/main" id="{3AF50284-1CE4-4233-AA1D-A0AF512561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225425</xdr:colOff>
      <xdr:row>52</xdr:row>
      <xdr:rowOff>3175</xdr:rowOff>
    </xdr:from>
    <xdr:to>
      <xdr:col>12</xdr:col>
      <xdr:colOff>655321</xdr:colOff>
      <xdr:row>71</xdr:row>
      <xdr:rowOff>56515</xdr:rowOff>
    </xdr:to>
    <xdr:graphicFrame macro="">
      <xdr:nvGraphicFramePr>
        <xdr:cNvPr id="4" name="Chart 7">
          <a:extLst>
            <a:ext uri="{FF2B5EF4-FFF2-40B4-BE49-F238E27FC236}">
              <a16:creationId xmlns:a16="http://schemas.microsoft.com/office/drawing/2014/main" id="{E125B94E-4856-4D4D-B183-626068DDB1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225425</xdr:colOff>
      <xdr:row>248</xdr:row>
      <xdr:rowOff>184150</xdr:rowOff>
    </xdr:from>
    <xdr:to>
      <xdr:col>12</xdr:col>
      <xdr:colOff>566421</xdr:colOff>
      <xdr:row>268</xdr:row>
      <xdr:rowOff>46990</xdr:rowOff>
    </xdr:to>
    <xdr:graphicFrame macro="">
      <xdr:nvGraphicFramePr>
        <xdr:cNvPr id="5" name="Chart 7">
          <a:extLst>
            <a:ext uri="{FF2B5EF4-FFF2-40B4-BE49-F238E27FC236}">
              <a16:creationId xmlns:a16="http://schemas.microsoft.com/office/drawing/2014/main" id="{3F8A4623-6C11-4E0D-A5A8-04BE3EC77E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254000</xdr:colOff>
      <xdr:row>99</xdr:row>
      <xdr:rowOff>101600</xdr:rowOff>
    </xdr:from>
    <xdr:to>
      <xdr:col>12</xdr:col>
      <xdr:colOff>594996</xdr:colOff>
      <xdr:row>118</xdr:row>
      <xdr:rowOff>154940</xdr:rowOff>
    </xdr:to>
    <xdr:graphicFrame macro="">
      <xdr:nvGraphicFramePr>
        <xdr:cNvPr id="7" name="Chart 7">
          <a:extLst>
            <a:ext uri="{FF2B5EF4-FFF2-40B4-BE49-F238E27FC236}">
              <a16:creationId xmlns:a16="http://schemas.microsoft.com/office/drawing/2014/main" id="{9EDF694E-2C7F-40C2-A382-0E73811F0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282575</xdr:colOff>
      <xdr:row>66</xdr:row>
      <xdr:rowOff>146050</xdr:rowOff>
    </xdr:from>
    <xdr:to>
      <xdr:col>13</xdr:col>
      <xdr:colOff>13971</xdr:colOff>
      <xdr:row>86</xdr:row>
      <xdr:rowOff>8890</xdr:rowOff>
    </xdr:to>
    <xdr:graphicFrame macro="">
      <xdr:nvGraphicFramePr>
        <xdr:cNvPr id="3" name="Chart 7">
          <a:extLst>
            <a:ext uri="{FF2B5EF4-FFF2-40B4-BE49-F238E27FC236}">
              <a16:creationId xmlns:a16="http://schemas.microsoft.com/office/drawing/2014/main" id="{1C05F625-B77E-4CB4-9251-8BD316F397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3</xdr:col>
      <xdr:colOff>307975</xdr:colOff>
      <xdr:row>217</xdr:row>
      <xdr:rowOff>57150</xdr:rowOff>
    </xdr:from>
    <xdr:to>
      <xdr:col>12</xdr:col>
      <xdr:colOff>648971</xdr:colOff>
      <xdr:row>236</xdr:row>
      <xdr:rowOff>110490</xdr:rowOff>
    </xdr:to>
    <xdr:graphicFrame macro="">
      <xdr:nvGraphicFramePr>
        <xdr:cNvPr id="3" name="Chart 7">
          <a:extLst>
            <a:ext uri="{FF2B5EF4-FFF2-40B4-BE49-F238E27FC236}">
              <a16:creationId xmlns:a16="http://schemas.microsoft.com/office/drawing/2014/main" id="{E6B5A727-66A5-4CEE-B016-FEAF095A2B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CC8E1D-E517-4E19-BE08-5BDF5E15906F}" name="Table1" displayName="Table1" ref="A5:F140" totalsRowShown="0" headerRowDxfId="261" dataDxfId="259" headerRowBorderDxfId="260" tableBorderDxfId="258" totalsRowBorderDxfId="257">
  <autoFilter ref="A5:F140" xr:uid="{BB1EFE81-B1F4-4E9E-B894-93A44851F41D}"/>
  <tableColumns count="6">
    <tableColumn id="1" xr3:uid="{375DDBC9-B934-4FDB-8184-784BF1823141}" name="Date" dataDxfId="256"/>
    <tableColumn id="2" xr3:uid="{E0A48F48-C21D-4E32-90AC-3D87AD2BC0F8}" name="PMI" dataDxfId="255"/>
    <tableColumn id="3" xr3:uid="{0B8890C1-3DD9-4C54-A9EF-4A7965A54279}" name="mom" dataDxfId="254">
      <calculatedColumnFormula>Table1[[#This Row],[PMI]]-B5</calculatedColumnFormula>
    </tableColumn>
    <tableColumn id="4" xr3:uid="{B621C8B7-F1DD-47DE-A1D8-957C9EFDC862}" name="ACWI" dataDxfId="253"/>
    <tableColumn id="5" xr3:uid="{A6C7BDEC-C4C3-4E08-A05B-E436215F5E24}" name="PMI yoy" dataDxfId="252"/>
    <tableColumn id="6" xr3:uid="{2E9AC750-1577-4261-8C33-1739938E5ACF}"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D0BFE3-6943-416B-B37F-EFB9089D6988}" name="Table1346811" displayName="Table1346811" ref="A5:D140" totalsRowShown="0" headerRowDxfId="250" dataDxfId="248" headerRowBorderDxfId="249" tableBorderDxfId="247" totalsRowBorderDxfId="246">
  <autoFilter ref="A5:D140" xr:uid="{13A09B06-B203-4CEC-87CB-B23BBB61FD67}"/>
  <tableColumns count="4">
    <tableColumn id="1" xr3:uid="{A5A410CD-B2EB-4F57-8D54-D18AA25D208B}" name="Date" dataDxfId="245"/>
    <tableColumn id="2" xr3:uid="{2A2F6C44-BB49-4EB7-BB39-1BFA9CE42B58}" name="PMI" dataDxfId="244"/>
    <tableColumn id="3" xr3:uid="{78719EF0-B3C8-4A42-95E0-B443C8D9F068}" name="mom" dataDxfId="243">
      <calculatedColumnFormula>Table1346811[[#This Row],[PMI]]-B5</calculatedColumnFormula>
    </tableColumn>
    <tableColumn id="4" xr3:uid="{C3AB7A5E-9474-4E24-BCCF-79332B2D818B}" name="ISM Manufacturing" dataDxfId="2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A3B4443-1A11-4D13-9D5D-05693B9A0648}" name="Table1346811121415161718192021" displayName="Table1346811121415161718192021" ref="A5:F209" totalsRowShown="0" headerRowDxfId="241" dataDxfId="239" headerRowBorderDxfId="240" tableBorderDxfId="238" totalsRowBorderDxfId="237">
  <autoFilter ref="A5:F209" xr:uid="{ECD7891A-C376-4459-999D-D76A048C4A96}"/>
  <tableColumns count="6">
    <tableColumn id="1" xr3:uid="{EF9236EE-2B8B-460A-849A-3DA8DF7B294A}" name="Date" dataDxfId="236"/>
    <tableColumn id="2" xr3:uid="{910CD69E-F22C-44FA-9F43-D78397D22E0D}" name="Caixin PMI" dataDxfId="235"/>
    <tableColumn id="3" xr3:uid="{5A1BB468-3444-472A-9BD3-18F8622421BD}" name="mom" dataDxfId="234">
      <calculatedColumnFormula>Table1346811121415161718192021[[#This Row],[Caixin PMI]]-B5</calculatedColumnFormula>
    </tableColumn>
    <tableColumn id="4" xr3:uid="{980F1FA8-D5B5-4E93-8CFF-7DCD0BCDA0BF}" name="Official PMI" dataDxfId="233"/>
    <tableColumn id="5" xr3:uid="{41F5F8A7-4DF5-4B01-8271-C208EDE22DF3}" name="mom2" dataDxfId="232">
      <calculatedColumnFormula>Table1346811121415161718192021[[#This Row],[Official PMI]]-D5</calculatedColumnFormula>
    </tableColumn>
    <tableColumn id="6" xr3:uid="{0152CB5A-C079-4EF8-A8CD-4FFFF5D296BC}" name="GDP yoy %" dataDxfId="2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6386A1A-16B8-485A-8FFB-40F6B6FF92BA}" name="Table13468111214" displayName="Table13468111214" ref="A5:G210" totalsRowShown="0" headerRowDxfId="230" dataDxfId="228" headerRowBorderDxfId="229" tableBorderDxfId="227" totalsRowBorderDxfId="226">
  <autoFilter ref="A5:G210" xr:uid="{188F38D7-194E-4D45-8354-E276FAC133C4}"/>
  <tableColumns count="7">
    <tableColumn id="1" xr3:uid="{6CEC89DB-1042-4105-B81D-7F6232C5F4FD}" name="Date" dataDxfId="225"/>
    <tableColumn id="2" xr3:uid="{CB702E60-D05A-4AD0-AA67-698F7450B34D}" name="Euro Area PMI" dataDxfId="224"/>
    <tableColumn id="3" xr3:uid="{5F189F99-28B6-4548-BD4B-5C687970BDB5}" name="mom" dataDxfId="223">
      <calculatedColumnFormula>Table13468111214[[#This Row],[Euro Area PMI]]-B5</calculatedColumnFormula>
    </tableColumn>
    <tableColumn id="4" xr3:uid="{7B6BCA9D-479B-407E-B199-1748357C74EC}" name="EZU" dataDxfId="222"/>
    <tableColumn id="5" xr3:uid="{DD92DAE4-9903-475F-A0CD-4F0D45783754}" name="PMI yoy" dataDxfId="221"/>
    <tableColumn id="6" xr3:uid="{ADF0832E-3F40-4753-BFF3-0B03CEC60A00}" name="EZU yoy" dataDxfId="220"/>
    <tableColumn id="7" xr3:uid="{3252CF20-3CAE-447B-97DA-52E24EB52A9B}"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732FAD1-5845-4C78-9F2A-FA599767692E}" name="Table1346811121415161718192022" displayName="Table1346811121415161718192022" ref="A5:C172" totalsRowShown="0" headerRowDxfId="218" dataDxfId="216" headerRowBorderDxfId="217" tableBorderDxfId="215" totalsRowBorderDxfId="214">
  <autoFilter ref="A5:C172" xr:uid="{B3E8F3E9-75F1-4249-ADBE-205D98CC4BE9}"/>
  <tableColumns count="3">
    <tableColumn id="1" xr3:uid="{874F132F-89AC-4AB2-97EC-16DE17F4C33B}" name="Date" dataDxfId="213"/>
    <tableColumn id="2" xr3:uid="{5AE4C849-1BB4-4123-9E15-B01726751781}" name="PMI" dataDxfId="212"/>
    <tableColumn id="3" xr3:uid="{3BA31053-C684-461E-B079-E6BB5B811852}"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FCF0F23-BF7C-4CF2-B159-7836E2AE12AB}" name="Table1346811121415" displayName="Table1346811121415" ref="A5:C173" totalsRowShown="0" headerRowDxfId="210" dataDxfId="208" headerRowBorderDxfId="209" tableBorderDxfId="207" totalsRowBorderDxfId="206">
  <autoFilter ref="A5:C173" xr:uid="{BB3771FA-351F-4EF7-BE59-37E49C731853}"/>
  <tableColumns count="3">
    <tableColumn id="1" xr3:uid="{37D8480E-6DF7-4E11-BDE5-6E945ABA6264}" name="Date" dataDxfId="205"/>
    <tableColumn id="2" xr3:uid="{1136B509-E3AD-42A2-8155-31DC352768B5}" name="PMI" dataDxfId="204"/>
    <tableColumn id="3" xr3:uid="{371A65C7-F6AD-4300-95F6-19F8A3ADDC52}"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9462B36-A38C-47C8-9C41-B954F96D3583}" name="Table134681112141516" displayName="Table134681112141516" ref="A5:C166" totalsRowShown="0" headerRowDxfId="202" dataDxfId="200" headerRowBorderDxfId="201" tableBorderDxfId="199" totalsRowBorderDxfId="198">
  <autoFilter ref="A5:C166" xr:uid="{97769344-5CED-49B7-BF0F-61927D04648D}"/>
  <tableColumns count="3">
    <tableColumn id="1" xr3:uid="{6DF1AE20-15D6-42A2-A416-7047FC13FCCC}" name="Date" dataDxfId="197"/>
    <tableColumn id="2" xr3:uid="{BA8A407B-B7D5-43AA-A08B-D399235B2E09}" name="PMI" dataDxfId="196"/>
    <tableColumn id="3" xr3:uid="{BDD6A1C0-52F2-4E5D-B19F-380672F5B34C}"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EB518CE-CF45-4AE2-90C5-6737CA7A19C9}" name="Table134681112" displayName="Table134681112" ref="A5:F210" totalsRowShown="0" headerRowDxfId="194" dataDxfId="192" headerRowBorderDxfId="193" tableBorderDxfId="191" totalsRowBorderDxfId="190">
  <autoFilter ref="A5:F210" xr:uid="{A1B7C164-C92F-40E5-8973-9FFF501BC357}"/>
  <tableColumns count="6">
    <tableColumn id="1" xr3:uid="{961585DC-39CA-44AE-9E1E-7EB0EC5FCA73}" name="Date" dataDxfId="189"/>
    <tableColumn id="2" xr3:uid="{FFA442BF-5F3F-45B8-999B-2818D65ADC2C}" name="PMI" dataDxfId="188"/>
    <tableColumn id="3" xr3:uid="{E967535B-EC54-43DC-9E34-F4B03F54E4D5}" name="mom" dataDxfId="187">
      <calculatedColumnFormula>Table134681112[[#This Row],[PMI]]-B5</calculatedColumnFormula>
    </tableColumn>
    <tableColumn id="4" xr3:uid="{5311BDDA-2928-4D73-A5CA-957F3889B3BD}" name="EWU" dataDxfId="186"/>
    <tableColumn id="5" xr3:uid="{62EF484A-CE2B-47EA-B736-6125757381A3}" name="PMI yoy" dataDxfId="185"/>
    <tableColumn id="6" xr3:uid="{004E8E68-270D-4548-B169-822B73C02146}"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BA806D8-D46C-495C-9A9D-F38C2FEF4844}" name="Table13468111214151617" displayName="Table13468111214151617" ref="A5:C186" totalsRowShown="0" headerRowDxfId="183" dataDxfId="181" headerRowBorderDxfId="182" tableBorderDxfId="180" totalsRowBorderDxfId="179">
  <autoFilter ref="A5:C186" xr:uid="{D7997BE6-99C1-48D6-B80E-0163DEAEE3FB}"/>
  <tableColumns count="3">
    <tableColumn id="1" xr3:uid="{AFA52E59-7AFA-468E-A757-3D0E94ADC97C}" name="Date" dataDxfId="178"/>
    <tableColumn id="2" xr3:uid="{4F88DC6E-D929-42A7-9750-DC8C73CE40AA}" name="PMI" dataDxfId="177"/>
    <tableColumn id="3" xr3:uid="{B654D050-18F9-4AE9-A221-925841104E95}"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9902CB7-ADB3-4F83-90AD-A77C52C6C27A}" name="Table1346811121415161718" displayName="Table1346811121415161718" ref="A5:C186" totalsRowShown="0" headerRowDxfId="175" dataDxfId="173" headerRowBorderDxfId="174" tableBorderDxfId="172" totalsRowBorderDxfId="171">
  <autoFilter ref="A5:C186" xr:uid="{3DCFB0BF-5279-4416-847F-805133D9CA58}"/>
  <tableColumns count="3">
    <tableColumn id="1" xr3:uid="{0AE84025-0612-49C2-8D8F-FC41511144CA}" name="Date" dataDxfId="170"/>
    <tableColumn id="2" xr3:uid="{A7AF76E7-D0A0-42AB-B931-55C84EA2D2EA}" name="PMI" dataDxfId="169"/>
    <tableColumn id="3" xr3:uid="{1DC9C8BC-282A-4060-BB10-948EC910A70A}"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38F5348-C235-46D2-93DC-F2E74859F875}" name="Table134681112141516171819202223" displayName="Table134681112141516171819202223" ref="A5:C140" totalsRowShown="0" headerRowDxfId="167" dataDxfId="165" headerRowBorderDxfId="166" tableBorderDxfId="164" totalsRowBorderDxfId="163">
  <autoFilter ref="A5:C140" xr:uid="{914F649D-1A16-4939-A357-622F3F8171E5}"/>
  <tableColumns count="3">
    <tableColumn id="1" xr3:uid="{15443E23-D668-434F-AF2F-A62FCCE53E40}" name="Date" dataDxfId="162"/>
    <tableColumn id="2" xr3:uid="{73A516B3-8163-45A2-95ED-B2159F367B25}" name="PMI" dataDxfId="161"/>
    <tableColumn id="3" xr3:uid="{11F25A33-CE9D-4416-999B-F6096015F10D}"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A290C69-F11E-472F-8D04-3994D4C6663C}" name="Table13468111214151617181920222526" displayName="Table13468111214151617181920222526" ref="A5:C134" totalsRowShown="0" headerRowDxfId="159" dataDxfId="157" headerRowBorderDxfId="158" tableBorderDxfId="156" totalsRowBorderDxfId="155">
  <autoFilter ref="A5:C134" xr:uid="{8297ED87-1713-4B5F-9066-3961BEC96B29}"/>
  <tableColumns count="3">
    <tableColumn id="1" xr3:uid="{6DBC5F11-398E-463A-8927-17A1C0F99767}" name="Date" dataDxfId="154"/>
    <tableColumn id="2" xr3:uid="{BBB194BC-2E97-47B6-9D61-EC4913440660}" name="PMI" dataDxfId="153"/>
    <tableColumn id="3" xr3:uid="{E72FD0F6-B895-457B-8F90-746D2556A47B}"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359B295-8241-4F7F-B086-DB6271BAD70E}" name="Table134681112141516171819202225" displayName="Table134681112141516171819202225" ref="A5:C140" totalsRowShown="0" headerRowDxfId="151" dataDxfId="149" headerRowBorderDxfId="150" tableBorderDxfId="148" totalsRowBorderDxfId="147">
  <autoFilter ref="A5:C140" xr:uid="{4955EEB6-A91D-4AF0-A9C6-D3D7108DC523}"/>
  <tableColumns count="3">
    <tableColumn id="1" xr3:uid="{3BDC8E1C-6260-487E-9947-AAC1ABA713C2}" name="Date" dataDxfId="146"/>
    <tableColumn id="2" xr3:uid="{6B111FA3-2308-4D2E-B427-D8B8EC978F98}" name="PMI" dataDxfId="145"/>
    <tableColumn id="3" xr3:uid="{A26ACE11-FE24-46D1-83B5-6AB0E484EC1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F0C0D56-B717-45E0-B2D3-A71CA49CAA33}" name="Table13468111214151617181920222324" displayName="Table13468111214151617181920222324" ref="A5:C140" totalsRowShown="0" headerRowDxfId="143" dataDxfId="141" headerRowBorderDxfId="142" tableBorderDxfId="140" totalsRowBorderDxfId="139">
  <autoFilter ref="A5:C140" xr:uid="{A9209D4D-D7E7-4042-9F3B-4B3E46332C2A}"/>
  <tableColumns count="3">
    <tableColumn id="1" xr3:uid="{3175ED33-E171-4F74-B636-ED6873A34421}" name="Date" dataDxfId="138"/>
    <tableColumn id="2" xr3:uid="{2735CFA3-6089-409F-8468-DC226B926D90}" name="PMI" dataDxfId="137"/>
    <tableColumn id="3" xr3:uid="{4A544512-25D1-4A75-A252-52478D4A7A7F}"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8F9B4C7-68FC-4EF3-9E25-4903480406D8}" name="Table13468" displayName="Table13468" ref="A5:C134" totalsRowShown="0" headerRowDxfId="135" dataDxfId="133" headerRowBorderDxfId="134" tableBorderDxfId="132" totalsRowBorderDxfId="131">
  <autoFilter ref="A5:C134" xr:uid="{B13A61D2-2684-473C-B754-8922BB9371E9}"/>
  <tableColumns count="3">
    <tableColumn id="1" xr3:uid="{6E8823C2-5CFE-4278-9611-FFC669AE5A04}" name="Date" dataDxfId="130"/>
    <tableColumn id="2" xr3:uid="{352B5063-DE89-472A-8325-3D46B5213B6B}" name="PMI" dataDxfId="129"/>
    <tableColumn id="3" xr3:uid="{B40B0475-9B3D-448D-98A6-7D3A469FD25E}"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B93801D-4D0A-47FE-99B7-98A70F0AEB83}" name="Table1346811121415161718192022252627" displayName="Table1346811121415161718192022252627" ref="A5:C168" totalsRowShown="0" headerRowDxfId="127" dataDxfId="125" headerRowBorderDxfId="126" tableBorderDxfId="124" totalsRowBorderDxfId="123">
  <autoFilter ref="A5:C168" xr:uid="{52F0890E-F56E-4039-984C-56357C79EEE5}"/>
  <tableColumns count="3">
    <tableColumn id="1" xr3:uid="{C34CDEEC-B4AD-41B6-A637-CBD1F8B004D5}" name="Date" dataDxfId="122"/>
    <tableColumn id="2" xr3:uid="{8E718B11-0EA5-44F0-9784-5CBFFA34957E}" name="PMI" dataDxfId="121"/>
    <tableColumn id="3" xr3:uid="{E8DD53F7-5167-4E9A-BB8E-D8EBA63A4B37}"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63CD84D-1CB2-439A-AAAD-8EA8491E1A33}" name="Table13468111214151617181920222530" displayName="Table13468111214151617181920222530" ref="A5:C134" totalsRowShown="0" headerRowDxfId="119" dataDxfId="117" headerRowBorderDxfId="118" tableBorderDxfId="116" totalsRowBorderDxfId="115">
  <autoFilter ref="A5:C134" xr:uid="{725C6309-B8F6-415F-ACD1-705EB8F75E6C}"/>
  <tableColumns count="3">
    <tableColumn id="1" xr3:uid="{ECEE6C18-6444-41EF-90AD-4A4B4FB1F532}" name="Date" dataDxfId="114"/>
    <tableColumn id="2" xr3:uid="{B4539099-DD35-4260-B40C-AC9C4858744B}" name="PMI" dataDxfId="113"/>
    <tableColumn id="3" xr3:uid="{121C765B-0947-4BE3-9214-911C7B82BAAB}"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76D0BA24-FA92-4C28-9D47-648CF0C5F8D1}" name="Table1346811121415161718192022252629" displayName="Table1346811121415161718192022252629" ref="A5:C138" totalsRowShown="0" headerRowDxfId="111" dataDxfId="109" headerRowBorderDxfId="110" tableBorderDxfId="108" totalsRowBorderDxfId="107">
  <autoFilter ref="A5:C138" xr:uid="{4FFC4D80-732F-4A81-B9B3-A02B84BAE85F}"/>
  <tableColumns count="3">
    <tableColumn id="1" xr3:uid="{24820CF5-24AB-4F0E-8082-F4F5946BF8FD}" name="Date" dataDxfId="106"/>
    <tableColumn id="2" xr3:uid="{337509F7-0577-48F8-B190-97B5D1592CFF}" name="PMI" dataDxfId="105"/>
    <tableColumn id="3" xr3:uid="{C8A13CCF-C963-4AAA-ACF1-CBF645F3E272}"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389B533-600E-4313-A8A3-E3246FBA8DC8}" name="Table1346811121415161718192022253033" displayName="Table1346811121415161718192022253033" ref="A5:C140" totalsRowShown="0" headerRowDxfId="103" dataDxfId="101" headerRowBorderDxfId="102" tableBorderDxfId="100" totalsRowBorderDxfId="99">
  <autoFilter ref="A5:C140" xr:uid="{EB21555C-1B1C-4B99-8F5B-888B03CEBBDE}"/>
  <tableColumns count="3">
    <tableColumn id="1" xr3:uid="{C627F8C1-3EF9-4DB1-B85D-FFC9BC5461B3}" name="Date" dataDxfId="98"/>
    <tableColumn id="2" xr3:uid="{67C4C93A-19DE-4AAE-9F95-C912D268FD50}" name="PMI" dataDxfId="97"/>
    <tableColumn id="3" xr3:uid="{932493F5-BFC8-469D-BA46-F4BAD17E1F78}"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20AFCC5-30CC-42E6-A014-18B1D98F88A4}" name="Table134681112141516171819" displayName="Table134681112141516171819" ref="A5:C140" totalsRowShown="0" headerRowDxfId="95" dataDxfId="93" headerRowBorderDxfId="94" tableBorderDxfId="92" totalsRowBorderDxfId="91">
  <autoFilter ref="A5:C140" xr:uid="{FF98E40A-6436-42F9-AFBF-DC708B71F307}"/>
  <tableColumns count="3">
    <tableColumn id="1" xr3:uid="{B283C90C-954F-4E5C-91A3-1B532237838F}" name="Date" dataDxfId="90"/>
    <tableColumn id="2" xr3:uid="{3DB48D2B-E59C-4BB7-A59C-EA0E455B230C}" name="PMI" dataDxfId="89"/>
    <tableColumn id="3" xr3:uid="{92BB811D-0DE6-496A-9D52-5ACEC9F63A99}"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5635F3F-D207-43E4-9614-C2301B0A9CC6}" name="Table13468111214151617181920" displayName="Table13468111214151617181920" ref="A5:C140" totalsRowShown="0" headerRowDxfId="87" dataDxfId="85" headerRowBorderDxfId="86" tableBorderDxfId="84" totalsRowBorderDxfId="83">
  <autoFilter ref="A5:C140" xr:uid="{38D9EFB5-64C3-46FA-AA3B-48156492B0E7}"/>
  <tableColumns count="3">
    <tableColumn id="1" xr3:uid="{A7DABD86-8F75-4787-9CD4-FBEA00F19A18}" name="Date" dataDxfId="82"/>
    <tableColumn id="2" xr3:uid="{22078BEA-832A-48D0-B2BB-0AE4AC406713}" name="PMI" dataDxfId="81"/>
    <tableColumn id="3" xr3:uid="{6B4E21D0-96E6-44F8-9078-131AF400359B}"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4B0EB2-D5D4-469E-90F9-030EF0A763C7}" name="Table134681112141516171819202225303334" displayName="Table134681112141516171819202225303334" ref="A5:C140" totalsRowShown="0" headerRowDxfId="79" dataDxfId="77" headerRowBorderDxfId="78" tableBorderDxfId="76" totalsRowBorderDxfId="75">
  <autoFilter ref="A5:C140" xr:uid="{15926B47-91B8-4E2A-A650-D623437A3B8F}"/>
  <tableColumns count="3">
    <tableColumn id="1" xr3:uid="{B17837D4-D3D7-4317-9B04-76EF831BC027}" name="Date" dataDxfId="74"/>
    <tableColumn id="2" xr3:uid="{7C7F09DE-859E-4AA3-9160-0BC2AE6119BA}" name="PMI" dataDxfId="73"/>
    <tableColumn id="3" xr3:uid="{E1A6D53F-50B7-45EB-A2E1-F475485B7C72}"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B3D0D43-1D77-44C2-87C0-E96562D92732}" name="Table13468111214151617181920222530333435" displayName="Table13468111214151617181920222530333435" ref="A5:C140" totalsRowShown="0" headerRowDxfId="71" dataDxfId="69" headerRowBorderDxfId="70" tableBorderDxfId="68" totalsRowBorderDxfId="67">
  <autoFilter ref="A5:C140" xr:uid="{BFE820F6-CAA7-4B19-8ACE-A0AE79B8CF59}"/>
  <tableColumns count="3">
    <tableColumn id="1" xr3:uid="{5A85979B-76E4-4DE5-9F3F-3E7577C64271}" name="Date" dataDxfId="66"/>
    <tableColumn id="2" xr3:uid="{FBA4AD9B-317F-4EC2-B738-058B71157C0B}" name="PMI" dataDxfId="65"/>
    <tableColumn id="3" xr3:uid="{A6E5ABC6-6F8C-441A-B81C-23D1704BB4AE}"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413EB9A-D32A-4B68-AC17-CFA5D058098C}" name="Table1346811121415161718192022253033343536" displayName="Table1346811121415161718192022253033343536" ref="A5:C140" totalsRowShown="0" headerRowDxfId="63" dataDxfId="61" headerRowBorderDxfId="62" tableBorderDxfId="60" totalsRowBorderDxfId="59">
  <autoFilter ref="A5:C140" xr:uid="{374BCED3-78BF-4B2B-B9BF-F5686D35F530}"/>
  <tableColumns count="3">
    <tableColumn id="1" xr3:uid="{8D565E2A-D49D-4016-8FE0-308985929F68}" name="Date" dataDxfId="58"/>
    <tableColumn id="2" xr3:uid="{40D2D41C-544B-4C35-87DD-C63504CBF541}" name="PMI" dataDxfId="57"/>
    <tableColumn id="3" xr3:uid="{6022839A-146E-49E6-A365-BD4C267DA69F}"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3D6115-FD3F-467D-B165-A53293631019}" name="Table13" displayName="Table13" ref="A5:C341" totalsRowShown="0" headerRowDxfId="55" dataDxfId="53" headerRowBorderDxfId="54" tableBorderDxfId="52" totalsRowBorderDxfId="51">
  <autoFilter ref="A5:C341" xr:uid="{ED570827-D121-4F94-85C8-9CB565183C51}"/>
  <tableColumns count="3">
    <tableColumn id="1" xr3:uid="{594D9915-3DC0-4C72-A0A8-33935B948506}" name="Date" dataDxfId="50"/>
    <tableColumn id="2" xr3:uid="{2B62EE9E-1C57-4171-8983-ACE40296600F}" name="PMI" dataDxfId="49"/>
    <tableColumn id="3" xr3:uid="{782F5006-CBE3-4A4F-B0DA-CA9FA83CB647}"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87CB58-04A9-4DC2-B8BF-AC37D5D8AB05}" name="Table134" displayName="Table134" ref="A5:C119" totalsRowShown="0" headerRowDxfId="47" dataDxfId="45" headerRowBorderDxfId="46" tableBorderDxfId="44" totalsRowBorderDxfId="43">
  <autoFilter ref="A5:C119" xr:uid="{9F54305E-1981-40EA-9FE8-B9FE9B90F899}"/>
  <tableColumns count="3">
    <tableColumn id="1" xr3:uid="{74B08C37-C598-4D6D-B7C3-2AE5787C78EC}" name="Date" dataDxfId="42"/>
    <tableColumn id="2" xr3:uid="{A2336E53-2940-4B2C-9643-8BC3AB317A97}" name="PMI" dataDxfId="41"/>
    <tableColumn id="3" xr3:uid="{9515BC10-5F95-4B67-93B3-584A757445A9}"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80CAB72-98F9-499B-AA18-5E702FA65CD8}" name="Table1345" displayName="Table1345" ref="A5:C71" totalsRowShown="0" headerRowDxfId="39" dataDxfId="37" headerRowBorderDxfId="38" tableBorderDxfId="36" totalsRowBorderDxfId="35">
  <autoFilter ref="A5:C71" xr:uid="{EB7A212C-55BD-4647-8114-2DCFA98650BE}"/>
  <tableColumns count="3">
    <tableColumn id="1" xr3:uid="{320BF674-4E19-465C-83F8-FA4A7ACD8E10}" name="Date" dataDxfId="34"/>
    <tableColumn id="2" xr3:uid="{9B229072-C52F-41C1-9798-0B5296D8A449}" name="PMI" dataDxfId="33"/>
    <tableColumn id="3" xr3:uid="{4ECF01C2-364D-4F47-A2F7-65BACAF24708}"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8A32972-C750-4F46-A0C0-B0F7691A6175}" name="Table1346" displayName="Table1346" ref="A5:C268" totalsRowShown="0" headerRowDxfId="31" dataDxfId="29" headerRowBorderDxfId="30" tableBorderDxfId="28" totalsRowBorderDxfId="27">
  <autoFilter ref="A5:C268" xr:uid="{54646FC0-8022-4218-A5BD-13F957F47212}"/>
  <tableColumns count="3">
    <tableColumn id="1" xr3:uid="{9B149CA3-7F09-42A3-8174-298C99FE5646}" name="Date" dataDxfId="26"/>
    <tableColumn id="2" xr3:uid="{7EC68D20-2C2B-419D-9F41-0357BEB19E79}" name="PMI" dataDxfId="25"/>
    <tableColumn id="3" xr3:uid="{6AC00DCC-47E4-4974-B4DB-16D08BC7E7E1}"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80D1C85-38AB-4AE2-8225-8F4DD633D8A8}" name="Table13467" displayName="Table13467" ref="A5:C119" totalsRowShown="0" headerRowDxfId="23" dataDxfId="21" headerRowBorderDxfId="22" tableBorderDxfId="20" totalsRowBorderDxfId="19">
  <autoFilter ref="A5:C119" xr:uid="{FDA5DDFB-43CE-44A7-AD34-9C799574645A}"/>
  <tableColumns count="3">
    <tableColumn id="1" xr3:uid="{111907C9-C12A-438C-84DC-A7AAF37DF130}" name="Date" dataDxfId="18"/>
    <tableColumn id="2" xr3:uid="{AAA544D9-9B91-4D69-8BE0-24FA4D0C9C06}" name="PMI" dataDxfId="17"/>
    <tableColumn id="3" xr3:uid="{028253E9-5C01-4532-B82D-DF7D22605BEF}"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7E727B4-1421-4840-BEF6-786637B6A00A}" name="Table134689" displayName="Table134689" ref="A5:C86" totalsRowShown="0" headerRowDxfId="15" dataDxfId="13" headerRowBorderDxfId="14" tableBorderDxfId="12" totalsRowBorderDxfId="11">
  <autoFilter ref="A5:C86" xr:uid="{9EB9BBD2-7057-4918-BCB2-F3A398411294}"/>
  <tableColumns count="3">
    <tableColumn id="1" xr3:uid="{C0E19142-C088-4BE7-9C2A-03D8B3421DCA}" name="Date" dataDxfId="10"/>
    <tableColumn id="2" xr3:uid="{8312029E-A489-4FCC-BAC7-55D8DA0A1153}" name="PMI" dataDxfId="9"/>
    <tableColumn id="3" xr3:uid="{4590C3EC-9953-4E88-BB14-B56097FCDAE9}"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D1E61BE-33FD-4A14-A2D2-07E98F5E192F}" name="Table1346811121415161718192022253032" displayName="Table1346811121415161718192022253032" ref="A5:C237" totalsRowShown="0" headerRowDxfId="7" dataDxfId="5" headerRowBorderDxfId="6" tableBorderDxfId="4" totalsRowBorderDxfId="3">
  <autoFilter ref="A5:C237" xr:uid="{62E57A7D-3A52-453E-B6A2-EE5FCB919ABA}"/>
  <tableColumns count="3">
    <tableColumn id="1" xr3:uid="{76076785-374F-4150-AFBD-81DB71FC826F}" name="Date" dataDxfId="2"/>
    <tableColumn id="2" xr3:uid="{F80C7A0A-DDF0-4A5F-B017-672D7F3C5BB7}" name="PMI" dataDxfId="1"/>
    <tableColumn id="3" xr3:uid="{014AA181-BF77-4EDF-8932-79D4894B6114}"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tradingeconomics.com/country-list/manufacturing-pmi"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hyperlink" Target="https://tradingeconomics.com/china/business-confidence"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42BD-087E-40DD-A44A-F9AEFA81862F}">
  <sheetPr>
    <tabColor rgb="FFFFFF00"/>
  </sheetPr>
  <dimension ref="B1:S46"/>
  <sheetViews>
    <sheetView zoomScale="140" zoomScaleNormal="140" workbookViewId="0">
      <selection activeCell="V7" sqref="V7"/>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4" width="9.1640625" style="1"/>
    <col min="15" max="15" width="15.5" style="1" customWidth="1"/>
    <col min="16" max="18" width="12.6640625" style="1" customWidth="1"/>
    <col min="19" max="19" width="11.6640625" style="1" customWidth="1"/>
    <col min="20" max="16384" width="9.1640625" style="1"/>
  </cols>
  <sheetData>
    <row r="1" spans="2:19" x14ac:dyDescent="0.2">
      <c r="B1" s="94"/>
      <c r="C1" s="94"/>
      <c r="D1" s="94"/>
      <c r="E1" s="94"/>
      <c r="F1" s="94"/>
      <c r="G1" s="94"/>
      <c r="H1" s="94"/>
      <c r="I1" s="94"/>
      <c r="J1" s="94"/>
    </row>
    <row r="2" spans="2:19" ht="16" thickBot="1" x14ac:dyDescent="0.25">
      <c r="B2" s="95"/>
      <c r="C2" s="95"/>
      <c r="D2" s="95"/>
      <c r="E2" s="95"/>
      <c r="F2" s="95"/>
      <c r="G2" s="95"/>
      <c r="H2" s="95"/>
      <c r="I2" s="95"/>
      <c r="J2" s="95"/>
    </row>
    <row r="3" spans="2:19" ht="16" thickBot="1" x14ac:dyDescent="0.25">
      <c r="B3" s="96" t="s">
        <v>120</v>
      </c>
      <c r="C3" s="97"/>
      <c r="D3" s="97"/>
      <c r="E3" s="97"/>
      <c r="F3" s="97"/>
      <c r="G3" s="97"/>
      <c r="H3" s="97"/>
      <c r="I3" s="97"/>
      <c r="J3" s="98"/>
    </row>
    <row r="5" spans="2:19" x14ac:dyDescent="0.2">
      <c r="B5" s="89" t="s">
        <v>1</v>
      </c>
      <c r="C5" s="99"/>
      <c r="D5" s="99"/>
      <c r="E5" s="99"/>
      <c r="F5" s="99"/>
      <c r="G5" s="99"/>
      <c r="H5" s="99"/>
      <c r="I5" s="99"/>
      <c r="J5" s="100"/>
    </row>
    <row r="7" spans="2:19" ht="225.75" customHeight="1" x14ac:dyDescent="0.2">
      <c r="B7" s="101" t="s">
        <v>9</v>
      </c>
      <c r="C7" s="102"/>
      <c r="D7" s="102"/>
      <c r="E7" s="102"/>
      <c r="F7" s="102"/>
      <c r="G7" s="102"/>
      <c r="H7" s="102"/>
      <c r="I7" s="102"/>
      <c r="J7" s="102"/>
    </row>
    <row r="8" spans="2:19" ht="24" customHeight="1" x14ac:dyDescent="0.2">
      <c r="B8" s="2"/>
      <c r="C8" s="3"/>
      <c r="D8" s="3"/>
      <c r="E8" s="3"/>
      <c r="F8" s="3"/>
      <c r="G8" s="3"/>
      <c r="H8" s="3"/>
      <c r="I8" s="3"/>
      <c r="J8" s="3"/>
    </row>
    <row r="9" spans="2:19" ht="16" thickBot="1" x14ac:dyDescent="0.25">
      <c r="B9" s="4"/>
      <c r="C9" s="5"/>
      <c r="D9" s="5"/>
      <c r="E9" s="5"/>
    </row>
    <row r="10" spans="2:19" ht="16" thickBot="1" x14ac:dyDescent="0.25">
      <c r="B10" s="89" t="s">
        <v>2</v>
      </c>
      <c r="C10" s="103"/>
      <c r="D10" s="103"/>
      <c r="E10" s="103"/>
      <c r="F10" s="103"/>
      <c r="G10" s="103"/>
      <c r="H10" s="103"/>
      <c r="I10" s="103"/>
      <c r="J10" s="104"/>
      <c r="N10" s="105" t="s">
        <v>3</v>
      </c>
      <c r="O10" s="106"/>
      <c r="P10" s="106"/>
      <c r="Q10" s="106"/>
      <c r="R10" s="106"/>
      <c r="S10" s="107"/>
    </row>
    <row r="11" spans="2:19" x14ac:dyDescent="0.2">
      <c r="N11" s="6" t="s">
        <v>4</v>
      </c>
    </row>
    <row r="12" spans="2:19" ht="16" thickBot="1" x14ac:dyDescent="0.25">
      <c r="B12" s="89" t="s">
        <v>5</v>
      </c>
      <c r="C12" s="90"/>
      <c r="D12" s="90"/>
      <c r="E12" s="90"/>
      <c r="F12" s="91"/>
      <c r="G12" s="89" t="s">
        <v>6</v>
      </c>
      <c r="H12" s="90"/>
      <c r="I12" s="90"/>
      <c r="J12" s="91"/>
    </row>
    <row r="13" spans="2:19" x14ac:dyDescent="0.2">
      <c r="P13" s="7">
        <v>44531</v>
      </c>
      <c r="Q13" s="8">
        <f>DATE(YEAR(P13),MONTH(P13)-1,DAY(P13))</f>
        <v>44501</v>
      </c>
      <c r="R13" s="9"/>
      <c r="S13" s="71" t="s">
        <v>89</v>
      </c>
    </row>
    <row r="14" spans="2:19" ht="16" thickBot="1" x14ac:dyDescent="0.25">
      <c r="B14" s="88" t="s">
        <v>17</v>
      </c>
      <c r="C14" s="86"/>
      <c r="D14" s="86"/>
      <c r="E14" s="86"/>
      <c r="F14" s="86"/>
      <c r="G14" s="88" t="s">
        <v>18</v>
      </c>
      <c r="H14" s="86"/>
      <c r="I14" s="86"/>
      <c r="J14" s="86"/>
      <c r="O14" s="1" t="s">
        <v>84</v>
      </c>
      <c r="P14" s="12" t="s">
        <v>7</v>
      </c>
      <c r="Q14" s="12" t="s">
        <v>7</v>
      </c>
      <c r="R14" s="13" t="s">
        <v>8</v>
      </c>
      <c r="S14" s="72" t="s">
        <v>90</v>
      </c>
    </row>
    <row r="15" spans="2:19" ht="30.75" customHeight="1" x14ac:dyDescent="0.2">
      <c r="G15" s="92" t="s">
        <v>19</v>
      </c>
      <c r="H15" s="93"/>
      <c r="I15" s="93"/>
      <c r="J15" s="93"/>
      <c r="N15" s="83" t="s">
        <v>17</v>
      </c>
      <c r="O15" s="84"/>
      <c r="P15" s="14">
        <f>VLOOKUP($P$13,Summary!$B:$AB,MATCH(Note!N15,Summary!$B$2:$AB$2,),)</f>
        <v>54.2</v>
      </c>
      <c r="Q15" s="14">
        <f>VLOOKUP($Q$13,Summary!$B:$AB,MATCH(Note!N15,Summary!$B$2:$AB$2,),)</f>
        <v>54.2</v>
      </c>
      <c r="R15" s="68">
        <f>P15-Q15</f>
        <v>0</v>
      </c>
      <c r="S15" s="70"/>
    </row>
    <row r="16" spans="2:19" x14ac:dyDescent="0.2">
      <c r="B16" s="92" t="s">
        <v>83</v>
      </c>
      <c r="C16" s="93"/>
      <c r="D16" s="93"/>
      <c r="E16" s="93"/>
      <c r="F16" s="93"/>
      <c r="G16" s="88" t="s">
        <v>87</v>
      </c>
      <c r="H16" s="86"/>
      <c r="I16" s="86"/>
      <c r="J16" s="86"/>
      <c r="N16" s="83" t="s">
        <v>57</v>
      </c>
      <c r="O16" s="84"/>
      <c r="P16" s="14">
        <f>VLOOKUP($P$13,Summary!$B:$AB,MATCH(Note!N16,Summary!$B$2:$AB$2,),)</f>
        <v>57.7</v>
      </c>
      <c r="Q16" s="14">
        <f>VLOOKUP($Q$13,Summary!$B:$AB,MATCH(Note!N16,Summary!$B$2:$AB$2,),)</f>
        <v>58.3</v>
      </c>
      <c r="R16" s="68">
        <f t="shared" ref="R16:R39" si="0">P16-Q16</f>
        <v>-0.59999999999999432</v>
      </c>
      <c r="S16" s="69">
        <v>0.24099999999999999</v>
      </c>
    </row>
    <row r="17" spans="2:19" x14ac:dyDescent="0.2">
      <c r="B17" s="88"/>
      <c r="C17" s="86"/>
      <c r="D17" s="86"/>
      <c r="E17" s="86"/>
      <c r="F17" s="86"/>
      <c r="G17" s="1" t="s">
        <v>88</v>
      </c>
      <c r="N17" s="83" t="s">
        <v>58</v>
      </c>
      <c r="O17" s="84"/>
      <c r="P17" s="14">
        <f>VLOOKUP($P$13,Summary!$B:$AB,MATCH(Note!N17,Summary!$B$2:$AB$2,),)</f>
        <v>50.9</v>
      </c>
      <c r="Q17" s="14">
        <f>VLOOKUP($Q$13,Summary!$B:$AB,MATCH(Note!N17,Summary!$B$2:$AB$2,),)</f>
        <v>49.9</v>
      </c>
      <c r="R17" s="68">
        <f t="shared" si="0"/>
        <v>1</v>
      </c>
      <c r="S17" s="69">
        <v>0.152</v>
      </c>
    </row>
    <row r="18" spans="2:19" x14ac:dyDescent="0.2">
      <c r="B18" s="88"/>
      <c r="C18" s="86"/>
      <c r="D18" s="86"/>
      <c r="E18" s="86"/>
      <c r="F18" s="86"/>
      <c r="N18" s="83" t="s">
        <v>59</v>
      </c>
      <c r="O18" s="84"/>
      <c r="P18" s="14">
        <f>VLOOKUP($P$13,Summary!$B:$AB,MATCH(Note!N18,Summary!$B$2:$AB$2,),)</f>
        <v>58</v>
      </c>
      <c r="Q18" s="14">
        <f>VLOOKUP($Q$13,Summary!$B:$AB,MATCH(Note!N18,Summary!$B$2:$AB$2,),)</f>
        <v>58.4</v>
      </c>
      <c r="R18" s="68">
        <f t="shared" si="0"/>
        <v>-0.39999999999999858</v>
      </c>
      <c r="S18" s="69">
        <v>0.156</v>
      </c>
    </row>
    <row r="19" spans="2:19" x14ac:dyDescent="0.2">
      <c r="N19" s="83" t="s">
        <v>60</v>
      </c>
      <c r="O19" s="84"/>
      <c r="P19" s="14">
        <f>VLOOKUP($P$13,Summary!$B:$AB,MATCH(Note!N19,Summary!$B$2:$AB$2,),)</f>
        <v>54.3</v>
      </c>
      <c r="Q19" s="14">
        <f>VLOOKUP($Q$13,Summary!$B:$AB,MATCH(Note!N19,Summary!$B$2:$AB$2,),)</f>
        <v>54.5</v>
      </c>
      <c r="R19" s="68">
        <f t="shared" si="0"/>
        <v>-0.20000000000000284</v>
      </c>
      <c r="S19" s="69">
        <v>0.06</v>
      </c>
    </row>
    <row r="20" spans="2:19" x14ac:dyDescent="0.2">
      <c r="B20" s="88"/>
      <c r="C20" s="86"/>
      <c r="D20" s="86"/>
      <c r="E20" s="86"/>
      <c r="F20" s="86"/>
      <c r="G20" s="88"/>
      <c r="H20" s="86"/>
      <c r="I20" s="86"/>
      <c r="J20" s="86"/>
      <c r="N20" s="83" t="s">
        <v>31</v>
      </c>
      <c r="O20" s="84"/>
      <c r="P20" s="14">
        <f>VLOOKUP($P$13,Summary!$B:$AB,MATCH(Note!N20,Summary!$B$2:$AB$2,),)</f>
        <v>57.4</v>
      </c>
      <c r="Q20" s="14">
        <f>VLOOKUP($Q$13,Summary!$B:$AB,MATCH(Note!N20,Summary!$B$2:$AB$2,),)</f>
        <v>57.4</v>
      </c>
      <c r="R20" s="68">
        <f t="shared" si="0"/>
        <v>0</v>
      </c>
      <c r="S20" s="69">
        <v>4.5642432442496987E-2</v>
      </c>
    </row>
    <row r="21" spans="2:19" x14ac:dyDescent="0.2">
      <c r="B21" s="88"/>
      <c r="C21" s="86"/>
      <c r="D21" s="86"/>
      <c r="E21" s="86"/>
      <c r="F21" s="86"/>
      <c r="G21" s="88"/>
      <c r="H21" s="86"/>
      <c r="I21" s="86"/>
      <c r="J21" s="86"/>
      <c r="N21" s="83" t="s">
        <v>32</v>
      </c>
      <c r="O21" s="84"/>
      <c r="P21" s="14">
        <f>VLOOKUP($P$13,Summary!$B:$AB,MATCH(Note!N21,Summary!$B$2:$AB$2,),)</f>
        <v>55.6</v>
      </c>
      <c r="Q21" s="14">
        <f>VLOOKUP($Q$13,Summary!$B:$AB,MATCH(Note!N21,Summary!$B$2:$AB$2,),)</f>
        <v>55.9</v>
      </c>
      <c r="R21" s="68">
        <f t="shared" si="0"/>
        <v>-0.29999999999999716</v>
      </c>
      <c r="S21" s="69">
        <v>3.2062660592594432E-2</v>
      </c>
    </row>
    <row r="22" spans="2:19" x14ac:dyDescent="0.2">
      <c r="B22" s="88"/>
      <c r="C22" s="86"/>
      <c r="D22" s="86"/>
      <c r="E22" s="86"/>
      <c r="F22" s="86"/>
      <c r="G22" s="88"/>
      <c r="H22" s="86"/>
      <c r="I22" s="86"/>
      <c r="J22" s="86"/>
      <c r="N22" s="83" t="s">
        <v>61</v>
      </c>
      <c r="O22" s="84"/>
      <c r="P22" s="14">
        <f>VLOOKUP($P$13,Summary!$B:$AB,MATCH(Note!N22,Summary!$B$2:$AB$2,),)</f>
        <v>57.9</v>
      </c>
      <c r="Q22" s="14">
        <f>VLOOKUP($Q$13,Summary!$B:$AB,MATCH(Note!N22,Summary!$B$2:$AB$2,),)</f>
        <v>58.1</v>
      </c>
      <c r="R22" s="68">
        <f t="shared" si="0"/>
        <v>-0.20000000000000284</v>
      </c>
      <c r="S22" s="69">
        <v>3.3000000000000002E-2</v>
      </c>
    </row>
    <row r="23" spans="2:19" x14ac:dyDescent="0.2">
      <c r="B23" s="88"/>
      <c r="C23" s="86"/>
      <c r="D23" s="86"/>
      <c r="E23" s="86"/>
      <c r="F23" s="86"/>
      <c r="N23" s="83" t="s">
        <v>62</v>
      </c>
      <c r="O23" s="84"/>
      <c r="P23" s="14">
        <f>VLOOKUP($P$13,Summary!$B:$AB,MATCH(Note!N23,Summary!$B$2:$AB$2,),)</f>
        <v>62</v>
      </c>
      <c r="Q23" s="14">
        <f>VLOOKUP($Q$13,Summary!$B:$AB,MATCH(Note!N23,Summary!$B$2:$AB$2,),)</f>
        <v>62.8</v>
      </c>
      <c r="R23" s="68">
        <f t="shared" si="0"/>
        <v>-0.79999999999999716</v>
      </c>
      <c r="S23" s="69">
        <v>2.4E-2</v>
      </c>
    </row>
    <row r="24" spans="2:19" x14ac:dyDescent="0.2">
      <c r="B24" s="88"/>
      <c r="C24" s="86"/>
      <c r="D24" s="86"/>
      <c r="E24" s="86"/>
      <c r="F24" s="86"/>
      <c r="N24" s="83" t="s">
        <v>34</v>
      </c>
      <c r="O24" s="84"/>
      <c r="P24" s="14">
        <f>VLOOKUP($P$13,Summary!$B:$AB,MATCH(Note!N24,Summary!$B$2:$AB$2,),)</f>
        <v>56.2</v>
      </c>
      <c r="Q24" s="14">
        <f>VLOOKUP($Q$13,Summary!$B:$AB,MATCH(Note!N24,Summary!$B$2:$AB$2,),)</f>
        <v>57.1</v>
      </c>
      <c r="R24" s="68">
        <f t="shared" si="0"/>
        <v>-0.89999999999999858</v>
      </c>
      <c r="S24" s="69">
        <v>1.6273382902396941E-2</v>
      </c>
    </row>
    <row r="25" spans="2:19" x14ac:dyDescent="0.2">
      <c r="N25" s="83" t="s">
        <v>43</v>
      </c>
      <c r="O25" s="84"/>
      <c r="P25" s="14">
        <f>VLOOKUP($P$13,Summary!$B:$AB,MATCH(Note!N25,Summary!$B$2:$AB$2,),)</f>
        <v>49.8</v>
      </c>
      <c r="Q25" s="14">
        <f>VLOOKUP($Q$13,Summary!$B:$AB,MATCH(Note!N25,Summary!$B$2:$AB$2,),)</f>
        <v>49.8</v>
      </c>
      <c r="R25" s="68">
        <f t="shared" si="0"/>
        <v>0</v>
      </c>
      <c r="S25" s="69">
        <v>2.5521033750822358E-2</v>
      </c>
    </row>
    <row r="26" spans="2:19" x14ac:dyDescent="0.2">
      <c r="N26" s="83" t="s">
        <v>46</v>
      </c>
      <c r="O26" s="84"/>
      <c r="P26" s="14">
        <f>VLOOKUP($P$13,Summary!$B:$AB,MATCH(Note!N26,Summary!$B$2:$AB$2,),)</f>
        <v>49.4</v>
      </c>
      <c r="Q26" s="14">
        <f>VLOOKUP($Q$13,Summary!$B:$AB,MATCH(Note!N26,Summary!$B$2:$AB$2,),)</f>
        <v>49.4</v>
      </c>
      <c r="R26" s="68">
        <f t="shared" si="0"/>
        <v>0</v>
      </c>
      <c r="S26" s="69">
        <v>1.4287310236963295E-2</v>
      </c>
    </row>
    <row r="27" spans="2:19" s="10" customFormat="1" x14ac:dyDescent="0.2">
      <c r="N27" s="83" t="s">
        <v>45</v>
      </c>
      <c r="O27" s="84"/>
      <c r="P27" s="14">
        <f>VLOOKUP($P$13,Summary!$B:$AB,MATCH(Note!N27,Summary!$B$2:$AB$2,),)</f>
        <v>51.6</v>
      </c>
      <c r="Q27" s="14">
        <f>VLOOKUP($Q$13,Summary!$B:$AB,MATCH(Note!N27,Summary!$B$2:$AB$2,),)</f>
        <v>51.7</v>
      </c>
      <c r="R27" s="68">
        <f t="shared" si="0"/>
        <v>-0.10000000000000142</v>
      </c>
      <c r="S27" s="69">
        <v>1.9587641662839338E-2</v>
      </c>
    </row>
    <row r="28" spans="2:19" s="10" customFormat="1" x14ac:dyDescent="0.2">
      <c r="N28" s="83" t="s">
        <v>44</v>
      </c>
      <c r="O28" s="84"/>
      <c r="P28" s="14">
        <f>VLOOKUP($P$13,Summary!$B:$AB,MATCH(Note!N28,Summary!$B$2:$AB$2,),)</f>
        <v>55.5</v>
      </c>
      <c r="Q28" s="14">
        <f>VLOOKUP($Q$13,Summary!$B:$AB,MATCH(Note!N28,Summary!$B$2:$AB$2,),)</f>
        <v>57.6</v>
      </c>
      <c r="R28" s="68">
        <f t="shared" si="0"/>
        <v>-2.1000000000000014</v>
      </c>
      <c r="S28" s="69">
        <v>3.2286093767455719E-2</v>
      </c>
    </row>
    <row r="29" spans="2:19" s="10" customFormat="1" x14ac:dyDescent="0.2">
      <c r="N29" s="83" t="s">
        <v>26</v>
      </c>
      <c r="O29" s="84"/>
      <c r="P29" s="14">
        <f>VLOOKUP($P$13,Summary!$B:$AB,MATCH(Note!N29,Summary!$B$2:$AB$2,),)</f>
        <v>55.5</v>
      </c>
      <c r="Q29" s="14">
        <f>VLOOKUP($Q$13,Summary!$B:$AB,MATCH(Note!N29,Summary!$B$2:$AB$2,),)</f>
        <v>57.2</v>
      </c>
      <c r="R29" s="68">
        <f t="shared" si="0"/>
        <v>-1.7000000000000028</v>
      </c>
      <c r="S29" s="69">
        <v>2.051861322476136E-2</v>
      </c>
    </row>
    <row r="30" spans="2:19" s="10" customFormat="1" x14ac:dyDescent="0.2">
      <c r="N30" s="83" t="s">
        <v>47</v>
      </c>
      <c r="O30" s="84"/>
      <c r="P30" s="14" t="e">
        <f>VLOOKUP($P$13,Summary!$B:$AB,MATCH(Note!N30,Summary!$B$2:$AB$2,),)</f>
        <v>#N/A</v>
      </c>
      <c r="Q30" s="14">
        <f>VLOOKUP($Q$13,Summary!$B:$AB,MATCH(Note!N30,Summary!$B$2:$AB$2,),)</f>
        <v>54.8</v>
      </c>
      <c r="R30" s="68" t="e">
        <f t="shared" si="0"/>
        <v>#N/A</v>
      </c>
      <c r="S30" s="69">
        <v>1.6422338352304465E-2</v>
      </c>
    </row>
    <row r="31" spans="2:19" s="10" customFormat="1" x14ac:dyDescent="0.2">
      <c r="N31" s="83" t="s">
        <v>49</v>
      </c>
      <c r="O31" s="84"/>
      <c r="P31" s="14">
        <f>VLOOKUP($P$13,Summary!$B:$AB,MATCH(Note!N31,Summary!$B$2:$AB$2,),)</f>
        <v>53.5</v>
      </c>
      <c r="Q31" s="14">
        <f>VLOOKUP($Q$13,Summary!$B:$AB,MATCH(Note!N31,Summary!$B$2:$AB$2,),)</f>
        <v>53.9</v>
      </c>
      <c r="R31" s="68">
        <f t="shared" si="0"/>
        <v>-0.39999999999999858</v>
      </c>
      <c r="S31" s="69">
        <v>1.2611561425503655E-2</v>
      </c>
    </row>
    <row r="32" spans="2:19" s="10" customFormat="1" x14ac:dyDescent="0.2">
      <c r="N32" s="83" t="s">
        <v>63</v>
      </c>
      <c r="O32" s="84"/>
      <c r="P32" s="14">
        <f>VLOOKUP($P$13,Summary!$B:$AB,MATCH(Note!N32,Summary!$B$2:$AB$2,),)</f>
        <v>51.9</v>
      </c>
      <c r="Q32" s="14">
        <f>VLOOKUP($Q$13,Summary!$B:$AB,MATCH(Note!N32,Summary!$B$2:$AB$2,),)</f>
        <v>50.9</v>
      </c>
      <c r="R32" s="68">
        <f t="shared" si="0"/>
        <v>1</v>
      </c>
      <c r="S32" s="69">
        <v>1.9E-2</v>
      </c>
    </row>
    <row r="33" spans="2:19" s="10" customFormat="1" x14ac:dyDescent="0.2">
      <c r="N33" s="83" t="s">
        <v>51</v>
      </c>
      <c r="O33" s="84"/>
      <c r="P33" s="14">
        <f>VLOOKUP($P$13,Summary!$B:$AB,MATCH(Note!N33,Summary!$B$2:$AB$2,),)</f>
        <v>55.5</v>
      </c>
      <c r="Q33" s="14">
        <f>VLOOKUP($Q$13,Summary!$B:$AB,MATCH(Note!N33,Summary!$B$2:$AB$2,),)</f>
        <v>54.9</v>
      </c>
      <c r="R33" s="68">
        <f t="shared" si="0"/>
        <v>0.60000000000000142</v>
      </c>
      <c r="S33" s="69">
        <v>7.1126227330842468E-3</v>
      </c>
    </row>
    <row r="34" spans="2:19" s="10" customFormat="1" x14ac:dyDescent="0.2">
      <c r="N34" s="83" t="s">
        <v>35</v>
      </c>
      <c r="O34" s="84"/>
      <c r="P34" s="14">
        <f>VLOOKUP($P$13,Summary!$B:$AB,MATCH(Note!N34,Summary!$B$2:$AB$2,),)</f>
        <v>59</v>
      </c>
      <c r="Q34" s="14">
        <f>VLOOKUP($Q$13,Summary!$B:$AB,MATCH(Note!N34,Summary!$B$2:$AB$2,),)</f>
        <v>58.8</v>
      </c>
      <c r="R34" s="68">
        <f t="shared" si="0"/>
        <v>0.20000000000000284</v>
      </c>
      <c r="S34" s="69">
        <v>2.4825908317920582E-3</v>
      </c>
    </row>
    <row r="35" spans="2:19" s="10" customFormat="1" x14ac:dyDescent="0.2">
      <c r="N35" s="83" t="s">
        <v>36</v>
      </c>
      <c r="O35" s="84"/>
      <c r="P35" s="14">
        <f>VLOOKUP($P$13,Summary!$B:$AB,MATCH(Note!N35,Summary!$B$2:$AB$2,),)</f>
        <v>58.3</v>
      </c>
      <c r="Q35" s="14">
        <f>VLOOKUP($Q$13,Summary!$B:$AB,MATCH(Note!N35,Summary!$B$2:$AB$2,),)</f>
        <v>59.9</v>
      </c>
      <c r="R35" s="68">
        <f t="shared" si="0"/>
        <v>-1.6000000000000014</v>
      </c>
      <c r="S35" s="69">
        <v>4.1459266890927372E-3</v>
      </c>
    </row>
    <row r="36" spans="2:19" s="10" customFormat="1" x14ac:dyDescent="0.2">
      <c r="N36" s="83" t="s">
        <v>52</v>
      </c>
      <c r="O36" s="84"/>
      <c r="P36" s="14">
        <f>VLOOKUP($P$13,Summary!$B:$AB,MATCH(Note!N36,Summary!$B$2:$AB$2,),)</f>
        <v>52.1</v>
      </c>
      <c r="Q36" s="14">
        <f>VLOOKUP($Q$13,Summary!$B:$AB,MATCH(Note!N36,Summary!$B$2:$AB$2,),)</f>
        <v>52</v>
      </c>
      <c r="R36" s="68">
        <f t="shared" si="0"/>
        <v>0.10000000000000142</v>
      </c>
      <c r="S36" s="69">
        <v>1.0563423989275207E-2</v>
      </c>
    </row>
    <row r="37" spans="2:19" x14ac:dyDescent="0.2">
      <c r="N37" s="83" t="s">
        <v>64</v>
      </c>
      <c r="O37" s="84"/>
      <c r="P37" s="14">
        <f>VLOOKUP($P$13,Summary!$B:$AB,MATCH(Note!N37,Summary!$B$2:$AB$2,),)</f>
        <v>59.1</v>
      </c>
      <c r="Q37" s="14">
        <f>VLOOKUP($Q$13,Summary!$B:$AB,MATCH(Note!N37,Summary!$B$2:$AB$2,),)</f>
        <v>57.1</v>
      </c>
      <c r="R37" s="68">
        <f t="shared" si="0"/>
        <v>2</v>
      </c>
      <c r="S37" s="69">
        <v>3.0000000000000001E-3</v>
      </c>
    </row>
    <row r="38" spans="2:19" x14ac:dyDescent="0.2">
      <c r="N38" s="83" t="s">
        <v>54</v>
      </c>
      <c r="O38" s="84"/>
      <c r="P38" s="14">
        <f>VLOOKUP($P$13,Summary!$B:$AB,MATCH(Note!N38,Summary!$B$2:$AB$2,),)</f>
        <v>56.1</v>
      </c>
      <c r="Q38" s="14">
        <f>VLOOKUP($Q$13,Summary!$B:$AB,MATCH(Note!N38,Summary!$B$2:$AB$2,),)</f>
        <v>54.4</v>
      </c>
      <c r="R38" s="68">
        <f t="shared" si="0"/>
        <v>1.7000000000000028</v>
      </c>
      <c r="S38" s="69">
        <v>6.5168009334541531E-3</v>
      </c>
    </row>
    <row r="39" spans="2:19" x14ac:dyDescent="0.2">
      <c r="N39" s="83" t="s">
        <v>20</v>
      </c>
      <c r="O39" s="84"/>
      <c r="P39" s="14">
        <f>VLOOKUP($P$13,Summary!$B:$AB,MATCH(Note!N39,Summary!$B$2:$AB$2,),)</f>
        <v>64.400000000000006</v>
      </c>
      <c r="Q39" s="14">
        <f>VLOOKUP($Q$13,Summary!$B:$AB,MATCH(Note!N39,Summary!$B$2:$AB$2,),)</f>
        <v>68.2</v>
      </c>
      <c r="R39" s="68">
        <f t="shared" si="0"/>
        <v>-3.7999999999999972</v>
      </c>
      <c r="S39" s="69">
        <v>4.0342101016620944E-3</v>
      </c>
    </row>
    <row r="41" spans="2:19" ht="30" customHeight="1" x14ac:dyDescent="0.2"/>
    <row r="44" spans="2:19" x14ac:dyDescent="0.2">
      <c r="B44" s="85"/>
      <c r="C44" s="86"/>
      <c r="D44" s="86"/>
      <c r="E44" s="86"/>
      <c r="F44" s="86"/>
      <c r="G44" s="86"/>
      <c r="H44" s="86"/>
      <c r="I44" s="86"/>
      <c r="J44" s="86"/>
      <c r="K44" s="86"/>
      <c r="L44" s="86"/>
      <c r="M44" s="86"/>
      <c r="N44" s="86"/>
      <c r="O44" s="86"/>
      <c r="P44" s="86"/>
      <c r="Q44" s="86"/>
      <c r="R44" s="86"/>
      <c r="S44" s="86"/>
    </row>
    <row r="45" spans="2:19" x14ac:dyDescent="0.2">
      <c r="B45" s="92"/>
      <c r="C45" s="108"/>
      <c r="D45" s="108"/>
      <c r="E45" s="108"/>
      <c r="F45" s="108"/>
      <c r="G45" s="108"/>
      <c r="H45" s="108"/>
      <c r="I45" s="108"/>
      <c r="J45" s="108"/>
      <c r="K45" s="108"/>
      <c r="L45" s="108"/>
      <c r="M45" s="108"/>
      <c r="N45" s="108"/>
      <c r="O45" s="108"/>
      <c r="P45" s="108"/>
      <c r="Q45" s="108"/>
      <c r="R45" s="108"/>
      <c r="S45" s="108"/>
    </row>
    <row r="46" spans="2:19" x14ac:dyDescent="0.2">
      <c r="B46" s="87"/>
      <c r="C46" s="86"/>
      <c r="D46" s="86"/>
      <c r="E46" s="86"/>
      <c r="F46" s="86"/>
      <c r="G46" s="86"/>
      <c r="H46" s="86"/>
      <c r="I46" s="86"/>
      <c r="J46" s="86"/>
      <c r="K46" s="86"/>
      <c r="L46" s="86"/>
      <c r="M46" s="86"/>
      <c r="N46" s="86"/>
      <c r="O46" s="86"/>
      <c r="P46" s="86"/>
      <c r="Q46" s="86"/>
      <c r="R46" s="86"/>
      <c r="S46" s="86"/>
    </row>
  </sheetData>
  <mergeCells count="51">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extLst>
        <ext xmlns:x14="http://schemas.microsoft.com/office/spreadsheetml/2009/9/main" uri="{B025F937-C7B1-47D3-B67F-A62EFF666E3E}">
          <x14:id>{33D717AC-1227-459D-B72B-67F1B9ED5446}</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33D717AC-1227-459D-B72B-67F1B9ED5446}">
            <x14:dataBar minLength="0" maxLength="100" border="1" negativeBarBorderColorSameAsPositive="0">
              <x14:cfvo type="autoMin"/>
              <x14:cfvo type="autoMax"/>
              <x14:borderColor rgb="FF638EC6"/>
              <x14:negativeFillColor rgb="FFFF0000"/>
              <x14:negativeBorderColor rgb="FFFF0000"/>
              <x14:axisColor rgb="FF000000"/>
            </x14:dataBar>
          </x14:cfRule>
          <xm:sqref>S16:S39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190A8-ECED-4BAC-A789-151B5D1F5B7A}">
  <sheetPr>
    <tabColor theme="1" tint="0.499984740745262"/>
  </sheetPr>
  <dimension ref="B2:G60"/>
  <sheetViews>
    <sheetView topLeftCell="A4" zoomScale="130" zoomScaleNormal="130" workbookViewId="0">
      <selection activeCell="F58" sqref="F58"/>
    </sheetView>
  </sheetViews>
  <sheetFormatPr baseColWidth="10" defaultColWidth="9.1640625" defaultRowHeight="15" x14ac:dyDescent="0.2"/>
  <cols>
    <col min="1" max="2" width="9.1640625" style="10"/>
    <col min="3" max="7" width="28.6640625" style="31" customWidth="1"/>
    <col min="8" max="16384" width="9.1640625" style="10"/>
  </cols>
  <sheetData>
    <row r="2" spans="2:7" x14ac:dyDescent="0.2">
      <c r="B2" s="2" t="s">
        <v>83</v>
      </c>
    </row>
    <row r="8" spans="2:7" ht="16" thickBot="1" x14ac:dyDescent="0.25"/>
    <row r="9" spans="2:7" x14ac:dyDescent="0.2">
      <c r="C9" s="65" t="s">
        <v>84</v>
      </c>
      <c r="D9" s="66" t="s">
        <v>85</v>
      </c>
      <c r="E9" s="66" t="s">
        <v>86</v>
      </c>
      <c r="F9" s="66" t="s">
        <v>117</v>
      </c>
      <c r="G9" s="67" t="s">
        <v>118</v>
      </c>
    </row>
    <row r="10" spans="2:7" x14ac:dyDescent="0.2">
      <c r="C10" s="74" t="s">
        <v>97</v>
      </c>
      <c r="D10" s="75">
        <v>64.8</v>
      </c>
      <c r="E10" s="79">
        <v>52.2</v>
      </c>
      <c r="F10" s="76">
        <v>44531</v>
      </c>
      <c r="G10" s="75" t="s">
        <v>119</v>
      </c>
    </row>
    <row r="11" spans="2:7" x14ac:dyDescent="0.2">
      <c r="C11" s="74" t="s">
        <v>20</v>
      </c>
      <c r="D11" s="75">
        <v>64.400000000000006</v>
      </c>
      <c r="E11" s="79">
        <v>68.2</v>
      </c>
      <c r="F11" s="76">
        <v>44531</v>
      </c>
      <c r="G11" s="75" t="s">
        <v>119</v>
      </c>
    </row>
    <row r="12" spans="2:7" x14ac:dyDescent="0.2">
      <c r="C12" s="74" t="s">
        <v>113</v>
      </c>
      <c r="D12" s="75">
        <v>62.7</v>
      </c>
      <c r="E12" s="79">
        <v>62.5</v>
      </c>
      <c r="F12" s="76">
        <v>44531</v>
      </c>
      <c r="G12" s="75" t="s">
        <v>119</v>
      </c>
    </row>
    <row r="13" spans="2:7" x14ac:dyDescent="0.2">
      <c r="C13" s="74" t="s">
        <v>112</v>
      </c>
      <c r="D13" s="75">
        <v>62.1</v>
      </c>
      <c r="E13" s="79">
        <v>63.1</v>
      </c>
      <c r="F13" s="76">
        <v>44531</v>
      </c>
      <c r="G13" s="77" t="s">
        <v>119</v>
      </c>
    </row>
    <row r="14" spans="2:7" x14ac:dyDescent="0.2">
      <c r="C14" s="74" t="s">
        <v>33</v>
      </c>
      <c r="D14" s="75">
        <v>62</v>
      </c>
      <c r="E14" s="79">
        <v>62.8</v>
      </c>
      <c r="F14" s="76">
        <v>44531</v>
      </c>
      <c r="G14" s="75" t="s">
        <v>119</v>
      </c>
    </row>
    <row r="15" spans="2:7" x14ac:dyDescent="0.2">
      <c r="C15" s="74" t="s">
        <v>111</v>
      </c>
      <c r="D15" s="75">
        <v>61.9</v>
      </c>
      <c r="E15" s="79">
        <v>60.4</v>
      </c>
      <c r="F15" s="76">
        <v>44501</v>
      </c>
      <c r="G15" s="75" t="s">
        <v>119</v>
      </c>
    </row>
    <row r="16" spans="2:7" x14ac:dyDescent="0.2">
      <c r="C16" s="74" t="s">
        <v>109</v>
      </c>
      <c r="D16" s="75">
        <v>61.4</v>
      </c>
      <c r="E16" s="79">
        <v>63.1</v>
      </c>
      <c r="F16" s="76">
        <v>44531</v>
      </c>
      <c r="G16" s="75" t="s">
        <v>119</v>
      </c>
    </row>
    <row r="17" spans="3:7" x14ac:dyDescent="0.2">
      <c r="C17" s="74" t="s">
        <v>53</v>
      </c>
      <c r="D17" s="75">
        <v>59.1</v>
      </c>
      <c r="E17" s="79">
        <v>57.1</v>
      </c>
      <c r="F17" s="76">
        <v>44531</v>
      </c>
      <c r="G17" s="75" t="s">
        <v>119</v>
      </c>
    </row>
    <row r="18" spans="3:7" x14ac:dyDescent="0.2">
      <c r="C18" s="74" t="s">
        <v>35</v>
      </c>
      <c r="D18" s="75">
        <v>59</v>
      </c>
      <c r="E18" s="79">
        <v>58.8</v>
      </c>
      <c r="F18" s="76">
        <v>44531</v>
      </c>
      <c r="G18" s="75" t="s">
        <v>119</v>
      </c>
    </row>
    <row r="19" spans="3:7" x14ac:dyDescent="0.2">
      <c r="C19" s="74" t="s">
        <v>92</v>
      </c>
      <c r="D19" s="75">
        <v>58.7</v>
      </c>
      <c r="E19" s="79">
        <v>58.1</v>
      </c>
      <c r="F19" s="76">
        <v>44531</v>
      </c>
      <c r="G19" s="75" t="s">
        <v>119</v>
      </c>
    </row>
    <row r="20" spans="3:7" x14ac:dyDescent="0.2">
      <c r="C20" s="74" t="s">
        <v>104</v>
      </c>
      <c r="D20" s="75">
        <v>58.7</v>
      </c>
      <c r="E20" s="79">
        <v>60.7</v>
      </c>
      <c r="F20" s="76">
        <v>44531</v>
      </c>
      <c r="G20" s="75" t="s">
        <v>119</v>
      </c>
    </row>
    <row r="21" spans="3:7" x14ac:dyDescent="0.2">
      <c r="C21" s="74" t="s">
        <v>36</v>
      </c>
      <c r="D21" s="75">
        <v>58.3</v>
      </c>
      <c r="E21" s="79">
        <v>59.9</v>
      </c>
      <c r="F21" s="76">
        <v>44531</v>
      </c>
      <c r="G21" s="75" t="s">
        <v>119</v>
      </c>
    </row>
    <row r="22" spans="3:7" x14ac:dyDescent="0.2">
      <c r="C22" s="74" t="s">
        <v>30</v>
      </c>
      <c r="D22" s="75">
        <v>58</v>
      </c>
      <c r="E22" s="79">
        <v>58.4</v>
      </c>
      <c r="F22" s="76">
        <v>44531</v>
      </c>
      <c r="G22" s="75" t="s">
        <v>119</v>
      </c>
    </row>
    <row r="23" spans="3:7" x14ac:dyDescent="0.2">
      <c r="C23" s="74" t="s">
        <v>106</v>
      </c>
      <c r="D23" s="75">
        <v>58</v>
      </c>
      <c r="E23" s="79">
        <v>63.9</v>
      </c>
      <c r="F23" s="76">
        <v>44531</v>
      </c>
      <c r="G23" s="75" t="s">
        <v>119</v>
      </c>
    </row>
    <row r="24" spans="3:7" x14ac:dyDescent="0.2">
      <c r="C24" s="74" t="s">
        <v>115</v>
      </c>
      <c r="D24" s="75">
        <v>57.9</v>
      </c>
      <c r="E24" s="79">
        <v>58.1</v>
      </c>
      <c r="F24" s="76">
        <v>44531</v>
      </c>
      <c r="G24" s="75" t="s">
        <v>119</v>
      </c>
    </row>
    <row r="25" spans="3:7" x14ac:dyDescent="0.2">
      <c r="C25" s="74" t="s">
        <v>116</v>
      </c>
      <c r="D25" s="75">
        <v>57.7</v>
      </c>
      <c r="E25" s="79">
        <v>58.3</v>
      </c>
      <c r="F25" s="76">
        <v>44531</v>
      </c>
      <c r="G25" s="77" t="s">
        <v>119</v>
      </c>
    </row>
    <row r="26" spans="3:7" x14ac:dyDescent="0.2">
      <c r="C26" s="74" t="s">
        <v>31</v>
      </c>
      <c r="D26" s="75">
        <v>57.4</v>
      </c>
      <c r="E26" s="79">
        <v>57.4</v>
      </c>
      <c r="F26" s="76">
        <v>44531</v>
      </c>
      <c r="G26" s="75" t="s">
        <v>119</v>
      </c>
    </row>
    <row r="27" spans="3:7" x14ac:dyDescent="0.2">
      <c r="C27" s="74" t="s">
        <v>24</v>
      </c>
      <c r="D27" s="75">
        <v>57.2</v>
      </c>
      <c r="E27" s="79">
        <v>53.6</v>
      </c>
      <c r="F27" s="76">
        <v>44501</v>
      </c>
      <c r="G27" s="75" t="s">
        <v>119</v>
      </c>
    </row>
    <row r="28" spans="3:7" x14ac:dyDescent="0.2">
      <c r="C28" s="74" t="s">
        <v>26</v>
      </c>
      <c r="D28" s="75">
        <v>56.5</v>
      </c>
      <c r="E28" s="79">
        <v>57.2</v>
      </c>
      <c r="F28" s="76">
        <v>44531</v>
      </c>
      <c r="G28" s="75" t="s">
        <v>119</v>
      </c>
    </row>
    <row r="29" spans="3:7" x14ac:dyDescent="0.2">
      <c r="C29" s="74" t="s">
        <v>34</v>
      </c>
      <c r="D29" s="75">
        <v>56.2</v>
      </c>
      <c r="E29" s="79">
        <v>57.1</v>
      </c>
      <c r="F29" s="76">
        <v>44531</v>
      </c>
      <c r="G29" s="75" t="s">
        <v>119</v>
      </c>
    </row>
    <row r="30" spans="3:7" x14ac:dyDescent="0.2">
      <c r="C30" s="74" t="s">
        <v>54</v>
      </c>
      <c r="D30" s="75">
        <v>56.1</v>
      </c>
      <c r="E30" s="79">
        <v>54.4</v>
      </c>
      <c r="F30" s="76">
        <v>44531</v>
      </c>
      <c r="G30" s="77" t="s">
        <v>119</v>
      </c>
    </row>
    <row r="31" spans="3:7" x14ac:dyDescent="0.2">
      <c r="C31" s="74" t="s">
        <v>114</v>
      </c>
      <c r="D31" s="75">
        <v>55.9</v>
      </c>
      <c r="E31" s="79">
        <v>55.7</v>
      </c>
      <c r="F31" s="76">
        <v>44501</v>
      </c>
      <c r="G31" s="75" t="s">
        <v>119</v>
      </c>
    </row>
    <row r="32" spans="3:7" x14ac:dyDescent="0.2">
      <c r="C32" s="74" t="s">
        <v>32</v>
      </c>
      <c r="D32" s="75">
        <v>55.6</v>
      </c>
      <c r="E32" s="79">
        <v>55.9</v>
      </c>
      <c r="F32" s="76">
        <v>44531</v>
      </c>
      <c r="G32" s="75" t="s">
        <v>119</v>
      </c>
    </row>
    <row r="33" spans="3:7" x14ac:dyDescent="0.2">
      <c r="C33" s="74" t="s">
        <v>44</v>
      </c>
      <c r="D33" s="75">
        <v>55.5</v>
      </c>
      <c r="E33" s="79">
        <v>57.6</v>
      </c>
      <c r="F33" s="76">
        <v>44531</v>
      </c>
      <c r="G33" s="75" t="s">
        <v>119</v>
      </c>
    </row>
    <row r="34" spans="3:7" x14ac:dyDescent="0.2">
      <c r="C34" s="74" t="s">
        <v>51</v>
      </c>
      <c r="D34" s="75">
        <v>55.5</v>
      </c>
      <c r="E34" s="79">
        <v>54.9</v>
      </c>
      <c r="F34" s="76">
        <v>44531</v>
      </c>
      <c r="G34" s="75" t="s">
        <v>119</v>
      </c>
    </row>
    <row r="35" spans="3:7" x14ac:dyDescent="0.2">
      <c r="C35" s="74" t="s">
        <v>47</v>
      </c>
      <c r="D35" s="75">
        <v>54.8</v>
      </c>
      <c r="E35" s="79">
        <v>50.4</v>
      </c>
      <c r="F35" s="76">
        <v>44501</v>
      </c>
      <c r="G35" s="75" t="s">
        <v>119</v>
      </c>
    </row>
    <row r="36" spans="3:7" x14ac:dyDescent="0.2">
      <c r="C36" s="74" t="s">
        <v>42</v>
      </c>
      <c r="D36" s="75">
        <v>54.3</v>
      </c>
      <c r="E36" s="79">
        <v>54.5</v>
      </c>
      <c r="F36" s="76">
        <v>44531</v>
      </c>
      <c r="G36" s="75" t="s">
        <v>119</v>
      </c>
    </row>
    <row r="37" spans="3:7" x14ac:dyDescent="0.2">
      <c r="C37" s="74" t="s">
        <v>27</v>
      </c>
      <c r="D37" s="75">
        <v>53.9</v>
      </c>
      <c r="E37" s="79">
        <v>56.9</v>
      </c>
      <c r="F37" s="76">
        <v>44531</v>
      </c>
      <c r="G37" s="75" t="s">
        <v>119</v>
      </c>
    </row>
    <row r="38" spans="3:7" x14ac:dyDescent="0.2">
      <c r="C38" s="74" t="s">
        <v>49</v>
      </c>
      <c r="D38" s="75">
        <v>53.5</v>
      </c>
      <c r="E38" s="79">
        <v>53.9</v>
      </c>
      <c r="F38" s="76">
        <v>44531</v>
      </c>
      <c r="G38" s="75" t="s">
        <v>119</v>
      </c>
    </row>
    <row r="39" spans="3:7" x14ac:dyDescent="0.2">
      <c r="C39" s="74" t="s">
        <v>108</v>
      </c>
      <c r="D39" s="75">
        <v>53.2</v>
      </c>
      <c r="E39" s="79">
        <v>53.8</v>
      </c>
      <c r="F39" s="76">
        <v>44440</v>
      </c>
      <c r="G39" s="75" t="s">
        <v>119</v>
      </c>
    </row>
    <row r="40" spans="3:7" x14ac:dyDescent="0.2">
      <c r="C40" s="74" t="s">
        <v>94</v>
      </c>
      <c r="D40" s="75">
        <v>53.1</v>
      </c>
      <c r="E40" s="79">
        <v>54.9</v>
      </c>
      <c r="F40" s="76">
        <v>44531</v>
      </c>
      <c r="G40" s="75" t="s">
        <v>119</v>
      </c>
    </row>
    <row r="41" spans="3:7" x14ac:dyDescent="0.2">
      <c r="C41" s="74" t="s">
        <v>100</v>
      </c>
      <c r="D41" s="75">
        <v>53</v>
      </c>
      <c r="E41" s="79">
        <v>51.4</v>
      </c>
      <c r="F41" s="76">
        <v>44501</v>
      </c>
      <c r="G41" s="75" t="s">
        <v>119</v>
      </c>
    </row>
    <row r="42" spans="3:7" x14ac:dyDescent="0.2">
      <c r="C42" s="74" t="s">
        <v>102</v>
      </c>
      <c r="D42" s="75">
        <v>52.8</v>
      </c>
      <c r="E42" s="79">
        <v>52.3</v>
      </c>
      <c r="F42" s="76">
        <v>44531</v>
      </c>
      <c r="G42" s="75" t="s">
        <v>119</v>
      </c>
    </row>
    <row r="43" spans="3:7" x14ac:dyDescent="0.2">
      <c r="C43" s="74" t="s">
        <v>96</v>
      </c>
      <c r="D43" s="75">
        <v>52.6</v>
      </c>
      <c r="E43" s="79">
        <v>50.8</v>
      </c>
      <c r="F43" s="76">
        <v>44501</v>
      </c>
      <c r="G43" s="75" t="s">
        <v>119</v>
      </c>
    </row>
    <row r="44" spans="3:7" x14ac:dyDescent="0.2">
      <c r="C44" s="74" t="s">
        <v>22</v>
      </c>
      <c r="D44" s="75">
        <v>52.5</v>
      </c>
      <c r="E44" s="79">
        <v>52.2</v>
      </c>
      <c r="F44" s="76">
        <v>44531</v>
      </c>
      <c r="G44" s="75" t="s">
        <v>119</v>
      </c>
    </row>
    <row r="45" spans="3:7" x14ac:dyDescent="0.2">
      <c r="C45" s="74" t="s">
        <v>52</v>
      </c>
      <c r="D45" s="75">
        <v>52.1</v>
      </c>
      <c r="E45" s="79">
        <v>52</v>
      </c>
      <c r="F45" s="76">
        <v>44531</v>
      </c>
      <c r="G45" s="75" t="s">
        <v>119</v>
      </c>
    </row>
    <row r="46" spans="3:7" x14ac:dyDescent="0.2">
      <c r="C46" s="74" t="s">
        <v>48</v>
      </c>
      <c r="D46" s="75">
        <v>51.9</v>
      </c>
      <c r="E46" s="79">
        <v>50.9</v>
      </c>
      <c r="F46" s="76">
        <v>44531</v>
      </c>
      <c r="G46" s="75" t="s">
        <v>119</v>
      </c>
    </row>
    <row r="47" spans="3:7" x14ac:dyDescent="0.2">
      <c r="C47" s="74" t="s">
        <v>107</v>
      </c>
      <c r="D47" s="75">
        <v>51.8</v>
      </c>
      <c r="E47" s="79">
        <v>51.7</v>
      </c>
      <c r="F47" s="76">
        <v>44531</v>
      </c>
      <c r="G47" s="75" t="s">
        <v>119</v>
      </c>
    </row>
    <row r="48" spans="3:7" x14ac:dyDescent="0.2">
      <c r="C48" s="74" t="s">
        <v>45</v>
      </c>
      <c r="D48" s="75">
        <v>51.6</v>
      </c>
      <c r="E48" s="79">
        <v>51.7</v>
      </c>
      <c r="F48" s="76">
        <v>44531</v>
      </c>
      <c r="G48" s="75" t="s">
        <v>119</v>
      </c>
    </row>
    <row r="49" spans="3:7" x14ac:dyDescent="0.2">
      <c r="C49" s="74" t="s">
        <v>93</v>
      </c>
      <c r="D49" s="75">
        <v>50.9</v>
      </c>
      <c r="E49" s="79">
        <v>49.9</v>
      </c>
      <c r="F49" s="76">
        <v>44531</v>
      </c>
      <c r="G49" s="75" t="s">
        <v>119</v>
      </c>
    </row>
    <row r="50" spans="3:7" x14ac:dyDescent="0.2">
      <c r="C50" s="74" t="s">
        <v>110</v>
      </c>
      <c r="D50" s="75">
        <v>50.7</v>
      </c>
      <c r="E50" s="79">
        <v>50.6</v>
      </c>
      <c r="F50" s="76">
        <v>44531</v>
      </c>
      <c r="G50" s="75" t="s">
        <v>119</v>
      </c>
    </row>
    <row r="51" spans="3:7" x14ac:dyDescent="0.2">
      <c r="C51" s="74" t="s">
        <v>50</v>
      </c>
      <c r="D51" s="75">
        <v>50.6</v>
      </c>
      <c r="E51" s="79">
        <v>54.3</v>
      </c>
      <c r="F51" s="76">
        <v>44501</v>
      </c>
      <c r="G51" s="75" t="s">
        <v>119</v>
      </c>
    </row>
    <row r="52" spans="3:7" x14ac:dyDescent="0.2">
      <c r="C52" s="74" t="s">
        <v>98</v>
      </c>
      <c r="D52" s="75">
        <v>50.25</v>
      </c>
      <c r="E52" s="79">
        <v>55.4</v>
      </c>
      <c r="F52" s="76">
        <v>44501</v>
      </c>
      <c r="G52" s="75" t="s">
        <v>119</v>
      </c>
    </row>
    <row r="53" spans="3:7" x14ac:dyDescent="0.2">
      <c r="C53" s="74" t="s">
        <v>99</v>
      </c>
      <c r="D53" s="75">
        <v>49.9</v>
      </c>
      <c r="E53" s="79">
        <v>51.6</v>
      </c>
      <c r="F53" s="76">
        <v>44501</v>
      </c>
      <c r="G53" s="75" t="s">
        <v>119</v>
      </c>
    </row>
    <row r="54" spans="3:7" x14ac:dyDescent="0.2">
      <c r="C54" s="74" t="s">
        <v>43</v>
      </c>
      <c r="D54" s="75">
        <v>49.8</v>
      </c>
      <c r="E54" s="79">
        <v>49.8</v>
      </c>
      <c r="F54" s="76">
        <v>44531</v>
      </c>
      <c r="G54" s="75" t="s">
        <v>119</v>
      </c>
    </row>
    <row r="55" spans="3:7" x14ac:dyDescent="0.2">
      <c r="C55" s="74" t="s">
        <v>23</v>
      </c>
      <c r="D55" s="75">
        <v>49.5</v>
      </c>
      <c r="E55" s="79">
        <v>50.6</v>
      </c>
      <c r="F55" s="76">
        <v>44531</v>
      </c>
      <c r="G55" s="75" t="s">
        <v>119</v>
      </c>
    </row>
    <row r="56" spans="3:7" x14ac:dyDescent="0.2">
      <c r="C56" s="74" t="s">
        <v>46</v>
      </c>
      <c r="D56" s="75">
        <v>49.4</v>
      </c>
      <c r="E56" s="79">
        <v>49.4</v>
      </c>
      <c r="F56" s="76">
        <v>44531</v>
      </c>
      <c r="G56" s="78" t="s">
        <v>119</v>
      </c>
    </row>
    <row r="57" spans="3:7" x14ac:dyDescent="0.2">
      <c r="C57" s="14" t="s">
        <v>95</v>
      </c>
      <c r="D57" s="14">
        <v>49</v>
      </c>
      <c r="E57" s="14">
        <v>48.7</v>
      </c>
      <c r="F57" s="80">
        <v>44531</v>
      </c>
      <c r="G57" s="14" t="s">
        <v>119</v>
      </c>
    </row>
    <row r="58" spans="3:7" x14ac:dyDescent="0.2">
      <c r="C58" s="14" t="s">
        <v>103</v>
      </c>
      <c r="D58" s="14">
        <v>49</v>
      </c>
      <c r="E58" s="14">
        <v>46.7</v>
      </c>
      <c r="F58" s="80">
        <v>44531</v>
      </c>
      <c r="G58" s="14" t="s">
        <v>119</v>
      </c>
    </row>
    <row r="59" spans="3:7" x14ac:dyDescent="0.2">
      <c r="C59" s="14" t="s">
        <v>105</v>
      </c>
      <c r="D59" s="14">
        <v>46.9</v>
      </c>
      <c r="E59" s="14">
        <v>46.6</v>
      </c>
      <c r="F59" s="80">
        <v>44409</v>
      </c>
      <c r="G59" s="14" t="s">
        <v>119</v>
      </c>
    </row>
    <row r="60" spans="3:7" x14ac:dyDescent="0.2">
      <c r="C60" s="14" t="s">
        <v>101</v>
      </c>
      <c r="D60" s="14">
        <v>46.1</v>
      </c>
      <c r="E60" s="14">
        <v>46.6</v>
      </c>
      <c r="F60" s="80">
        <v>44501</v>
      </c>
      <c r="G60" s="14" t="s">
        <v>119</v>
      </c>
    </row>
  </sheetData>
  <hyperlinks>
    <hyperlink ref="B2" r:id="rId1" xr:uid="{A3FBEBDD-74DB-4EE2-A2AA-FA579B8241B0}"/>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C6A78-D0B2-3849-80F3-BB7D6252F061}">
  <dimension ref="A1:AE339"/>
  <sheetViews>
    <sheetView tabSelected="1" workbookViewId="0">
      <pane ySplit="1" topLeftCell="A2" activePane="bottomLeft" state="frozen"/>
      <selection pane="bottomLeft"/>
    </sheetView>
  </sheetViews>
  <sheetFormatPr baseColWidth="10" defaultRowHeight="15" x14ac:dyDescent="0.2"/>
  <cols>
    <col min="1" max="16384" width="10.83203125" style="82"/>
  </cols>
  <sheetData>
    <row r="1" spans="1:31" x14ac:dyDescent="0.2">
      <c r="A1" s="82" t="s">
        <v>10</v>
      </c>
      <c r="B1" s="82" t="s">
        <v>123</v>
      </c>
      <c r="C1" s="82" t="s">
        <v>124</v>
      </c>
      <c r="D1" s="82" t="s">
        <v>125</v>
      </c>
      <c r="E1" s="82" t="s">
        <v>144</v>
      </c>
      <c r="F1" s="82" t="s">
        <v>126</v>
      </c>
      <c r="G1" s="82" t="s">
        <v>145</v>
      </c>
      <c r="H1" s="82" t="s">
        <v>127</v>
      </c>
      <c r="I1" s="82" t="s">
        <v>128</v>
      </c>
      <c r="J1" s="82" t="s">
        <v>129</v>
      </c>
      <c r="K1" s="82" t="s">
        <v>130</v>
      </c>
      <c r="L1" s="82" t="s">
        <v>146</v>
      </c>
      <c r="M1" s="82" t="s">
        <v>131</v>
      </c>
      <c r="N1" s="82" t="s">
        <v>132</v>
      </c>
      <c r="O1" s="82" t="s">
        <v>133</v>
      </c>
      <c r="P1" s="82" t="s">
        <v>134</v>
      </c>
      <c r="Q1" s="82" t="s">
        <v>135</v>
      </c>
      <c r="R1" s="82" t="s">
        <v>136</v>
      </c>
      <c r="S1" s="82" t="s">
        <v>147</v>
      </c>
      <c r="T1" s="82" t="s">
        <v>137</v>
      </c>
      <c r="U1" s="82" t="s">
        <v>138</v>
      </c>
      <c r="V1" s="82" t="s">
        <v>148</v>
      </c>
      <c r="W1" s="82" t="s">
        <v>149</v>
      </c>
      <c r="X1" s="82" t="s">
        <v>150</v>
      </c>
      <c r="Y1" s="82" t="s">
        <v>139</v>
      </c>
      <c r="Z1" s="82" t="s">
        <v>140</v>
      </c>
      <c r="AA1" s="82" t="s">
        <v>141</v>
      </c>
      <c r="AB1" s="82" t="s">
        <v>142</v>
      </c>
      <c r="AC1" s="82" t="s">
        <v>151</v>
      </c>
      <c r="AD1" s="82" t="s">
        <v>152</v>
      </c>
      <c r="AE1" s="82" t="s">
        <v>143</v>
      </c>
    </row>
    <row r="2" spans="1:31" x14ac:dyDescent="0.2">
      <c r="A2" s="81">
        <v>34335</v>
      </c>
      <c r="F2" s="82">
        <v>62.8</v>
      </c>
    </row>
    <row r="3" spans="1:31" x14ac:dyDescent="0.2">
      <c r="A3" s="81">
        <v>34366</v>
      </c>
      <c r="F3" s="82">
        <v>67.53</v>
      </c>
    </row>
    <row r="4" spans="1:31" x14ac:dyDescent="0.2">
      <c r="A4" s="81">
        <v>34394</v>
      </c>
      <c r="F4" s="82">
        <v>61.89</v>
      </c>
    </row>
    <row r="5" spans="1:31" x14ac:dyDescent="0.2">
      <c r="A5" s="81">
        <v>34425</v>
      </c>
      <c r="F5" s="82">
        <v>60.57</v>
      </c>
    </row>
    <row r="6" spans="1:31" x14ac:dyDescent="0.2">
      <c r="A6" s="81">
        <v>34455</v>
      </c>
      <c r="F6" s="82">
        <v>63.1</v>
      </c>
    </row>
    <row r="7" spans="1:31" x14ac:dyDescent="0.2">
      <c r="A7" s="81">
        <v>34486</v>
      </c>
      <c r="F7" s="82">
        <v>62.94</v>
      </c>
    </row>
    <row r="8" spans="1:31" x14ac:dyDescent="0.2">
      <c r="A8" s="81">
        <v>34516</v>
      </c>
      <c r="F8" s="82">
        <v>63.1</v>
      </c>
    </row>
    <row r="9" spans="1:31" x14ac:dyDescent="0.2">
      <c r="A9" s="81">
        <v>34547</v>
      </c>
      <c r="F9" s="82">
        <v>59.49</v>
      </c>
    </row>
    <row r="10" spans="1:31" x14ac:dyDescent="0.2">
      <c r="A10" s="81">
        <v>34578</v>
      </c>
      <c r="F10" s="82">
        <v>59.36</v>
      </c>
    </row>
    <row r="11" spans="1:31" x14ac:dyDescent="0.2">
      <c r="A11" s="81">
        <v>34608</v>
      </c>
      <c r="F11" s="82">
        <v>61.33</v>
      </c>
    </row>
    <row r="12" spans="1:31" x14ac:dyDescent="0.2">
      <c r="A12" s="81">
        <v>34639</v>
      </c>
      <c r="F12" s="82">
        <v>60.53</v>
      </c>
    </row>
    <row r="13" spans="1:31" x14ac:dyDescent="0.2">
      <c r="A13" s="81">
        <v>34669</v>
      </c>
      <c r="F13" s="82">
        <v>62.29</v>
      </c>
    </row>
    <row r="14" spans="1:31" x14ac:dyDescent="0.2">
      <c r="A14" s="81">
        <v>34700</v>
      </c>
      <c r="F14" s="82">
        <v>62.95</v>
      </c>
    </row>
    <row r="15" spans="1:31" x14ac:dyDescent="0.2">
      <c r="A15" s="81">
        <v>34731</v>
      </c>
      <c r="F15" s="82">
        <v>63.78</v>
      </c>
    </row>
    <row r="16" spans="1:31" x14ac:dyDescent="0.2">
      <c r="A16" s="81">
        <v>34759</v>
      </c>
      <c r="F16" s="82">
        <v>61.91</v>
      </c>
    </row>
    <row r="17" spans="1:6" x14ac:dyDescent="0.2">
      <c r="A17" s="81">
        <v>34790</v>
      </c>
      <c r="F17" s="82">
        <v>59.68</v>
      </c>
    </row>
    <row r="18" spans="1:6" x14ac:dyDescent="0.2">
      <c r="A18" s="81">
        <v>34820</v>
      </c>
      <c r="F18" s="82">
        <v>58.91</v>
      </c>
    </row>
    <row r="19" spans="1:6" x14ac:dyDescent="0.2">
      <c r="A19" s="81">
        <v>34851</v>
      </c>
      <c r="F19" s="82">
        <v>58.16</v>
      </c>
    </row>
    <row r="20" spans="1:6" x14ac:dyDescent="0.2">
      <c r="A20" s="81">
        <v>34881</v>
      </c>
      <c r="F20" s="82">
        <v>65.400000000000006</v>
      </c>
    </row>
    <row r="21" spans="1:6" x14ac:dyDescent="0.2">
      <c r="A21" s="81">
        <v>34912</v>
      </c>
      <c r="F21" s="82">
        <v>56.52</v>
      </c>
    </row>
    <row r="22" spans="1:6" x14ac:dyDescent="0.2">
      <c r="A22" s="81">
        <v>34943</v>
      </c>
      <c r="F22" s="82">
        <v>55.66</v>
      </c>
    </row>
    <row r="23" spans="1:6" x14ac:dyDescent="0.2">
      <c r="A23" s="81">
        <v>34973</v>
      </c>
      <c r="F23" s="82">
        <v>53.13</v>
      </c>
    </row>
    <row r="24" spans="1:6" x14ac:dyDescent="0.2">
      <c r="A24" s="81">
        <v>35004</v>
      </c>
      <c r="F24" s="82">
        <v>55.08</v>
      </c>
    </row>
    <row r="25" spans="1:6" x14ac:dyDescent="0.2">
      <c r="A25" s="81">
        <v>35034</v>
      </c>
      <c r="F25" s="82">
        <v>54.03</v>
      </c>
    </row>
    <row r="26" spans="1:6" x14ac:dyDescent="0.2">
      <c r="A26" s="81">
        <v>35065</v>
      </c>
      <c r="F26" s="82">
        <v>50.16</v>
      </c>
    </row>
    <row r="27" spans="1:6" x14ac:dyDescent="0.2">
      <c r="A27" s="81">
        <v>35096</v>
      </c>
      <c r="F27" s="82">
        <v>46.38</v>
      </c>
    </row>
    <row r="28" spans="1:6" x14ac:dyDescent="0.2">
      <c r="A28" s="81">
        <v>35125</v>
      </c>
      <c r="F28" s="82">
        <v>52.65</v>
      </c>
    </row>
    <row r="29" spans="1:6" x14ac:dyDescent="0.2">
      <c r="A29" s="81">
        <v>35156</v>
      </c>
      <c r="F29" s="82">
        <v>54.64</v>
      </c>
    </row>
    <row r="30" spans="1:6" x14ac:dyDescent="0.2">
      <c r="A30" s="81">
        <v>35186</v>
      </c>
      <c r="F30" s="82">
        <v>48.99</v>
      </c>
    </row>
    <row r="31" spans="1:6" x14ac:dyDescent="0.2">
      <c r="A31" s="81">
        <v>35217</v>
      </c>
      <c r="F31" s="82">
        <v>50.64</v>
      </c>
    </row>
    <row r="32" spans="1:6" x14ac:dyDescent="0.2">
      <c r="A32" s="81">
        <v>35247</v>
      </c>
      <c r="F32" s="82">
        <v>54.72</v>
      </c>
    </row>
    <row r="33" spans="1:6" x14ac:dyDescent="0.2">
      <c r="A33" s="81">
        <v>35278</v>
      </c>
      <c r="F33" s="82">
        <v>56.46</v>
      </c>
    </row>
    <row r="34" spans="1:6" x14ac:dyDescent="0.2">
      <c r="A34" s="81">
        <v>35309</v>
      </c>
      <c r="F34" s="82">
        <v>59.28</v>
      </c>
    </row>
    <row r="35" spans="1:6" x14ac:dyDescent="0.2">
      <c r="A35" s="81">
        <v>35339</v>
      </c>
      <c r="F35" s="82">
        <v>57.49</v>
      </c>
    </row>
    <row r="36" spans="1:6" x14ac:dyDescent="0.2">
      <c r="A36" s="81">
        <v>35370</v>
      </c>
      <c r="F36" s="82">
        <v>61.57</v>
      </c>
    </row>
    <row r="37" spans="1:6" x14ac:dyDescent="0.2">
      <c r="A37" s="81">
        <v>35400</v>
      </c>
      <c r="F37" s="82">
        <v>60.71</v>
      </c>
    </row>
    <row r="38" spans="1:6" x14ac:dyDescent="0.2">
      <c r="A38" s="81">
        <v>35431</v>
      </c>
      <c r="F38" s="82">
        <v>62.72</v>
      </c>
    </row>
    <row r="39" spans="1:6" x14ac:dyDescent="0.2">
      <c r="A39" s="81">
        <v>35462</v>
      </c>
      <c r="F39" s="82">
        <v>57.65</v>
      </c>
    </row>
    <row r="40" spans="1:6" x14ac:dyDescent="0.2">
      <c r="A40" s="81">
        <v>35490</v>
      </c>
      <c r="F40" s="82">
        <v>60.39</v>
      </c>
    </row>
    <row r="41" spans="1:6" x14ac:dyDescent="0.2">
      <c r="A41" s="81">
        <v>35521</v>
      </c>
      <c r="F41" s="82">
        <v>60.87</v>
      </c>
    </row>
    <row r="42" spans="1:6" x14ac:dyDescent="0.2">
      <c r="A42" s="81">
        <v>35551</v>
      </c>
      <c r="F42" s="82">
        <v>64.19</v>
      </c>
    </row>
    <row r="43" spans="1:6" x14ac:dyDescent="0.2">
      <c r="A43" s="81">
        <v>35582</v>
      </c>
      <c r="F43" s="82">
        <v>63.39</v>
      </c>
    </row>
    <row r="44" spans="1:6" x14ac:dyDescent="0.2">
      <c r="A44" s="81">
        <v>35612</v>
      </c>
      <c r="F44" s="82">
        <v>54.92</v>
      </c>
    </row>
    <row r="45" spans="1:6" x14ac:dyDescent="0.2">
      <c r="A45" s="81">
        <v>35643</v>
      </c>
      <c r="F45" s="82">
        <v>61.25</v>
      </c>
    </row>
    <row r="46" spans="1:6" x14ac:dyDescent="0.2">
      <c r="A46" s="81">
        <v>35674</v>
      </c>
      <c r="F46" s="82">
        <v>61.84</v>
      </c>
    </row>
    <row r="47" spans="1:6" x14ac:dyDescent="0.2">
      <c r="A47" s="81">
        <v>35704</v>
      </c>
      <c r="F47" s="82">
        <v>58.84</v>
      </c>
    </row>
    <row r="48" spans="1:6" x14ac:dyDescent="0.2">
      <c r="A48" s="81">
        <v>35735</v>
      </c>
      <c r="F48" s="82">
        <v>56.3</v>
      </c>
    </row>
    <row r="49" spans="1:6" x14ac:dyDescent="0.2">
      <c r="A49" s="81">
        <v>35765</v>
      </c>
      <c r="F49" s="82">
        <v>56.74</v>
      </c>
    </row>
    <row r="50" spans="1:6" x14ac:dyDescent="0.2">
      <c r="A50" s="81">
        <v>35796</v>
      </c>
      <c r="F50" s="82">
        <v>55.77</v>
      </c>
    </row>
    <row r="51" spans="1:6" x14ac:dyDescent="0.2">
      <c r="A51" s="81">
        <v>35827</v>
      </c>
      <c r="F51" s="82">
        <v>55.65</v>
      </c>
    </row>
    <row r="52" spans="1:6" x14ac:dyDescent="0.2">
      <c r="A52" s="81">
        <v>35855</v>
      </c>
      <c r="F52" s="82">
        <v>58.86</v>
      </c>
    </row>
    <row r="53" spans="1:6" x14ac:dyDescent="0.2">
      <c r="A53" s="81">
        <v>35886</v>
      </c>
      <c r="F53" s="82">
        <v>58.81</v>
      </c>
    </row>
    <row r="54" spans="1:6" x14ac:dyDescent="0.2">
      <c r="A54" s="81">
        <v>35916</v>
      </c>
      <c r="F54" s="82">
        <v>60.33</v>
      </c>
    </row>
    <row r="55" spans="1:6" x14ac:dyDescent="0.2">
      <c r="A55" s="81">
        <v>35947</v>
      </c>
      <c r="F55" s="82">
        <v>57.46</v>
      </c>
    </row>
    <row r="56" spans="1:6" x14ac:dyDescent="0.2">
      <c r="A56" s="81">
        <v>35977</v>
      </c>
      <c r="F56" s="82">
        <v>50.71</v>
      </c>
    </row>
    <row r="57" spans="1:6" x14ac:dyDescent="0.2">
      <c r="A57" s="81">
        <v>36008</v>
      </c>
      <c r="F57" s="82">
        <v>62.84</v>
      </c>
    </row>
    <row r="58" spans="1:6" x14ac:dyDescent="0.2">
      <c r="A58" s="81">
        <v>36039</v>
      </c>
      <c r="F58" s="82">
        <v>51.54</v>
      </c>
    </row>
    <row r="59" spans="1:6" x14ac:dyDescent="0.2">
      <c r="A59" s="81">
        <v>36069</v>
      </c>
      <c r="F59" s="82">
        <v>54.96</v>
      </c>
    </row>
    <row r="60" spans="1:6" x14ac:dyDescent="0.2">
      <c r="A60" s="81">
        <v>36100</v>
      </c>
      <c r="F60" s="82">
        <v>48.18</v>
      </c>
    </row>
    <row r="61" spans="1:6" x14ac:dyDescent="0.2">
      <c r="A61" s="81">
        <v>36130</v>
      </c>
      <c r="F61" s="82">
        <v>49.94</v>
      </c>
    </row>
    <row r="62" spans="1:6" x14ac:dyDescent="0.2">
      <c r="A62" s="81">
        <v>36161</v>
      </c>
      <c r="F62" s="82">
        <v>53.69</v>
      </c>
    </row>
    <row r="63" spans="1:6" x14ac:dyDescent="0.2">
      <c r="A63" s="81">
        <v>36192</v>
      </c>
      <c r="F63" s="82">
        <v>55.51</v>
      </c>
    </row>
    <row r="64" spans="1:6" x14ac:dyDescent="0.2">
      <c r="A64" s="81">
        <v>36220</v>
      </c>
      <c r="F64" s="82">
        <v>45.32</v>
      </c>
    </row>
    <row r="65" spans="1:23" x14ac:dyDescent="0.2">
      <c r="A65" s="81">
        <v>36251</v>
      </c>
      <c r="F65" s="82">
        <v>50.98</v>
      </c>
    </row>
    <row r="66" spans="1:23" x14ac:dyDescent="0.2">
      <c r="A66" s="81">
        <v>36281</v>
      </c>
      <c r="F66" s="82">
        <v>48.33</v>
      </c>
    </row>
    <row r="67" spans="1:23" x14ac:dyDescent="0.2">
      <c r="A67" s="81">
        <v>36312</v>
      </c>
      <c r="F67" s="82">
        <v>51.51</v>
      </c>
    </row>
    <row r="68" spans="1:23" x14ac:dyDescent="0.2">
      <c r="A68" s="81">
        <v>36342</v>
      </c>
      <c r="F68" s="82">
        <v>53.07</v>
      </c>
    </row>
    <row r="69" spans="1:23" x14ac:dyDescent="0.2">
      <c r="A69" s="81">
        <v>36373</v>
      </c>
      <c r="F69" s="82">
        <v>49.58</v>
      </c>
    </row>
    <row r="70" spans="1:23" x14ac:dyDescent="0.2">
      <c r="A70" s="81">
        <v>36404</v>
      </c>
      <c r="F70" s="82">
        <v>52.05</v>
      </c>
    </row>
    <row r="71" spans="1:23" x14ac:dyDescent="0.2">
      <c r="A71" s="81">
        <v>36434</v>
      </c>
      <c r="F71" s="82">
        <v>69.790000000000006</v>
      </c>
    </row>
    <row r="72" spans="1:23" x14ac:dyDescent="0.2">
      <c r="A72" s="81">
        <v>36465</v>
      </c>
      <c r="F72" s="82">
        <v>64.63</v>
      </c>
    </row>
    <row r="73" spans="1:23" x14ac:dyDescent="0.2">
      <c r="A73" s="81">
        <v>36495</v>
      </c>
      <c r="F73" s="82">
        <v>46.56</v>
      </c>
    </row>
    <row r="74" spans="1:23" x14ac:dyDescent="0.2">
      <c r="A74" s="81">
        <v>36526</v>
      </c>
      <c r="F74" s="82">
        <v>56.5</v>
      </c>
      <c r="W74" s="82">
        <v>56.66</v>
      </c>
    </row>
    <row r="75" spans="1:23" x14ac:dyDescent="0.2">
      <c r="A75" s="81">
        <v>36557</v>
      </c>
      <c r="F75" s="82">
        <v>60.09</v>
      </c>
      <c r="W75" s="82">
        <v>57.26</v>
      </c>
    </row>
    <row r="76" spans="1:23" x14ac:dyDescent="0.2">
      <c r="A76" s="81">
        <v>36586</v>
      </c>
      <c r="F76" s="82">
        <v>58.03</v>
      </c>
      <c r="W76" s="82">
        <v>49.83</v>
      </c>
    </row>
    <row r="77" spans="1:23" x14ac:dyDescent="0.2">
      <c r="A77" s="81">
        <v>36617</v>
      </c>
      <c r="F77" s="82">
        <v>54.9</v>
      </c>
      <c r="W77" s="82">
        <v>52.72</v>
      </c>
    </row>
    <row r="78" spans="1:23" x14ac:dyDescent="0.2">
      <c r="A78" s="81">
        <v>36647</v>
      </c>
      <c r="F78" s="82">
        <v>55.18</v>
      </c>
      <c r="W78" s="82">
        <v>50.05</v>
      </c>
    </row>
    <row r="79" spans="1:23" x14ac:dyDescent="0.2">
      <c r="A79" s="81">
        <v>36678</v>
      </c>
      <c r="F79" s="82">
        <v>53.67</v>
      </c>
      <c r="W79" s="82">
        <v>49.65</v>
      </c>
    </row>
    <row r="80" spans="1:23" x14ac:dyDescent="0.2">
      <c r="A80" s="81">
        <v>36708</v>
      </c>
      <c r="F80" s="82">
        <v>64.069999999999993</v>
      </c>
      <c r="W80" s="82">
        <v>49.18</v>
      </c>
    </row>
    <row r="81" spans="1:23" x14ac:dyDescent="0.2">
      <c r="A81" s="81">
        <v>36739</v>
      </c>
      <c r="F81" s="82">
        <v>56.81</v>
      </c>
      <c r="W81" s="82">
        <v>51.48</v>
      </c>
    </row>
    <row r="82" spans="1:23" x14ac:dyDescent="0.2">
      <c r="A82" s="81">
        <v>36770</v>
      </c>
      <c r="F82" s="82">
        <v>56.21</v>
      </c>
      <c r="W82" s="82">
        <v>53.75</v>
      </c>
    </row>
    <row r="83" spans="1:23" x14ac:dyDescent="0.2">
      <c r="A83" s="81">
        <v>36800</v>
      </c>
      <c r="F83" s="82">
        <v>59.71</v>
      </c>
      <c r="W83" s="82">
        <v>56.34</v>
      </c>
    </row>
    <row r="84" spans="1:23" x14ac:dyDescent="0.2">
      <c r="A84" s="81">
        <v>36831</v>
      </c>
      <c r="F84" s="82">
        <v>54.29</v>
      </c>
      <c r="W84" s="82">
        <v>51.73</v>
      </c>
    </row>
    <row r="85" spans="1:23" x14ac:dyDescent="0.2">
      <c r="A85" s="81">
        <v>36861</v>
      </c>
      <c r="F85" s="82">
        <v>55.54</v>
      </c>
      <c r="W85" s="82">
        <v>50.48</v>
      </c>
    </row>
    <row r="86" spans="1:23" x14ac:dyDescent="0.2">
      <c r="A86" s="81">
        <v>36892</v>
      </c>
      <c r="F86" s="82">
        <v>52.88</v>
      </c>
      <c r="W86" s="82">
        <v>49.29</v>
      </c>
    </row>
    <row r="87" spans="1:23" x14ac:dyDescent="0.2">
      <c r="A87" s="81">
        <v>36923</v>
      </c>
      <c r="F87" s="82">
        <v>51.59</v>
      </c>
      <c r="W87" s="82">
        <v>53.48</v>
      </c>
    </row>
    <row r="88" spans="1:23" x14ac:dyDescent="0.2">
      <c r="A88" s="81">
        <v>36951</v>
      </c>
      <c r="F88" s="82">
        <v>52.49</v>
      </c>
      <c r="W88" s="82">
        <v>53.61</v>
      </c>
    </row>
    <row r="89" spans="1:23" x14ac:dyDescent="0.2">
      <c r="A89" s="81">
        <v>36982</v>
      </c>
      <c r="F89" s="82">
        <v>49.61</v>
      </c>
      <c r="W89" s="82">
        <v>52.38</v>
      </c>
    </row>
    <row r="90" spans="1:23" x14ac:dyDescent="0.2">
      <c r="A90" s="81">
        <v>37012</v>
      </c>
      <c r="F90" s="82">
        <v>52.89</v>
      </c>
      <c r="W90" s="82">
        <v>55.01</v>
      </c>
    </row>
    <row r="91" spans="1:23" x14ac:dyDescent="0.2">
      <c r="A91" s="81">
        <v>37043</v>
      </c>
      <c r="F91" s="82">
        <v>53.97</v>
      </c>
      <c r="W91" s="82">
        <v>56.17</v>
      </c>
    </row>
    <row r="92" spans="1:23" x14ac:dyDescent="0.2">
      <c r="A92" s="81">
        <v>37073</v>
      </c>
      <c r="F92" s="82">
        <v>50.42</v>
      </c>
      <c r="W92" s="82">
        <v>51.34</v>
      </c>
    </row>
    <row r="93" spans="1:23" x14ac:dyDescent="0.2">
      <c r="A93" s="81">
        <v>37104</v>
      </c>
      <c r="F93" s="82">
        <v>53.21</v>
      </c>
      <c r="W93" s="82">
        <v>51.22</v>
      </c>
    </row>
    <row r="94" spans="1:23" x14ac:dyDescent="0.2">
      <c r="A94" s="81">
        <v>37135</v>
      </c>
      <c r="F94" s="82">
        <v>47.75</v>
      </c>
      <c r="W94" s="82">
        <v>48.76</v>
      </c>
    </row>
    <row r="95" spans="1:23" x14ac:dyDescent="0.2">
      <c r="A95" s="81">
        <v>37165</v>
      </c>
      <c r="F95" s="82">
        <v>46.09</v>
      </c>
      <c r="W95" s="82">
        <v>50.25</v>
      </c>
    </row>
    <row r="96" spans="1:23" x14ac:dyDescent="0.2">
      <c r="A96" s="81">
        <v>37196</v>
      </c>
      <c r="F96" s="82">
        <v>50.81</v>
      </c>
      <c r="W96" s="82">
        <v>54.35</v>
      </c>
    </row>
    <row r="97" spans="1:23" x14ac:dyDescent="0.2">
      <c r="A97" s="81">
        <v>37226</v>
      </c>
      <c r="F97" s="82">
        <v>46.1</v>
      </c>
      <c r="W97" s="82">
        <v>55.35</v>
      </c>
    </row>
    <row r="98" spans="1:23" x14ac:dyDescent="0.2">
      <c r="A98" s="81">
        <v>37257</v>
      </c>
      <c r="F98" s="82">
        <v>52.42</v>
      </c>
      <c r="W98" s="82">
        <v>55.53</v>
      </c>
    </row>
    <row r="99" spans="1:23" x14ac:dyDescent="0.2">
      <c r="A99" s="81">
        <v>37288</v>
      </c>
      <c r="F99" s="82">
        <v>53.28</v>
      </c>
      <c r="W99" s="82">
        <v>53.87</v>
      </c>
    </row>
    <row r="100" spans="1:23" x14ac:dyDescent="0.2">
      <c r="A100" s="81">
        <v>37316</v>
      </c>
      <c r="F100" s="82">
        <v>53.02</v>
      </c>
      <c r="W100" s="82">
        <v>53.63</v>
      </c>
    </row>
    <row r="101" spans="1:23" x14ac:dyDescent="0.2">
      <c r="A101" s="81">
        <v>37347</v>
      </c>
      <c r="F101" s="82">
        <v>55.71</v>
      </c>
      <c r="W101" s="82">
        <v>60.87</v>
      </c>
    </row>
    <row r="102" spans="1:23" x14ac:dyDescent="0.2">
      <c r="A102" s="81">
        <v>37377</v>
      </c>
      <c r="F102" s="82">
        <v>52.26</v>
      </c>
      <c r="W102" s="82">
        <v>58.74</v>
      </c>
    </row>
    <row r="103" spans="1:23" x14ac:dyDescent="0.2">
      <c r="A103" s="81">
        <v>37408</v>
      </c>
      <c r="F103" s="82">
        <v>53.98</v>
      </c>
      <c r="W103" s="82">
        <v>56.43</v>
      </c>
    </row>
    <row r="104" spans="1:23" x14ac:dyDescent="0.2">
      <c r="A104" s="81">
        <v>37438</v>
      </c>
      <c r="F104" s="82">
        <v>54.33</v>
      </c>
      <c r="W104" s="82">
        <v>54.63</v>
      </c>
    </row>
    <row r="105" spans="1:23" x14ac:dyDescent="0.2">
      <c r="A105" s="81">
        <v>37469</v>
      </c>
      <c r="F105" s="82">
        <v>53.11</v>
      </c>
      <c r="S105" s="82">
        <v>56.907262129678003</v>
      </c>
      <c r="W105" s="82">
        <v>55.58</v>
      </c>
    </row>
    <row r="106" spans="1:23" x14ac:dyDescent="0.2">
      <c r="A106" s="81">
        <v>37500</v>
      </c>
      <c r="F106" s="82">
        <v>52.08</v>
      </c>
      <c r="S106" s="82">
        <v>58.558944963243398</v>
      </c>
      <c r="W106" s="82">
        <v>57.74</v>
      </c>
    </row>
    <row r="107" spans="1:23" x14ac:dyDescent="0.2">
      <c r="A107" s="81">
        <v>37530</v>
      </c>
      <c r="F107" s="82">
        <v>47.57</v>
      </c>
      <c r="S107" s="82">
        <v>57.946692398866297</v>
      </c>
      <c r="W107" s="82">
        <v>56.38</v>
      </c>
    </row>
    <row r="108" spans="1:23" x14ac:dyDescent="0.2">
      <c r="A108" s="81">
        <v>37561</v>
      </c>
      <c r="F108" s="82">
        <v>47.96</v>
      </c>
      <c r="S108" s="82">
        <v>57.045752075729702</v>
      </c>
      <c r="W108" s="82">
        <v>54.54</v>
      </c>
    </row>
    <row r="109" spans="1:23" x14ac:dyDescent="0.2">
      <c r="A109" s="81">
        <v>37591</v>
      </c>
      <c r="F109" s="82">
        <v>48.71</v>
      </c>
      <c r="S109" s="82">
        <v>57.162855142389098</v>
      </c>
      <c r="W109" s="82">
        <v>55.28</v>
      </c>
    </row>
    <row r="110" spans="1:23" x14ac:dyDescent="0.2">
      <c r="A110" s="81">
        <v>37622</v>
      </c>
      <c r="F110" s="82">
        <v>46.3</v>
      </c>
      <c r="S110" s="82">
        <v>56.037312647284203</v>
      </c>
      <c r="W110" s="82">
        <v>56.84</v>
      </c>
    </row>
    <row r="111" spans="1:23" x14ac:dyDescent="0.2">
      <c r="A111" s="81">
        <v>37653</v>
      </c>
      <c r="F111" s="82">
        <v>46.27</v>
      </c>
      <c r="S111" s="82">
        <v>54.453721410704397</v>
      </c>
      <c r="W111" s="82">
        <v>52.39</v>
      </c>
    </row>
    <row r="112" spans="1:23" x14ac:dyDescent="0.2">
      <c r="A112" s="81">
        <v>37681</v>
      </c>
      <c r="F112" s="82">
        <v>49.92</v>
      </c>
      <c r="S112" s="82">
        <v>52.803630209600101</v>
      </c>
      <c r="W112" s="82">
        <v>49.15</v>
      </c>
    </row>
    <row r="113" spans="1:23" x14ac:dyDescent="0.2">
      <c r="A113" s="81">
        <v>37712</v>
      </c>
      <c r="F113" s="82">
        <v>52.91</v>
      </c>
      <c r="S113" s="82">
        <v>53.3207423548318</v>
      </c>
      <c r="W113" s="82">
        <v>48.99</v>
      </c>
    </row>
    <row r="114" spans="1:23" x14ac:dyDescent="0.2">
      <c r="A114" s="81">
        <v>37742</v>
      </c>
      <c r="F114" s="82">
        <v>50.11</v>
      </c>
      <c r="S114" s="82">
        <v>51.856412409729302</v>
      </c>
      <c r="W114" s="82">
        <v>46.13</v>
      </c>
    </row>
    <row r="115" spans="1:23" x14ac:dyDescent="0.2">
      <c r="A115" s="81">
        <v>37773</v>
      </c>
      <c r="F115" s="82">
        <v>47.14</v>
      </c>
      <c r="S115" s="82">
        <v>53.437648762611197</v>
      </c>
      <c r="W115" s="82">
        <v>45.22</v>
      </c>
    </row>
    <row r="116" spans="1:23" x14ac:dyDescent="0.2">
      <c r="A116" s="81">
        <v>37803</v>
      </c>
      <c r="F116" s="82">
        <v>49.65</v>
      </c>
      <c r="S116" s="82">
        <v>53.0699070792162</v>
      </c>
      <c r="W116" s="82">
        <v>47.89</v>
      </c>
    </row>
    <row r="117" spans="1:23" x14ac:dyDescent="0.2">
      <c r="A117" s="81">
        <v>37834</v>
      </c>
      <c r="F117" s="82">
        <v>49.78</v>
      </c>
      <c r="S117" s="82">
        <v>50.568235899885103</v>
      </c>
      <c r="W117" s="82">
        <v>48.44</v>
      </c>
    </row>
    <row r="118" spans="1:23" x14ac:dyDescent="0.2">
      <c r="A118" s="81">
        <v>37865</v>
      </c>
      <c r="F118" s="82">
        <v>59.65</v>
      </c>
      <c r="S118" s="82">
        <v>57.843029176009402</v>
      </c>
      <c r="W118" s="82">
        <v>45.46</v>
      </c>
    </row>
    <row r="119" spans="1:23" x14ac:dyDescent="0.2">
      <c r="A119" s="81">
        <v>37895</v>
      </c>
      <c r="F119" s="82">
        <v>54.14</v>
      </c>
      <c r="S119" s="82">
        <v>60.866406299467698</v>
      </c>
      <c r="W119" s="82">
        <v>47.73</v>
      </c>
    </row>
    <row r="120" spans="1:23" x14ac:dyDescent="0.2">
      <c r="A120" s="81">
        <v>37926</v>
      </c>
      <c r="F120" s="82">
        <v>57.7</v>
      </c>
      <c r="S120" s="82">
        <v>56.386882357350899</v>
      </c>
      <c r="W120" s="82">
        <v>53.1</v>
      </c>
    </row>
    <row r="121" spans="1:23" x14ac:dyDescent="0.2">
      <c r="A121" s="81">
        <v>37956</v>
      </c>
      <c r="F121" s="82">
        <v>60.4</v>
      </c>
      <c r="S121" s="82">
        <v>54.845751644085702</v>
      </c>
      <c r="W121" s="82">
        <v>51.55</v>
      </c>
    </row>
    <row r="122" spans="1:23" x14ac:dyDescent="0.2">
      <c r="A122" s="81">
        <v>37987</v>
      </c>
      <c r="F122" s="82">
        <v>46.37</v>
      </c>
      <c r="S122" s="82">
        <v>55.793919717969402</v>
      </c>
      <c r="W122" s="82">
        <v>54.61</v>
      </c>
    </row>
    <row r="123" spans="1:23" x14ac:dyDescent="0.2">
      <c r="A123" s="81">
        <v>38018</v>
      </c>
      <c r="F123" s="82">
        <v>56.97</v>
      </c>
      <c r="S123" s="82">
        <v>56.800472168487701</v>
      </c>
      <c r="W123" s="82">
        <v>54.29</v>
      </c>
    </row>
    <row r="124" spans="1:23" x14ac:dyDescent="0.2">
      <c r="A124" s="81">
        <v>38047</v>
      </c>
      <c r="F124" s="82">
        <v>58.99</v>
      </c>
      <c r="S124" s="82">
        <v>59.0129037737941</v>
      </c>
      <c r="W124" s="82">
        <v>55.84</v>
      </c>
    </row>
    <row r="125" spans="1:23" x14ac:dyDescent="0.2">
      <c r="A125" s="81">
        <v>38078</v>
      </c>
      <c r="F125" s="82">
        <v>59.16</v>
      </c>
      <c r="S125" s="82">
        <v>58.741686967726302</v>
      </c>
      <c r="W125" s="82">
        <v>56.95</v>
      </c>
    </row>
    <row r="126" spans="1:23" x14ac:dyDescent="0.2">
      <c r="A126" s="81">
        <v>38108</v>
      </c>
      <c r="F126" s="82">
        <v>61.27</v>
      </c>
      <c r="S126" s="82">
        <v>56.1940744843941</v>
      </c>
      <c r="W126" s="82">
        <v>56.6</v>
      </c>
    </row>
    <row r="127" spans="1:23" x14ac:dyDescent="0.2">
      <c r="A127" s="81">
        <v>38139</v>
      </c>
      <c r="F127" s="82">
        <v>51.93</v>
      </c>
      <c r="S127" s="82">
        <v>62.772774028058897</v>
      </c>
      <c r="W127" s="82">
        <v>56.83</v>
      </c>
    </row>
    <row r="128" spans="1:23" x14ac:dyDescent="0.2">
      <c r="A128" s="81">
        <v>38169</v>
      </c>
      <c r="F128" s="82">
        <v>56.18</v>
      </c>
      <c r="S128" s="82">
        <v>58.771020874084499</v>
      </c>
      <c r="W128" s="82">
        <v>55.54</v>
      </c>
    </row>
    <row r="129" spans="1:29" x14ac:dyDescent="0.2">
      <c r="A129" s="81">
        <v>38200</v>
      </c>
      <c r="F129" s="82">
        <v>62.38</v>
      </c>
      <c r="S129" s="82">
        <v>57.427085291237098</v>
      </c>
      <c r="W129" s="82">
        <v>57.5</v>
      </c>
    </row>
    <row r="130" spans="1:29" x14ac:dyDescent="0.2">
      <c r="A130" s="81">
        <v>38231</v>
      </c>
      <c r="F130" s="82">
        <v>57.36</v>
      </c>
      <c r="S130" s="82">
        <v>55.049322078869203</v>
      </c>
      <c r="W130" s="82">
        <v>57.5</v>
      </c>
    </row>
    <row r="131" spans="1:29" x14ac:dyDescent="0.2">
      <c r="A131" s="81">
        <v>38261</v>
      </c>
      <c r="F131" s="82">
        <v>56.87</v>
      </c>
      <c r="S131" s="82">
        <v>52.917155117700901</v>
      </c>
      <c r="W131" s="82">
        <v>55.37</v>
      </c>
    </row>
    <row r="132" spans="1:29" x14ac:dyDescent="0.2">
      <c r="A132" s="81">
        <v>38292</v>
      </c>
      <c r="F132" s="82">
        <v>54.39</v>
      </c>
      <c r="S132" s="82">
        <v>57.866935416672398</v>
      </c>
      <c r="W132" s="82">
        <v>54.08</v>
      </c>
    </row>
    <row r="133" spans="1:29" x14ac:dyDescent="0.2">
      <c r="A133" s="81">
        <v>38322</v>
      </c>
      <c r="F133" s="82">
        <v>57.58</v>
      </c>
      <c r="G133" s="82">
        <v>51.4</v>
      </c>
      <c r="S133" s="82">
        <v>58.981422607151899</v>
      </c>
      <c r="W133" s="82">
        <v>54.34</v>
      </c>
      <c r="AC133" s="82">
        <v>53.7</v>
      </c>
    </row>
    <row r="134" spans="1:29" x14ac:dyDescent="0.2">
      <c r="A134" s="81">
        <v>38353</v>
      </c>
      <c r="F134" s="82">
        <v>59.37</v>
      </c>
      <c r="G134" s="82">
        <v>51.9</v>
      </c>
      <c r="S134" s="82">
        <v>57.034440617633997</v>
      </c>
      <c r="W134" s="82">
        <v>51.54</v>
      </c>
      <c r="AC134" s="82">
        <v>51.8</v>
      </c>
    </row>
    <row r="135" spans="1:29" x14ac:dyDescent="0.2">
      <c r="A135" s="81">
        <v>38384</v>
      </c>
      <c r="F135" s="82">
        <v>55.3</v>
      </c>
      <c r="G135" s="82">
        <v>51.9</v>
      </c>
      <c r="S135" s="82">
        <v>56.255983584510801</v>
      </c>
      <c r="W135" s="82">
        <v>55.55</v>
      </c>
      <c r="AC135" s="82">
        <v>51.8</v>
      </c>
    </row>
    <row r="136" spans="1:29" x14ac:dyDescent="0.2">
      <c r="A136" s="81">
        <v>38412</v>
      </c>
      <c r="F136" s="82">
        <v>56.66</v>
      </c>
      <c r="G136" s="82">
        <v>50.4</v>
      </c>
      <c r="S136" s="82">
        <v>51.639603525794001</v>
      </c>
      <c r="W136" s="82">
        <v>57.65</v>
      </c>
      <c r="AC136" s="82">
        <v>52</v>
      </c>
    </row>
    <row r="137" spans="1:29" x14ac:dyDescent="0.2">
      <c r="A137" s="81">
        <v>38443</v>
      </c>
      <c r="F137" s="82">
        <v>52.88</v>
      </c>
      <c r="G137" s="82">
        <v>49.2</v>
      </c>
      <c r="S137" s="82">
        <v>51.5818588801095</v>
      </c>
      <c r="W137" s="82">
        <v>54.64</v>
      </c>
      <c r="AC137" s="82">
        <v>49.5</v>
      </c>
    </row>
    <row r="138" spans="1:29" x14ac:dyDescent="0.2">
      <c r="A138" s="81">
        <v>38473</v>
      </c>
      <c r="F138" s="82">
        <v>53.51</v>
      </c>
      <c r="G138" s="82">
        <v>48.7</v>
      </c>
      <c r="S138" s="82">
        <v>51.297542414814103</v>
      </c>
      <c r="W138" s="82">
        <v>53.75</v>
      </c>
      <c r="AC138" s="82">
        <v>47.3</v>
      </c>
    </row>
    <row r="139" spans="1:29" x14ac:dyDescent="0.2">
      <c r="A139" s="81">
        <v>38504</v>
      </c>
      <c r="F139" s="82">
        <v>58.58</v>
      </c>
      <c r="G139" s="82">
        <v>49.9</v>
      </c>
      <c r="S139" s="82">
        <v>52.9270116328412</v>
      </c>
      <c r="W139" s="82">
        <v>57.12</v>
      </c>
      <c r="AC139" s="82">
        <v>49.6</v>
      </c>
    </row>
    <row r="140" spans="1:29" x14ac:dyDescent="0.2">
      <c r="A140" s="81">
        <v>38534</v>
      </c>
      <c r="F140" s="82">
        <v>56.43</v>
      </c>
      <c r="G140" s="82">
        <v>50.8</v>
      </c>
      <c r="S140" s="82">
        <v>49.237862406275802</v>
      </c>
      <c r="W140" s="82">
        <v>57.43</v>
      </c>
      <c r="AC140" s="82">
        <v>49.2</v>
      </c>
    </row>
    <row r="141" spans="1:29" x14ac:dyDescent="0.2">
      <c r="A141" s="81">
        <v>38565</v>
      </c>
      <c r="F141" s="82">
        <v>56.34</v>
      </c>
      <c r="G141" s="82">
        <v>50.4</v>
      </c>
      <c r="S141" s="82">
        <v>51.811669856587201</v>
      </c>
      <c r="W141" s="82">
        <v>55.2</v>
      </c>
      <c r="AC141" s="82">
        <v>50.1</v>
      </c>
    </row>
    <row r="142" spans="1:29" x14ac:dyDescent="0.2">
      <c r="A142" s="81">
        <v>38596</v>
      </c>
      <c r="F142" s="82">
        <v>61.16</v>
      </c>
      <c r="G142" s="82">
        <v>51.7</v>
      </c>
      <c r="S142" s="82">
        <v>50.571930732839697</v>
      </c>
      <c r="W142" s="82">
        <v>54.96</v>
      </c>
      <c r="AC142" s="82">
        <v>51.5</v>
      </c>
    </row>
    <row r="143" spans="1:29" x14ac:dyDescent="0.2">
      <c r="A143" s="81">
        <v>38626</v>
      </c>
      <c r="F143" s="82">
        <v>68.930000000000007</v>
      </c>
      <c r="G143" s="82">
        <v>52.7</v>
      </c>
      <c r="S143" s="82">
        <v>45.895480732884501</v>
      </c>
      <c r="W143" s="82">
        <v>52.77</v>
      </c>
      <c r="AC143" s="82">
        <v>51.7</v>
      </c>
    </row>
    <row r="144" spans="1:29" x14ac:dyDescent="0.2">
      <c r="A144" s="81">
        <v>38657</v>
      </c>
      <c r="F144" s="82">
        <v>57.53</v>
      </c>
      <c r="G144" s="82">
        <v>52.8</v>
      </c>
      <c r="S144" s="82">
        <v>44.270599524960801</v>
      </c>
      <c r="W144" s="82">
        <v>52.02</v>
      </c>
      <c r="AC144" s="82">
        <v>51</v>
      </c>
    </row>
    <row r="145" spans="1:29" x14ac:dyDescent="0.2">
      <c r="A145" s="81">
        <v>38687</v>
      </c>
      <c r="F145" s="82">
        <v>59.8</v>
      </c>
      <c r="G145" s="82">
        <v>53.6</v>
      </c>
      <c r="S145" s="82">
        <v>48.479025467498097</v>
      </c>
      <c r="W145" s="82">
        <v>53.31</v>
      </c>
      <c r="AC145" s="82">
        <v>51.1</v>
      </c>
    </row>
    <row r="146" spans="1:29" x14ac:dyDescent="0.2">
      <c r="A146" s="81">
        <v>38718</v>
      </c>
      <c r="F146" s="82">
        <v>58.97</v>
      </c>
      <c r="G146" s="82">
        <v>53.5</v>
      </c>
      <c r="S146" s="82">
        <v>48.585345068779702</v>
      </c>
      <c r="W146" s="82">
        <v>49.78</v>
      </c>
      <c r="AC146" s="82">
        <v>51.7</v>
      </c>
    </row>
    <row r="147" spans="1:29" x14ac:dyDescent="0.2">
      <c r="A147" s="81">
        <v>38749</v>
      </c>
      <c r="F147" s="82">
        <v>60.32</v>
      </c>
      <c r="G147" s="82">
        <v>54.5</v>
      </c>
      <c r="S147" s="82">
        <v>52.190552419279399</v>
      </c>
      <c r="W147" s="82">
        <v>50.11</v>
      </c>
      <c r="AC147" s="82">
        <v>51.7</v>
      </c>
    </row>
    <row r="148" spans="1:29" x14ac:dyDescent="0.2">
      <c r="A148" s="81">
        <v>38777</v>
      </c>
      <c r="F148" s="82">
        <v>52.93</v>
      </c>
      <c r="G148" s="82">
        <v>56.1</v>
      </c>
      <c r="S148" s="82">
        <v>53.543058814971403</v>
      </c>
      <c r="W148" s="82">
        <v>52.17</v>
      </c>
      <c r="AC148" s="82">
        <v>50.8</v>
      </c>
    </row>
    <row r="149" spans="1:29" x14ac:dyDescent="0.2">
      <c r="A149" s="81">
        <v>38808</v>
      </c>
      <c r="F149" s="82">
        <v>55.97</v>
      </c>
      <c r="G149" s="82">
        <v>56.7</v>
      </c>
      <c r="S149" s="82">
        <v>52.014251258866402</v>
      </c>
      <c r="W149" s="82">
        <v>54.63</v>
      </c>
      <c r="AC149" s="82">
        <v>54.1</v>
      </c>
    </row>
    <row r="150" spans="1:29" x14ac:dyDescent="0.2">
      <c r="A150" s="81">
        <v>38838</v>
      </c>
      <c r="F150" s="82">
        <v>56.87</v>
      </c>
      <c r="G150" s="82">
        <v>57</v>
      </c>
      <c r="S150" s="82">
        <v>57.202432453847202</v>
      </c>
      <c r="W150" s="82">
        <v>57</v>
      </c>
      <c r="AC150" s="82">
        <v>53.2</v>
      </c>
    </row>
    <row r="151" spans="1:29" x14ac:dyDescent="0.2">
      <c r="A151" s="81">
        <v>38869</v>
      </c>
      <c r="F151" s="82">
        <v>56.69</v>
      </c>
      <c r="G151" s="82">
        <v>57.7</v>
      </c>
      <c r="S151" s="82">
        <v>53.844737402000803</v>
      </c>
      <c r="W151" s="82">
        <v>58.8</v>
      </c>
      <c r="AC151" s="82">
        <v>55.1</v>
      </c>
    </row>
    <row r="152" spans="1:29" x14ac:dyDescent="0.2">
      <c r="A152" s="81">
        <v>38899</v>
      </c>
      <c r="F152" s="82">
        <v>58.32</v>
      </c>
      <c r="G152" s="82">
        <v>57.4</v>
      </c>
      <c r="S152" s="82">
        <v>53.378118046287</v>
      </c>
      <c r="W152" s="82">
        <v>60.27</v>
      </c>
      <c r="AC152" s="82">
        <v>53.8</v>
      </c>
    </row>
    <row r="153" spans="1:29" x14ac:dyDescent="0.2">
      <c r="A153" s="81">
        <v>38930</v>
      </c>
      <c r="F153" s="82">
        <v>63.49</v>
      </c>
      <c r="G153" s="82">
        <v>56.5</v>
      </c>
      <c r="S153" s="82">
        <v>52.497099283063399</v>
      </c>
      <c r="W153" s="82">
        <v>58.68</v>
      </c>
      <c r="AC153" s="82">
        <v>53.1</v>
      </c>
    </row>
    <row r="154" spans="1:29" x14ac:dyDescent="0.2">
      <c r="A154" s="81">
        <v>38961</v>
      </c>
      <c r="F154" s="82">
        <v>62.87</v>
      </c>
      <c r="G154" s="82">
        <v>56.6</v>
      </c>
      <c r="S154" s="82">
        <v>51.262659151328798</v>
      </c>
      <c r="W154" s="82">
        <v>56.6</v>
      </c>
      <c r="AC154" s="82">
        <v>54.4</v>
      </c>
    </row>
    <row r="155" spans="1:29" x14ac:dyDescent="0.2">
      <c r="A155" s="81">
        <v>38991</v>
      </c>
      <c r="F155" s="82">
        <v>62.65</v>
      </c>
      <c r="G155" s="82">
        <v>57</v>
      </c>
      <c r="S155" s="82">
        <v>56.532079990323197</v>
      </c>
      <c r="W155" s="82">
        <v>56.73</v>
      </c>
      <c r="AC155" s="82">
        <v>53.7</v>
      </c>
    </row>
    <row r="156" spans="1:29" x14ac:dyDescent="0.2">
      <c r="A156" s="81">
        <v>39022</v>
      </c>
      <c r="F156" s="82">
        <v>66.77</v>
      </c>
      <c r="G156" s="82">
        <v>56.6</v>
      </c>
      <c r="S156" s="82">
        <v>54.819585258175898</v>
      </c>
      <c r="W156" s="82">
        <v>56.34</v>
      </c>
      <c r="AC156" s="82">
        <v>53.6</v>
      </c>
    </row>
    <row r="157" spans="1:29" x14ac:dyDescent="0.2">
      <c r="A157" s="81">
        <v>39052</v>
      </c>
      <c r="F157" s="82">
        <v>62.5</v>
      </c>
      <c r="G157" s="82">
        <v>56.5</v>
      </c>
      <c r="P157" s="82">
        <v>55</v>
      </c>
      <c r="S157" s="82">
        <v>54.238666923849898</v>
      </c>
      <c r="W157" s="82">
        <v>55.49</v>
      </c>
      <c r="Y157" s="82">
        <v>57.2</v>
      </c>
      <c r="AC157" s="82">
        <v>51.9</v>
      </c>
    </row>
    <row r="158" spans="1:29" x14ac:dyDescent="0.2">
      <c r="A158" s="81">
        <v>39083</v>
      </c>
      <c r="F158" s="82">
        <v>55.72</v>
      </c>
      <c r="G158" s="82">
        <v>55.5</v>
      </c>
      <c r="P158" s="82">
        <v>53.5</v>
      </c>
      <c r="S158" s="82">
        <v>56.036031351097698</v>
      </c>
      <c r="W158" s="82">
        <v>57.79</v>
      </c>
      <c r="Y158" s="82">
        <v>56.2</v>
      </c>
      <c r="AC158" s="82">
        <v>52.8</v>
      </c>
    </row>
    <row r="159" spans="1:29" x14ac:dyDescent="0.2">
      <c r="A159" s="81">
        <v>39114</v>
      </c>
      <c r="F159" s="82">
        <v>60.51</v>
      </c>
      <c r="G159" s="82">
        <v>55.6</v>
      </c>
      <c r="P159" s="82">
        <v>54.2</v>
      </c>
      <c r="S159" s="82">
        <v>54.742775705584201</v>
      </c>
      <c r="W159" s="82">
        <v>60.18</v>
      </c>
      <c r="Y159" s="82">
        <v>56.2</v>
      </c>
      <c r="AC159" s="82">
        <v>55.4</v>
      </c>
    </row>
    <row r="160" spans="1:29" x14ac:dyDescent="0.2">
      <c r="A160" s="81">
        <v>39142</v>
      </c>
      <c r="F160" s="82">
        <v>65.52</v>
      </c>
      <c r="G160" s="82">
        <v>55.4</v>
      </c>
      <c r="P160" s="82">
        <v>53.8</v>
      </c>
      <c r="S160" s="82">
        <v>57.570250699095702</v>
      </c>
      <c r="W160" s="82">
        <v>60.35</v>
      </c>
      <c r="Y160" s="82">
        <v>55.4</v>
      </c>
      <c r="AC160" s="82">
        <v>54.4</v>
      </c>
    </row>
    <row r="161" spans="1:29" x14ac:dyDescent="0.2">
      <c r="A161" s="81">
        <v>39173</v>
      </c>
      <c r="F161" s="82">
        <v>63.43</v>
      </c>
      <c r="G161" s="82">
        <v>55.4</v>
      </c>
      <c r="P161" s="82">
        <v>53.9</v>
      </c>
      <c r="S161" s="82">
        <v>53.260616311208402</v>
      </c>
      <c r="W161" s="82">
        <v>57.89</v>
      </c>
      <c r="Y161" s="82">
        <v>56</v>
      </c>
      <c r="AC161" s="82">
        <v>53.9</v>
      </c>
    </row>
    <row r="162" spans="1:29" x14ac:dyDescent="0.2">
      <c r="A162" s="81">
        <v>39203</v>
      </c>
      <c r="F162" s="82">
        <v>62.81</v>
      </c>
      <c r="G162" s="82">
        <v>55</v>
      </c>
      <c r="P162" s="82">
        <v>55</v>
      </c>
      <c r="S162" s="82">
        <v>55.407160874264001</v>
      </c>
      <c r="W162" s="82">
        <v>56.91</v>
      </c>
      <c r="Y162" s="82">
        <v>53.3</v>
      </c>
      <c r="AC162" s="82">
        <v>54.9</v>
      </c>
    </row>
    <row r="163" spans="1:29" x14ac:dyDescent="0.2">
      <c r="A163" s="81">
        <v>39234</v>
      </c>
      <c r="F163" s="82">
        <v>59.06</v>
      </c>
      <c r="G163" s="82">
        <v>55.6</v>
      </c>
      <c r="P163" s="82">
        <v>54</v>
      </c>
      <c r="S163" s="82">
        <v>51.416409801705001</v>
      </c>
      <c r="W163" s="82">
        <v>56.33</v>
      </c>
      <c r="Y163" s="82">
        <v>55.1</v>
      </c>
      <c r="AC163" s="82">
        <v>54.3</v>
      </c>
    </row>
    <row r="164" spans="1:29" x14ac:dyDescent="0.2">
      <c r="A164" s="81">
        <v>39264</v>
      </c>
      <c r="F164" s="82">
        <v>63.94</v>
      </c>
      <c r="G164" s="82">
        <v>54.9</v>
      </c>
      <c r="P164" s="82">
        <v>53.3</v>
      </c>
      <c r="S164" s="82">
        <v>54.021529677242</v>
      </c>
      <c r="W164" s="82">
        <v>57.52</v>
      </c>
      <c r="Y164" s="82">
        <v>53.2</v>
      </c>
      <c r="AC164" s="82">
        <v>55.7</v>
      </c>
    </row>
    <row r="165" spans="1:29" x14ac:dyDescent="0.2">
      <c r="A165" s="81">
        <v>39295</v>
      </c>
      <c r="F165" s="82">
        <v>55.08</v>
      </c>
      <c r="G165" s="82">
        <v>54.3</v>
      </c>
      <c r="P165" s="82">
        <v>53.6</v>
      </c>
      <c r="S165" s="82">
        <v>56.598811050608198</v>
      </c>
      <c r="W165" s="82">
        <v>54.42</v>
      </c>
      <c r="Y165" s="82">
        <v>52.2</v>
      </c>
      <c r="AC165" s="82">
        <v>56.3</v>
      </c>
    </row>
    <row r="166" spans="1:29" x14ac:dyDescent="0.2">
      <c r="A166" s="81">
        <v>39326</v>
      </c>
      <c r="F166" s="82">
        <v>57.16</v>
      </c>
      <c r="G166" s="82">
        <v>53.2</v>
      </c>
      <c r="P166" s="82">
        <v>52.4</v>
      </c>
      <c r="S166" s="82">
        <v>54.2282350566784</v>
      </c>
      <c r="W166" s="82">
        <v>51.63</v>
      </c>
      <c r="Y166" s="82">
        <v>50.8</v>
      </c>
      <c r="AC166" s="82">
        <v>55.1</v>
      </c>
    </row>
    <row r="167" spans="1:29" x14ac:dyDescent="0.2">
      <c r="A167" s="81">
        <v>39356</v>
      </c>
      <c r="F167" s="82">
        <v>59.94</v>
      </c>
      <c r="G167" s="82">
        <v>51.5</v>
      </c>
      <c r="P167" s="82">
        <v>51.3</v>
      </c>
      <c r="S167" s="82">
        <v>57.433784173576299</v>
      </c>
      <c r="W167" s="82">
        <v>54.4</v>
      </c>
      <c r="Y167" s="82">
        <v>49.6</v>
      </c>
      <c r="AC167" s="82">
        <v>52.9</v>
      </c>
    </row>
    <row r="168" spans="1:29" x14ac:dyDescent="0.2">
      <c r="A168" s="81">
        <v>39387</v>
      </c>
      <c r="F168" s="82">
        <v>57.03</v>
      </c>
      <c r="G168" s="82">
        <v>52.8</v>
      </c>
      <c r="P168" s="82">
        <v>51.3</v>
      </c>
      <c r="S168" s="82">
        <v>57.155724465306697</v>
      </c>
      <c r="W168" s="82">
        <v>53.96</v>
      </c>
      <c r="Y168" s="82">
        <v>50.7</v>
      </c>
      <c r="AC168" s="82">
        <v>54.4</v>
      </c>
    </row>
    <row r="169" spans="1:29" x14ac:dyDescent="0.2">
      <c r="A169" s="81">
        <v>39417</v>
      </c>
      <c r="F169" s="82">
        <v>55.62</v>
      </c>
      <c r="G169" s="82">
        <v>52.6</v>
      </c>
      <c r="P169" s="82">
        <v>50.7</v>
      </c>
      <c r="S169" s="82">
        <v>53.153499590717303</v>
      </c>
      <c r="W169" s="82">
        <v>53.23</v>
      </c>
      <c r="Y169" s="82">
        <v>49.5</v>
      </c>
      <c r="AC169" s="82">
        <v>52.9</v>
      </c>
    </row>
    <row r="170" spans="1:29" x14ac:dyDescent="0.2">
      <c r="A170" s="81">
        <v>39448</v>
      </c>
      <c r="F170" s="82">
        <v>56.34</v>
      </c>
      <c r="G170" s="82">
        <v>52.8</v>
      </c>
      <c r="P170" s="82">
        <v>50.8</v>
      </c>
      <c r="S170" s="82">
        <v>53.080817306480398</v>
      </c>
      <c r="W170" s="82">
        <v>51.3</v>
      </c>
      <c r="Y170" s="82">
        <v>49.8</v>
      </c>
      <c r="AC170" s="82">
        <v>50.6</v>
      </c>
    </row>
    <row r="171" spans="1:29" x14ac:dyDescent="0.2">
      <c r="A171" s="81">
        <v>39478</v>
      </c>
      <c r="I171" s="82">
        <v>54.4</v>
      </c>
    </row>
    <row r="172" spans="1:29" x14ac:dyDescent="0.2">
      <c r="A172" s="81">
        <v>39479</v>
      </c>
      <c r="F172" s="82">
        <v>64.819999999999993</v>
      </c>
      <c r="G172" s="82">
        <v>52.3</v>
      </c>
      <c r="I172" s="82">
        <v>54.3</v>
      </c>
      <c r="P172" s="82">
        <v>50.6</v>
      </c>
      <c r="Q172" s="82">
        <v>50.8</v>
      </c>
      <c r="S172" s="82">
        <v>52.568361901912901</v>
      </c>
      <c r="W172" s="82">
        <v>45.75</v>
      </c>
      <c r="Y172" s="82">
        <v>46.7</v>
      </c>
      <c r="AC172" s="82">
        <v>51.3</v>
      </c>
    </row>
    <row r="173" spans="1:29" x14ac:dyDescent="0.2">
      <c r="A173" s="81">
        <v>39508</v>
      </c>
      <c r="F173" s="82">
        <v>57.03</v>
      </c>
      <c r="G173" s="82">
        <v>52</v>
      </c>
      <c r="I173" s="82">
        <v>54.9</v>
      </c>
      <c r="P173" s="82">
        <v>49.4</v>
      </c>
      <c r="Q173" s="82">
        <v>49.5</v>
      </c>
      <c r="S173" s="82">
        <v>48.114001410038803</v>
      </c>
      <c r="W173" s="82">
        <v>44.21</v>
      </c>
      <c r="Y173" s="82">
        <v>46.4</v>
      </c>
      <c r="AC173" s="82">
        <v>51.3</v>
      </c>
    </row>
    <row r="174" spans="1:29" x14ac:dyDescent="0.2">
      <c r="A174" s="81">
        <v>39539</v>
      </c>
      <c r="F174" s="82">
        <v>44.91</v>
      </c>
      <c r="G174" s="82">
        <v>50.7</v>
      </c>
      <c r="I174" s="82">
        <v>53.6</v>
      </c>
      <c r="P174" s="82">
        <v>48.2</v>
      </c>
      <c r="Q174" s="82">
        <v>48.6</v>
      </c>
      <c r="S174" s="82">
        <v>50.379620041373897</v>
      </c>
      <c r="W174" s="82">
        <v>53.72</v>
      </c>
      <c r="Y174" s="82">
        <v>45.2</v>
      </c>
      <c r="AC174" s="82">
        <v>51</v>
      </c>
    </row>
    <row r="175" spans="1:29" x14ac:dyDescent="0.2">
      <c r="A175" s="81">
        <v>39569</v>
      </c>
      <c r="B175" s="82">
        <v>51.4</v>
      </c>
      <c r="F175" s="82">
        <v>66.78</v>
      </c>
      <c r="G175" s="82">
        <v>50.6</v>
      </c>
      <c r="I175" s="82">
        <v>53.5</v>
      </c>
      <c r="P175" s="82">
        <v>48</v>
      </c>
      <c r="Q175" s="82">
        <v>47.7</v>
      </c>
      <c r="S175" s="82">
        <v>48.254867105237302</v>
      </c>
      <c r="W175" s="82">
        <v>48.8</v>
      </c>
      <c r="Y175" s="82">
        <v>43.8</v>
      </c>
      <c r="AC175" s="82">
        <v>50</v>
      </c>
    </row>
    <row r="176" spans="1:29" x14ac:dyDescent="0.2">
      <c r="A176" s="81">
        <v>39600</v>
      </c>
      <c r="B176" s="82">
        <v>51.2</v>
      </c>
      <c r="F176" s="82">
        <v>62.6</v>
      </c>
      <c r="G176" s="82">
        <v>49.2</v>
      </c>
      <c r="I176" s="82">
        <v>52.3</v>
      </c>
      <c r="P176" s="82">
        <v>46.9</v>
      </c>
      <c r="Q176" s="82">
        <v>46.5</v>
      </c>
      <c r="S176" s="82">
        <v>44.324455950641003</v>
      </c>
      <c r="W176" s="82">
        <v>45.37</v>
      </c>
      <c r="Y176" s="82">
        <v>40.6</v>
      </c>
      <c r="AC176" s="82">
        <v>45.8</v>
      </c>
    </row>
    <row r="177" spans="1:29" x14ac:dyDescent="0.2">
      <c r="A177" s="81">
        <v>39630</v>
      </c>
      <c r="B177" s="82">
        <v>52.7</v>
      </c>
      <c r="F177" s="82">
        <v>38.909999999999997</v>
      </c>
      <c r="G177" s="82">
        <v>47.4</v>
      </c>
      <c r="I177" s="82">
        <v>50.9</v>
      </c>
      <c r="P177" s="82">
        <v>45.3</v>
      </c>
      <c r="Q177" s="82">
        <v>47</v>
      </c>
      <c r="S177" s="82">
        <v>48.173562781692198</v>
      </c>
      <c r="W177" s="82">
        <v>44.8</v>
      </c>
      <c r="Y177" s="82">
        <v>39.200000000000003</v>
      </c>
      <c r="AC177" s="82">
        <v>44.3</v>
      </c>
    </row>
    <row r="178" spans="1:29" x14ac:dyDescent="0.2">
      <c r="A178" s="81">
        <v>39661</v>
      </c>
      <c r="B178" s="82">
        <v>51.2</v>
      </c>
      <c r="F178" s="82">
        <v>48.73</v>
      </c>
      <c r="G178" s="82">
        <v>47.6</v>
      </c>
      <c r="H178" s="82">
        <v>45.1</v>
      </c>
      <c r="I178" s="82">
        <v>49.9</v>
      </c>
      <c r="P178" s="82">
        <v>47.1</v>
      </c>
      <c r="Q178" s="82">
        <v>46.9</v>
      </c>
      <c r="S178" s="82">
        <v>46.094212934239899</v>
      </c>
      <c r="W178" s="82">
        <v>48.3</v>
      </c>
      <c r="Y178" s="82">
        <v>42.4</v>
      </c>
      <c r="AC178" s="82">
        <v>45.9</v>
      </c>
    </row>
    <row r="179" spans="1:29" x14ac:dyDescent="0.2">
      <c r="A179" s="81">
        <v>39692</v>
      </c>
      <c r="B179" s="82">
        <v>47</v>
      </c>
      <c r="F179" s="82">
        <v>52.91</v>
      </c>
      <c r="G179" s="82">
        <v>45</v>
      </c>
      <c r="H179" s="82">
        <v>43.6</v>
      </c>
      <c r="I179" s="82">
        <v>48.1</v>
      </c>
      <c r="P179" s="82">
        <v>44.4</v>
      </c>
      <c r="Q179" s="82">
        <v>44.3</v>
      </c>
      <c r="S179" s="82">
        <v>46.816302534574902</v>
      </c>
      <c r="W179" s="82">
        <v>47.07</v>
      </c>
      <c r="Y179" s="82">
        <v>38.299999999999997</v>
      </c>
      <c r="AC179" s="82">
        <v>41</v>
      </c>
    </row>
    <row r="180" spans="1:29" x14ac:dyDescent="0.2">
      <c r="A180" s="81">
        <v>39722</v>
      </c>
      <c r="B180" s="82">
        <v>46.9</v>
      </c>
      <c r="F180" s="82">
        <v>40.79</v>
      </c>
      <c r="G180" s="82">
        <v>38.9</v>
      </c>
      <c r="H180" s="82">
        <v>40.799999999999997</v>
      </c>
      <c r="I180" s="82">
        <v>43.3</v>
      </c>
      <c r="P180" s="82">
        <v>39.700000000000003</v>
      </c>
      <c r="Q180" s="82">
        <v>42.2</v>
      </c>
      <c r="S180" s="82">
        <v>44.045668643393597</v>
      </c>
      <c r="W180" s="82">
        <v>45.16</v>
      </c>
      <c r="Y180" s="82">
        <v>34.6</v>
      </c>
      <c r="AC180" s="82">
        <v>41.5</v>
      </c>
    </row>
    <row r="181" spans="1:29" x14ac:dyDescent="0.2">
      <c r="A181" s="81">
        <v>39753</v>
      </c>
      <c r="B181" s="82">
        <v>40.4</v>
      </c>
      <c r="F181" s="82">
        <v>45.47</v>
      </c>
      <c r="G181" s="82">
        <v>35.6</v>
      </c>
      <c r="H181" s="82">
        <v>37.9</v>
      </c>
      <c r="I181" s="82">
        <v>36.700000000000003</v>
      </c>
      <c r="P181" s="82">
        <v>34.9</v>
      </c>
      <c r="Q181" s="82">
        <v>36.700000000000003</v>
      </c>
      <c r="S181" s="82">
        <v>36.083796175526899</v>
      </c>
      <c r="W181" s="82">
        <v>38.97</v>
      </c>
      <c r="Y181" s="82">
        <v>29.4</v>
      </c>
      <c r="AC181" s="82">
        <v>34.4</v>
      </c>
    </row>
    <row r="182" spans="1:29" x14ac:dyDescent="0.2">
      <c r="A182" s="81">
        <v>39783</v>
      </c>
      <c r="B182" s="82">
        <v>33.700000000000003</v>
      </c>
      <c r="F182" s="82">
        <v>40.299999999999997</v>
      </c>
      <c r="G182" s="82">
        <v>33.9</v>
      </c>
      <c r="H182" s="82">
        <v>35.9</v>
      </c>
      <c r="I182" s="82">
        <v>33.5</v>
      </c>
      <c r="P182" s="82">
        <v>35.5</v>
      </c>
      <c r="Q182" s="82">
        <v>30.8</v>
      </c>
      <c r="S182" s="82">
        <v>42.435398240949702</v>
      </c>
      <c r="W182" s="82">
        <v>40.24</v>
      </c>
      <c r="Y182" s="82">
        <v>28.5</v>
      </c>
      <c r="AC182" s="82">
        <v>34.9</v>
      </c>
    </row>
    <row r="183" spans="1:29" x14ac:dyDescent="0.2">
      <c r="A183" s="81">
        <v>39814</v>
      </c>
      <c r="B183" s="82">
        <v>36.6</v>
      </c>
      <c r="F183" s="82">
        <v>25.32</v>
      </c>
      <c r="G183" s="82">
        <v>34.4</v>
      </c>
      <c r="H183" s="82">
        <v>38.1</v>
      </c>
      <c r="I183" s="82">
        <v>32</v>
      </c>
      <c r="P183" s="82">
        <v>36.1</v>
      </c>
      <c r="Q183" s="82">
        <v>29.6</v>
      </c>
      <c r="S183" s="82">
        <v>42.236706316594997</v>
      </c>
      <c r="W183" s="82">
        <v>39.9</v>
      </c>
      <c r="Y183" s="82">
        <v>31.5</v>
      </c>
      <c r="AC183" s="82">
        <v>35.799999999999997</v>
      </c>
    </row>
    <row r="184" spans="1:29" x14ac:dyDescent="0.2">
      <c r="A184" s="81">
        <v>39845</v>
      </c>
      <c r="B184" s="82">
        <v>31.7</v>
      </c>
      <c r="F184" s="82">
        <v>25.02</v>
      </c>
      <c r="G184" s="82">
        <v>33.5</v>
      </c>
      <c r="H184" s="82">
        <v>32.299999999999997</v>
      </c>
      <c r="I184" s="82">
        <v>32.200000000000003</v>
      </c>
      <c r="P184" s="82">
        <v>35</v>
      </c>
      <c r="Q184" s="82">
        <v>31.6</v>
      </c>
      <c r="S184" s="82">
        <v>38.936383749853697</v>
      </c>
      <c r="W184" s="82">
        <v>37.590000000000003</v>
      </c>
      <c r="Y184" s="82">
        <v>31.8</v>
      </c>
      <c r="AC184" s="82">
        <v>34.700000000000003</v>
      </c>
    </row>
    <row r="185" spans="1:29" x14ac:dyDescent="0.2">
      <c r="A185" s="81">
        <v>39873</v>
      </c>
      <c r="B185" s="82">
        <v>33.4</v>
      </c>
      <c r="F185" s="82">
        <v>30.56</v>
      </c>
      <c r="G185" s="82">
        <v>33.9</v>
      </c>
      <c r="H185" s="82">
        <v>36.299999999999997</v>
      </c>
      <c r="I185" s="82">
        <v>32.4</v>
      </c>
      <c r="P185" s="82">
        <v>34.6</v>
      </c>
      <c r="Q185" s="82">
        <v>33.799999999999997</v>
      </c>
      <c r="S185" s="82">
        <v>41.563078337337402</v>
      </c>
      <c r="W185" s="82">
        <v>35.76</v>
      </c>
      <c r="Y185" s="82">
        <v>32.9</v>
      </c>
      <c r="AC185" s="82">
        <v>39.1</v>
      </c>
    </row>
    <row r="186" spans="1:29" x14ac:dyDescent="0.2">
      <c r="A186" s="81">
        <v>39904</v>
      </c>
      <c r="B186" s="82">
        <v>30.1</v>
      </c>
      <c r="F186" s="82">
        <v>34.450000000000003</v>
      </c>
      <c r="G186" s="82">
        <v>36.799999999999997</v>
      </c>
      <c r="H186" s="82">
        <v>40</v>
      </c>
      <c r="I186" s="82">
        <v>35</v>
      </c>
      <c r="P186" s="82">
        <v>37.200000000000003</v>
      </c>
      <c r="Q186" s="82">
        <v>41.4</v>
      </c>
      <c r="S186" s="82">
        <v>43.348295431938503</v>
      </c>
      <c r="W186" s="82">
        <v>35.090000000000003</v>
      </c>
      <c r="Y186" s="82">
        <v>34.6</v>
      </c>
      <c r="AC186" s="82">
        <v>42.9</v>
      </c>
    </row>
    <row r="187" spans="1:29" x14ac:dyDescent="0.2">
      <c r="A187" s="81">
        <v>39934</v>
      </c>
      <c r="B187" s="82">
        <v>37.5</v>
      </c>
      <c r="F187" s="82">
        <v>27.75</v>
      </c>
      <c r="G187" s="82">
        <v>40.700000000000003</v>
      </c>
      <c r="H187" s="82">
        <v>43.1</v>
      </c>
      <c r="I187" s="82">
        <v>39.6</v>
      </c>
      <c r="P187" s="82">
        <v>41.1</v>
      </c>
      <c r="Q187" s="82">
        <v>46.6</v>
      </c>
      <c r="S187" s="82">
        <v>41.874722452342098</v>
      </c>
      <c r="W187" s="82">
        <v>37.520000000000003</v>
      </c>
      <c r="Y187" s="82">
        <v>39.799999999999997</v>
      </c>
      <c r="AC187" s="82">
        <v>45.4</v>
      </c>
    </row>
    <row r="188" spans="1:29" x14ac:dyDescent="0.2">
      <c r="A188" s="81">
        <v>39965</v>
      </c>
      <c r="B188" s="82">
        <v>38.4</v>
      </c>
      <c r="F188" s="82">
        <v>42</v>
      </c>
      <c r="G188" s="82">
        <v>42.6</v>
      </c>
      <c r="H188" s="82">
        <v>45.9</v>
      </c>
      <c r="I188" s="82">
        <v>40.9</v>
      </c>
      <c r="P188" s="82">
        <v>42.7</v>
      </c>
      <c r="Q188" s="82">
        <v>48.2</v>
      </c>
      <c r="S188" s="82">
        <v>45.561029356135201</v>
      </c>
      <c r="W188" s="82">
        <v>39.700000000000003</v>
      </c>
      <c r="Y188" s="82">
        <v>42.8</v>
      </c>
      <c r="AC188" s="82">
        <v>47</v>
      </c>
    </row>
    <row r="189" spans="1:29" x14ac:dyDescent="0.2">
      <c r="A189" s="81">
        <v>39995</v>
      </c>
      <c r="B189" s="82">
        <v>44.5</v>
      </c>
      <c r="F189" s="82">
        <v>47.7</v>
      </c>
      <c r="G189" s="82">
        <v>46.3</v>
      </c>
      <c r="H189" s="82">
        <v>50.2</v>
      </c>
      <c r="I189" s="82">
        <v>45.2</v>
      </c>
      <c r="P189" s="82">
        <v>45.4</v>
      </c>
      <c r="Q189" s="82">
        <v>50.4</v>
      </c>
      <c r="S189" s="82">
        <v>49.734183405407201</v>
      </c>
      <c r="W189" s="82">
        <v>39.43</v>
      </c>
      <c r="Y189" s="82">
        <v>47.3</v>
      </c>
      <c r="AC189" s="82">
        <v>50.8</v>
      </c>
    </row>
    <row r="190" spans="1:29" x14ac:dyDescent="0.2">
      <c r="A190" s="81">
        <v>40026</v>
      </c>
      <c r="B190" s="82">
        <v>51.7</v>
      </c>
      <c r="F190" s="82">
        <v>42.59</v>
      </c>
      <c r="G190" s="82">
        <v>48.2</v>
      </c>
      <c r="H190" s="82">
        <v>52.5</v>
      </c>
      <c r="I190" s="82">
        <v>49</v>
      </c>
      <c r="P190" s="82">
        <v>44.2</v>
      </c>
      <c r="Q190" s="82">
        <v>53.6</v>
      </c>
      <c r="S190" s="82">
        <v>49.642350273864402</v>
      </c>
      <c r="W190" s="82">
        <v>40.659999999999997</v>
      </c>
      <c r="Y190" s="82">
        <v>47.2</v>
      </c>
      <c r="AC190" s="82">
        <v>49.7</v>
      </c>
    </row>
    <row r="191" spans="1:29" x14ac:dyDescent="0.2">
      <c r="A191" s="81">
        <v>40057</v>
      </c>
      <c r="B191" s="82">
        <v>52</v>
      </c>
      <c r="F191" s="82">
        <v>42.73</v>
      </c>
      <c r="G191" s="82">
        <v>49.3</v>
      </c>
      <c r="H191" s="82">
        <v>53</v>
      </c>
      <c r="I191" s="82">
        <v>49.6</v>
      </c>
      <c r="P191" s="82">
        <v>47.6</v>
      </c>
      <c r="Q191" s="82">
        <v>54.5</v>
      </c>
      <c r="S191" s="82">
        <v>52.680029270514602</v>
      </c>
      <c r="W191" s="82">
        <v>47.46</v>
      </c>
      <c r="Y191" s="82">
        <v>45.8</v>
      </c>
      <c r="AC191" s="82">
        <v>49.5</v>
      </c>
    </row>
    <row r="192" spans="1:29" x14ac:dyDescent="0.2">
      <c r="A192" s="81">
        <v>40087</v>
      </c>
      <c r="B192" s="82">
        <v>51.7</v>
      </c>
      <c r="F192" s="82">
        <v>49.89</v>
      </c>
      <c r="G192" s="82">
        <v>50.7</v>
      </c>
      <c r="H192" s="82">
        <v>54.2</v>
      </c>
      <c r="I192" s="82">
        <v>51.1</v>
      </c>
      <c r="P192" s="82">
        <v>49.2</v>
      </c>
      <c r="Q192" s="82">
        <v>54.3</v>
      </c>
      <c r="S192" s="82">
        <v>51.7262292777555</v>
      </c>
      <c r="W192" s="82">
        <v>47.74</v>
      </c>
      <c r="Y192" s="82">
        <v>46.3</v>
      </c>
      <c r="AC192" s="82">
        <v>53.7</v>
      </c>
    </row>
    <row r="193" spans="1:30" x14ac:dyDescent="0.2">
      <c r="A193" s="81">
        <v>40118</v>
      </c>
      <c r="B193" s="82">
        <v>51.2</v>
      </c>
      <c r="F193" s="82">
        <v>50.67</v>
      </c>
      <c r="G193" s="82">
        <v>51.2</v>
      </c>
      <c r="H193" s="82">
        <v>54.4</v>
      </c>
      <c r="I193" s="82">
        <v>52.4</v>
      </c>
      <c r="P193" s="82">
        <v>50.1</v>
      </c>
      <c r="Q193" s="82">
        <v>52.3</v>
      </c>
      <c r="S193" s="82">
        <v>53.326198285872401</v>
      </c>
      <c r="W193" s="82">
        <v>49.48</v>
      </c>
      <c r="Y193" s="82">
        <v>45.3</v>
      </c>
      <c r="AC193" s="82">
        <v>51.8</v>
      </c>
    </row>
    <row r="194" spans="1:30" x14ac:dyDescent="0.2">
      <c r="A194" s="81">
        <v>40148</v>
      </c>
      <c r="B194" s="82">
        <v>48.5</v>
      </c>
      <c r="F194" s="82">
        <v>49.48</v>
      </c>
      <c r="G194" s="82">
        <v>51.6</v>
      </c>
      <c r="H194" s="82">
        <v>54.7</v>
      </c>
      <c r="I194" s="82">
        <v>53.1</v>
      </c>
      <c r="P194" s="82">
        <v>50.8</v>
      </c>
      <c r="Q194" s="82">
        <v>53.8</v>
      </c>
      <c r="S194" s="82">
        <v>53.1454156225943</v>
      </c>
      <c r="W194" s="82">
        <v>52.58</v>
      </c>
      <c r="Y194" s="82">
        <v>45.2</v>
      </c>
      <c r="AC194" s="82">
        <v>54.1</v>
      </c>
    </row>
    <row r="195" spans="1:30" x14ac:dyDescent="0.2">
      <c r="A195" s="81">
        <v>40179</v>
      </c>
      <c r="B195" s="82">
        <v>51</v>
      </c>
      <c r="F195" s="82">
        <v>50.96</v>
      </c>
      <c r="G195" s="82">
        <v>52.4</v>
      </c>
      <c r="H195" s="82">
        <v>54.6</v>
      </c>
      <c r="I195" s="82">
        <v>53.4</v>
      </c>
      <c r="P195" s="82">
        <v>51.7</v>
      </c>
      <c r="Q195" s="82">
        <v>52.5</v>
      </c>
      <c r="S195" s="82">
        <v>51.823641067846701</v>
      </c>
      <c r="W195" s="82">
        <v>52.14</v>
      </c>
      <c r="Y195" s="82">
        <v>45.3</v>
      </c>
      <c r="AC195" s="82">
        <v>56.7</v>
      </c>
    </row>
    <row r="196" spans="1:30" x14ac:dyDescent="0.2">
      <c r="A196" s="81">
        <v>40210</v>
      </c>
      <c r="B196" s="82">
        <v>53.8</v>
      </c>
      <c r="F196" s="82">
        <v>48.93</v>
      </c>
      <c r="G196" s="82">
        <v>54.2</v>
      </c>
      <c r="H196" s="82">
        <v>56.3</v>
      </c>
      <c r="I196" s="82">
        <v>57.2</v>
      </c>
      <c r="P196" s="82">
        <v>51.6</v>
      </c>
      <c r="Q196" s="82">
        <v>52.5</v>
      </c>
      <c r="S196" s="82">
        <v>52.533413447435898</v>
      </c>
      <c r="W196" s="82">
        <v>55.72</v>
      </c>
      <c r="Y196" s="82">
        <v>49.1</v>
      </c>
      <c r="AC196" s="82">
        <v>56.6</v>
      </c>
    </row>
    <row r="197" spans="1:30" x14ac:dyDescent="0.2">
      <c r="A197" s="81">
        <v>40238</v>
      </c>
      <c r="B197" s="82">
        <v>50.2</v>
      </c>
      <c r="F197" s="82">
        <v>51.66</v>
      </c>
      <c r="G197" s="82">
        <v>56.6</v>
      </c>
      <c r="H197" s="82">
        <v>56.7</v>
      </c>
      <c r="I197" s="82">
        <v>59.6</v>
      </c>
      <c r="P197" s="82">
        <v>53.7</v>
      </c>
      <c r="Q197" s="82">
        <v>52.4</v>
      </c>
      <c r="S197" s="82">
        <v>55.832523203119003</v>
      </c>
      <c r="W197" s="82">
        <v>53.65</v>
      </c>
      <c r="Y197" s="82">
        <v>51.8</v>
      </c>
      <c r="AC197" s="82">
        <v>57.2</v>
      </c>
    </row>
    <row r="198" spans="1:30" x14ac:dyDescent="0.2">
      <c r="A198" s="81">
        <v>40269</v>
      </c>
      <c r="B198" s="82">
        <v>59.8</v>
      </c>
      <c r="F198" s="82">
        <v>49.02</v>
      </c>
      <c r="G198" s="82">
        <v>57.6</v>
      </c>
      <c r="H198" s="82">
        <v>56.6</v>
      </c>
      <c r="I198" s="82">
        <v>61.5</v>
      </c>
      <c r="P198" s="82">
        <v>54.3</v>
      </c>
      <c r="Q198" s="82">
        <v>53.5</v>
      </c>
      <c r="S198" s="82">
        <v>58.4019949666218</v>
      </c>
      <c r="W198" s="82">
        <v>53.24</v>
      </c>
      <c r="Y198" s="82">
        <v>53.3</v>
      </c>
      <c r="AC198" s="82">
        <v>58</v>
      </c>
    </row>
    <row r="199" spans="1:30" x14ac:dyDescent="0.2">
      <c r="A199" s="81">
        <v>40299</v>
      </c>
      <c r="B199" s="82">
        <v>56.3</v>
      </c>
      <c r="F199" s="82">
        <v>51.33</v>
      </c>
      <c r="G199" s="82">
        <v>55.8</v>
      </c>
      <c r="H199" s="82">
        <v>55.8</v>
      </c>
      <c r="I199" s="82">
        <v>58.4</v>
      </c>
      <c r="P199" s="82">
        <v>54</v>
      </c>
      <c r="Q199" s="82">
        <v>54.7</v>
      </c>
      <c r="S199" s="82">
        <v>51.8006228698843</v>
      </c>
      <c r="W199" s="82">
        <v>51.19</v>
      </c>
      <c r="Y199" s="82">
        <v>51.5</v>
      </c>
      <c r="AC199" s="82">
        <v>58</v>
      </c>
    </row>
    <row r="200" spans="1:30" x14ac:dyDescent="0.2">
      <c r="A200" s="81">
        <v>40330</v>
      </c>
      <c r="B200" s="82">
        <v>52.9</v>
      </c>
      <c r="F200" s="82">
        <v>50.2</v>
      </c>
      <c r="G200" s="82">
        <v>55.6</v>
      </c>
      <c r="H200" s="82">
        <v>53.7</v>
      </c>
      <c r="I200" s="82">
        <v>58.1</v>
      </c>
      <c r="P200" s="82">
        <v>54.3</v>
      </c>
      <c r="Q200" s="82">
        <v>53.9</v>
      </c>
      <c r="S200" s="82">
        <v>54.885916458142702</v>
      </c>
      <c r="W200" s="82">
        <v>50.84</v>
      </c>
      <c r="Y200" s="82">
        <v>51.2</v>
      </c>
      <c r="AC200" s="82">
        <v>57.5</v>
      </c>
    </row>
    <row r="201" spans="1:30" x14ac:dyDescent="0.2">
      <c r="A201" s="81">
        <v>40360</v>
      </c>
      <c r="B201" s="82">
        <v>54.4</v>
      </c>
      <c r="F201" s="82">
        <v>54.3</v>
      </c>
      <c r="G201" s="82">
        <v>56.7</v>
      </c>
      <c r="H201" s="82">
        <v>54.7</v>
      </c>
      <c r="I201" s="82">
        <v>61.2</v>
      </c>
      <c r="P201" s="82">
        <v>54.4</v>
      </c>
      <c r="Q201" s="82">
        <v>52.8</v>
      </c>
      <c r="S201" s="82">
        <v>50.256943813857902</v>
      </c>
      <c r="W201" s="82">
        <v>52.65</v>
      </c>
      <c r="Y201" s="82">
        <v>51.6</v>
      </c>
      <c r="AC201" s="82">
        <v>57.3</v>
      </c>
    </row>
    <row r="202" spans="1:30" x14ac:dyDescent="0.2">
      <c r="A202" s="81">
        <v>40391</v>
      </c>
      <c r="B202" s="82">
        <v>51.7</v>
      </c>
      <c r="F202" s="82">
        <v>54.73</v>
      </c>
      <c r="G202" s="82">
        <v>55.1</v>
      </c>
      <c r="H202" s="82">
        <v>55.4</v>
      </c>
      <c r="I202" s="82">
        <v>58.2</v>
      </c>
      <c r="P202" s="82">
        <v>52.8</v>
      </c>
      <c r="Q202" s="82">
        <v>50.1</v>
      </c>
      <c r="S202" s="82">
        <v>50.288913340954501</v>
      </c>
      <c r="W202" s="82">
        <v>51.95</v>
      </c>
      <c r="Y202" s="82">
        <v>51.2</v>
      </c>
      <c r="AC202" s="82">
        <v>54.3</v>
      </c>
    </row>
    <row r="203" spans="1:30" x14ac:dyDescent="0.2">
      <c r="A203" s="81">
        <v>40422</v>
      </c>
      <c r="B203" s="82">
        <v>47.3</v>
      </c>
      <c r="F203" s="82">
        <v>56.27</v>
      </c>
      <c r="G203" s="82">
        <v>53.7</v>
      </c>
      <c r="H203" s="82">
        <v>55.2</v>
      </c>
      <c r="I203" s="82">
        <v>55.3</v>
      </c>
      <c r="P203" s="82">
        <v>52.6</v>
      </c>
      <c r="Q203" s="82">
        <v>49.5</v>
      </c>
      <c r="S203" s="82">
        <v>50.989279973423798</v>
      </c>
      <c r="W203" s="82">
        <v>50.14</v>
      </c>
      <c r="Y203" s="82">
        <v>49.6</v>
      </c>
      <c r="AC203" s="82">
        <v>53.4</v>
      </c>
    </row>
    <row r="204" spans="1:30" x14ac:dyDescent="0.2">
      <c r="A204" s="81">
        <v>40452</v>
      </c>
      <c r="B204" s="82">
        <v>49.4</v>
      </c>
      <c r="C204" s="82">
        <v>49.5</v>
      </c>
      <c r="E204" s="82">
        <v>57.2</v>
      </c>
      <c r="F204" s="82">
        <v>56.89</v>
      </c>
      <c r="G204" s="82">
        <v>54.6</v>
      </c>
      <c r="H204" s="82">
        <v>57.5</v>
      </c>
      <c r="I204" s="82">
        <v>56.6</v>
      </c>
      <c r="J204" s="82">
        <v>53.7</v>
      </c>
      <c r="M204" s="82">
        <v>57.2</v>
      </c>
      <c r="O204" s="82">
        <v>50.9</v>
      </c>
      <c r="P204" s="82">
        <v>53</v>
      </c>
      <c r="Q204" s="82">
        <v>47.2</v>
      </c>
      <c r="S204" s="82">
        <v>51.425226109909701</v>
      </c>
      <c r="T204" s="82">
        <v>55.6</v>
      </c>
      <c r="U204" s="82">
        <v>51.8</v>
      </c>
      <c r="W204" s="82">
        <v>51.35</v>
      </c>
      <c r="Y204" s="82">
        <v>51.2</v>
      </c>
      <c r="Z204" s="82">
        <v>48.6</v>
      </c>
      <c r="AB204" s="82" t="s">
        <v>121</v>
      </c>
      <c r="AC204" s="82">
        <v>54.9</v>
      </c>
      <c r="AD204" s="82">
        <v>56.9</v>
      </c>
    </row>
    <row r="205" spans="1:30" x14ac:dyDescent="0.2">
      <c r="A205" s="81">
        <v>40482</v>
      </c>
      <c r="K205" s="82">
        <v>43.6</v>
      </c>
    </row>
    <row r="206" spans="1:30" x14ac:dyDescent="0.2">
      <c r="A206" s="81">
        <v>40483</v>
      </c>
      <c r="B206" s="82">
        <v>47.6</v>
      </c>
      <c r="C206" s="82">
        <v>49.9</v>
      </c>
      <c r="E206" s="82">
        <v>57.3</v>
      </c>
      <c r="F206" s="82">
        <v>55.8</v>
      </c>
      <c r="G206" s="82">
        <v>55.3</v>
      </c>
      <c r="H206" s="82">
        <v>56.3</v>
      </c>
      <c r="I206" s="82">
        <v>58.1</v>
      </c>
      <c r="J206" s="82">
        <v>54</v>
      </c>
      <c r="K206" s="82">
        <v>43.9</v>
      </c>
      <c r="M206" s="82">
        <v>58.4</v>
      </c>
      <c r="O206" s="82">
        <v>51.2</v>
      </c>
      <c r="P206" s="82">
        <v>52</v>
      </c>
      <c r="Q206" s="82">
        <v>47.3</v>
      </c>
      <c r="S206" s="82">
        <v>54.9544836853158</v>
      </c>
      <c r="T206" s="82">
        <v>55.9</v>
      </c>
      <c r="U206" s="82">
        <v>51.1</v>
      </c>
      <c r="W206" s="82">
        <v>52.54</v>
      </c>
      <c r="Y206" s="82">
        <v>50</v>
      </c>
      <c r="Z206" s="82">
        <v>51.7</v>
      </c>
      <c r="AB206" s="82">
        <v>56.4</v>
      </c>
      <c r="AC206" s="82">
        <v>58</v>
      </c>
      <c r="AD206" s="82">
        <v>56.6</v>
      </c>
    </row>
    <row r="207" spans="1:30" x14ac:dyDescent="0.2">
      <c r="A207" s="81">
        <v>40513</v>
      </c>
      <c r="B207" s="82">
        <v>46.3</v>
      </c>
      <c r="C207" s="82">
        <v>52.4</v>
      </c>
      <c r="E207" s="82">
        <v>58.4</v>
      </c>
      <c r="F207" s="82">
        <v>62.4</v>
      </c>
      <c r="G207" s="82">
        <v>57.1</v>
      </c>
      <c r="H207" s="82">
        <v>54.3</v>
      </c>
      <c r="I207" s="82">
        <v>60.9</v>
      </c>
      <c r="J207" s="82">
        <v>54.9</v>
      </c>
      <c r="K207" s="82">
        <v>43.1</v>
      </c>
      <c r="M207" s="82">
        <v>56.7</v>
      </c>
      <c r="O207" s="82">
        <v>52.2</v>
      </c>
      <c r="P207" s="82">
        <v>54.7</v>
      </c>
      <c r="Q207" s="82">
        <v>48.3</v>
      </c>
      <c r="S207" s="82">
        <v>53.213836822334102</v>
      </c>
      <c r="T207" s="82">
        <v>56.3</v>
      </c>
      <c r="U207" s="82">
        <v>53.5</v>
      </c>
      <c r="W207" s="82">
        <v>52.81</v>
      </c>
      <c r="X207" s="82">
        <v>53.9</v>
      </c>
      <c r="Y207" s="82">
        <v>51.5</v>
      </c>
      <c r="Z207" s="82">
        <v>51.7</v>
      </c>
      <c r="AB207" s="82">
        <v>56.4</v>
      </c>
      <c r="AC207" s="82">
        <v>58.3</v>
      </c>
      <c r="AD207" s="82">
        <v>57</v>
      </c>
    </row>
    <row r="208" spans="1:30" x14ac:dyDescent="0.2">
      <c r="A208" s="81">
        <v>40544</v>
      </c>
      <c r="B208" s="82">
        <v>46.7</v>
      </c>
      <c r="C208" s="82">
        <v>53.1</v>
      </c>
      <c r="E208" s="82">
        <v>60.5</v>
      </c>
      <c r="F208" s="82">
        <v>57.21</v>
      </c>
      <c r="G208" s="82">
        <v>57.3</v>
      </c>
      <c r="H208" s="82">
        <v>54.9</v>
      </c>
      <c r="I208" s="82">
        <v>60.5</v>
      </c>
      <c r="J208" s="82">
        <v>57.2</v>
      </c>
      <c r="K208" s="82">
        <v>42.8</v>
      </c>
      <c r="M208" s="82">
        <v>56.8</v>
      </c>
      <c r="O208" s="82">
        <v>55.8</v>
      </c>
      <c r="P208" s="82">
        <v>56.6</v>
      </c>
      <c r="Q208" s="82">
        <v>51.4</v>
      </c>
      <c r="S208" s="82">
        <v>52.941418710448602</v>
      </c>
      <c r="T208" s="82">
        <v>55.6</v>
      </c>
      <c r="U208" s="82">
        <v>53.5</v>
      </c>
      <c r="W208" s="82">
        <v>53.56</v>
      </c>
      <c r="X208" s="82">
        <v>53.5</v>
      </c>
      <c r="Y208" s="82">
        <v>52</v>
      </c>
      <c r="Z208" s="82">
        <v>54.6</v>
      </c>
      <c r="AB208" s="82">
        <v>57.2</v>
      </c>
      <c r="AC208" s="82">
        <v>62</v>
      </c>
      <c r="AD208" s="82">
        <v>60.8</v>
      </c>
    </row>
    <row r="209" spans="1:30" x14ac:dyDescent="0.2">
      <c r="A209" s="81">
        <v>40575</v>
      </c>
      <c r="B209" s="82">
        <v>51.1</v>
      </c>
      <c r="C209" s="82">
        <v>54.6</v>
      </c>
      <c r="E209" s="82">
        <v>59.8</v>
      </c>
      <c r="F209" s="82">
        <v>60.78</v>
      </c>
      <c r="G209" s="82">
        <v>59</v>
      </c>
      <c r="H209" s="82">
        <v>56.6</v>
      </c>
      <c r="I209" s="82">
        <v>62.7</v>
      </c>
      <c r="J209" s="82">
        <v>58.2</v>
      </c>
      <c r="K209" s="82">
        <v>43.8</v>
      </c>
      <c r="M209" s="82">
        <v>57.9</v>
      </c>
      <c r="O209" s="82">
        <v>56.7</v>
      </c>
      <c r="P209" s="82">
        <v>59</v>
      </c>
      <c r="Q209" s="82">
        <v>52.9</v>
      </c>
      <c r="S209" s="82">
        <v>51.296148060149903</v>
      </c>
      <c r="T209" s="82">
        <v>53.8</v>
      </c>
      <c r="U209" s="82">
        <v>56.4</v>
      </c>
      <c r="W209" s="82">
        <v>51.49</v>
      </c>
      <c r="X209" s="82">
        <v>53.4</v>
      </c>
      <c r="Y209" s="82">
        <v>52.1</v>
      </c>
      <c r="Z209" s="82">
        <v>55.8</v>
      </c>
      <c r="AB209" s="82">
        <v>58.5</v>
      </c>
      <c r="AC209" s="82">
        <v>64.5</v>
      </c>
      <c r="AD209" s="82">
        <v>61.4</v>
      </c>
    </row>
    <row r="210" spans="1:30" x14ac:dyDescent="0.2">
      <c r="A210" s="81">
        <v>40603</v>
      </c>
      <c r="B210" s="82">
        <v>47.9</v>
      </c>
      <c r="C210" s="82">
        <v>53.2</v>
      </c>
      <c r="E210" s="82">
        <v>58.6</v>
      </c>
      <c r="F210" s="82">
        <v>62.07</v>
      </c>
      <c r="G210" s="82">
        <v>57.5</v>
      </c>
      <c r="H210" s="82">
        <v>56.9</v>
      </c>
      <c r="I210" s="82">
        <v>60.9</v>
      </c>
      <c r="J210" s="82">
        <v>56</v>
      </c>
      <c r="K210" s="82">
        <v>45.4</v>
      </c>
      <c r="M210" s="82">
        <v>57.9</v>
      </c>
      <c r="O210" s="82">
        <v>55.7</v>
      </c>
      <c r="P210" s="82">
        <v>56.2</v>
      </c>
      <c r="Q210" s="82">
        <v>46.4</v>
      </c>
      <c r="S210" s="82">
        <v>49.030116711296003</v>
      </c>
      <c r="T210" s="82">
        <v>54.8</v>
      </c>
      <c r="U210" s="82">
        <v>55.1</v>
      </c>
      <c r="W210" s="82">
        <v>54.71</v>
      </c>
      <c r="X210" s="82">
        <v>52.8</v>
      </c>
      <c r="Y210" s="82">
        <v>51.6</v>
      </c>
      <c r="Z210" s="82">
        <v>55.6</v>
      </c>
      <c r="AB210" s="82">
        <v>56.1</v>
      </c>
      <c r="AC210" s="82">
        <v>57.1</v>
      </c>
      <c r="AD210" s="82">
        <v>61.2</v>
      </c>
    </row>
    <row r="211" spans="1:30" x14ac:dyDescent="0.2">
      <c r="A211" s="81">
        <v>40634</v>
      </c>
      <c r="B211" s="82">
        <v>48.4</v>
      </c>
      <c r="C211" s="82">
        <v>52.5</v>
      </c>
      <c r="D211" s="82" t="s">
        <v>122</v>
      </c>
      <c r="E211" s="82">
        <v>59</v>
      </c>
      <c r="F211" s="82">
        <v>63.05</v>
      </c>
      <c r="G211" s="82">
        <v>58</v>
      </c>
      <c r="H211" s="82">
        <v>57.5</v>
      </c>
      <c r="I211" s="82">
        <v>62</v>
      </c>
      <c r="J211" s="82">
        <v>55.5</v>
      </c>
      <c r="K211" s="82">
        <v>46.8</v>
      </c>
      <c r="M211" s="82">
        <v>58</v>
      </c>
      <c r="N211" s="82">
        <v>48.1</v>
      </c>
      <c r="O211" s="82">
        <v>56</v>
      </c>
      <c r="P211" s="82">
        <v>55.5</v>
      </c>
      <c r="Q211" s="82">
        <v>45.7</v>
      </c>
      <c r="R211" s="82">
        <v>56.1</v>
      </c>
      <c r="S211" s="82">
        <v>53.0485447056205</v>
      </c>
      <c r="T211" s="82">
        <v>54.4</v>
      </c>
      <c r="U211" s="82">
        <v>52.1</v>
      </c>
      <c r="W211" s="82">
        <v>54.16</v>
      </c>
      <c r="X211" s="82">
        <v>51.7</v>
      </c>
      <c r="Y211" s="82">
        <v>50.6</v>
      </c>
      <c r="Z211" s="82">
        <v>58.2</v>
      </c>
      <c r="AB211" s="82">
        <v>52.7</v>
      </c>
      <c r="AC211" s="82">
        <v>54.6</v>
      </c>
      <c r="AD211" s="82">
        <v>60.4</v>
      </c>
    </row>
    <row r="212" spans="1:30" x14ac:dyDescent="0.2">
      <c r="A212" s="81">
        <v>40664</v>
      </c>
      <c r="B212" s="82">
        <v>47.7</v>
      </c>
      <c r="C212" s="82">
        <v>53</v>
      </c>
      <c r="D212" s="82">
        <v>54.8</v>
      </c>
      <c r="E212" s="82">
        <v>55.9</v>
      </c>
      <c r="F212" s="82">
        <v>58.59</v>
      </c>
      <c r="G212" s="82">
        <v>54.6</v>
      </c>
      <c r="H212" s="82">
        <v>54.9</v>
      </c>
      <c r="I212" s="82">
        <v>57.7</v>
      </c>
      <c r="J212" s="82">
        <v>53.1</v>
      </c>
      <c r="K212" s="82">
        <v>44.5</v>
      </c>
      <c r="M212" s="82">
        <v>57.5</v>
      </c>
      <c r="N212" s="82">
        <v>48</v>
      </c>
      <c r="O212" s="82">
        <v>51.8</v>
      </c>
      <c r="P212" s="82">
        <v>52.8</v>
      </c>
      <c r="Q212" s="82">
        <v>51.3</v>
      </c>
      <c r="R212" s="82">
        <v>54.5</v>
      </c>
      <c r="S212" s="82">
        <v>52.890127153315902</v>
      </c>
      <c r="T212" s="82">
        <v>52.6</v>
      </c>
      <c r="U212" s="82">
        <v>50.9</v>
      </c>
      <c r="W212" s="82">
        <v>54.1</v>
      </c>
      <c r="X212" s="82">
        <v>51.2</v>
      </c>
      <c r="Y212" s="82">
        <v>48.2</v>
      </c>
      <c r="Z212" s="82">
        <v>54.9</v>
      </c>
      <c r="AB212" s="82">
        <v>50.6</v>
      </c>
      <c r="AC212" s="82">
        <v>52.1</v>
      </c>
      <c r="AD212" s="82">
        <v>53.5</v>
      </c>
    </row>
    <row r="213" spans="1:30" x14ac:dyDescent="0.2">
      <c r="A213" s="81">
        <v>40695</v>
      </c>
      <c r="B213" s="82">
        <v>52.9</v>
      </c>
      <c r="C213" s="82">
        <v>49</v>
      </c>
      <c r="D213" s="82">
        <v>52.8</v>
      </c>
      <c r="E213" s="82">
        <v>55.1</v>
      </c>
      <c r="F213" s="82">
        <v>58.05</v>
      </c>
      <c r="G213" s="82">
        <v>52</v>
      </c>
      <c r="H213" s="82">
        <v>50.1</v>
      </c>
      <c r="I213" s="82">
        <v>54.9</v>
      </c>
      <c r="J213" s="82">
        <v>52.8</v>
      </c>
      <c r="K213" s="82">
        <v>45.5</v>
      </c>
      <c r="M213" s="82">
        <v>55.3</v>
      </c>
      <c r="N213" s="82">
        <v>50.5</v>
      </c>
      <c r="O213" s="82">
        <v>49.8</v>
      </c>
      <c r="P213" s="82">
        <v>49.9</v>
      </c>
      <c r="Q213" s="82">
        <v>50.7</v>
      </c>
      <c r="R213" s="82">
        <v>55.1</v>
      </c>
      <c r="S213" s="82">
        <v>54.276686305751802</v>
      </c>
      <c r="T213" s="82">
        <v>51.2</v>
      </c>
      <c r="U213" s="82">
        <v>50.6</v>
      </c>
      <c r="W213" s="82">
        <v>55.16</v>
      </c>
      <c r="X213" s="82">
        <v>51.2</v>
      </c>
      <c r="Y213" s="82">
        <v>47.3</v>
      </c>
      <c r="Z213" s="82">
        <v>49.9</v>
      </c>
      <c r="AB213" s="82">
        <v>52.3</v>
      </c>
      <c r="AC213" s="82">
        <v>51.3</v>
      </c>
      <c r="AD213" s="82">
        <v>55.3</v>
      </c>
    </row>
    <row r="214" spans="1:30" x14ac:dyDescent="0.2">
      <c r="A214" s="81">
        <v>40725</v>
      </c>
      <c r="B214" s="82">
        <v>43.4</v>
      </c>
      <c r="C214" s="82">
        <v>47.8</v>
      </c>
      <c r="D214" s="82">
        <v>53.1</v>
      </c>
      <c r="E214" s="82">
        <v>53.4</v>
      </c>
      <c r="F214" s="82">
        <v>58.37</v>
      </c>
      <c r="G214" s="82">
        <v>50.4</v>
      </c>
      <c r="H214" s="82">
        <v>50.5</v>
      </c>
      <c r="I214" s="82">
        <v>52</v>
      </c>
      <c r="J214" s="82">
        <v>50.9</v>
      </c>
      <c r="K214" s="82">
        <v>45.2</v>
      </c>
      <c r="M214" s="82">
        <v>56.3</v>
      </c>
      <c r="N214" s="82">
        <v>51</v>
      </c>
      <c r="O214" s="82">
        <v>48.2</v>
      </c>
      <c r="P214" s="82">
        <v>50.1</v>
      </c>
      <c r="Q214" s="82">
        <v>52.1</v>
      </c>
      <c r="R214" s="82">
        <v>54.8</v>
      </c>
      <c r="S214" s="82">
        <v>52.914785131054401</v>
      </c>
      <c r="T214" s="82">
        <v>52.9</v>
      </c>
      <c r="U214" s="82">
        <v>49.8</v>
      </c>
      <c r="W214" s="82">
        <v>46.16</v>
      </c>
      <c r="X214" s="82">
        <v>51.1</v>
      </c>
      <c r="Y214" s="82">
        <v>45.6</v>
      </c>
      <c r="Z214" s="82">
        <v>46.1</v>
      </c>
      <c r="AB214" s="82">
        <v>52.3</v>
      </c>
      <c r="AC214" s="82">
        <v>49.1</v>
      </c>
      <c r="AD214" s="82">
        <v>50.9</v>
      </c>
    </row>
    <row r="215" spans="1:30" x14ac:dyDescent="0.2">
      <c r="A215" s="81">
        <v>40756</v>
      </c>
      <c r="B215" s="82">
        <v>43.3</v>
      </c>
      <c r="C215" s="82">
        <v>46</v>
      </c>
      <c r="D215" s="82">
        <v>54.9</v>
      </c>
      <c r="E215" s="82">
        <v>53.4</v>
      </c>
      <c r="F215" s="82">
        <v>55.07</v>
      </c>
      <c r="G215" s="82">
        <v>49</v>
      </c>
      <c r="H215" s="82">
        <v>49.1</v>
      </c>
      <c r="I215" s="82">
        <v>50.9</v>
      </c>
      <c r="J215" s="82">
        <v>50.4</v>
      </c>
      <c r="K215" s="82">
        <v>43.3</v>
      </c>
      <c r="M215" s="82">
        <v>52.6</v>
      </c>
      <c r="N215" s="82">
        <v>50.9</v>
      </c>
      <c r="O215" s="82">
        <v>49.7</v>
      </c>
      <c r="P215" s="82">
        <v>47</v>
      </c>
      <c r="Q215" s="82">
        <v>51.9</v>
      </c>
      <c r="R215" s="82">
        <v>51.7</v>
      </c>
      <c r="S215" s="82">
        <v>53.276022834882099</v>
      </c>
      <c r="T215" s="82">
        <v>51.8</v>
      </c>
      <c r="U215" s="82">
        <v>49.9</v>
      </c>
      <c r="W215" s="82">
        <v>47.73</v>
      </c>
      <c r="X215" s="82">
        <v>51.3</v>
      </c>
      <c r="Y215" s="82">
        <v>45.3</v>
      </c>
      <c r="Z215" s="82">
        <v>45.2</v>
      </c>
      <c r="AB215" s="82">
        <v>49.8</v>
      </c>
      <c r="AC215" s="82">
        <v>49</v>
      </c>
      <c r="AD215" s="82">
        <v>50.6</v>
      </c>
    </row>
    <row r="216" spans="1:30" x14ac:dyDescent="0.2">
      <c r="A216" s="81">
        <v>40787</v>
      </c>
      <c r="B216" s="82">
        <v>42.3</v>
      </c>
      <c r="C216" s="82">
        <v>45.5</v>
      </c>
      <c r="D216" s="82">
        <v>55</v>
      </c>
      <c r="E216" s="82">
        <v>52.3</v>
      </c>
      <c r="F216" s="82">
        <v>64.400000000000006</v>
      </c>
      <c r="G216" s="82">
        <v>48.5</v>
      </c>
      <c r="H216" s="82">
        <v>48.2</v>
      </c>
      <c r="I216" s="82">
        <v>50.3</v>
      </c>
      <c r="J216" s="82">
        <v>50.1</v>
      </c>
      <c r="K216" s="82">
        <v>43.2</v>
      </c>
      <c r="M216" s="82">
        <v>50.4</v>
      </c>
      <c r="N216" s="82">
        <v>49.8</v>
      </c>
      <c r="O216" s="82">
        <v>47.3</v>
      </c>
      <c r="P216" s="82">
        <v>48.3</v>
      </c>
      <c r="Q216" s="82">
        <v>49.3</v>
      </c>
      <c r="R216" s="82">
        <v>53.2</v>
      </c>
      <c r="S216" s="82">
        <v>51.1649272067922</v>
      </c>
      <c r="T216" s="82">
        <v>50.2</v>
      </c>
      <c r="U216" s="82">
        <v>50</v>
      </c>
      <c r="W216" s="82">
        <v>52.45</v>
      </c>
      <c r="X216" s="82">
        <v>49.7</v>
      </c>
      <c r="Y216" s="82">
        <v>43.7</v>
      </c>
      <c r="Z216" s="82">
        <v>44.5</v>
      </c>
      <c r="AB216" s="82">
        <v>51.5</v>
      </c>
      <c r="AC216" s="82">
        <v>51.1</v>
      </c>
      <c r="AD216" s="82">
        <v>51.6</v>
      </c>
    </row>
    <row r="217" spans="1:30" x14ac:dyDescent="0.2">
      <c r="A217" s="81">
        <v>40817</v>
      </c>
      <c r="B217" s="82">
        <v>47.4</v>
      </c>
      <c r="C217" s="82">
        <v>46.5</v>
      </c>
      <c r="D217" s="82">
        <v>53.7</v>
      </c>
      <c r="E217" s="82">
        <v>51.7</v>
      </c>
      <c r="F217" s="82">
        <v>43.91</v>
      </c>
      <c r="G217" s="82">
        <v>47.1</v>
      </c>
      <c r="H217" s="82">
        <v>48.5</v>
      </c>
      <c r="I217" s="82">
        <v>49.1</v>
      </c>
      <c r="J217" s="82">
        <v>49.5</v>
      </c>
      <c r="K217" s="82">
        <v>40.5</v>
      </c>
      <c r="M217" s="82">
        <v>51</v>
      </c>
      <c r="N217" s="82">
        <v>51.3</v>
      </c>
      <c r="O217" s="82">
        <v>50.1</v>
      </c>
      <c r="P217" s="82">
        <v>43.3</v>
      </c>
      <c r="Q217" s="82">
        <v>50.6</v>
      </c>
      <c r="R217" s="82">
        <v>54.8</v>
      </c>
      <c r="S217" s="82">
        <v>47.055625036655101</v>
      </c>
      <c r="T217" s="82">
        <v>51.7</v>
      </c>
      <c r="U217" s="82">
        <v>50.4</v>
      </c>
      <c r="W217" s="82">
        <v>52.18</v>
      </c>
      <c r="X217" s="82">
        <v>47.4</v>
      </c>
      <c r="Y217" s="82">
        <v>43.9</v>
      </c>
      <c r="Z217" s="82">
        <v>48</v>
      </c>
      <c r="AB217" s="82">
        <v>53.3</v>
      </c>
      <c r="AC217" s="82">
        <v>47.4</v>
      </c>
      <c r="AD217" s="82">
        <v>50.8</v>
      </c>
    </row>
    <row r="218" spans="1:30" x14ac:dyDescent="0.2">
      <c r="A218" s="81">
        <v>40848</v>
      </c>
      <c r="B218" s="82">
        <v>47.8</v>
      </c>
      <c r="C218" s="82">
        <v>48.7</v>
      </c>
      <c r="D218" s="82">
        <v>53.3</v>
      </c>
      <c r="E218" s="82">
        <v>48.6</v>
      </c>
      <c r="F218" s="82">
        <v>47.79</v>
      </c>
      <c r="G218" s="82">
        <v>46.4</v>
      </c>
      <c r="H218" s="82">
        <v>47.3</v>
      </c>
      <c r="I218" s="82">
        <v>47.9</v>
      </c>
      <c r="J218" s="82">
        <v>49.6</v>
      </c>
      <c r="K218" s="82">
        <v>40.9</v>
      </c>
      <c r="M218" s="82">
        <v>52</v>
      </c>
      <c r="N218" s="82">
        <v>50.1</v>
      </c>
      <c r="O218" s="82">
        <v>48.5</v>
      </c>
      <c r="P218" s="82">
        <v>44</v>
      </c>
      <c r="Q218" s="82">
        <v>49.1</v>
      </c>
      <c r="R218" s="82">
        <v>53.9</v>
      </c>
      <c r="S218" s="82">
        <v>47.8189290340678</v>
      </c>
      <c r="T218" s="82">
        <v>49.5</v>
      </c>
      <c r="U218" s="82">
        <v>52.6</v>
      </c>
      <c r="W218" s="82">
        <v>51.66</v>
      </c>
      <c r="X218" s="82">
        <v>48</v>
      </c>
      <c r="Y218" s="82">
        <v>43.8</v>
      </c>
      <c r="Z218" s="82">
        <v>47.1</v>
      </c>
      <c r="AB218" s="82">
        <v>52.3</v>
      </c>
      <c r="AC218" s="82">
        <v>47.6</v>
      </c>
      <c r="AD218" s="82">
        <v>52.7</v>
      </c>
    </row>
    <row r="219" spans="1:30" x14ac:dyDescent="0.2">
      <c r="A219" s="81">
        <v>40878</v>
      </c>
      <c r="B219" s="82">
        <v>50.2</v>
      </c>
      <c r="C219" s="82">
        <v>49.3</v>
      </c>
      <c r="D219" s="82">
        <v>54</v>
      </c>
      <c r="E219" s="82">
        <v>49.2</v>
      </c>
      <c r="F219" s="82">
        <v>58.44</v>
      </c>
      <c r="G219" s="82">
        <v>46.9</v>
      </c>
      <c r="H219" s="82">
        <v>48.9</v>
      </c>
      <c r="I219" s="82">
        <v>48.4</v>
      </c>
      <c r="J219" s="82">
        <v>50.4</v>
      </c>
      <c r="K219" s="82">
        <v>42</v>
      </c>
      <c r="M219" s="82">
        <v>57</v>
      </c>
      <c r="N219" s="82">
        <v>48.1</v>
      </c>
      <c r="O219" s="82">
        <v>49.8</v>
      </c>
      <c r="P219" s="82">
        <v>44.3</v>
      </c>
      <c r="Q219" s="82">
        <v>50.2</v>
      </c>
      <c r="R219" s="82">
        <v>53.1</v>
      </c>
      <c r="S219" s="82">
        <v>52.079468638644201</v>
      </c>
      <c r="T219" s="82">
        <v>48.8</v>
      </c>
      <c r="U219" s="82">
        <v>51.6</v>
      </c>
      <c r="W219" s="82">
        <v>51.4</v>
      </c>
      <c r="X219" s="82">
        <v>47.1</v>
      </c>
      <c r="Y219" s="82">
        <v>43.7</v>
      </c>
      <c r="Z219" s="82">
        <v>47.1</v>
      </c>
      <c r="AB219" s="82">
        <v>52</v>
      </c>
      <c r="AC219" s="82">
        <v>49.6</v>
      </c>
      <c r="AD219" s="82">
        <v>53.2</v>
      </c>
    </row>
    <row r="220" spans="1:30" x14ac:dyDescent="0.2">
      <c r="A220" s="81">
        <v>40909</v>
      </c>
      <c r="B220" s="82">
        <v>51.6</v>
      </c>
      <c r="C220" s="82">
        <v>50.6</v>
      </c>
      <c r="D220" s="82">
        <v>50.6</v>
      </c>
      <c r="E220" s="82">
        <v>48.8</v>
      </c>
      <c r="F220" s="82">
        <v>52.12</v>
      </c>
      <c r="G220" s="82">
        <v>48.8</v>
      </c>
      <c r="H220" s="82">
        <v>48.5</v>
      </c>
      <c r="I220" s="82">
        <v>51</v>
      </c>
      <c r="J220" s="82">
        <v>51</v>
      </c>
      <c r="K220" s="82">
        <v>41</v>
      </c>
      <c r="M220" s="82">
        <v>57.5</v>
      </c>
      <c r="N220" s="82">
        <v>48.5</v>
      </c>
      <c r="O220" s="82">
        <v>49.3</v>
      </c>
      <c r="P220" s="82">
        <v>46.8</v>
      </c>
      <c r="Q220" s="82">
        <v>50.7</v>
      </c>
      <c r="R220" s="82">
        <v>52.2</v>
      </c>
      <c r="S220" s="82">
        <v>50.6209489737154</v>
      </c>
      <c r="T220" s="82">
        <v>52.2</v>
      </c>
      <c r="U220" s="82">
        <v>50.8</v>
      </c>
      <c r="W220" s="82">
        <v>52.94</v>
      </c>
      <c r="X220" s="82">
        <v>49.2</v>
      </c>
      <c r="Y220" s="82">
        <v>45.1</v>
      </c>
      <c r="Z220" s="82">
        <v>47.1</v>
      </c>
      <c r="AB220" s="82">
        <v>51.7</v>
      </c>
      <c r="AC220" s="82">
        <v>50.8</v>
      </c>
      <c r="AD220" s="82">
        <v>54.3</v>
      </c>
    </row>
    <row r="221" spans="1:30" x14ac:dyDescent="0.2">
      <c r="A221" s="81">
        <v>40940</v>
      </c>
      <c r="B221" s="82">
        <v>51.3</v>
      </c>
      <c r="C221" s="82">
        <v>51.4</v>
      </c>
      <c r="D221" s="82">
        <v>51.8</v>
      </c>
      <c r="E221" s="82">
        <v>50.5</v>
      </c>
      <c r="F221" s="82">
        <v>53.88</v>
      </c>
      <c r="G221" s="82">
        <v>49</v>
      </c>
      <c r="H221" s="82">
        <v>50</v>
      </c>
      <c r="I221" s="82">
        <v>50.2</v>
      </c>
      <c r="J221" s="82">
        <v>51.2</v>
      </c>
      <c r="K221" s="82">
        <v>37.700000000000003</v>
      </c>
      <c r="M221" s="82">
        <v>56.6</v>
      </c>
      <c r="N221" s="82">
        <v>50.6</v>
      </c>
      <c r="O221" s="82">
        <v>49.7</v>
      </c>
      <c r="P221" s="82">
        <v>47.8</v>
      </c>
      <c r="Q221" s="82">
        <v>50.5</v>
      </c>
      <c r="R221" s="82">
        <v>53.7</v>
      </c>
      <c r="S221" s="82">
        <v>55.936808068004602</v>
      </c>
      <c r="T221" s="82">
        <v>50</v>
      </c>
      <c r="U221" s="82">
        <v>50.7</v>
      </c>
      <c r="W221" s="82">
        <v>53.51</v>
      </c>
      <c r="X221" s="82">
        <v>50.7</v>
      </c>
      <c r="Y221" s="82">
        <v>45</v>
      </c>
      <c r="Z221" s="82">
        <v>48.9</v>
      </c>
      <c r="AB221" s="82">
        <v>49.6</v>
      </c>
      <c r="AC221" s="82">
        <v>51.1</v>
      </c>
      <c r="AD221" s="82">
        <v>53.6</v>
      </c>
    </row>
    <row r="222" spans="1:30" x14ac:dyDescent="0.2">
      <c r="A222" s="81">
        <v>40969</v>
      </c>
      <c r="B222" s="82">
        <v>49.5</v>
      </c>
      <c r="C222" s="82">
        <v>51.1</v>
      </c>
      <c r="D222" s="82">
        <v>52.4</v>
      </c>
      <c r="E222" s="82">
        <v>52.1</v>
      </c>
      <c r="F222" s="82">
        <v>50.34</v>
      </c>
      <c r="G222" s="82">
        <v>47.7</v>
      </c>
      <c r="H222" s="82">
        <v>46.7</v>
      </c>
      <c r="I222" s="82">
        <v>48.4</v>
      </c>
      <c r="J222" s="82">
        <v>51.6</v>
      </c>
      <c r="K222" s="82">
        <v>41.3</v>
      </c>
      <c r="M222" s="82">
        <v>54.7</v>
      </c>
      <c r="N222" s="82">
        <v>50.8</v>
      </c>
      <c r="O222" s="82">
        <v>51.5</v>
      </c>
      <c r="P222" s="82">
        <v>47.9</v>
      </c>
      <c r="Q222" s="82">
        <v>51.1</v>
      </c>
      <c r="R222" s="82">
        <v>53.8</v>
      </c>
      <c r="S222" s="82">
        <v>53.627871720274001</v>
      </c>
      <c r="T222" s="82">
        <v>50.1</v>
      </c>
      <c r="U222" s="82">
        <v>50.8</v>
      </c>
      <c r="W222" s="82">
        <v>53.51</v>
      </c>
      <c r="X222" s="82">
        <v>52</v>
      </c>
      <c r="Y222" s="82">
        <v>44.5</v>
      </c>
      <c r="Z222" s="82">
        <v>52.7</v>
      </c>
      <c r="AB222" s="82">
        <v>49.6</v>
      </c>
      <c r="AC222" s="82">
        <v>52</v>
      </c>
      <c r="AD222" s="82">
        <v>56</v>
      </c>
    </row>
    <row r="223" spans="1:30" x14ac:dyDescent="0.2">
      <c r="A223" s="81">
        <v>41000</v>
      </c>
      <c r="B223" s="82">
        <v>43.9</v>
      </c>
      <c r="C223" s="82">
        <v>49.3</v>
      </c>
      <c r="D223" s="82">
        <v>53.3</v>
      </c>
      <c r="E223" s="82">
        <v>49.7</v>
      </c>
      <c r="F223" s="82">
        <v>63.6</v>
      </c>
      <c r="G223" s="82">
        <v>45.9</v>
      </c>
      <c r="H223" s="82">
        <v>46.9</v>
      </c>
      <c r="I223" s="82">
        <v>46.2</v>
      </c>
      <c r="J223" s="82">
        <v>51.3</v>
      </c>
      <c r="K223" s="82">
        <v>40.700000000000003</v>
      </c>
      <c r="M223" s="82">
        <v>54.9</v>
      </c>
      <c r="N223" s="82">
        <v>50.5</v>
      </c>
      <c r="O223" s="82">
        <v>50.1</v>
      </c>
      <c r="P223" s="82">
        <v>43.8</v>
      </c>
      <c r="Q223" s="82">
        <v>50.7</v>
      </c>
      <c r="R223" s="82">
        <v>56.3</v>
      </c>
      <c r="S223" s="82">
        <v>48.512504850892803</v>
      </c>
      <c r="T223" s="82">
        <v>49.2</v>
      </c>
      <c r="U223" s="82">
        <v>52.9</v>
      </c>
      <c r="W223" s="82">
        <v>52.19</v>
      </c>
      <c r="X223" s="82">
        <v>51.9</v>
      </c>
      <c r="Y223" s="82">
        <v>43.5</v>
      </c>
      <c r="Z223" s="82">
        <v>54.1</v>
      </c>
      <c r="AB223" s="82">
        <v>52.3</v>
      </c>
      <c r="AC223" s="82">
        <v>50.2</v>
      </c>
      <c r="AD223" s="82">
        <v>56</v>
      </c>
    </row>
    <row r="224" spans="1:30" x14ac:dyDescent="0.2">
      <c r="A224" s="81">
        <v>41030</v>
      </c>
      <c r="B224" s="82">
        <v>42.4</v>
      </c>
      <c r="C224" s="82">
        <v>49.3</v>
      </c>
      <c r="D224" s="82">
        <v>54.7</v>
      </c>
      <c r="E224" s="82">
        <v>47.6</v>
      </c>
      <c r="F224" s="82">
        <v>51.42</v>
      </c>
      <c r="G224" s="82">
        <v>45.1</v>
      </c>
      <c r="H224" s="82">
        <v>44.7</v>
      </c>
      <c r="I224" s="82">
        <v>45.2</v>
      </c>
      <c r="J224" s="82">
        <v>50.3</v>
      </c>
      <c r="K224" s="82">
        <v>43.1</v>
      </c>
      <c r="M224" s="82">
        <v>54.8</v>
      </c>
      <c r="N224" s="82">
        <v>48.1</v>
      </c>
      <c r="O224" s="82">
        <v>51.2</v>
      </c>
      <c r="P224" s="82">
        <v>44.8</v>
      </c>
      <c r="Q224" s="82">
        <v>50.7</v>
      </c>
      <c r="R224" s="82">
        <v>55.2</v>
      </c>
      <c r="S224" s="82">
        <v>54.185789788296702</v>
      </c>
      <c r="T224" s="82">
        <v>48.9</v>
      </c>
      <c r="U224" s="82">
        <v>53.2</v>
      </c>
      <c r="W224" s="82">
        <v>52.57</v>
      </c>
      <c r="X224" s="82">
        <v>51</v>
      </c>
      <c r="Y224" s="82">
        <v>42</v>
      </c>
      <c r="Z224" s="82">
        <v>51.2</v>
      </c>
      <c r="AB224" s="82">
        <v>50.2</v>
      </c>
      <c r="AC224" s="82">
        <v>46.8</v>
      </c>
      <c r="AD224" s="82">
        <v>54</v>
      </c>
    </row>
    <row r="225" spans="1:31" x14ac:dyDescent="0.2">
      <c r="A225" s="81">
        <v>41061</v>
      </c>
      <c r="B225" s="82">
        <v>47.2</v>
      </c>
      <c r="C225" s="82">
        <v>48.5</v>
      </c>
      <c r="D225" s="82">
        <v>54.8</v>
      </c>
      <c r="E225" s="82">
        <v>49.4</v>
      </c>
      <c r="F225" s="82">
        <v>52.69</v>
      </c>
      <c r="G225" s="82">
        <v>45.1</v>
      </c>
      <c r="H225" s="82">
        <v>45.2</v>
      </c>
      <c r="I225" s="82">
        <v>45</v>
      </c>
      <c r="J225" s="82">
        <v>49.7</v>
      </c>
      <c r="K225" s="82">
        <v>40.1</v>
      </c>
      <c r="L225" s="82">
        <v>49.8</v>
      </c>
      <c r="M225" s="82">
        <v>55</v>
      </c>
      <c r="N225" s="82">
        <v>50.2</v>
      </c>
      <c r="O225" s="82">
        <v>53.1</v>
      </c>
      <c r="P225" s="82">
        <v>44.6</v>
      </c>
      <c r="Q225" s="82">
        <v>52.6</v>
      </c>
      <c r="R225" s="82">
        <v>55.9</v>
      </c>
      <c r="S225" s="82">
        <v>50.472370512699001</v>
      </c>
      <c r="T225" s="82">
        <v>48</v>
      </c>
      <c r="U225" s="82">
        <v>51</v>
      </c>
      <c r="W225" s="82">
        <v>49.09</v>
      </c>
      <c r="X225" s="82">
        <v>49.4</v>
      </c>
      <c r="Y225" s="82">
        <v>41.1</v>
      </c>
      <c r="Z225" s="82">
        <v>50.5</v>
      </c>
      <c r="AB225" s="82">
        <v>51.4</v>
      </c>
      <c r="AC225" s="82">
        <v>48.8</v>
      </c>
      <c r="AD225" s="82">
        <v>52.5</v>
      </c>
    </row>
    <row r="226" spans="1:31" x14ac:dyDescent="0.2">
      <c r="A226" s="81">
        <v>41091</v>
      </c>
      <c r="B226" s="82">
        <v>40.299999999999997</v>
      </c>
      <c r="C226" s="82">
        <v>48.7</v>
      </c>
      <c r="D226" s="82">
        <v>53</v>
      </c>
      <c r="E226" s="82">
        <v>49.5</v>
      </c>
      <c r="F226" s="82">
        <v>47.21</v>
      </c>
      <c r="G226" s="82">
        <v>44</v>
      </c>
      <c r="H226" s="82">
        <v>43.4</v>
      </c>
      <c r="I226" s="82">
        <v>43</v>
      </c>
      <c r="J226" s="82">
        <v>48.8</v>
      </c>
      <c r="K226" s="82">
        <v>41.9</v>
      </c>
      <c r="L226" s="82">
        <v>50.3</v>
      </c>
      <c r="M226" s="82">
        <v>52.9</v>
      </c>
      <c r="N226" s="82">
        <v>51.3</v>
      </c>
      <c r="O226" s="82">
        <v>53.9</v>
      </c>
      <c r="P226" s="82">
        <v>44.3</v>
      </c>
      <c r="Q226" s="82">
        <v>52</v>
      </c>
      <c r="R226" s="82">
        <v>55.2</v>
      </c>
      <c r="S226" s="82">
        <v>49.600935432835399</v>
      </c>
      <c r="T226" s="82">
        <v>49.7</v>
      </c>
      <c r="U226" s="82">
        <v>52</v>
      </c>
      <c r="W226" s="82">
        <v>51.13</v>
      </c>
      <c r="X226" s="82">
        <v>47.2</v>
      </c>
      <c r="Y226" s="82">
        <v>42.3</v>
      </c>
      <c r="Z226" s="82">
        <v>49.2</v>
      </c>
      <c r="AB226" s="82">
        <v>49.4</v>
      </c>
      <c r="AC226" s="82">
        <v>45.5</v>
      </c>
      <c r="AD226" s="82">
        <v>51.4</v>
      </c>
      <c r="AE226" s="82">
        <v>43.6</v>
      </c>
    </row>
    <row r="227" spans="1:31" x14ac:dyDescent="0.2">
      <c r="A227" s="81">
        <v>41122</v>
      </c>
      <c r="B227" s="82">
        <v>45.3</v>
      </c>
      <c r="C227" s="82">
        <v>49.3</v>
      </c>
      <c r="D227" s="82">
        <v>53</v>
      </c>
      <c r="E227" s="82">
        <v>48.7</v>
      </c>
      <c r="F227" s="82">
        <v>51.06</v>
      </c>
      <c r="G227" s="82">
        <v>45.1</v>
      </c>
      <c r="H227" s="82">
        <v>46</v>
      </c>
      <c r="I227" s="82">
        <v>44.7</v>
      </c>
      <c r="J227" s="82">
        <v>48.7</v>
      </c>
      <c r="K227" s="82">
        <v>42.1</v>
      </c>
      <c r="L227" s="82">
        <v>50.5</v>
      </c>
      <c r="M227" s="82">
        <v>52.8</v>
      </c>
      <c r="N227" s="82">
        <v>51.4</v>
      </c>
      <c r="O227" s="82">
        <v>50.9</v>
      </c>
      <c r="P227" s="82">
        <v>43.6</v>
      </c>
      <c r="Q227" s="82">
        <v>52.1</v>
      </c>
      <c r="R227" s="82">
        <v>55.1</v>
      </c>
      <c r="S227" s="82">
        <v>47.429094831237798</v>
      </c>
      <c r="T227" s="82">
        <v>48.3</v>
      </c>
      <c r="U227" s="82">
        <v>51</v>
      </c>
      <c r="W227" s="82">
        <v>49.56</v>
      </c>
      <c r="X227" s="82">
        <v>47.5</v>
      </c>
      <c r="Y227" s="82">
        <v>44</v>
      </c>
      <c r="Z227" s="82">
        <v>47.5</v>
      </c>
      <c r="AB227" s="82">
        <v>50</v>
      </c>
      <c r="AC227" s="82">
        <v>49.1</v>
      </c>
      <c r="AD227" s="82">
        <v>51.5</v>
      </c>
      <c r="AE227" s="82">
        <v>47.9</v>
      </c>
    </row>
    <row r="228" spans="1:31" x14ac:dyDescent="0.2">
      <c r="A228" s="81">
        <v>41153</v>
      </c>
      <c r="B228" s="82">
        <v>44.1</v>
      </c>
      <c r="C228" s="82">
        <v>49.8</v>
      </c>
      <c r="D228" s="82">
        <v>52.4</v>
      </c>
      <c r="E228" s="82">
        <v>48</v>
      </c>
      <c r="F228" s="82">
        <v>52.09</v>
      </c>
      <c r="G228" s="82">
        <v>46.1</v>
      </c>
      <c r="H228" s="82">
        <v>42.7</v>
      </c>
      <c r="I228" s="82">
        <v>47.4</v>
      </c>
      <c r="J228" s="82">
        <v>48.7</v>
      </c>
      <c r="K228" s="82">
        <v>42.2</v>
      </c>
      <c r="L228" s="82">
        <v>49.6</v>
      </c>
      <c r="M228" s="82">
        <v>52.8</v>
      </c>
      <c r="N228" s="82">
        <v>51.6</v>
      </c>
      <c r="O228" s="82">
        <v>51.8</v>
      </c>
      <c r="P228" s="82">
        <v>45.7</v>
      </c>
      <c r="Q228" s="82">
        <v>48</v>
      </c>
      <c r="R228" s="82">
        <v>54.4</v>
      </c>
      <c r="S228" s="82">
        <v>48.448709339422898</v>
      </c>
      <c r="T228" s="82">
        <v>47</v>
      </c>
      <c r="U228" s="82">
        <v>52.4</v>
      </c>
      <c r="W228" s="82">
        <v>48.42</v>
      </c>
      <c r="X228" s="82">
        <v>45.7</v>
      </c>
      <c r="Y228" s="82">
        <v>44.5</v>
      </c>
      <c r="Z228" s="82">
        <v>46.1</v>
      </c>
      <c r="AB228" s="82">
        <v>52.2</v>
      </c>
      <c r="AC228" s="82">
        <v>48.2</v>
      </c>
      <c r="AD228" s="82">
        <v>51.1</v>
      </c>
      <c r="AE228" s="82">
        <v>49.2</v>
      </c>
    </row>
    <row r="229" spans="1:31" x14ac:dyDescent="0.2">
      <c r="A229" s="81">
        <v>41183</v>
      </c>
      <c r="B229" s="82">
        <v>45.2</v>
      </c>
      <c r="C229" s="82">
        <v>50.2</v>
      </c>
      <c r="D229" s="82">
        <v>51.4</v>
      </c>
      <c r="E229" s="82">
        <v>47.2</v>
      </c>
      <c r="F229" s="82">
        <v>57.41</v>
      </c>
      <c r="G229" s="82">
        <v>45.4</v>
      </c>
      <c r="H229" s="82">
        <v>43.7</v>
      </c>
      <c r="I229" s="82">
        <v>46</v>
      </c>
      <c r="J229" s="82">
        <v>48.9</v>
      </c>
      <c r="K229" s="82">
        <v>41</v>
      </c>
      <c r="L229" s="82">
        <v>50.5</v>
      </c>
      <c r="M229" s="82">
        <v>52.9</v>
      </c>
      <c r="N229" s="82">
        <v>50.5</v>
      </c>
      <c r="O229" s="82">
        <v>52.1</v>
      </c>
      <c r="P229" s="82">
        <v>45.5</v>
      </c>
      <c r="Q229" s="82">
        <v>46.9</v>
      </c>
      <c r="R229" s="82">
        <v>55.5</v>
      </c>
      <c r="S229" s="82">
        <v>51.316273938764503</v>
      </c>
      <c r="T229" s="82">
        <v>47.3</v>
      </c>
      <c r="U229" s="82">
        <v>52.9</v>
      </c>
      <c r="W229" s="82">
        <v>48.23</v>
      </c>
      <c r="X229" s="82">
        <v>47.4</v>
      </c>
      <c r="Y229" s="82">
        <v>43.5</v>
      </c>
      <c r="Z229" s="82">
        <v>45.6</v>
      </c>
      <c r="AB229" s="82">
        <v>52.5</v>
      </c>
      <c r="AC229" s="82">
        <v>48</v>
      </c>
      <c r="AD229" s="82">
        <v>51</v>
      </c>
      <c r="AE229" s="82">
        <v>48.7</v>
      </c>
    </row>
    <row r="230" spans="1:31" x14ac:dyDescent="0.2">
      <c r="A230" s="81">
        <v>41214</v>
      </c>
      <c r="B230" s="82">
        <v>43.6</v>
      </c>
      <c r="C230" s="82">
        <v>52.2</v>
      </c>
      <c r="D230" s="82">
        <v>50.4</v>
      </c>
      <c r="E230" s="82">
        <v>48.2</v>
      </c>
      <c r="F230" s="82">
        <v>56.29</v>
      </c>
      <c r="G230" s="82">
        <v>46.2</v>
      </c>
      <c r="H230" s="82">
        <v>44.5</v>
      </c>
      <c r="I230" s="82">
        <v>46.8</v>
      </c>
      <c r="J230" s="82">
        <v>49.6</v>
      </c>
      <c r="K230" s="82">
        <v>41.8</v>
      </c>
      <c r="L230" s="82">
        <v>52.2</v>
      </c>
      <c r="M230" s="82">
        <v>53.7</v>
      </c>
      <c r="N230" s="82">
        <v>51.9</v>
      </c>
      <c r="O230" s="82">
        <v>52.4</v>
      </c>
      <c r="P230" s="82">
        <v>45.1</v>
      </c>
      <c r="Q230" s="82">
        <v>46.5</v>
      </c>
      <c r="R230" s="82">
        <v>55.6</v>
      </c>
      <c r="S230" s="82">
        <v>50.803170950440403</v>
      </c>
      <c r="T230" s="82">
        <v>48.2</v>
      </c>
      <c r="U230" s="82">
        <v>52.2</v>
      </c>
      <c r="W230" s="82">
        <v>49.15</v>
      </c>
      <c r="X230" s="82">
        <v>48.2</v>
      </c>
      <c r="Y230" s="82">
        <v>45.3</v>
      </c>
      <c r="Z230" s="82">
        <v>47.8</v>
      </c>
      <c r="AB230" s="82">
        <v>51.6</v>
      </c>
      <c r="AC230" s="82">
        <v>48.4</v>
      </c>
      <c r="AD230" s="82">
        <v>52.8</v>
      </c>
      <c r="AE230" s="82">
        <v>50.5</v>
      </c>
    </row>
    <row r="231" spans="1:31" x14ac:dyDescent="0.2">
      <c r="A231" s="81">
        <v>41244</v>
      </c>
      <c r="B231" s="82">
        <v>44.3</v>
      </c>
      <c r="C231" s="82">
        <v>51.1</v>
      </c>
      <c r="D231" s="82">
        <v>50.4</v>
      </c>
      <c r="E231" s="82">
        <v>46</v>
      </c>
      <c r="F231" s="82">
        <v>57.62</v>
      </c>
      <c r="G231" s="82">
        <v>46.1</v>
      </c>
      <c r="H231" s="82">
        <v>44.6</v>
      </c>
      <c r="I231" s="82">
        <v>46</v>
      </c>
      <c r="J231" s="82">
        <v>50</v>
      </c>
      <c r="K231" s="82">
        <v>41.4</v>
      </c>
      <c r="L231" s="82">
        <v>51.7</v>
      </c>
      <c r="M231" s="82">
        <v>54.7</v>
      </c>
      <c r="N231" s="82">
        <v>51.5</v>
      </c>
      <c r="O231" s="82">
        <v>51.4</v>
      </c>
      <c r="P231" s="82">
        <v>46.7</v>
      </c>
      <c r="Q231" s="82">
        <v>45</v>
      </c>
      <c r="R231" s="82">
        <v>57.1</v>
      </c>
      <c r="S231" s="82">
        <v>50.176098211716898</v>
      </c>
      <c r="T231" s="82">
        <v>48.3</v>
      </c>
      <c r="U231" s="82">
        <v>50</v>
      </c>
      <c r="W231" s="82">
        <v>48.92</v>
      </c>
      <c r="X231" s="82">
        <v>50.1</v>
      </c>
      <c r="Y231" s="82">
        <v>44.6</v>
      </c>
      <c r="Z231" s="82">
        <v>47.4</v>
      </c>
      <c r="AB231" s="82">
        <v>53.1</v>
      </c>
      <c r="AC231" s="82">
        <v>50.7</v>
      </c>
      <c r="AD231" s="82">
        <v>54</v>
      </c>
      <c r="AE231" s="82">
        <v>49.3</v>
      </c>
    </row>
    <row r="232" spans="1:31" x14ac:dyDescent="0.2">
      <c r="A232" s="81">
        <v>41275</v>
      </c>
      <c r="B232" s="82">
        <v>40.200000000000003</v>
      </c>
      <c r="C232" s="82">
        <v>53.2</v>
      </c>
      <c r="D232" s="82">
        <v>50.5</v>
      </c>
      <c r="E232" s="82">
        <v>48.3</v>
      </c>
      <c r="F232" s="82">
        <v>55.27</v>
      </c>
      <c r="G232" s="82">
        <v>47.9</v>
      </c>
      <c r="H232" s="82">
        <v>42.9</v>
      </c>
      <c r="I232" s="82">
        <v>49.8</v>
      </c>
      <c r="J232" s="82">
        <v>51.5</v>
      </c>
      <c r="K232" s="82">
        <v>41.7</v>
      </c>
      <c r="L232" s="82">
        <v>52.5</v>
      </c>
      <c r="M232" s="82">
        <v>53.2</v>
      </c>
      <c r="N232" s="82">
        <v>49.7</v>
      </c>
      <c r="O232" s="82">
        <v>50.3</v>
      </c>
      <c r="P232" s="82">
        <v>47.8</v>
      </c>
      <c r="Q232" s="82">
        <v>47.7</v>
      </c>
      <c r="R232" s="82">
        <v>55</v>
      </c>
      <c r="S232" s="82">
        <v>55.650680223541102</v>
      </c>
      <c r="T232" s="82">
        <v>48.6</v>
      </c>
      <c r="U232" s="82">
        <v>52</v>
      </c>
      <c r="W232" s="82">
        <v>49.08</v>
      </c>
      <c r="X232" s="82">
        <v>49.9</v>
      </c>
      <c r="Y232" s="82">
        <v>46.1</v>
      </c>
      <c r="Z232" s="82">
        <v>51.5</v>
      </c>
      <c r="AB232" s="82">
        <v>54</v>
      </c>
      <c r="AC232" s="82">
        <v>50.9</v>
      </c>
      <c r="AD232" s="82">
        <v>55.8</v>
      </c>
      <c r="AE232" s="82">
        <v>50.1</v>
      </c>
    </row>
    <row r="233" spans="1:31" x14ac:dyDescent="0.2">
      <c r="A233" s="81">
        <v>41306</v>
      </c>
      <c r="B233" s="82">
        <v>45.6</v>
      </c>
      <c r="C233" s="82">
        <v>52.5</v>
      </c>
      <c r="D233" s="82">
        <v>51.7</v>
      </c>
      <c r="E233" s="82">
        <v>49.9</v>
      </c>
      <c r="F233" s="82">
        <v>61.23</v>
      </c>
      <c r="G233" s="82">
        <v>47.9</v>
      </c>
      <c r="H233" s="82">
        <v>43.9</v>
      </c>
      <c r="I233" s="82">
        <v>50.3</v>
      </c>
      <c r="J233" s="82">
        <v>50.9</v>
      </c>
      <c r="K233" s="82">
        <v>43</v>
      </c>
      <c r="L233" s="82">
        <v>51.2</v>
      </c>
      <c r="M233" s="82">
        <v>54.2</v>
      </c>
      <c r="N233" s="82">
        <v>50.5</v>
      </c>
      <c r="O233" s="82">
        <v>51.5</v>
      </c>
      <c r="P233" s="82">
        <v>45.8</v>
      </c>
      <c r="Q233" s="82">
        <v>48.5</v>
      </c>
      <c r="R233" s="82">
        <v>53.4</v>
      </c>
      <c r="S233" s="82">
        <v>55.210349982691298</v>
      </c>
      <c r="T233" s="82">
        <v>48.9</v>
      </c>
      <c r="U233" s="82">
        <v>52</v>
      </c>
      <c r="W233" s="82">
        <v>51.42</v>
      </c>
      <c r="X233" s="82">
        <v>50.9</v>
      </c>
      <c r="Y233" s="82">
        <v>46.8</v>
      </c>
      <c r="Z233" s="82">
        <v>51.5</v>
      </c>
      <c r="AB233" s="82">
        <v>53.5</v>
      </c>
      <c r="AC233" s="82">
        <v>48.2</v>
      </c>
      <c r="AD233" s="82">
        <v>54.3</v>
      </c>
      <c r="AE233" s="82">
        <v>48.3</v>
      </c>
    </row>
    <row r="234" spans="1:31" x14ac:dyDescent="0.2">
      <c r="A234" s="81">
        <v>41334</v>
      </c>
      <c r="B234" s="82">
        <v>44.4</v>
      </c>
      <c r="C234" s="82">
        <v>51.8</v>
      </c>
      <c r="D234" s="82">
        <v>49.3</v>
      </c>
      <c r="E234" s="82">
        <v>49.1</v>
      </c>
      <c r="F234" s="82">
        <v>49.81</v>
      </c>
      <c r="G234" s="82">
        <v>46.8</v>
      </c>
      <c r="H234" s="82">
        <v>44</v>
      </c>
      <c r="I234" s="82">
        <v>49</v>
      </c>
      <c r="J234" s="82">
        <v>51.2</v>
      </c>
      <c r="K234" s="82">
        <v>42.1</v>
      </c>
      <c r="L234" s="82">
        <v>50.5</v>
      </c>
      <c r="M234" s="82">
        <v>52</v>
      </c>
      <c r="N234" s="82">
        <v>51.3</v>
      </c>
      <c r="O234" s="82">
        <v>48.6</v>
      </c>
      <c r="P234" s="82">
        <v>44.5</v>
      </c>
      <c r="Q234" s="82">
        <v>50.4</v>
      </c>
      <c r="R234" s="82">
        <v>52.2</v>
      </c>
      <c r="S234" s="82">
        <v>52.7071688076255</v>
      </c>
      <c r="T234" s="82">
        <v>48</v>
      </c>
      <c r="U234" s="82">
        <v>50.8</v>
      </c>
      <c r="W234" s="82">
        <v>49.04</v>
      </c>
      <c r="X234" s="82">
        <v>52</v>
      </c>
      <c r="Y234" s="82">
        <v>44.2</v>
      </c>
      <c r="Z234" s="82">
        <v>50.2</v>
      </c>
      <c r="AB234" s="82">
        <v>52.3</v>
      </c>
      <c r="AC234" s="82">
        <v>49.3</v>
      </c>
      <c r="AD234" s="82">
        <v>54.6</v>
      </c>
      <c r="AE234" s="82">
        <v>48.8</v>
      </c>
    </row>
    <row r="235" spans="1:31" x14ac:dyDescent="0.2">
      <c r="A235" s="81">
        <v>41365</v>
      </c>
      <c r="B235" s="82">
        <v>36.700000000000003</v>
      </c>
      <c r="C235" s="82">
        <v>50.8</v>
      </c>
      <c r="D235" s="82">
        <v>50.1</v>
      </c>
      <c r="E235" s="82">
        <v>49.5</v>
      </c>
      <c r="F235" s="82">
        <v>49.29</v>
      </c>
      <c r="G235" s="82">
        <v>46.7</v>
      </c>
      <c r="H235" s="82">
        <v>44.4</v>
      </c>
      <c r="I235" s="82">
        <v>48.1</v>
      </c>
      <c r="J235" s="82">
        <v>50.4</v>
      </c>
      <c r="K235" s="82">
        <v>45</v>
      </c>
      <c r="L235" s="82">
        <v>49.9</v>
      </c>
      <c r="M235" s="82">
        <v>51</v>
      </c>
      <c r="N235" s="82">
        <v>51.7</v>
      </c>
      <c r="O235" s="82">
        <v>48</v>
      </c>
      <c r="P235" s="82">
        <v>45.5</v>
      </c>
      <c r="Q235" s="82">
        <v>51.1</v>
      </c>
      <c r="R235" s="82">
        <v>51.7</v>
      </c>
      <c r="S235" s="82">
        <v>56.120859261244199</v>
      </c>
      <c r="T235" s="82">
        <v>48</v>
      </c>
      <c r="U235" s="82">
        <v>50.6</v>
      </c>
      <c r="W235" s="82">
        <v>49.8</v>
      </c>
      <c r="X235" s="82">
        <v>52.6</v>
      </c>
      <c r="Y235" s="82">
        <v>44.7</v>
      </c>
      <c r="Z235" s="82">
        <v>51.2</v>
      </c>
      <c r="AB235" s="82">
        <v>51.3</v>
      </c>
      <c r="AC235" s="82">
        <v>50.6</v>
      </c>
      <c r="AD235" s="82">
        <v>52.1</v>
      </c>
      <c r="AE235" s="82">
        <v>51</v>
      </c>
    </row>
    <row r="236" spans="1:31" x14ac:dyDescent="0.2">
      <c r="A236" s="81">
        <v>41395</v>
      </c>
      <c r="B236" s="82">
        <v>43.8</v>
      </c>
      <c r="C236" s="82">
        <v>50.4</v>
      </c>
      <c r="D236" s="82">
        <v>53.2</v>
      </c>
      <c r="E236" s="82">
        <v>50.1</v>
      </c>
      <c r="F236" s="82">
        <v>54.75</v>
      </c>
      <c r="G236" s="82">
        <v>48.3</v>
      </c>
      <c r="H236" s="82">
        <v>46.4</v>
      </c>
      <c r="I236" s="82">
        <v>49.4</v>
      </c>
      <c r="J236" s="82">
        <v>50.6</v>
      </c>
      <c r="K236" s="82">
        <v>45.3</v>
      </c>
      <c r="L236" s="82">
        <v>49.8</v>
      </c>
      <c r="M236" s="82">
        <v>50.1</v>
      </c>
      <c r="N236" s="82">
        <v>51.6</v>
      </c>
      <c r="O236" s="82">
        <v>49.7</v>
      </c>
      <c r="P236" s="82">
        <v>47.3</v>
      </c>
      <c r="Q236" s="82">
        <v>51.5</v>
      </c>
      <c r="R236" s="82">
        <v>51.8</v>
      </c>
      <c r="S236" s="82">
        <v>59.073750840452703</v>
      </c>
      <c r="T236" s="82">
        <v>46.9</v>
      </c>
      <c r="U236" s="82">
        <v>50.4</v>
      </c>
      <c r="W236" s="82">
        <v>50.21</v>
      </c>
      <c r="X236" s="82">
        <v>51.1</v>
      </c>
      <c r="Y236" s="82">
        <v>48.1</v>
      </c>
      <c r="Z236" s="82">
        <v>50.7</v>
      </c>
      <c r="AB236" s="82">
        <v>51.1</v>
      </c>
      <c r="AC236" s="82">
        <v>52.1</v>
      </c>
      <c r="AD236" s="82">
        <v>52.3</v>
      </c>
      <c r="AE236" s="82">
        <v>48.8</v>
      </c>
    </row>
    <row r="237" spans="1:31" x14ac:dyDescent="0.2">
      <c r="A237" s="81">
        <v>41426</v>
      </c>
      <c r="B237" s="82">
        <v>49.6</v>
      </c>
      <c r="C237" s="82">
        <v>50.4</v>
      </c>
      <c r="D237" s="82">
        <v>52.4</v>
      </c>
      <c r="E237" s="82">
        <v>51</v>
      </c>
      <c r="F237" s="82">
        <v>57.73</v>
      </c>
      <c r="G237" s="82">
        <v>48.8</v>
      </c>
      <c r="H237" s="82">
        <v>48.4</v>
      </c>
      <c r="I237" s="82">
        <v>48.6</v>
      </c>
      <c r="J237" s="82">
        <v>50.6</v>
      </c>
      <c r="K237" s="82">
        <v>45.4</v>
      </c>
      <c r="L237" s="82">
        <v>48.7</v>
      </c>
      <c r="M237" s="82">
        <v>50.3</v>
      </c>
      <c r="N237" s="82">
        <v>51</v>
      </c>
      <c r="O237" s="82">
        <v>50.3</v>
      </c>
      <c r="P237" s="82">
        <v>49.1</v>
      </c>
      <c r="Q237" s="82">
        <v>52.3</v>
      </c>
      <c r="R237" s="82">
        <v>51.3</v>
      </c>
      <c r="S237" s="82">
        <v>55.0752933288219</v>
      </c>
      <c r="T237" s="82">
        <v>48</v>
      </c>
      <c r="U237" s="82">
        <v>51.7</v>
      </c>
      <c r="W237" s="82">
        <v>51.96</v>
      </c>
      <c r="X237" s="82">
        <v>49.4</v>
      </c>
      <c r="Y237" s="82">
        <v>50</v>
      </c>
      <c r="Z237" s="82">
        <v>47.1</v>
      </c>
      <c r="AB237" s="82">
        <v>51.2</v>
      </c>
      <c r="AC237" s="82">
        <v>53</v>
      </c>
      <c r="AD237" s="82">
        <v>51.9</v>
      </c>
      <c r="AE237" s="82">
        <v>51</v>
      </c>
    </row>
    <row r="238" spans="1:31" x14ac:dyDescent="0.2">
      <c r="A238" s="81">
        <v>41456</v>
      </c>
      <c r="B238" s="82">
        <v>42</v>
      </c>
      <c r="C238" s="82">
        <v>48.5</v>
      </c>
      <c r="D238" s="82">
        <v>52</v>
      </c>
      <c r="E238" s="82">
        <v>52</v>
      </c>
      <c r="F238" s="82">
        <v>59.18</v>
      </c>
      <c r="G238" s="82">
        <v>50.3</v>
      </c>
      <c r="H238" s="82">
        <v>49.7</v>
      </c>
      <c r="I238" s="82">
        <v>50.7</v>
      </c>
      <c r="J238" s="82">
        <v>50.8</v>
      </c>
      <c r="K238" s="82">
        <v>47</v>
      </c>
      <c r="L238" s="82">
        <v>49.7</v>
      </c>
      <c r="M238" s="82">
        <v>50.1</v>
      </c>
      <c r="N238" s="82">
        <v>50.7</v>
      </c>
      <c r="O238" s="82">
        <v>51</v>
      </c>
      <c r="P238" s="82">
        <v>50.4</v>
      </c>
      <c r="Q238" s="82">
        <v>50.7</v>
      </c>
      <c r="R238" s="82">
        <v>49.7</v>
      </c>
      <c r="S238" s="82">
        <v>60.261392032361201</v>
      </c>
      <c r="T238" s="82">
        <v>49.3</v>
      </c>
      <c r="U238" s="82">
        <v>49.2</v>
      </c>
      <c r="W238" s="82">
        <v>52.15</v>
      </c>
      <c r="X238" s="82">
        <v>47.2</v>
      </c>
      <c r="Y238" s="82">
        <v>49.8</v>
      </c>
      <c r="Z238" s="82">
        <v>49.5</v>
      </c>
      <c r="AB238" s="82">
        <v>49.8</v>
      </c>
      <c r="AC238" s="82">
        <v>54.7</v>
      </c>
      <c r="AD238" s="82">
        <v>53.7</v>
      </c>
      <c r="AE238" s="82">
        <v>46.4</v>
      </c>
    </row>
    <row r="239" spans="1:31" x14ac:dyDescent="0.2">
      <c r="A239" s="81">
        <v>41487</v>
      </c>
      <c r="B239" s="82">
        <v>46.4</v>
      </c>
      <c r="C239" s="82">
        <v>49.4</v>
      </c>
      <c r="D239" s="82">
        <v>52.1</v>
      </c>
      <c r="E239" s="82">
        <v>53.9</v>
      </c>
      <c r="F239" s="82">
        <v>60.29</v>
      </c>
      <c r="G239" s="82">
        <v>51.4</v>
      </c>
      <c r="H239" s="82">
        <v>49.7</v>
      </c>
      <c r="I239" s="82">
        <v>51.8</v>
      </c>
      <c r="J239" s="82">
        <v>51.6</v>
      </c>
      <c r="K239" s="82">
        <v>48.7</v>
      </c>
      <c r="L239" s="82">
        <v>49.7</v>
      </c>
      <c r="M239" s="82">
        <v>48.5</v>
      </c>
      <c r="N239" s="82">
        <v>48.5</v>
      </c>
      <c r="O239" s="82">
        <v>52</v>
      </c>
      <c r="P239" s="82">
        <v>51.3</v>
      </c>
      <c r="Q239" s="82">
        <v>52.2</v>
      </c>
      <c r="R239" s="82">
        <v>50.8</v>
      </c>
      <c r="S239" s="82">
        <v>56.723185987861498</v>
      </c>
      <c r="T239" s="82">
        <v>51.1</v>
      </c>
      <c r="U239" s="82">
        <v>49.4</v>
      </c>
      <c r="W239" s="82">
        <v>55.26</v>
      </c>
      <c r="X239" s="82">
        <v>47.5</v>
      </c>
      <c r="Y239" s="82">
        <v>51.1</v>
      </c>
      <c r="Z239" s="82">
        <v>48.6</v>
      </c>
      <c r="AB239" s="82">
        <v>50.9</v>
      </c>
      <c r="AC239" s="82">
        <v>57.3</v>
      </c>
      <c r="AD239" s="82">
        <v>53.7</v>
      </c>
      <c r="AE239" s="82">
        <v>48.5</v>
      </c>
    </row>
    <row r="240" spans="1:31" x14ac:dyDescent="0.2">
      <c r="A240" s="81">
        <v>41518</v>
      </c>
      <c r="B240" s="82">
        <v>51.7</v>
      </c>
      <c r="C240" s="82">
        <v>49.9</v>
      </c>
      <c r="D240" s="82">
        <v>54.2</v>
      </c>
      <c r="E240" s="82">
        <v>53.4</v>
      </c>
      <c r="F240" s="82">
        <v>55.74</v>
      </c>
      <c r="G240" s="82">
        <v>51.1</v>
      </c>
      <c r="H240" s="82">
        <v>49.8</v>
      </c>
      <c r="I240" s="82">
        <v>51.1</v>
      </c>
      <c r="J240" s="82">
        <v>51.8</v>
      </c>
      <c r="K240" s="82">
        <v>47.5</v>
      </c>
      <c r="L240" s="82">
        <v>50</v>
      </c>
      <c r="M240" s="82">
        <v>49.6</v>
      </c>
      <c r="N240" s="82">
        <v>50.2</v>
      </c>
      <c r="O240" s="82">
        <v>52.7</v>
      </c>
      <c r="P240" s="82">
        <v>50.8</v>
      </c>
      <c r="Q240" s="82">
        <v>52.5</v>
      </c>
      <c r="R240" s="82">
        <v>50</v>
      </c>
      <c r="S240" s="82">
        <v>52.7868939881118</v>
      </c>
      <c r="T240" s="82">
        <v>52.6</v>
      </c>
      <c r="U240" s="82">
        <v>49.4</v>
      </c>
      <c r="W240" s="82">
        <v>49.43</v>
      </c>
      <c r="X240" s="82">
        <v>49.7</v>
      </c>
      <c r="Y240" s="82">
        <v>50.7</v>
      </c>
      <c r="Z240" s="82">
        <v>50</v>
      </c>
      <c r="AB240" s="82">
        <v>54</v>
      </c>
      <c r="AC240" s="82">
        <v>56.7</v>
      </c>
      <c r="AD240" s="82">
        <v>52.8</v>
      </c>
      <c r="AE240" s="82">
        <v>51.5</v>
      </c>
    </row>
    <row r="241" spans="1:31" x14ac:dyDescent="0.2">
      <c r="A241" s="81">
        <v>41548</v>
      </c>
      <c r="B241" s="82">
        <v>53.2</v>
      </c>
      <c r="C241" s="82">
        <v>50.2</v>
      </c>
      <c r="D241" s="82">
        <v>55.6</v>
      </c>
      <c r="E241" s="82">
        <v>54.5</v>
      </c>
      <c r="F241" s="82">
        <v>55.71</v>
      </c>
      <c r="G241" s="82">
        <v>51.3</v>
      </c>
      <c r="H241" s="82">
        <v>49.1</v>
      </c>
      <c r="I241" s="82">
        <v>51.7</v>
      </c>
      <c r="J241" s="82">
        <v>52.1</v>
      </c>
      <c r="K241" s="82">
        <v>47.3</v>
      </c>
      <c r="L241" s="82">
        <v>50.1</v>
      </c>
      <c r="M241" s="82">
        <v>49.6</v>
      </c>
      <c r="N241" s="82">
        <v>50.9</v>
      </c>
      <c r="O241" s="82">
        <v>54.9</v>
      </c>
      <c r="P241" s="82">
        <v>50.7</v>
      </c>
      <c r="Q241" s="82">
        <v>54.2</v>
      </c>
      <c r="R241" s="82">
        <v>50.2</v>
      </c>
      <c r="S241" s="82">
        <v>55.491851126124203</v>
      </c>
      <c r="T241" s="82">
        <v>53.4</v>
      </c>
      <c r="U241" s="82">
        <v>51.8</v>
      </c>
      <c r="W241" s="82">
        <v>51.43</v>
      </c>
      <c r="X241" s="82">
        <v>50.2</v>
      </c>
      <c r="Y241" s="82">
        <v>50.9</v>
      </c>
      <c r="Z241" s="82">
        <v>52</v>
      </c>
      <c r="AB241" s="82">
        <v>53.3</v>
      </c>
      <c r="AC241" s="82">
        <v>56.5</v>
      </c>
      <c r="AD241" s="82">
        <v>51.8</v>
      </c>
      <c r="AE241" s="82">
        <v>51.5</v>
      </c>
    </row>
    <row r="242" spans="1:31" x14ac:dyDescent="0.2">
      <c r="A242" s="81">
        <v>41579</v>
      </c>
      <c r="B242" s="82">
        <v>47.7</v>
      </c>
      <c r="C242" s="82">
        <v>49.7</v>
      </c>
      <c r="D242" s="82">
        <v>55.3</v>
      </c>
      <c r="E242" s="82">
        <v>55.4</v>
      </c>
      <c r="F242" s="82">
        <v>57.85</v>
      </c>
      <c r="G242" s="82">
        <v>51.6</v>
      </c>
      <c r="H242" s="82">
        <v>48.4</v>
      </c>
      <c r="I242" s="82">
        <v>52.7</v>
      </c>
      <c r="J242" s="82">
        <v>53.1</v>
      </c>
      <c r="K242" s="82">
        <v>49.2</v>
      </c>
      <c r="L242" s="82">
        <v>52.1</v>
      </c>
      <c r="M242" s="82">
        <v>51.3</v>
      </c>
      <c r="N242" s="82">
        <v>50.3</v>
      </c>
      <c r="O242" s="82">
        <v>52.4</v>
      </c>
      <c r="P242" s="82">
        <v>51.4</v>
      </c>
      <c r="Q242" s="82">
        <v>55.1</v>
      </c>
      <c r="R242" s="82">
        <v>51.9</v>
      </c>
      <c r="S242" s="82">
        <v>57.389922652514898</v>
      </c>
      <c r="T242" s="82">
        <v>54.4</v>
      </c>
      <c r="U242" s="82">
        <v>49.4</v>
      </c>
      <c r="W242" s="82">
        <v>52</v>
      </c>
      <c r="X242" s="82">
        <v>50.4</v>
      </c>
      <c r="Y242" s="82">
        <v>48.6</v>
      </c>
      <c r="Z242" s="82">
        <v>53</v>
      </c>
      <c r="AB242" s="82">
        <v>55</v>
      </c>
      <c r="AC242" s="82">
        <v>58.1</v>
      </c>
      <c r="AD242" s="82">
        <v>54.7</v>
      </c>
      <c r="AE242" s="82">
        <v>50.3</v>
      </c>
    </row>
    <row r="243" spans="1:31" x14ac:dyDescent="0.2">
      <c r="A243" s="81">
        <v>41609</v>
      </c>
      <c r="B243" s="82">
        <v>47.6</v>
      </c>
      <c r="C243" s="82">
        <v>50.5</v>
      </c>
      <c r="D243" s="82">
        <v>53.5</v>
      </c>
      <c r="E243" s="82">
        <v>54.9</v>
      </c>
      <c r="F243" s="82">
        <v>53.45</v>
      </c>
      <c r="G243" s="82">
        <v>52.7</v>
      </c>
      <c r="H243" s="82">
        <v>47</v>
      </c>
      <c r="I243" s="82">
        <v>54.3</v>
      </c>
      <c r="J243" s="82">
        <v>53.3</v>
      </c>
      <c r="K243" s="82">
        <v>49.6</v>
      </c>
      <c r="L243" s="82">
        <v>51.2</v>
      </c>
      <c r="M243" s="82">
        <v>50.7</v>
      </c>
      <c r="N243" s="82">
        <v>50.9</v>
      </c>
      <c r="O243" s="82">
        <v>53.5</v>
      </c>
      <c r="P243" s="82">
        <v>53.3</v>
      </c>
      <c r="Q243" s="82">
        <v>55.2</v>
      </c>
      <c r="R243" s="82">
        <v>52.6</v>
      </c>
      <c r="S243" s="82">
        <v>55.724521077420903</v>
      </c>
      <c r="T243" s="82">
        <v>53.2</v>
      </c>
      <c r="U243" s="82">
        <v>48.8</v>
      </c>
      <c r="W243" s="82">
        <v>51</v>
      </c>
      <c r="X243" s="82">
        <v>50.8</v>
      </c>
      <c r="Y243" s="82">
        <v>50.8</v>
      </c>
      <c r="Z243" s="82">
        <v>53.4</v>
      </c>
      <c r="AB243" s="82">
        <v>53.5</v>
      </c>
      <c r="AC243" s="82">
        <v>57.3</v>
      </c>
      <c r="AD243" s="82">
        <v>55</v>
      </c>
      <c r="AE243" s="82">
        <v>51.8</v>
      </c>
    </row>
    <row r="244" spans="1:31" x14ac:dyDescent="0.2">
      <c r="A244" s="81">
        <v>41640</v>
      </c>
      <c r="B244" s="82">
        <v>46.7</v>
      </c>
      <c r="C244" s="82">
        <v>51.7</v>
      </c>
      <c r="D244" s="82">
        <v>51.7</v>
      </c>
      <c r="E244" s="82">
        <v>55.9</v>
      </c>
      <c r="F244" s="82">
        <v>55.6</v>
      </c>
      <c r="G244" s="82">
        <v>54</v>
      </c>
      <c r="H244" s="82">
        <v>49.3</v>
      </c>
      <c r="I244" s="82">
        <v>56.6</v>
      </c>
      <c r="J244" s="82">
        <v>52.9</v>
      </c>
      <c r="K244" s="82">
        <v>51.2</v>
      </c>
      <c r="L244" s="82">
        <v>52.7</v>
      </c>
      <c r="M244" s="82">
        <v>51.4</v>
      </c>
      <c r="N244" s="82">
        <v>51</v>
      </c>
      <c r="O244" s="82">
        <v>52.8</v>
      </c>
      <c r="P244" s="82">
        <v>53.1</v>
      </c>
      <c r="Q244" s="82">
        <v>56.6</v>
      </c>
      <c r="R244" s="82">
        <v>54</v>
      </c>
      <c r="S244" s="82">
        <v>57.197211909594103</v>
      </c>
      <c r="T244" s="82">
        <v>55.4</v>
      </c>
      <c r="U244" s="82">
        <v>48</v>
      </c>
      <c r="W244" s="82">
        <v>49.96</v>
      </c>
      <c r="X244" s="82">
        <v>50.9</v>
      </c>
      <c r="Y244" s="82">
        <v>52.2</v>
      </c>
      <c r="Z244" s="82">
        <v>55.5</v>
      </c>
      <c r="AB244" s="82">
        <v>52.7</v>
      </c>
      <c r="AC244" s="82">
        <v>56.7</v>
      </c>
      <c r="AD244" s="82">
        <v>53.7</v>
      </c>
      <c r="AE244" s="82">
        <v>52.1</v>
      </c>
    </row>
    <row r="245" spans="1:31" x14ac:dyDescent="0.2">
      <c r="A245" s="81">
        <v>41671</v>
      </c>
      <c r="B245" s="82">
        <v>48.6</v>
      </c>
      <c r="C245" s="82">
        <v>50.4</v>
      </c>
      <c r="D245" s="82">
        <v>52.9</v>
      </c>
      <c r="E245" s="82">
        <v>56.5</v>
      </c>
      <c r="F245" s="82">
        <v>56.77</v>
      </c>
      <c r="G245" s="82">
        <v>53.2</v>
      </c>
      <c r="H245" s="82">
        <v>49.7</v>
      </c>
      <c r="I245" s="82">
        <v>54.8</v>
      </c>
      <c r="J245" s="82">
        <v>53.3</v>
      </c>
      <c r="K245" s="82">
        <v>51.3</v>
      </c>
      <c r="L245" s="82">
        <v>53.3</v>
      </c>
      <c r="M245" s="82">
        <v>52.5</v>
      </c>
      <c r="N245" s="82">
        <v>50.5</v>
      </c>
      <c r="O245" s="82">
        <v>52.9</v>
      </c>
      <c r="P245" s="82">
        <v>52.3</v>
      </c>
      <c r="Q245" s="82">
        <v>55.5</v>
      </c>
      <c r="R245" s="82">
        <v>52</v>
      </c>
      <c r="S245" s="82">
        <v>56.026127287725103</v>
      </c>
      <c r="T245" s="82">
        <v>55.9</v>
      </c>
      <c r="U245" s="82">
        <v>48.5</v>
      </c>
      <c r="W245" s="82">
        <v>50.69</v>
      </c>
      <c r="X245" s="82">
        <v>49.8</v>
      </c>
      <c r="Y245" s="82">
        <v>52.5</v>
      </c>
      <c r="Z245" s="82">
        <v>54.7</v>
      </c>
      <c r="AB245" s="82">
        <v>53.4</v>
      </c>
      <c r="AC245" s="82">
        <v>56.9</v>
      </c>
      <c r="AD245" s="82">
        <v>57.1</v>
      </c>
      <c r="AE245" s="82">
        <v>51</v>
      </c>
    </row>
    <row r="246" spans="1:31" x14ac:dyDescent="0.2">
      <c r="A246" s="81">
        <v>41699</v>
      </c>
      <c r="B246" s="82">
        <v>49.7</v>
      </c>
      <c r="C246" s="82">
        <v>50.6</v>
      </c>
      <c r="D246" s="82">
        <v>53.3</v>
      </c>
      <c r="E246" s="82">
        <v>55.5</v>
      </c>
      <c r="F246" s="82">
        <v>60.3</v>
      </c>
      <c r="G246" s="82">
        <v>53</v>
      </c>
      <c r="H246" s="82">
        <v>52.1</v>
      </c>
      <c r="I246" s="82">
        <v>53.7</v>
      </c>
      <c r="J246" s="82">
        <v>52.4</v>
      </c>
      <c r="K246" s="82">
        <v>49.7</v>
      </c>
      <c r="L246" s="82">
        <v>49.9</v>
      </c>
      <c r="M246" s="82">
        <v>51.3</v>
      </c>
      <c r="N246" s="82">
        <v>50.1</v>
      </c>
      <c r="O246" s="82">
        <v>55.5</v>
      </c>
      <c r="P246" s="82">
        <v>52.4</v>
      </c>
      <c r="Q246" s="82">
        <v>53.9</v>
      </c>
      <c r="R246" s="82">
        <v>51.7</v>
      </c>
      <c r="S246" s="82">
        <v>57.951243871749298</v>
      </c>
      <c r="T246" s="82">
        <v>54</v>
      </c>
      <c r="U246" s="82">
        <v>48.3</v>
      </c>
      <c r="W246" s="82">
        <v>50.29</v>
      </c>
      <c r="X246" s="82">
        <v>50.4</v>
      </c>
      <c r="Y246" s="82">
        <v>52.8</v>
      </c>
      <c r="Z246" s="82">
        <v>52.7</v>
      </c>
      <c r="AB246" s="82">
        <v>51.7</v>
      </c>
      <c r="AC246" s="82">
        <v>55.3</v>
      </c>
      <c r="AD246" s="82">
        <v>55.5</v>
      </c>
      <c r="AE246" s="82">
        <v>51.3</v>
      </c>
    </row>
    <row r="247" spans="1:31" x14ac:dyDescent="0.2">
      <c r="A247" s="81">
        <v>41730</v>
      </c>
      <c r="B247" s="82">
        <v>44.8</v>
      </c>
      <c r="C247" s="82">
        <v>49.3</v>
      </c>
      <c r="D247" s="82">
        <v>52.9</v>
      </c>
      <c r="E247" s="82">
        <v>56.5</v>
      </c>
      <c r="F247" s="82">
        <v>60.5</v>
      </c>
      <c r="G247" s="82">
        <v>54</v>
      </c>
      <c r="H247" s="82">
        <v>51.2</v>
      </c>
      <c r="I247" s="82">
        <v>54.1</v>
      </c>
      <c r="J247" s="82">
        <v>51.9</v>
      </c>
      <c r="K247" s="82">
        <v>51.1</v>
      </c>
      <c r="L247" s="82">
        <v>49.7</v>
      </c>
      <c r="M247" s="82">
        <v>51.3</v>
      </c>
      <c r="N247" s="82">
        <v>51.1</v>
      </c>
      <c r="O247" s="82">
        <v>56.1</v>
      </c>
      <c r="P247" s="82">
        <v>54</v>
      </c>
      <c r="Q247" s="82">
        <v>49.4</v>
      </c>
      <c r="R247" s="82">
        <v>51.8</v>
      </c>
      <c r="S247" s="82">
        <v>55.4325461314546</v>
      </c>
      <c r="T247" s="82">
        <v>51.1</v>
      </c>
      <c r="U247" s="82">
        <v>48.5</v>
      </c>
      <c r="W247" s="82">
        <v>47.3</v>
      </c>
      <c r="X247" s="82">
        <v>50.2</v>
      </c>
      <c r="Y247" s="82">
        <v>52.7</v>
      </c>
      <c r="Z247" s="82">
        <v>52.3</v>
      </c>
      <c r="AB247" s="82">
        <v>51.1</v>
      </c>
      <c r="AC247" s="82">
        <v>57.3</v>
      </c>
      <c r="AD247" s="82">
        <v>55.4</v>
      </c>
      <c r="AE247" s="82">
        <v>53.1</v>
      </c>
    </row>
    <row r="248" spans="1:31" x14ac:dyDescent="0.2">
      <c r="A248" s="81">
        <v>41760</v>
      </c>
      <c r="B248" s="82">
        <v>49.2</v>
      </c>
      <c r="C248" s="82">
        <v>48.8</v>
      </c>
      <c r="D248" s="82">
        <v>52.2</v>
      </c>
      <c r="E248" s="82">
        <v>57.3</v>
      </c>
      <c r="F248" s="82">
        <v>58.71</v>
      </c>
      <c r="G248" s="82">
        <v>52.2</v>
      </c>
      <c r="H248" s="82">
        <v>49.6</v>
      </c>
      <c r="I248" s="82">
        <v>52.3</v>
      </c>
      <c r="J248" s="82">
        <v>52.2</v>
      </c>
      <c r="K248" s="82">
        <v>51</v>
      </c>
      <c r="L248" s="82">
        <v>49.1</v>
      </c>
      <c r="M248" s="82">
        <v>51.4</v>
      </c>
      <c r="N248" s="82">
        <v>52.4</v>
      </c>
      <c r="O248" s="82">
        <v>55</v>
      </c>
      <c r="P248" s="82">
        <v>53.2</v>
      </c>
      <c r="Q248" s="82">
        <v>49.9</v>
      </c>
      <c r="R248" s="82">
        <v>51.9</v>
      </c>
      <c r="S248" s="82">
        <v>53.956229398254202</v>
      </c>
      <c r="T248" s="82">
        <v>50.8</v>
      </c>
      <c r="U248" s="82">
        <v>48.9</v>
      </c>
      <c r="W248" s="82">
        <v>44.41</v>
      </c>
      <c r="X248" s="82">
        <v>49.5</v>
      </c>
      <c r="Y248" s="82">
        <v>52.9</v>
      </c>
      <c r="Z248" s="82">
        <v>52.4</v>
      </c>
      <c r="AB248" s="82">
        <v>50.1</v>
      </c>
      <c r="AC248" s="82">
        <v>57</v>
      </c>
      <c r="AD248" s="82">
        <v>56.4</v>
      </c>
      <c r="AE248" s="82">
        <v>52.5</v>
      </c>
    </row>
    <row r="249" spans="1:31" x14ac:dyDescent="0.2">
      <c r="A249" s="81">
        <v>41791</v>
      </c>
      <c r="B249" s="82">
        <v>48.9</v>
      </c>
      <c r="C249" s="82">
        <v>48.7</v>
      </c>
      <c r="D249" s="82">
        <v>53.5</v>
      </c>
      <c r="E249" s="82">
        <v>54.7</v>
      </c>
      <c r="F249" s="82">
        <v>51.76</v>
      </c>
      <c r="G249" s="82">
        <v>51.8</v>
      </c>
      <c r="H249" s="82">
        <v>48.2</v>
      </c>
      <c r="I249" s="82">
        <v>52</v>
      </c>
      <c r="J249" s="82">
        <v>52.6</v>
      </c>
      <c r="K249" s="82">
        <v>49.4</v>
      </c>
      <c r="L249" s="82">
        <v>50.1</v>
      </c>
      <c r="M249" s="82">
        <v>51.5</v>
      </c>
      <c r="N249" s="82">
        <v>52.7</v>
      </c>
      <c r="O249" s="82">
        <v>55.3</v>
      </c>
      <c r="P249" s="82">
        <v>52.6</v>
      </c>
      <c r="Q249" s="82">
        <v>51.5</v>
      </c>
      <c r="R249" s="82">
        <v>51.8</v>
      </c>
      <c r="S249" s="82">
        <v>53.332054998804701</v>
      </c>
      <c r="T249" s="82">
        <v>50.3</v>
      </c>
      <c r="U249" s="82">
        <v>49.1</v>
      </c>
      <c r="W249" s="82">
        <v>46.59</v>
      </c>
      <c r="X249" s="82">
        <v>48.4</v>
      </c>
      <c r="Y249" s="82">
        <v>54.6</v>
      </c>
      <c r="Z249" s="82">
        <v>54</v>
      </c>
      <c r="AB249" s="82">
        <v>48.8</v>
      </c>
      <c r="AC249" s="82">
        <v>57.5</v>
      </c>
      <c r="AD249" s="82">
        <v>57.3</v>
      </c>
      <c r="AE249" s="82">
        <v>52.3</v>
      </c>
    </row>
    <row r="250" spans="1:31" x14ac:dyDescent="0.2">
      <c r="A250" s="81">
        <v>41821</v>
      </c>
      <c r="B250" s="82">
        <v>50.7</v>
      </c>
      <c r="C250" s="82">
        <v>49.1</v>
      </c>
      <c r="D250" s="82">
        <v>54.3</v>
      </c>
      <c r="E250" s="82">
        <v>56.463888888888903</v>
      </c>
      <c r="F250" s="82">
        <v>49.75</v>
      </c>
      <c r="G250" s="82">
        <v>51.8</v>
      </c>
      <c r="H250" s="82">
        <v>47.8</v>
      </c>
      <c r="I250" s="82">
        <v>52.4</v>
      </c>
      <c r="J250" s="82">
        <v>52.5</v>
      </c>
      <c r="K250" s="82">
        <v>48.7</v>
      </c>
      <c r="L250" s="82">
        <v>50.4</v>
      </c>
      <c r="M250" s="82">
        <v>53</v>
      </c>
      <c r="N250" s="82">
        <v>52.4</v>
      </c>
      <c r="O250" s="82">
        <v>55.4</v>
      </c>
      <c r="P250" s="82">
        <v>51.9</v>
      </c>
      <c r="Q250" s="82">
        <v>50.5</v>
      </c>
      <c r="R250" s="82">
        <v>51.5</v>
      </c>
      <c r="S250" s="82">
        <v>54.753248698735099</v>
      </c>
      <c r="T250" s="82">
        <v>49.4</v>
      </c>
      <c r="U250" s="82">
        <v>51</v>
      </c>
      <c r="W250" s="82">
        <v>45.45</v>
      </c>
      <c r="X250" s="82">
        <v>48.506666666666703</v>
      </c>
      <c r="Y250" s="82">
        <v>53.9</v>
      </c>
      <c r="Z250" s="82">
        <v>55.8</v>
      </c>
      <c r="AB250" s="82">
        <v>48.5</v>
      </c>
      <c r="AC250" s="82">
        <v>55.4</v>
      </c>
      <c r="AD250" s="82">
        <v>55.8</v>
      </c>
      <c r="AE250" s="82">
        <v>51.7</v>
      </c>
    </row>
    <row r="251" spans="1:31" x14ac:dyDescent="0.2">
      <c r="A251" s="81">
        <v>41852</v>
      </c>
      <c r="B251" s="82">
        <v>47.3</v>
      </c>
      <c r="C251" s="82">
        <v>50.2</v>
      </c>
      <c r="D251" s="82">
        <v>54.8</v>
      </c>
      <c r="E251" s="82">
        <v>54.3</v>
      </c>
      <c r="F251" s="82">
        <v>48.13</v>
      </c>
      <c r="G251" s="82">
        <v>50.7</v>
      </c>
      <c r="H251" s="82">
        <v>46.9</v>
      </c>
      <c r="I251" s="82">
        <v>51.4</v>
      </c>
      <c r="J251" s="82">
        <v>52.6</v>
      </c>
      <c r="K251" s="82">
        <v>50.1</v>
      </c>
      <c r="L251" s="82">
        <v>49.6</v>
      </c>
      <c r="M251" s="82">
        <v>52.4</v>
      </c>
      <c r="N251" s="82">
        <v>49.5</v>
      </c>
      <c r="O251" s="82">
        <v>57.3</v>
      </c>
      <c r="P251" s="82">
        <v>49.8</v>
      </c>
      <c r="Q251" s="82">
        <v>52.2</v>
      </c>
      <c r="R251" s="82">
        <v>52.1</v>
      </c>
      <c r="S251" s="82">
        <v>56.390867178830199</v>
      </c>
      <c r="T251" s="82">
        <v>49</v>
      </c>
      <c r="U251" s="82">
        <v>51</v>
      </c>
      <c r="W251" s="82">
        <v>49</v>
      </c>
      <c r="X251" s="82">
        <v>50.3</v>
      </c>
      <c r="Y251" s="82">
        <v>52.8</v>
      </c>
      <c r="Z251" s="82">
        <v>56.1</v>
      </c>
      <c r="AB251" s="82">
        <v>50</v>
      </c>
      <c r="AC251" s="82">
        <v>52.5</v>
      </c>
      <c r="AD251" s="82">
        <v>57.9</v>
      </c>
      <c r="AE251" s="82">
        <v>50.3</v>
      </c>
    </row>
    <row r="252" spans="1:31" x14ac:dyDescent="0.2">
      <c r="A252" s="81">
        <v>41883</v>
      </c>
      <c r="B252" s="82">
        <v>46.5</v>
      </c>
      <c r="C252" s="82">
        <v>49.3</v>
      </c>
      <c r="D252" s="82">
        <v>53.5</v>
      </c>
      <c r="E252" s="82">
        <v>55.6</v>
      </c>
      <c r="F252" s="82">
        <v>51.33</v>
      </c>
      <c r="G252" s="82">
        <v>50.3</v>
      </c>
      <c r="H252" s="82">
        <v>48.8</v>
      </c>
      <c r="I252" s="82">
        <v>49.9</v>
      </c>
      <c r="J252" s="82">
        <v>52.2</v>
      </c>
      <c r="K252" s="82">
        <v>48.4</v>
      </c>
      <c r="L252" s="82">
        <v>49.8</v>
      </c>
      <c r="M252" s="82">
        <v>51</v>
      </c>
      <c r="N252" s="82">
        <v>50.7</v>
      </c>
      <c r="O252" s="82">
        <v>55.7</v>
      </c>
      <c r="P252" s="82">
        <v>50.7</v>
      </c>
      <c r="Q252" s="82">
        <v>51.7</v>
      </c>
      <c r="R252" s="82">
        <v>52.6</v>
      </c>
      <c r="S252" s="82">
        <v>57.298541725858399</v>
      </c>
      <c r="T252" s="82">
        <v>49.5</v>
      </c>
      <c r="U252" s="82">
        <v>50.4</v>
      </c>
      <c r="W252" s="82">
        <v>50.35</v>
      </c>
      <c r="X252" s="82">
        <v>48.8</v>
      </c>
      <c r="Y252" s="82">
        <v>52.6</v>
      </c>
      <c r="Z252" s="82">
        <v>53.3</v>
      </c>
      <c r="AB252" s="82">
        <v>50.4</v>
      </c>
      <c r="AC252" s="82">
        <v>51.6</v>
      </c>
      <c r="AD252" s="82">
        <v>57.5</v>
      </c>
      <c r="AE252" s="82">
        <v>51.7</v>
      </c>
    </row>
    <row r="253" spans="1:31" x14ac:dyDescent="0.2">
      <c r="A253" s="81">
        <v>41913</v>
      </c>
      <c r="B253" s="82">
        <v>49.42</v>
      </c>
      <c r="C253" s="82">
        <v>49.1</v>
      </c>
      <c r="D253" s="82">
        <v>55.3</v>
      </c>
      <c r="E253" s="82">
        <v>54.4</v>
      </c>
      <c r="F253" s="82">
        <v>54.04</v>
      </c>
      <c r="G253" s="82">
        <v>50.6</v>
      </c>
      <c r="H253" s="82">
        <v>48.5</v>
      </c>
      <c r="I253" s="82">
        <v>51.4</v>
      </c>
      <c r="J253" s="82">
        <v>52.2</v>
      </c>
      <c r="K253" s="82">
        <v>48.8</v>
      </c>
      <c r="L253" s="82">
        <v>47.7</v>
      </c>
      <c r="M253" s="82">
        <v>51.6</v>
      </c>
      <c r="N253" s="82">
        <v>49.2</v>
      </c>
      <c r="O253" s="82">
        <v>56.6</v>
      </c>
      <c r="P253" s="82">
        <v>49</v>
      </c>
      <c r="Q253" s="82">
        <v>52.4</v>
      </c>
      <c r="R253" s="82">
        <v>53.3</v>
      </c>
      <c r="S253" s="82">
        <v>58.5179627874654</v>
      </c>
      <c r="T253" s="82">
        <v>51.2</v>
      </c>
      <c r="U253" s="82">
        <v>50.3</v>
      </c>
      <c r="W253" s="82">
        <v>50.13</v>
      </c>
      <c r="X253" s="82">
        <v>48.7</v>
      </c>
      <c r="Y253" s="82">
        <v>52.6</v>
      </c>
      <c r="Z253" s="82">
        <v>52</v>
      </c>
      <c r="AB253" s="82">
        <v>51.5</v>
      </c>
      <c r="AC253" s="82">
        <v>53.2</v>
      </c>
      <c r="AD253" s="82">
        <v>55.9</v>
      </c>
      <c r="AE253" s="82">
        <v>51</v>
      </c>
    </row>
    <row r="254" spans="1:31" x14ac:dyDescent="0.2">
      <c r="A254" s="81">
        <v>41944</v>
      </c>
      <c r="B254" s="82">
        <v>50.1</v>
      </c>
      <c r="C254" s="82">
        <v>48.7</v>
      </c>
      <c r="D254" s="82">
        <v>55.3</v>
      </c>
      <c r="E254" s="82">
        <v>55.6</v>
      </c>
      <c r="F254" s="82">
        <v>51.5</v>
      </c>
      <c r="G254" s="82">
        <v>50.1</v>
      </c>
      <c r="H254" s="82">
        <v>48.4</v>
      </c>
      <c r="I254" s="82">
        <v>49.5</v>
      </c>
      <c r="J254" s="82">
        <v>51.8</v>
      </c>
      <c r="K254" s="82">
        <v>49.1</v>
      </c>
      <c r="L254" s="82">
        <v>48.8</v>
      </c>
      <c r="M254" s="82">
        <v>53.3</v>
      </c>
      <c r="N254" s="82">
        <v>48</v>
      </c>
      <c r="O254" s="82">
        <v>56.2</v>
      </c>
      <c r="P254" s="82">
        <v>49</v>
      </c>
      <c r="Q254" s="82">
        <v>52</v>
      </c>
      <c r="R254" s="82">
        <v>54.3</v>
      </c>
      <c r="S254" s="82">
        <v>54.617724905754102</v>
      </c>
      <c r="T254" s="82">
        <v>53.2</v>
      </c>
      <c r="U254" s="82">
        <v>51.7</v>
      </c>
      <c r="W254" s="82">
        <v>53.12</v>
      </c>
      <c r="X254" s="82">
        <v>49</v>
      </c>
      <c r="Y254" s="82">
        <v>54.7</v>
      </c>
      <c r="Z254" s="82">
        <v>51.4</v>
      </c>
      <c r="AB254" s="82">
        <v>52.2</v>
      </c>
      <c r="AC254" s="82">
        <v>53.5</v>
      </c>
      <c r="AD254" s="82">
        <v>54.8</v>
      </c>
      <c r="AE254" s="82">
        <v>52.7</v>
      </c>
    </row>
    <row r="255" spans="1:31" x14ac:dyDescent="0.2">
      <c r="A255" s="81">
        <v>41974</v>
      </c>
      <c r="B255" s="82">
        <v>46.9</v>
      </c>
      <c r="C255" s="82">
        <v>50.2</v>
      </c>
      <c r="D255" s="82">
        <v>53.9</v>
      </c>
      <c r="E255" s="82">
        <v>53.3</v>
      </c>
      <c r="F255" s="82">
        <v>53.85</v>
      </c>
      <c r="G255" s="82">
        <v>50.6</v>
      </c>
      <c r="H255" s="82">
        <v>47.5</v>
      </c>
      <c r="I255" s="82">
        <v>51.2</v>
      </c>
      <c r="J255" s="82">
        <v>51.6</v>
      </c>
      <c r="K255" s="82">
        <v>49.4</v>
      </c>
      <c r="L255" s="82">
        <v>50.3</v>
      </c>
      <c r="M255" s="82">
        <v>54.5</v>
      </c>
      <c r="N255" s="82">
        <v>47.6</v>
      </c>
      <c r="O255" s="82">
        <v>56.9</v>
      </c>
      <c r="P255" s="82">
        <v>48.4</v>
      </c>
      <c r="Q255" s="82">
        <v>52</v>
      </c>
      <c r="R255" s="82">
        <v>55.3</v>
      </c>
      <c r="S255" s="82">
        <v>56.651751484174397</v>
      </c>
      <c r="T255" s="82">
        <v>52.8</v>
      </c>
      <c r="U255" s="82">
        <v>48.9</v>
      </c>
      <c r="W255" s="82">
        <v>51.1</v>
      </c>
      <c r="X255" s="82">
        <v>49.9</v>
      </c>
      <c r="Y255" s="82">
        <v>53.8</v>
      </c>
      <c r="Z255" s="82">
        <v>50</v>
      </c>
      <c r="AB255" s="82">
        <v>51.4</v>
      </c>
      <c r="AC255" s="82">
        <v>52.5</v>
      </c>
      <c r="AD255" s="82">
        <v>53.9</v>
      </c>
      <c r="AE255" s="82">
        <v>51.5</v>
      </c>
    </row>
    <row r="256" spans="1:31" x14ac:dyDescent="0.2">
      <c r="A256" s="81">
        <v>42005</v>
      </c>
      <c r="B256" s="82">
        <v>49</v>
      </c>
      <c r="C256" s="82">
        <v>50.7</v>
      </c>
      <c r="D256" s="82">
        <v>51</v>
      </c>
      <c r="E256" s="82">
        <v>56.1</v>
      </c>
      <c r="F256" s="82">
        <v>55.25</v>
      </c>
      <c r="G256" s="82">
        <v>51</v>
      </c>
      <c r="H256" s="82">
        <v>49.2</v>
      </c>
      <c r="I256" s="82">
        <v>50.9</v>
      </c>
      <c r="J256" s="82">
        <v>51.7</v>
      </c>
      <c r="K256" s="82">
        <v>48.3</v>
      </c>
      <c r="L256" s="82">
        <v>49.4</v>
      </c>
      <c r="M256" s="82">
        <v>52.9</v>
      </c>
      <c r="N256" s="82">
        <v>48.5</v>
      </c>
      <c r="O256" s="82">
        <v>55.1</v>
      </c>
      <c r="P256" s="82">
        <v>49.9</v>
      </c>
      <c r="Q256" s="82">
        <v>52.2</v>
      </c>
      <c r="R256" s="82">
        <v>55.6</v>
      </c>
      <c r="S256" s="82">
        <v>51.560748726156199</v>
      </c>
      <c r="T256" s="82">
        <v>55.2</v>
      </c>
      <c r="U256" s="82">
        <v>47.6</v>
      </c>
      <c r="W256" s="82">
        <v>53.24</v>
      </c>
      <c r="X256" s="82">
        <v>51.1</v>
      </c>
      <c r="Y256" s="82">
        <v>54.7</v>
      </c>
      <c r="Z256" s="82">
        <v>51.7</v>
      </c>
      <c r="AB256" s="82">
        <v>49.8</v>
      </c>
      <c r="AC256" s="82">
        <v>53</v>
      </c>
      <c r="AD256" s="82">
        <v>53.7</v>
      </c>
      <c r="AE256" s="82">
        <v>51.5</v>
      </c>
    </row>
    <row r="257" spans="1:31" x14ac:dyDescent="0.2">
      <c r="A257" s="81">
        <v>42036</v>
      </c>
      <c r="B257" s="82">
        <v>45.4</v>
      </c>
      <c r="C257" s="82">
        <v>49.6</v>
      </c>
      <c r="D257" s="82">
        <v>48.7</v>
      </c>
      <c r="E257" s="82">
        <v>55.6</v>
      </c>
      <c r="F257" s="82">
        <v>57.96</v>
      </c>
      <c r="G257" s="82">
        <v>51</v>
      </c>
      <c r="H257" s="82">
        <v>47.6</v>
      </c>
      <c r="I257" s="82">
        <v>51.1</v>
      </c>
      <c r="J257" s="82">
        <v>52</v>
      </c>
      <c r="K257" s="82">
        <v>48.4</v>
      </c>
      <c r="L257" s="82">
        <v>50.7</v>
      </c>
      <c r="M257" s="82">
        <v>51.2</v>
      </c>
      <c r="N257" s="82">
        <v>47.5</v>
      </c>
      <c r="O257" s="82">
        <v>57.5</v>
      </c>
      <c r="P257" s="82">
        <v>51.9</v>
      </c>
      <c r="Q257" s="82">
        <v>51.6</v>
      </c>
      <c r="R257" s="82">
        <v>54.4</v>
      </c>
      <c r="S257" s="82">
        <v>56.685992642344303</v>
      </c>
      <c r="T257" s="82">
        <v>55.1</v>
      </c>
      <c r="U257" s="82">
        <v>49.7</v>
      </c>
      <c r="W257" s="82">
        <v>47.66</v>
      </c>
      <c r="X257" s="82">
        <v>51.1</v>
      </c>
      <c r="Y257" s="82">
        <v>54.2</v>
      </c>
      <c r="Z257" s="82">
        <v>52.1</v>
      </c>
      <c r="AB257" s="82">
        <v>49.6</v>
      </c>
      <c r="AC257" s="82">
        <v>54.1</v>
      </c>
      <c r="AD257" s="82">
        <v>54.3</v>
      </c>
      <c r="AE257" s="82">
        <v>51.7</v>
      </c>
    </row>
    <row r="258" spans="1:31" x14ac:dyDescent="0.2">
      <c r="A258" s="81">
        <v>42064</v>
      </c>
      <c r="B258" s="82">
        <v>46.3</v>
      </c>
      <c r="C258" s="82">
        <v>46.2</v>
      </c>
      <c r="D258" s="82">
        <v>48.9</v>
      </c>
      <c r="E258" s="82">
        <v>56.1</v>
      </c>
      <c r="F258" s="82">
        <v>58.54</v>
      </c>
      <c r="G258" s="82">
        <v>52.2</v>
      </c>
      <c r="H258" s="82">
        <v>48.8</v>
      </c>
      <c r="I258" s="82">
        <v>52.8</v>
      </c>
      <c r="J258" s="82">
        <v>51.8</v>
      </c>
      <c r="K258" s="82">
        <v>48.9</v>
      </c>
      <c r="L258" s="82">
        <v>49.6</v>
      </c>
      <c r="M258" s="82">
        <v>52.1</v>
      </c>
      <c r="N258" s="82">
        <v>46.4</v>
      </c>
      <c r="O258" s="82">
        <v>56.8</v>
      </c>
      <c r="P258" s="82">
        <v>53.3</v>
      </c>
      <c r="Q258" s="82">
        <v>50.3</v>
      </c>
      <c r="R258" s="82">
        <v>53.8</v>
      </c>
      <c r="S258" s="82">
        <v>54.7822942728314</v>
      </c>
      <c r="T258" s="82">
        <v>54.8</v>
      </c>
      <c r="U258" s="82">
        <v>48.1</v>
      </c>
      <c r="W258" s="82">
        <v>47.88</v>
      </c>
      <c r="X258" s="82">
        <v>49.2</v>
      </c>
      <c r="Y258" s="82">
        <v>54.3</v>
      </c>
      <c r="Z258" s="82">
        <v>51</v>
      </c>
      <c r="AB258" s="82">
        <v>48</v>
      </c>
      <c r="AC258" s="82">
        <v>54.4</v>
      </c>
      <c r="AD258" s="82">
        <v>55.3</v>
      </c>
      <c r="AE258" s="82">
        <v>50.7</v>
      </c>
    </row>
    <row r="259" spans="1:31" x14ac:dyDescent="0.2">
      <c r="A259" s="81">
        <v>42095</v>
      </c>
      <c r="B259" s="82">
        <v>48</v>
      </c>
      <c r="C259" s="82">
        <v>46</v>
      </c>
      <c r="D259" s="82">
        <v>49</v>
      </c>
      <c r="E259" s="82">
        <v>54.7</v>
      </c>
      <c r="F259" s="82">
        <v>53.3</v>
      </c>
      <c r="G259" s="82">
        <v>52</v>
      </c>
      <c r="H259" s="82">
        <v>48</v>
      </c>
      <c r="I259" s="82">
        <v>52.1</v>
      </c>
      <c r="J259" s="82">
        <v>51</v>
      </c>
      <c r="K259" s="82">
        <v>46.5</v>
      </c>
      <c r="L259" s="82">
        <v>48.6</v>
      </c>
      <c r="M259" s="82">
        <v>51.3</v>
      </c>
      <c r="N259" s="82">
        <v>46.7</v>
      </c>
      <c r="O259" s="82">
        <v>55.8</v>
      </c>
      <c r="P259" s="82">
        <v>53.8</v>
      </c>
      <c r="Q259" s="82">
        <v>49.9</v>
      </c>
      <c r="R259" s="82">
        <v>53.8</v>
      </c>
      <c r="S259" s="82">
        <v>52.337448703873399</v>
      </c>
      <c r="T259" s="82">
        <v>54</v>
      </c>
      <c r="U259" s="82">
        <v>48.9</v>
      </c>
      <c r="V259" s="82">
        <v>60.1</v>
      </c>
      <c r="W259" s="82">
        <v>44.92</v>
      </c>
      <c r="X259" s="82">
        <v>48.8</v>
      </c>
      <c r="Y259" s="82">
        <v>54.2</v>
      </c>
      <c r="Z259" s="82">
        <v>49.2</v>
      </c>
      <c r="AB259" s="82">
        <v>48.5</v>
      </c>
      <c r="AC259" s="82">
        <v>51.9</v>
      </c>
      <c r="AD259" s="82">
        <v>54.1</v>
      </c>
      <c r="AE259" s="82">
        <v>53.5</v>
      </c>
    </row>
    <row r="260" spans="1:31" x14ac:dyDescent="0.2">
      <c r="A260" s="81">
        <v>42125</v>
      </c>
      <c r="B260" s="82">
        <v>52.29</v>
      </c>
      <c r="C260" s="82">
        <v>45.9</v>
      </c>
      <c r="D260" s="82">
        <v>49.8</v>
      </c>
      <c r="E260" s="82">
        <v>55.5</v>
      </c>
      <c r="F260" s="82">
        <v>52.73</v>
      </c>
      <c r="G260" s="82">
        <v>52.2</v>
      </c>
      <c r="H260" s="82">
        <v>49.4</v>
      </c>
      <c r="I260" s="82">
        <v>51.1</v>
      </c>
      <c r="J260" s="82">
        <v>51.2</v>
      </c>
      <c r="K260" s="82">
        <v>48</v>
      </c>
      <c r="L260" s="82">
        <v>47.6</v>
      </c>
      <c r="M260" s="82">
        <v>52.6</v>
      </c>
      <c r="N260" s="82">
        <v>47.1</v>
      </c>
      <c r="O260" s="82">
        <v>57.1</v>
      </c>
      <c r="P260" s="82">
        <v>54.8</v>
      </c>
      <c r="Q260" s="82">
        <v>50.9</v>
      </c>
      <c r="R260" s="82">
        <v>53.3</v>
      </c>
      <c r="S260" s="82">
        <v>51.445669244171299</v>
      </c>
      <c r="T260" s="82">
        <v>52.4</v>
      </c>
      <c r="U260" s="82">
        <v>47.6</v>
      </c>
      <c r="V260" s="82">
        <v>57</v>
      </c>
      <c r="W260" s="82">
        <v>50.52</v>
      </c>
      <c r="X260" s="82">
        <v>47.8</v>
      </c>
      <c r="Y260" s="82">
        <v>55.8</v>
      </c>
      <c r="Z260" s="82">
        <v>49.3</v>
      </c>
      <c r="AB260" s="82">
        <v>50.2</v>
      </c>
      <c r="AC260" s="82">
        <v>52.2</v>
      </c>
      <c r="AD260" s="82">
        <v>53.8</v>
      </c>
      <c r="AE260" s="82">
        <v>54.8</v>
      </c>
    </row>
    <row r="261" spans="1:31" x14ac:dyDescent="0.2">
      <c r="A261" s="81">
        <v>42156</v>
      </c>
      <c r="B261" s="82">
        <v>44.2</v>
      </c>
      <c r="C261" s="82">
        <v>46.5</v>
      </c>
      <c r="D261" s="82">
        <v>51.3</v>
      </c>
      <c r="E261" s="82">
        <v>56.9</v>
      </c>
      <c r="F261" s="82">
        <v>54.46</v>
      </c>
      <c r="G261" s="82">
        <v>52.5</v>
      </c>
      <c r="H261" s="82">
        <v>50.7</v>
      </c>
      <c r="I261" s="82">
        <v>51.9</v>
      </c>
      <c r="J261" s="82">
        <v>51</v>
      </c>
      <c r="K261" s="82">
        <v>46.9</v>
      </c>
      <c r="L261" s="82">
        <v>49.2</v>
      </c>
      <c r="M261" s="82">
        <v>51.3</v>
      </c>
      <c r="N261" s="82">
        <v>47.8</v>
      </c>
      <c r="O261" s="82">
        <v>54.6</v>
      </c>
      <c r="P261" s="82">
        <v>54.1</v>
      </c>
      <c r="Q261" s="82">
        <v>50.1</v>
      </c>
      <c r="R261" s="82">
        <v>52</v>
      </c>
      <c r="S261" s="82">
        <v>55.1807836368314</v>
      </c>
      <c r="T261" s="82">
        <v>54.3</v>
      </c>
      <c r="U261" s="82">
        <v>48.7</v>
      </c>
      <c r="V261" s="82">
        <v>56.1</v>
      </c>
      <c r="W261" s="82">
        <v>50.31</v>
      </c>
      <c r="X261" s="82">
        <v>46.1</v>
      </c>
      <c r="Y261" s="82">
        <v>54.5</v>
      </c>
      <c r="Z261" s="82">
        <v>46.3</v>
      </c>
      <c r="AB261" s="82">
        <v>49</v>
      </c>
      <c r="AC261" s="82">
        <v>51.9</v>
      </c>
      <c r="AD261" s="82">
        <v>53.6</v>
      </c>
      <c r="AE261" s="82">
        <v>52.2</v>
      </c>
    </row>
    <row r="262" spans="1:31" x14ac:dyDescent="0.2">
      <c r="A262" s="81">
        <v>42186</v>
      </c>
      <c r="B262" s="82">
        <v>50.4</v>
      </c>
      <c r="C262" s="82">
        <v>47.2</v>
      </c>
      <c r="D262" s="82">
        <v>50.8</v>
      </c>
      <c r="E262" s="82">
        <v>57.5</v>
      </c>
      <c r="F262" s="82">
        <v>52.31</v>
      </c>
      <c r="G262" s="82">
        <v>52.4</v>
      </c>
      <c r="H262" s="82">
        <v>49.6</v>
      </c>
      <c r="I262" s="82">
        <v>51.8</v>
      </c>
      <c r="J262" s="82">
        <v>51</v>
      </c>
      <c r="K262" s="82">
        <v>30.2</v>
      </c>
      <c r="L262" s="82">
        <v>48.2</v>
      </c>
      <c r="M262" s="82">
        <v>52.7</v>
      </c>
      <c r="N262" s="82">
        <v>47.3</v>
      </c>
      <c r="O262" s="82">
        <v>56.7</v>
      </c>
      <c r="P262" s="82">
        <v>55.3</v>
      </c>
      <c r="Q262" s="82">
        <v>51.2</v>
      </c>
      <c r="R262" s="82">
        <v>52.9</v>
      </c>
      <c r="S262" s="82">
        <v>54.381444828161598</v>
      </c>
      <c r="T262" s="82">
        <v>54.5</v>
      </c>
      <c r="U262" s="82">
        <v>48.3</v>
      </c>
      <c r="V262" s="82">
        <v>57.7</v>
      </c>
      <c r="W262" s="82">
        <v>50.25</v>
      </c>
      <c r="X262" s="82">
        <v>47.6</v>
      </c>
      <c r="Y262" s="82">
        <v>53.6</v>
      </c>
      <c r="Z262" s="82">
        <v>47.1</v>
      </c>
      <c r="AB262" s="82">
        <v>50.1</v>
      </c>
      <c r="AC262" s="82">
        <v>52.5</v>
      </c>
      <c r="AD262" s="82">
        <v>53.8</v>
      </c>
      <c r="AE262" s="82">
        <v>52.6</v>
      </c>
    </row>
    <row r="263" spans="1:31" x14ac:dyDescent="0.2">
      <c r="A263" s="81">
        <v>42217</v>
      </c>
      <c r="B263" s="82">
        <v>51.7</v>
      </c>
      <c r="C263" s="82">
        <v>45.8</v>
      </c>
      <c r="D263" s="82">
        <v>49.4</v>
      </c>
      <c r="E263" s="82">
        <v>56.6</v>
      </c>
      <c r="F263" s="82">
        <v>62.51</v>
      </c>
      <c r="G263" s="82">
        <v>52.3</v>
      </c>
      <c r="H263" s="82">
        <v>48.3</v>
      </c>
      <c r="I263" s="82">
        <v>53.3</v>
      </c>
      <c r="J263" s="82">
        <v>50.7</v>
      </c>
      <c r="K263" s="82">
        <v>39.1</v>
      </c>
      <c r="L263" s="82">
        <v>44.4</v>
      </c>
      <c r="M263" s="82">
        <v>52.3</v>
      </c>
      <c r="N263" s="82">
        <v>48.4</v>
      </c>
      <c r="O263" s="82">
        <v>53.6</v>
      </c>
      <c r="P263" s="82">
        <v>53.8</v>
      </c>
      <c r="Q263" s="82">
        <v>51.7</v>
      </c>
      <c r="R263" s="82">
        <v>52.4</v>
      </c>
      <c r="S263" s="82">
        <v>54.870796907468197</v>
      </c>
      <c r="T263" s="82">
        <v>51.1</v>
      </c>
      <c r="U263" s="82">
        <v>47.9</v>
      </c>
      <c r="V263" s="82">
        <v>58.7</v>
      </c>
      <c r="W263" s="82">
        <v>50.52</v>
      </c>
      <c r="X263" s="82">
        <v>47.9</v>
      </c>
      <c r="Y263" s="82">
        <v>53.2</v>
      </c>
      <c r="Z263" s="82">
        <v>46.1</v>
      </c>
      <c r="AB263" s="82">
        <v>49.3</v>
      </c>
      <c r="AC263" s="82">
        <v>51.6</v>
      </c>
      <c r="AD263" s="82">
        <v>53</v>
      </c>
      <c r="AE263" s="82">
        <v>51.3</v>
      </c>
    </row>
    <row r="264" spans="1:31" x14ac:dyDescent="0.2">
      <c r="A264" s="81">
        <v>42248</v>
      </c>
      <c r="B264" s="82">
        <v>52.1</v>
      </c>
      <c r="C264" s="82">
        <v>47</v>
      </c>
      <c r="D264" s="82">
        <v>48.6</v>
      </c>
      <c r="E264" s="82">
        <v>55.5</v>
      </c>
      <c r="F264" s="82">
        <v>69.37</v>
      </c>
      <c r="G264" s="82">
        <v>52</v>
      </c>
      <c r="H264" s="82">
        <v>50.6</v>
      </c>
      <c r="I264" s="82">
        <v>52.3</v>
      </c>
      <c r="J264" s="82">
        <v>50.6</v>
      </c>
      <c r="K264" s="82">
        <v>43.3</v>
      </c>
      <c r="L264" s="82">
        <v>45.7</v>
      </c>
      <c r="M264" s="82">
        <v>51.2</v>
      </c>
      <c r="N264" s="82">
        <v>47.4</v>
      </c>
      <c r="O264" s="82">
        <v>53.8</v>
      </c>
      <c r="P264" s="82">
        <v>52.7</v>
      </c>
      <c r="Q264" s="82">
        <v>51</v>
      </c>
      <c r="R264" s="82">
        <v>52.1</v>
      </c>
      <c r="S264" s="82">
        <v>54.096709865768197</v>
      </c>
      <c r="T264" s="82">
        <v>50.9</v>
      </c>
      <c r="U264" s="82">
        <v>49.1</v>
      </c>
      <c r="V264" s="82">
        <v>56.5</v>
      </c>
      <c r="W264" s="82">
        <v>50.14</v>
      </c>
      <c r="X264" s="82">
        <v>49.2</v>
      </c>
      <c r="Y264" s="82">
        <v>51.7</v>
      </c>
      <c r="Z264" s="82">
        <v>46.9</v>
      </c>
      <c r="AB264" s="82">
        <v>48.8</v>
      </c>
      <c r="AC264" s="82">
        <v>51.6</v>
      </c>
      <c r="AD264" s="82">
        <v>53.1</v>
      </c>
      <c r="AE264" s="82">
        <v>49.5</v>
      </c>
    </row>
    <row r="265" spans="1:31" x14ac:dyDescent="0.2">
      <c r="A265" s="81">
        <v>42278</v>
      </c>
      <c r="B265" s="82">
        <v>50.2</v>
      </c>
      <c r="C265" s="82">
        <v>44.1</v>
      </c>
      <c r="D265" s="82">
        <v>48</v>
      </c>
      <c r="E265" s="82">
        <v>54</v>
      </c>
      <c r="F265" s="82">
        <v>55.62</v>
      </c>
      <c r="G265" s="82">
        <v>52.3</v>
      </c>
      <c r="H265" s="82">
        <v>50.6</v>
      </c>
      <c r="I265" s="82">
        <v>52.1</v>
      </c>
      <c r="J265" s="82">
        <v>51.4</v>
      </c>
      <c r="K265" s="82">
        <v>47.3</v>
      </c>
      <c r="L265" s="82">
        <v>46.6</v>
      </c>
      <c r="M265" s="82">
        <v>50.7</v>
      </c>
      <c r="N265" s="82">
        <v>47.8</v>
      </c>
      <c r="O265" s="82">
        <v>53.6</v>
      </c>
      <c r="P265" s="82">
        <v>54.1</v>
      </c>
      <c r="Q265" s="82">
        <v>52.4</v>
      </c>
      <c r="R265" s="82">
        <v>53</v>
      </c>
      <c r="S265" s="82">
        <v>53.140695996963103</v>
      </c>
      <c r="T265" s="82">
        <v>52.2</v>
      </c>
      <c r="U265" s="82">
        <v>50.2</v>
      </c>
      <c r="V265" s="82">
        <v>55.7</v>
      </c>
      <c r="W265" s="82">
        <v>48.74</v>
      </c>
      <c r="X265" s="82">
        <v>49.1</v>
      </c>
      <c r="Y265" s="82">
        <v>51.3</v>
      </c>
      <c r="Z265" s="82">
        <v>47.8</v>
      </c>
      <c r="AB265" s="82">
        <v>49.5</v>
      </c>
      <c r="AC265" s="82">
        <v>54.3</v>
      </c>
      <c r="AD265" s="82">
        <v>54.1</v>
      </c>
      <c r="AE265" s="82">
        <v>50.1</v>
      </c>
    </row>
    <row r="266" spans="1:31" x14ac:dyDescent="0.2">
      <c r="A266" s="81">
        <v>42309</v>
      </c>
      <c r="B266" s="82">
        <v>52.5</v>
      </c>
      <c r="C266" s="82">
        <v>43.8</v>
      </c>
      <c r="D266" s="82">
        <v>48.6</v>
      </c>
      <c r="E266" s="82">
        <v>54.2</v>
      </c>
      <c r="F266" s="82">
        <v>61.47</v>
      </c>
      <c r="G266" s="82">
        <v>52.8</v>
      </c>
      <c r="H266" s="82">
        <v>50.6</v>
      </c>
      <c r="I266" s="82">
        <v>52.9</v>
      </c>
      <c r="J266" s="82">
        <v>51.2</v>
      </c>
      <c r="K266" s="82">
        <v>48.1</v>
      </c>
      <c r="L266" s="82">
        <v>46.6</v>
      </c>
      <c r="M266" s="82">
        <v>50.3</v>
      </c>
      <c r="N266" s="82">
        <v>46.9</v>
      </c>
      <c r="O266" s="82">
        <v>53.3</v>
      </c>
      <c r="P266" s="82">
        <v>54.9</v>
      </c>
      <c r="Q266" s="82">
        <v>52.6</v>
      </c>
      <c r="R266" s="82">
        <v>53</v>
      </c>
      <c r="S266" s="82">
        <v>55.032635885992697</v>
      </c>
      <c r="T266" s="82">
        <v>52.1</v>
      </c>
      <c r="U266" s="82">
        <v>50.1</v>
      </c>
      <c r="V266" s="82">
        <v>56.3</v>
      </c>
      <c r="W266" s="82">
        <v>44.73</v>
      </c>
      <c r="X266" s="82">
        <v>49.1</v>
      </c>
      <c r="Y266" s="82">
        <v>53.1</v>
      </c>
      <c r="Z266" s="82">
        <v>49.5</v>
      </c>
      <c r="AB266" s="82">
        <v>50.9</v>
      </c>
      <c r="AC266" s="82">
        <v>52.3</v>
      </c>
      <c r="AD266" s="82">
        <v>52.8</v>
      </c>
      <c r="AE266" s="82">
        <v>49.4</v>
      </c>
    </row>
    <row r="267" spans="1:31" x14ac:dyDescent="0.2">
      <c r="A267" s="81">
        <v>42339</v>
      </c>
      <c r="B267" s="82">
        <v>51.9</v>
      </c>
      <c r="C267" s="82">
        <v>45.6</v>
      </c>
      <c r="D267" s="82">
        <v>47.5</v>
      </c>
      <c r="E267" s="82">
        <v>55.6</v>
      </c>
      <c r="F267" s="82">
        <v>54.76</v>
      </c>
      <c r="G267" s="82">
        <v>53.2</v>
      </c>
      <c r="H267" s="82">
        <v>51.4</v>
      </c>
      <c r="I267" s="82">
        <v>53.2</v>
      </c>
      <c r="J267" s="82">
        <v>50.9</v>
      </c>
      <c r="K267" s="82">
        <v>50.2</v>
      </c>
      <c r="L267" s="82">
        <v>46.4</v>
      </c>
      <c r="M267" s="82">
        <v>49.1</v>
      </c>
      <c r="N267" s="82">
        <v>47.8</v>
      </c>
      <c r="O267" s="82">
        <v>54.2</v>
      </c>
      <c r="P267" s="82">
        <v>55.6</v>
      </c>
      <c r="Q267" s="82">
        <v>52.6</v>
      </c>
      <c r="R267" s="82">
        <v>52.4</v>
      </c>
      <c r="S267" s="82">
        <v>56.985602727074799</v>
      </c>
      <c r="T267" s="82">
        <v>52.1</v>
      </c>
      <c r="U267" s="82">
        <v>48.7</v>
      </c>
      <c r="V267" s="82">
        <v>54.4</v>
      </c>
      <c r="W267" s="82">
        <v>47.2</v>
      </c>
      <c r="X267" s="82">
        <v>50.7</v>
      </c>
      <c r="Y267" s="82">
        <v>53</v>
      </c>
      <c r="Z267" s="82">
        <v>51.7</v>
      </c>
      <c r="AB267" s="82">
        <v>52.2</v>
      </c>
      <c r="AC267" s="82">
        <v>51</v>
      </c>
      <c r="AD267" s="82">
        <v>51.2</v>
      </c>
      <c r="AE267" s="82">
        <v>51.3</v>
      </c>
    </row>
    <row r="268" spans="1:31" x14ac:dyDescent="0.2">
      <c r="A268" s="81">
        <v>42370</v>
      </c>
      <c r="B268" s="82">
        <v>51.5</v>
      </c>
      <c r="C268" s="82">
        <v>47.4</v>
      </c>
      <c r="D268" s="82">
        <v>49.3</v>
      </c>
      <c r="E268" s="82">
        <v>56.9</v>
      </c>
      <c r="F268" s="82">
        <v>54.46</v>
      </c>
      <c r="G268" s="82">
        <v>52.3</v>
      </c>
      <c r="H268" s="82">
        <v>50</v>
      </c>
      <c r="I268" s="82">
        <v>52.3</v>
      </c>
      <c r="J268" s="82">
        <v>50.9</v>
      </c>
      <c r="K268" s="82">
        <v>50</v>
      </c>
      <c r="L268" s="82">
        <v>46.1</v>
      </c>
      <c r="M268" s="82">
        <v>51.1</v>
      </c>
      <c r="N268" s="82">
        <v>48.9</v>
      </c>
      <c r="O268" s="82">
        <v>54.3</v>
      </c>
      <c r="P268" s="82">
        <v>53.2</v>
      </c>
      <c r="Q268" s="82">
        <v>52.3</v>
      </c>
      <c r="R268" s="82">
        <v>52.2</v>
      </c>
      <c r="S268" s="82">
        <v>59.789243036004997</v>
      </c>
      <c r="T268" s="82">
        <v>50.9</v>
      </c>
      <c r="U268" s="82">
        <v>49.8</v>
      </c>
      <c r="V268" s="82">
        <v>53.9</v>
      </c>
      <c r="W268" s="82">
        <v>43.27</v>
      </c>
      <c r="X268" s="82">
        <v>49.5</v>
      </c>
      <c r="Y268" s="82">
        <v>55.4</v>
      </c>
      <c r="Z268" s="82">
        <v>50.6</v>
      </c>
      <c r="AB268" s="82">
        <v>50.9</v>
      </c>
      <c r="AC268" s="82">
        <v>52.2</v>
      </c>
      <c r="AD268" s="82">
        <v>52.4</v>
      </c>
      <c r="AE268" s="82">
        <v>51.5</v>
      </c>
    </row>
    <row r="269" spans="1:31" x14ac:dyDescent="0.2">
      <c r="A269" s="81">
        <v>42401</v>
      </c>
      <c r="B269" s="82">
        <v>53.5</v>
      </c>
      <c r="C269" s="82">
        <v>44.5</v>
      </c>
      <c r="D269" s="82">
        <v>49.4</v>
      </c>
      <c r="E269" s="82">
        <v>55.5</v>
      </c>
      <c r="F269" s="82">
        <v>50.93</v>
      </c>
      <c r="G269" s="82">
        <v>51.2</v>
      </c>
      <c r="H269" s="82">
        <v>50.2</v>
      </c>
      <c r="I269" s="82">
        <v>50.5</v>
      </c>
      <c r="J269" s="82">
        <v>50</v>
      </c>
      <c r="K269" s="82">
        <v>48.4</v>
      </c>
      <c r="L269" s="82">
        <v>46.4</v>
      </c>
      <c r="M269" s="82">
        <v>51.1</v>
      </c>
      <c r="N269" s="82">
        <v>48.7</v>
      </c>
      <c r="O269" s="82">
        <v>52.9</v>
      </c>
      <c r="P269" s="82">
        <v>52.2</v>
      </c>
      <c r="Q269" s="82">
        <v>50.1</v>
      </c>
      <c r="R269" s="82">
        <v>53.1</v>
      </c>
      <c r="S269" s="82">
        <v>56.078910394119397</v>
      </c>
      <c r="T269" s="82">
        <v>52.8</v>
      </c>
      <c r="U269" s="82">
        <v>49.3</v>
      </c>
      <c r="V269" s="82">
        <v>54.4</v>
      </c>
      <c r="W269" s="82">
        <v>46.84</v>
      </c>
      <c r="X269" s="82">
        <v>48.7</v>
      </c>
      <c r="Y269" s="82">
        <v>54.1</v>
      </c>
      <c r="Z269" s="82">
        <v>49.4</v>
      </c>
      <c r="AB269" s="82">
        <v>50.3</v>
      </c>
      <c r="AC269" s="82">
        <v>50.8</v>
      </c>
      <c r="AD269" s="82">
        <v>51.3</v>
      </c>
      <c r="AE269" s="82">
        <v>50.3</v>
      </c>
    </row>
    <row r="270" spans="1:31" x14ac:dyDescent="0.2">
      <c r="A270" s="81">
        <v>42430</v>
      </c>
      <c r="B270" s="82">
        <v>58.1</v>
      </c>
      <c r="C270" s="82">
        <v>46</v>
      </c>
      <c r="D270" s="82">
        <v>51.5</v>
      </c>
      <c r="E270" s="82">
        <v>54.3</v>
      </c>
      <c r="F270" s="82">
        <v>55.11</v>
      </c>
      <c r="G270" s="82">
        <v>51.6</v>
      </c>
      <c r="H270" s="82">
        <v>49.6</v>
      </c>
      <c r="I270" s="82">
        <v>50.7</v>
      </c>
      <c r="J270" s="82">
        <v>50.5</v>
      </c>
      <c r="K270" s="82">
        <v>49</v>
      </c>
      <c r="L270" s="82">
        <v>45.5</v>
      </c>
      <c r="M270" s="82">
        <v>52.4</v>
      </c>
      <c r="N270" s="82">
        <v>50.6</v>
      </c>
      <c r="O270" s="82">
        <v>54.9</v>
      </c>
      <c r="P270" s="82">
        <v>53.5</v>
      </c>
      <c r="Q270" s="82">
        <v>49.1</v>
      </c>
      <c r="R270" s="82">
        <v>53.2</v>
      </c>
      <c r="S270" s="82">
        <v>54.178654064476802</v>
      </c>
      <c r="T270" s="82">
        <v>53.8</v>
      </c>
      <c r="U270" s="82">
        <v>48.3</v>
      </c>
      <c r="V270" s="82">
        <v>54.5</v>
      </c>
      <c r="W270" s="82">
        <v>49.54</v>
      </c>
      <c r="X270" s="82">
        <v>49.5</v>
      </c>
      <c r="Y270" s="82">
        <v>53.4</v>
      </c>
      <c r="Z270" s="82">
        <v>51.1</v>
      </c>
      <c r="AB270" s="82">
        <v>49.2</v>
      </c>
      <c r="AC270" s="82">
        <v>51.1</v>
      </c>
      <c r="AD270" s="82">
        <v>51.5</v>
      </c>
      <c r="AE270" s="82">
        <v>50.7</v>
      </c>
    </row>
    <row r="271" spans="1:31" x14ac:dyDescent="0.2">
      <c r="A271" s="81">
        <v>42461</v>
      </c>
      <c r="B271" s="82">
        <v>53.4</v>
      </c>
      <c r="C271" s="82">
        <v>42.6</v>
      </c>
      <c r="D271" s="82">
        <v>52.2</v>
      </c>
      <c r="E271" s="82">
        <v>53.6</v>
      </c>
      <c r="F271" s="82">
        <v>63.28</v>
      </c>
      <c r="G271" s="82">
        <v>51.7</v>
      </c>
      <c r="H271" s="82">
        <v>48</v>
      </c>
      <c r="I271" s="82">
        <v>51.8</v>
      </c>
      <c r="J271" s="82">
        <v>50.1</v>
      </c>
      <c r="K271" s="82">
        <v>49.7</v>
      </c>
      <c r="L271" s="82">
        <v>45.3</v>
      </c>
      <c r="M271" s="82">
        <v>50.5</v>
      </c>
      <c r="N271" s="82">
        <v>50.9</v>
      </c>
      <c r="O271" s="82">
        <v>52.6</v>
      </c>
      <c r="P271" s="82">
        <v>53.9</v>
      </c>
      <c r="Q271" s="82">
        <v>48.2</v>
      </c>
      <c r="R271" s="82">
        <v>52.4</v>
      </c>
      <c r="S271" s="82">
        <v>56.546320970312202</v>
      </c>
      <c r="T271" s="82">
        <v>51</v>
      </c>
      <c r="U271" s="82">
        <v>48</v>
      </c>
      <c r="V271" s="82">
        <v>54.2</v>
      </c>
      <c r="W271" s="82">
        <v>53.33</v>
      </c>
      <c r="X271" s="82">
        <v>50</v>
      </c>
      <c r="Y271" s="82">
        <v>53.5</v>
      </c>
      <c r="Z271" s="82">
        <v>49.7</v>
      </c>
      <c r="AB271" s="82">
        <v>48.9</v>
      </c>
      <c r="AC271" s="82">
        <v>50</v>
      </c>
      <c r="AD271" s="82">
        <v>50.8</v>
      </c>
      <c r="AE271" s="82">
        <v>52.3</v>
      </c>
    </row>
    <row r="272" spans="1:31" x14ac:dyDescent="0.2">
      <c r="A272" s="81">
        <v>42491</v>
      </c>
      <c r="B272" s="82">
        <v>51</v>
      </c>
      <c r="C272" s="82">
        <v>41.6</v>
      </c>
      <c r="D272" s="82">
        <v>52.1</v>
      </c>
      <c r="E272" s="82">
        <v>53.3</v>
      </c>
      <c r="F272" s="82">
        <v>61.65</v>
      </c>
      <c r="G272" s="82">
        <v>51.5</v>
      </c>
      <c r="H272" s="82">
        <v>48.4</v>
      </c>
      <c r="I272" s="82">
        <v>52.1</v>
      </c>
      <c r="J272" s="82">
        <v>50</v>
      </c>
      <c r="K272" s="82">
        <v>48.4</v>
      </c>
      <c r="L272" s="82">
        <v>47.2</v>
      </c>
      <c r="M272" s="82">
        <v>50.7</v>
      </c>
      <c r="N272" s="82">
        <v>50.6</v>
      </c>
      <c r="O272" s="82">
        <v>51.5</v>
      </c>
      <c r="P272" s="82">
        <v>52.4</v>
      </c>
      <c r="Q272" s="82">
        <v>47.7</v>
      </c>
      <c r="R272" s="82">
        <v>53.6</v>
      </c>
      <c r="S272" s="82">
        <v>56.327478347796301</v>
      </c>
      <c r="T272" s="82">
        <v>52.1</v>
      </c>
      <c r="U272" s="82">
        <v>49.6</v>
      </c>
      <c r="V272" s="82">
        <v>54.8</v>
      </c>
      <c r="W272" s="82">
        <v>50.72</v>
      </c>
      <c r="X272" s="82">
        <v>50.1</v>
      </c>
      <c r="Y272" s="82">
        <v>51.8</v>
      </c>
      <c r="Z272" s="82">
        <v>48.5</v>
      </c>
      <c r="AB272" s="82">
        <v>49.4</v>
      </c>
      <c r="AC272" s="82">
        <v>50.7</v>
      </c>
      <c r="AD272" s="82">
        <v>50.7</v>
      </c>
      <c r="AE272" s="82">
        <v>52.7</v>
      </c>
    </row>
    <row r="273" spans="1:31" x14ac:dyDescent="0.2">
      <c r="A273" s="81">
        <v>42522</v>
      </c>
      <c r="B273" s="82">
        <v>51.8</v>
      </c>
      <c r="C273" s="82">
        <v>43.2</v>
      </c>
      <c r="D273" s="82">
        <v>51.8</v>
      </c>
      <c r="E273" s="82">
        <v>51.8</v>
      </c>
      <c r="F273" s="82">
        <v>59.75</v>
      </c>
      <c r="G273" s="82">
        <v>52.8</v>
      </c>
      <c r="H273" s="82">
        <v>48.3</v>
      </c>
      <c r="I273" s="82">
        <v>54.5</v>
      </c>
      <c r="J273" s="82">
        <v>50.9</v>
      </c>
      <c r="K273" s="82">
        <v>50.4</v>
      </c>
      <c r="L273" s="82">
        <v>45.4</v>
      </c>
      <c r="M273" s="82">
        <v>51.7</v>
      </c>
      <c r="N273" s="82">
        <v>51.9</v>
      </c>
      <c r="O273" s="82">
        <v>53</v>
      </c>
      <c r="P273" s="82">
        <v>53.5</v>
      </c>
      <c r="Q273" s="82">
        <v>48.1</v>
      </c>
      <c r="R273" s="82">
        <v>51.1</v>
      </c>
      <c r="S273" s="82">
        <v>57.559793008442902</v>
      </c>
      <c r="T273" s="82">
        <v>51.8</v>
      </c>
      <c r="U273" s="82">
        <v>51.5</v>
      </c>
      <c r="V273" s="82">
        <v>54.4</v>
      </c>
      <c r="W273" s="82">
        <v>52.14</v>
      </c>
      <c r="X273" s="82">
        <v>50.5</v>
      </c>
      <c r="Y273" s="82">
        <v>52.2</v>
      </c>
      <c r="Z273" s="82">
        <v>50.5</v>
      </c>
      <c r="AB273" s="82">
        <v>47.4</v>
      </c>
      <c r="AC273" s="82">
        <v>53.2</v>
      </c>
      <c r="AD273" s="82">
        <v>51.3</v>
      </c>
      <c r="AE273" s="82">
        <v>52.6</v>
      </c>
    </row>
    <row r="274" spans="1:31" x14ac:dyDescent="0.2">
      <c r="A274" s="81">
        <v>42552</v>
      </c>
      <c r="B274" s="82">
        <v>56.4</v>
      </c>
      <c r="C274" s="82">
        <v>46</v>
      </c>
      <c r="D274" s="82">
        <v>51.9</v>
      </c>
      <c r="E274" s="82">
        <v>49.3</v>
      </c>
      <c r="F274" s="82">
        <v>59.53</v>
      </c>
      <c r="G274" s="82">
        <v>52</v>
      </c>
      <c r="H274" s="82">
        <v>48.6</v>
      </c>
      <c r="I274" s="82">
        <v>53.8</v>
      </c>
      <c r="J274" s="82">
        <v>51</v>
      </c>
      <c r="K274" s="82">
        <v>48.7</v>
      </c>
      <c r="L274" s="82">
        <v>47.2</v>
      </c>
      <c r="M274" s="82">
        <v>51.8</v>
      </c>
      <c r="N274" s="82">
        <v>48.4</v>
      </c>
      <c r="O274" s="82">
        <v>50.2</v>
      </c>
      <c r="P274" s="82">
        <v>51.2</v>
      </c>
      <c r="Q274" s="82">
        <v>49.3</v>
      </c>
      <c r="R274" s="82">
        <v>50.6</v>
      </c>
      <c r="S274" s="82">
        <v>55.949978197804803</v>
      </c>
      <c r="T274" s="82">
        <v>50.3</v>
      </c>
      <c r="U274" s="82">
        <v>49.5</v>
      </c>
      <c r="V274" s="82">
        <v>56</v>
      </c>
      <c r="W274" s="82">
        <v>51.25</v>
      </c>
      <c r="X274" s="82">
        <v>50.1</v>
      </c>
      <c r="Y274" s="82">
        <v>51</v>
      </c>
      <c r="Z274" s="82">
        <v>51</v>
      </c>
      <c r="AA274" s="82">
        <v>49.3</v>
      </c>
      <c r="AB274" s="82">
        <v>47.6</v>
      </c>
      <c r="AC274" s="82">
        <v>48.5</v>
      </c>
      <c r="AD274" s="82">
        <v>52.9</v>
      </c>
      <c r="AE274" s="82">
        <v>51.9</v>
      </c>
    </row>
    <row r="275" spans="1:31" x14ac:dyDescent="0.2">
      <c r="A275" s="81">
        <v>42583</v>
      </c>
      <c r="B275" s="82">
        <v>46.9</v>
      </c>
      <c r="C275" s="82">
        <v>45.7</v>
      </c>
      <c r="D275" s="82">
        <v>51.1</v>
      </c>
      <c r="E275" s="82">
        <v>50.1</v>
      </c>
      <c r="F275" s="82">
        <v>53.62</v>
      </c>
      <c r="G275" s="82">
        <v>51.7</v>
      </c>
      <c r="H275" s="82">
        <v>48.3</v>
      </c>
      <c r="I275" s="82">
        <v>53.6</v>
      </c>
      <c r="J275" s="82">
        <v>50.9</v>
      </c>
      <c r="K275" s="82">
        <v>50.4</v>
      </c>
      <c r="L275" s="82">
        <v>49</v>
      </c>
      <c r="M275" s="82">
        <v>52.6</v>
      </c>
      <c r="N275" s="82">
        <v>50.4</v>
      </c>
      <c r="O275" s="82">
        <v>51.7</v>
      </c>
      <c r="P275" s="82">
        <v>49.8</v>
      </c>
      <c r="Q275" s="82">
        <v>49.5</v>
      </c>
      <c r="R275" s="82">
        <v>50.9</v>
      </c>
      <c r="S275" s="82">
        <v>54.647059284907002</v>
      </c>
      <c r="T275" s="82">
        <v>51.5</v>
      </c>
      <c r="U275" s="82">
        <v>50.8</v>
      </c>
      <c r="V275" s="82">
        <v>56.6</v>
      </c>
      <c r="W275" s="82">
        <v>47.94</v>
      </c>
      <c r="X275" s="82">
        <v>48.6</v>
      </c>
      <c r="Y275" s="82">
        <v>51</v>
      </c>
      <c r="Z275" s="82">
        <v>51.8</v>
      </c>
      <c r="AA275" s="82">
        <v>49.8</v>
      </c>
      <c r="AB275" s="82">
        <v>47</v>
      </c>
      <c r="AC275" s="82">
        <v>53.2</v>
      </c>
      <c r="AD275" s="82">
        <v>52</v>
      </c>
      <c r="AE275" s="82">
        <v>52.2</v>
      </c>
    </row>
    <row r="276" spans="1:31" x14ac:dyDescent="0.2">
      <c r="A276" s="81">
        <v>42614</v>
      </c>
      <c r="B276" s="82">
        <v>49.8</v>
      </c>
      <c r="C276" s="82">
        <v>46</v>
      </c>
      <c r="D276" s="82">
        <v>50.3</v>
      </c>
      <c r="E276" s="82">
        <v>52</v>
      </c>
      <c r="F276" s="82">
        <v>58.98</v>
      </c>
      <c r="G276" s="82">
        <v>52.6</v>
      </c>
      <c r="H276" s="82">
        <v>49.7</v>
      </c>
      <c r="I276" s="82">
        <v>54.3</v>
      </c>
      <c r="J276" s="82">
        <v>51</v>
      </c>
      <c r="K276" s="82">
        <v>49.2</v>
      </c>
      <c r="L276" s="82">
        <v>49.3</v>
      </c>
      <c r="M276" s="82">
        <v>52.1</v>
      </c>
      <c r="N276" s="82">
        <v>50.9</v>
      </c>
      <c r="O276" s="82">
        <v>51.3</v>
      </c>
      <c r="P276" s="82">
        <v>51</v>
      </c>
      <c r="Q276" s="82">
        <v>50.4</v>
      </c>
      <c r="R276" s="82">
        <v>51.9</v>
      </c>
      <c r="S276" s="82">
        <v>57.200032269804097</v>
      </c>
      <c r="T276" s="82">
        <v>52.2</v>
      </c>
      <c r="U276" s="82">
        <v>51.1</v>
      </c>
      <c r="V276" s="82">
        <v>55.3</v>
      </c>
      <c r="W276" s="82">
        <v>49.85</v>
      </c>
      <c r="X276" s="82">
        <v>47.6</v>
      </c>
      <c r="Y276" s="82">
        <v>52.3</v>
      </c>
      <c r="Z276" s="82">
        <v>52.2</v>
      </c>
      <c r="AA276" s="82">
        <v>48.8</v>
      </c>
      <c r="AB276" s="82">
        <v>48.3</v>
      </c>
      <c r="AC276" s="82">
        <v>55.6</v>
      </c>
      <c r="AD276" s="82">
        <v>51.5</v>
      </c>
      <c r="AE276" s="82">
        <v>52.9</v>
      </c>
    </row>
    <row r="277" spans="1:31" x14ac:dyDescent="0.2">
      <c r="A277" s="81">
        <v>42644</v>
      </c>
      <c r="B277" s="82">
        <v>50.9</v>
      </c>
      <c r="C277" s="82">
        <v>46.3</v>
      </c>
      <c r="D277" s="82">
        <v>51.1</v>
      </c>
      <c r="E277" s="82">
        <v>53.3</v>
      </c>
      <c r="F277" s="82">
        <v>57.31</v>
      </c>
      <c r="G277" s="82">
        <v>53.5</v>
      </c>
      <c r="H277" s="82">
        <v>51.8</v>
      </c>
      <c r="I277" s="82">
        <v>55</v>
      </c>
      <c r="J277" s="82">
        <v>52</v>
      </c>
      <c r="K277" s="82">
        <v>48.6</v>
      </c>
      <c r="L277" s="82">
        <v>48.2</v>
      </c>
      <c r="M277" s="82">
        <v>54.4</v>
      </c>
      <c r="N277" s="82">
        <v>48.7</v>
      </c>
      <c r="O277" s="82">
        <v>52.1</v>
      </c>
      <c r="P277" s="82">
        <v>50.9</v>
      </c>
      <c r="Q277" s="82">
        <v>51.4</v>
      </c>
      <c r="R277" s="82">
        <v>51.8</v>
      </c>
      <c r="S277" s="82">
        <v>54.770169462479103</v>
      </c>
      <c r="T277" s="82">
        <v>50.2</v>
      </c>
      <c r="U277" s="82">
        <v>52.4</v>
      </c>
      <c r="V277" s="82">
        <v>53.2</v>
      </c>
      <c r="W277" s="82">
        <v>46.47</v>
      </c>
      <c r="X277" s="82">
        <v>48</v>
      </c>
      <c r="Y277" s="82">
        <v>53.3</v>
      </c>
      <c r="Z277" s="82">
        <v>52.7</v>
      </c>
      <c r="AA277" s="82">
        <v>48.8</v>
      </c>
      <c r="AB277" s="82">
        <v>49.8</v>
      </c>
      <c r="AC277" s="82">
        <v>53.8</v>
      </c>
      <c r="AD277" s="82">
        <v>53.4</v>
      </c>
      <c r="AE277" s="82">
        <v>51.7</v>
      </c>
    </row>
    <row r="278" spans="1:31" x14ac:dyDescent="0.2">
      <c r="A278" s="81">
        <v>42675</v>
      </c>
      <c r="B278" s="82">
        <v>54.2</v>
      </c>
      <c r="C278" s="82">
        <v>46.2</v>
      </c>
      <c r="D278" s="82">
        <v>51.5</v>
      </c>
      <c r="E278" s="82">
        <v>52.2</v>
      </c>
      <c r="F278" s="82">
        <v>57.22</v>
      </c>
      <c r="G278" s="82">
        <v>53.7</v>
      </c>
      <c r="H278" s="82">
        <v>51.7</v>
      </c>
      <c r="I278" s="82">
        <v>54.3</v>
      </c>
      <c r="J278" s="82">
        <v>52.1</v>
      </c>
      <c r="K278" s="82">
        <v>48.3</v>
      </c>
      <c r="L278" s="82">
        <v>49.5</v>
      </c>
      <c r="M278" s="82">
        <v>52.3</v>
      </c>
      <c r="N278" s="82">
        <v>49.7</v>
      </c>
      <c r="O278" s="82">
        <v>53.7</v>
      </c>
      <c r="P278" s="82">
        <v>52.2</v>
      </c>
      <c r="Q278" s="82">
        <v>51.3</v>
      </c>
      <c r="R278" s="82">
        <v>51.1</v>
      </c>
      <c r="S278" s="82">
        <v>54.294699659706197</v>
      </c>
      <c r="T278" s="82">
        <v>51.9</v>
      </c>
      <c r="U278" s="82">
        <v>53.6</v>
      </c>
      <c r="V278" s="82">
        <v>55</v>
      </c>
      <c r="W278" s="82">
        <v>49.22</v>
      </c>
      <c r="X278" s="82">
        <v>48</v>
      </c>
      <c r="Y278" s="82">
        <v>54.5</v>
      </c>
      <c r="Z278" s="82">
        <v>54.7</v>
      </c>
      <c r="AA278" s="82">
        <v>48.2</v>
      </c>
      <c r="AB278" s="82">
        <v>48.8</v>
      </c>
      <c r="AC278" s="82">
        <v>53.2</v>
      </c>
      <c r="AD278" s="82">
        <v>54.1</v>
      </c>
      <c r="AE278" s="82">
        <v>54</v>
      </c>
    </row>
    <row r="279" spans="1:31" x14ac:dyDescent="0.2">
      <c r="A279" s="81">
        <v>42705</v>
      </c>
      <c r="B279" s="82">
        <v>55.4</v>
      </c>
      <c r="C279" s="82">
        <v>45.2</v>
      </c>
      <c r="D279" s="82">
        <v>51.8</v>
      </c>
      <c r="E279" s="82">
        <v>53.8</v>
      </c>
      <c r="F279" s="82">
        <v>62.52</v>
      </c>
      <c r="G279" s="82">
        <v>54.9</v>
      </c>
      <c r="H279" s="82">
        <v>53.5</v>
      </c>
      <c r="I279" s="82">
        <v>55.6</v>
      </c>
      <c r="J279" s="82">
        <v>52.7</v>
      </c>
      <c r="K279" s="82">
        <v>49.3</v>
      </c>
      <c r="L279" s="82">
        <v>50.3</v>
      </c>
      <c r="M279" s="82">
        <v>49.6</v>
      </c>
      <c r="N279" s="82">
        <v>49</v>
      </c>
      <c r="O279" s="82">
        <v>55.7</v>
      </c>
      <c r="P279" s="82">
        <v>53.2</v>
      </c>
      <c r="Q279" s="82">
        <v>52.4</v>
      </c>
      <c r="R279" s="82">
        <v>50.2</v>
      </c>
      <c r="S279" s="82">
        <v>54.632850303643103</v>
      </c>
      <c r="T279" s="82">
        <v>54.3</v>
      </c>
      <c r="U279" s="82">
        <v>53.7</v>
      </c>
      <c r="V279" s="82">
        <v>55.5</v>
      </c>
      <c r="W279" s="82">
        <v>48.56</v>
      </c>
      <c r="X279" s="82">
        <v>49.4</v>
      </c>
      <c r="Y279" s="82">
        <v>55.3</v>
      </c>
      <c r="Z279" s="82">
        <v>56.2</v>
      </c>
      <c r="AA279" s="82">
        <v>50.6</v>
      </c>
      <c r="AB279" s="82">
        <v>47.7</v>
      </c>
      <c r="AC279" s="82">
        <v>55.6</v>
      </c>
      <c r="AD279" s="82">
        <v>54.3</v>
      </c>
      <c r="AE279" s="82">
        <v>52.4</v>
      </c>
    </row>
    <row r="280" spans="1:31" x14ac:dyDescent="0.2">
      <c r="A280" s="81">
        <v>42736</v>
      </c>
      <c r="B280" s="82">
        <v>51.2</v>
      </c>
      <c r="C280" s="82">
        <v>44</v>
      </c>
      <c r="D280" s="82">
        <v>53.5</v>
      </c>
      <c r="E280" s="82">
        <v>55.7</v>
      </c>
      <c r="F280" s="82">
        <v>57.57</v>
      </c>
      <c r="G280" s="82">
        <v>55.2</v>
      </c>
      <c r="H280" s="82">
        <v>53.6</v>
      </c>
      <c r="I280" s="82">
        <v>56.4</v>
      </c>
      <c r="J280" s="82">
        <v>52.7</v>
      </c>
      <c r="K280" s="82">
        <v>46.6</v>
      </c>
      <c r="L280" s="82">
        <v>49.9</v>
      </c>
      <c r="M280" s="82">
        <v>50.4</v>
      </c>
      <c r="N280" s="82">
        <v>50.4</v>
      </c>
      <c r="O280" s="82">
        <v>55.5</v>
      </c>
      <c r="P280" s="82">
        <v>53</v>
      </c>
      <c r="Q280" s="82">
        <v>52.7</v>
      </c>
      <c r="R280" s="82">
        <v>50.8</v>
      </c>
      <c r="S280" s="82">
        <v>53.201234556972999</v>
      </c>
      <c r="T280" s="82">
        <v>54.8</v>
      </c>
      <c r="U280" s="82">
        <v>54.7</v>
      </c>
      <c r="V280" s="82">
        <v>56.7</v>
      </c>
      <c r="W280" s="82">
        <v>50.08</v>
      </c>
      <c r="X280" s="82">
        <v>49</v>
      </c>
      <c r="Y280" s="82">
        <v>55.6</v>
      </c>
      <c r="Z280" s="82">
        <v>55.6</v>
      </c>
      <c r="AA280" s="82">
        <v>50.6</v>
      </c>
      <c r="AB280" s="82">
        <v>48.7</v>
      </c>
      <c r="AC280" s="82">
        <v>55.2</v>
      </c>
      <c r="AD280" s="82">
        <v>55</v>
      </c>
      <c r="AE280" s="82">
        <v>51.9</v>
      </c>
    </row>
    <row r="281" spans="1:31" x14ac:dyDescent="0.2">
      <c r="A281" s="81">
        <v>42767</v>
      </c>
      <c r="B281" s="82">
        <v>59.3</v>
      </c>
      <c r="C281" s="82">
        <v>46.9</v>
      </c>
      <c r="D281" s="82">
        <v>54.7</v>
      </c>
      <c r="E281" s="82">
        <v>57.6</v>
      </c>
      <c r="F281" s="82">
        <v>56.51</v>
      </c>
      <c r="G281" s="82">
        <v>55.4</v>
      </c>
      <c r="H281" s="82">
        <v>52.2</v>
      </c>
      <c r="I281" s="82">
        <v>56.8</v>
      </c>
      <c r="J281" s="82">
        <v>53</v>
      </c>
      <c r="K281" s="82">
        <v>47.7</v>
      </c>
      <c r="L281" s="82">
        <v>49.6</v>
      </c>
      <c r="M281" s="82">
        <v>50.7</v>
      </c>
      <c r="N281" s="82">
        <v>49.3</v>
      </c>
      <c r="O281" s="82">
        <v>53.8</v>
      </c>
      <c r="P281" s="82">
        <v>55</v>
      </c>
      <c r="Q281" s="82">
        <v>53.3</v>
      </c>
      <c r="R281" s="82">
        <v>50.6</v>
      </c>
      <c r="S281" s="82">
        <v>56.052093803738103</v>
      </c>
      <c r="T281" s="82">
        <v>54.2</v>
      </c>
      <c r="U281" s="82">
        <v>52.5</v>
      </c>
      <c r="V281" s="82">
        <v>57</v>
      </c>
      <c r="W281" s="82">
        <v>51.22</v>
      </c>
      <c r="X281" s="82">
        <v>49.2</v>
      </c>
      <c r="Y281" s="82">
        <v>54.8</v>
      </c>
      <c r="Z281" s="82">
        <v>54.5</v>
      </c>
      <c r="AA281" s="82">
        <v>50.6</v>
      </c>
      <c r="AB281" s="82">
        <v>49.7</v>
      </c>
      <c r="AC281" s="82">
        <v>54.5</v>
      </c>
      <c r="AD281" s="82">
        <v>54.2</v>
      </c>
      <c r="AE281" s="82">
        <v>54.2</v>
      </c>
    </row>
    <row r="282" spans="1:31" x14ac:dyDescent="0.2">
      <c r="A282" s="81">
        <v>42795</v>
      </c>
      <c r="B282" s="82">
        <v>57.5</v>
      </c>
      <c r="C282" s="82">
        <v>49.6</v>
      </c>
      <c r="D282" s="82">
        <v>55.5</v>
      </c>
      <c r="E282" s="82">
        <v>57.5</v>
      </c>
      <c r="F282" s="82">
        <v>56.62</v>
      </c>
      <c r="G282" s="82">
        <v>56.2</v>
      </c>
      <c r="H282" s="82">
        <v>53.3</v>
      </c>
      <c r="I282" s="82">
        <v>58.3</v>
      </c>
      <c r="J282" s="82">
        <v>53</v>
      </c>
      <c r="K282" s="82">
        <v>46.7</v>
      </c>
      <c r="L282" s="82">
        <v>49.9</v>
      </c>
      <c r="M282" s="82">
        <v>52.5</v>
      </c>
      <c r="N282" s="82">
        <v>50.5</v>
      </c>
      <c r="O282" s="82">
        <v>53.6</v>
      </c>
      <c r="P282" s="82">
        <v>55.7</v>
      </c>
      <c r="Q282" s="82">
        <v>52.4</v>
      </c>
      <c r="R282" s="82">
        <v>51.5</v>
      </c>
      <c r="S282" s="82">
        <v>58.722829092940202</v>
      </c>
      <c r="T282" s="82">
        <v>53.5</v>
      </c>
      <c r="U282" s="82">
        <v>52.4</v>
      </c>
      <c r="V282" s="82">
        <v>56.4</v>
      </c>
      <c r="W282" s="82">
        <v>50.81</v>
      </c>
      <c r="X282" s="82">
        <v>48.4</v>
      </c>
      <c r="Y282" s="82">
        <v>53.9</v>
      </c>
      <c r="Z282" s="82">
        <v>56.2</v>
      </c>
      <c r="AA282" s="82">
        <v>50.2</v>
      </c>
      <c r="AB282" s="82">
        <v>52.3</v>
      </c>
      <c r="AC282" s="82">
        <v>54.1</v>
      </c>
      <c r="AD282" s="82">
        <v>53.3</v>
      </c>
      <c r="AE282" s="82">
        <v>54.6</v>
      </c>
    </row>
    <row r="283" spans="1:31" x14ac:dyDescent="0.2">
      <c r="A283" s="81">
        <v>42826</v>
      </c>
      <c r="B283" s="82">
        <v>59.2</v>
      </c>
      <c r="C283" s="82">
        <v>50.1</v>
      </c>
      <c r="D283" s="82">
        <v>55.9</v>
      </c>
      <c r="E283" s="82">
        <v>57.5</v>
      </c>
      <c r="F283" s="82">
        <v>49.11</v>
      </c>
      <c r="G283" s="82">
        <v>56.7</v>
      </c>
      <c r="H283" s="82">
        <v>55.1</v>
      </c>
      <c r="I283" s="82">
        <v>58.2</v>
      </c>
      <c r="J283" s="82">
        <v>52.7</v>
      </c>
      <c r="K283" s="82">
        <v>48.2</v>
      </c>
      <c r="L283" s="82">
        <v>51.1</v>
      </c>
      <c r="M283" s="82">
        <v>52.5</v>
      </c>
      <c r="N283" s="82">
        <v>51.2</v>
      </c>
      <c r="O283" s="82">
        <v>55</v>
      </c>
      <c r="P283" s="82">
        <v>56.2</v>
      </c>
      <c r="Q283" s="82">
        <v>52.7</v>
      </c>
      <c r="R283" s="82">
        <v>50.7</v>
      </c>
      <c r="S283" s="82">
        <v>56.591209988029298</v>
      </c>
      <c r="T283" s="82">
        <v>54.1</v>
      </c>
      <c r="U283" s="82">
        <v>50.8</v>
      </c>
      <c r="V283" s="82">
        <v>56.5</v>
      </c>
      <c r="W283" s="82">
        <v>43.53</v>
      </c>
      <c r="X283" s="82">
        <v>49.4</v>
      </c>
      <c r="Y283" s="82">
        <v>54.5</v>
      </c>
      <c r="Z283" s="82">
        <v>54.4</v>
      </c>
      <c r="AA283" s="82">
        <v>49.8</v>
      </c>
      <c r="AB283" s="82">
        <v>51.7</v>
      </c>
      <c r="AC283" s="82">
        <v>57.8</v>
      </c>
      <c r="AD283" s="82">
        <v>52.8</v>
      </c>
      <c r="AE283" s="82">
        <v>54.1</v>
      </c>
    </row>
    <row r="284" spans="1:31" x14ac:dyDescent="0.2">
      <c r="A284" s="81">
        <v>42856</v>
      </c>
      <c r="B284" s="82">
        <v>54.8</v>
      </c>
      <c r="C284" s="82">
        <v>52</v>
      </c>
      <c r="D284" s="82">
        <v>55.1</v>
      </c>
      <c r="E284" s="82">
        <v>56.4</v>
      </c>
      <c r="F284" s="82">
        <v>57.99</v>
      </c>
      <c r="G284" s="82">
        <v>57</v>
      </c>
      <c r="H284" s="82">
        <v>53.8</v>
      </c>
      <c r="I284" s="82">
        <v>59.5</v>
      </c>
      <c r="J284" s="82">
        <v>52.6</v>
      </c>
      <c r="K284" s="82">
        <v>49.6</v>
      </c>
      <c r="L284" s="82">
        <v>50.5</v>
      </c>
      <c r="M284" s="82">
        <v>51.6</v>
      </c>
      <c r="N284" s="82">
        <v>50.6</v>
      </c>
      <c r="O284" s="82">
        <v>55.9</v>
      </c>
      <c r="P284" s="82">
        <v>55.1</v>
      </c>
      <c r="Q284" s="82">
        <v>53.1</v>
      </c>
      <c r="R284" s="82">
        <v>51.2</v>
      </c>
      <c r="S284" s="82">
        <v>57.6796522807713</v>
      </c>
      <c r="T284" s="82">
        <v>52.7</v>
      </c>
      <c r="U284" s="82">
        <v>52.4</v>
      </c>
      <c r="V284" s="82">
        <v>55.3</v>
      </c>
      <c r="W284" s="82">
        <v>50.11</v>
      </c>
      <c r="X284" s="82">
        <v>49.2</v>
      </c>
      <c r="Y284" s="82">
        <v>55.4</v>
      </c>
      <c r="Z284" s="82">
        <v>53.1</v>
      </c>
      <c r="AA284" s="82">
        <v>49.7</v>
      </c>
      <c r="AB284" s="82">
        <v>53.5</v>
      </c>
      <c r="AC284" s="82">
        <v>56.6</v>
      </c>
      <c r="AD284" s="82">
        <v>52.7</v>
      </c>
      <c r="AE284" s="82">
        <v>51.6</v>
      </c>
    </row>
    <row r="285" spans="1:31" x14ac:dyDescent="0.2">
      <c r="A285" s="81">
        <v>42887</v>
      </c>
      <c r="B285" s="82">
        <v>55</v>
      </c>
      <c r="C285" s="82">
        <v>50.5</v>
      </c>
      <c r="D285" s="82">
        <v>54.7</v>
      </c>
      <c r="E285" s="82">
        <v>56.4</v>
      </c>
      <c r="F285" s="82">
        <v>63.61</v>
      </c>
      <c r="G285" s="82">
        <v>57.4</v>
      </c>
      <c r="H285" s="82">
        <v>54.8</v>
      </c>
      <c r="I285" s="82">
        <v>59.6</v>
      </c>
      <c r="J285" s="82">
        <v>52.6</v>
      </c>
      <c r="K285" s="82">
        <v>50.5</v>
      </c>
      <c r="L285" s="82">
        <v>51.1</v>
      </c>
      <c r="M285" s="82">
        <v>50.9</v>
      </c>
      <c r="N285" s="82">
        <v>49.5</v>
      </c>
      <c r="O285" s="82">
        <v>56</v>
      </c>
      <c r="P285" s="82">
        <v>55.2</v>
      </c>
      <c r="Q285" s="82">
        <v>52.4</v>
      </c>
      <c r="R285" s="82">
        <v>52.3</v>
      </c>
      <c r="S285" s="82">
        <v>55.908061806319601</v>
      </c>
      <c r="T285" s="82">
        <v>53.1</v>
      </c>
      <c r="U285" s="82">
        <v>50.3</v>
      </c>
      <c r="V285" s="82">
        <v>54.3</v>
      </c>
      <c r="W285" s="82">
        <v>45.98</v>
      </c>
      <c r="X285" s="82">
        <v>50.1</v>
      </c>
      <c r="Y285" s="82">
        <v>54.7</v>
      </c>
      <c r="Z285" s="82">
        <v>53.3</v>
      </c>
      <c r="AA285" s="82">
        <v>50.4</v>
      </c>
      <c r="AB285" s="82">
        <v>54.7</v>
      </c>
      <c r="AC285" s="82">
        <v>54.4</v>
      </c>
      <c r="AD285" s="82">
        <v>52</v>
      </c>
      <c r="AE285" s="82">
        <v>52.5</v>
      </c>
    </row>
    <row r="286" spans="1:31" x14ac:dyDescent="0.2">
      <c r="A286" s="81">
        <v>42917</v>
      </c>
      <c r="B286" s="82">
        <v>56</v>
      </c>
      <c r="C286" s="82">
        <v>50</v>
      </c>
      <c r="D286" s="82">
        <v>55.5</v>
      </c>
      <c r="E286" s="82">
        <v>55.3</v>
      </c>
      <c r="F286" s="82">
        <v>63.72</v>
      </c>
      <c r="G286" s="82">
        <v>56.6</v>
      </c>
      <c r="H286" s="82">
        <v>54.9</v>
      </c>
      <c r="I286" s="82">
        <v>58.1</v>
      </c>
      <c r="J286" s="82">
        <v>52.8</v>
      </c>
      <c r="K286" s="82">
        <v>50.5</v>
      </c>
      <c r="L286" s="82">
        <v>51.3</v>
      </c>
      <c r="M286" s="82">
        <v>47.9</v>
      </c>
      <c r="N286" s="82">
        <v>48.6</v>
      </c>
      <c r="O286" s="82">
        <v>54.6</v>
      </c>
      <c r="P286" s="82">
        <v>55.1</v>
      </c>
      <c r="Q286" s="82">
        <v>52.1</v>
      </c>
      <c r="R286" s="82">
        <v>51.2</v>
      </c>
      <c r="S286" s="82">
        <v>55.831645577076003</v>
      </c>
      <c r="T286" s="82">
        <v>52.3</v>
      </c>
      <c r="U286" s="82">
        <v>52.7</v>
      </c>
      <c r="V286" s="82">
        <v>55.7</v>
      </c>
      <c r="W286" s="82">
        <v>42.1</v>
      </c>
      <c r="X286" s="82">
        <v>49.1</v>
      </c>
      <c r="Y286" s="82">
        <v>54</v>
      </c>
      <c r="Z286" s="82">
        <v>53.6</v>
      </c>
      <c r="AA286" s="82">
        <v>49.6</v>
      </c>
      <c r="AB286" s="82">
        <v>53.6</v>
      </c>
      <c r="AC286" s="82">
        <v>55.3</v>
      </c>
      <c r="AD286" s="82">
        <v>53.3</v>
      </c>
      <c r="AE286" s="82">
        <v>51.7</v>
      </c>
    </row>
    <row r="287" spans="1:31" x14ac:dyDescent="0.2">
      <c r="A287" s="81">
        <v>42948</v>
      </c>
      <c r="B287" s="82">
        <v>59.8</v>
      </c>
      <c r="C287" s="82">
        <v>50.9</v>
      </c>
      <c r="D287" s="82">
        <v>54.6</v>
      </c>
      <c r="E287" s="82">
        <v>54.9</v>
      </c>
      <c r="F287" s="82">
        <v>60.57</v>
      </c>
      <c r="G287" s="82">
        <v>57.4</v>
      </c>
      <c r="H287" s="82">
        <v>55.8</v>
      </c>
      <c r="I287" s="82">
        <v>59.3</v>
      </c>
      <c r="J287" s="82">
        <v>53.2</v>
      </c>
      <c r="K287" s="82">
        <v>52.2</v>
      </c>
      <c r="L287" s="82">
        <v>49.7</v>
      </c>
      <c r="M287" s="82">
        <v>51.2</v>
      </c>
      <c r="N287" s="82">
        <v>50.7</v>
      </c>
      <c r="O287" s="82">
        <v>56.1</v>
      </c>
      <c r="P287" s="82">
        <v>56.3</v>
      </c>
      <c r="Q287" s="82">
        <v>52.2</v>
      </c>
      <c r="R287" s="82">
        <v>52.2</v>
      </c>
      <c r="S287" s="82">
        <v>57.887533658349597</v>
      </c>
      <c r="T287" s="82">
        <v>52.5</v>
      </c>
      <c r="U287" s="82">
        <v>51.6</v>
      </c>
      <c r="V287" s="82">
        <v>55.8</v>
      </c>
      <c r="W287" s="82">
        <v>46.1</v>
      </c>
      <c r="X287" s="82">
        <v>49.9</v>
      </c>
      <c r="Y287" s="82">
        <v>52.4</v>
      </c>
      <c r="Z287" s="82">
        <v>54.3</v>
      </c>
      <c r="AA287" s="82">
        <v>49.5</v>
      </c>
      <c r="AB287" s="82">
        <v>55.3</v>
      </c>
      <c r="AC287" s="82">
        <v>56.8</v>
      </c>
      <c r="AD287" s="82">
        <v>52.8</v>
      </c>
      <c r="AE287" s="82">
        <v>51.8</v>
      </c>
    </row>
    <row r="288" spans="1:31" x14ac:dyDescent="0.2">
      <c r="A288" s="81">
        <v>42979</v>
      </c>
      <c r="B288" s="82">
        <v>54.2</v>
      </c>
      <c r="C288" s="82">
        <v>50.9</v>
      </c>
      <c r="D288" s="82">
        <v>55</v>
      </c>
      <c r="E288" s="82">
        <v>56.6</v>
      </c>
      <c r="F288" s="82">
        <v>61.78</v>
      </c>
      <c r="G288" s="82">
        <v>58.1</v>
      </c>
      <c r="H288" s="82">
        <v>56.1</v>
      </c>
      <c r="I288" s="82">
        <v>60.6</v>
      </c>
      <c r="J288" s="82">
        <v>53.3</v>
      </c>
      <c r="K288" s="82">
        <v>52.8</v>
      </c>
      <c r="L288" s="82">
        <v>51.2</v>
      </c>
      <c r="M288" s="82">
        <v>51.2</v>
      </c>
      <c r="N288" s="82">
        <v>50.4</v>
      </c>
      <c r="O288" s="82">
        <v>55.4</v>
      </c>
      <c r="P288" s="82">
        <v>56.3</v>
      </c>
      <c r="Q288" s="82">
        <v>52.9</v>
      </c>
      <c r="R288" s="82">
        <v>52.8</v>
      </c>
      <c r="S288" s="82">
        <v>57.5865651905984</v>
      </c>
      <c r="T288" s="82">
        <v>53.7</v>
      </c>
      <c r="U288" s="82">
        <v>51.9</v>
      </c>
      <c r="V288" s="82">
        <v>55.5</v>
      </c>
      <c r="W288" s="82">
        <v>46.4</v>
      </c>
      <c r="X288" s="82">
        <v>50.6</v>
      </c>
      <c r="Y288" s="82">
        <v>54.3</v>
      </c>
      <c r="Z288" s="82">
        <v>54.2</v>
      </c>
      <c r="AA288" s="82">
        <v>50.3</v>
      </c>
      <c r="AB288" s="82">
        <v>53.5</v>
      </c>
      <c r="AC288" s="82">
        <v>56</v>
      </c>
      <c r="AD288" s="82">
        <v>53.1</v>
      </c>
      <c r="AE288" s="82">
        <v>53.3</v>
      </c>
    </row>
    <row r="289" spans="1:31" x14ac:dyDescent="0.2">
      <c r="A289" s="81">
        <v>43009</v>
      </c>
      <c r="B289" s="82">
        <v>51.1</v>
      </c>
      <c r="C289" s="82">
        <v>51.2</v>
      </c>
      <c r="D289" s="82">
        <v>54.3</v>
      </c>
      <c r="E289" s="82">
        <v>58.5</v>
      </c>
      <c r="F289" s="82">
        <v>58.57</v>
      </c>
      <c r="G289" s="82">
        <v>58.5</v>
      </c>
      <c r="H289" s="82">
        <v>56.1</v>
      </c>
      <c r="I289" s="82">
        <v>60.6</v>
      </c>
      <c r="J289" s="82">
        <v>53.5</v>
      </c>
      <c r="K289" s="82">
        <v>52.1</v>
      </c>
      <c r="L289" s="82">
        <v>50.3</v>
      </c>
      <c r="M289" s="82">
        <v>50.3</v>
      </c>
      <c r="N289" s="82">
        <v>50.1</v>
      </c>
      <c r="O289" s="82">
        <v>54.4</v>
      </c>
      <c r="P289" s="82">
        <v>57.8</v>
      </c>
      <c r="Q289" s="82">
        <v>52.8</v>
      </c>
      <c r="R289" s="82">
        <v>49.2</v>
      </c>
      <c r="S289" s="82">
        <v>56.831431477817098</v>
      </c>
      <c r="T289" s="82">
        <v>53.4</v>
      </c>
      <c r="U289" s="82">
        <v>51.1</v>
      </c>
      <c r="V289" s="82">
        <v>55.6</v>
      </c>
      <c r="W289" s="82">
        <v>48.4</v>
      </c>
      <c r="X289" s="82">
        <v>50.2</v>
      </c>
      <c r="Y289" s="82">
        <v>55.8</v>
      </c>
      <c r="Z289" s="82">
        <v>53.6</v>
      </c>
      <c r="AA289" s="82">
        <v>49.8</v>
      </c>
      <c r="AB289" s="82">
        <v>52.8</v>
      </c>
      <c r="AC289" s="82">
        <v>56.2</v>
      </c>
      <c r="AD289" s="82">
        <v>54.6</v>
      </c>
      <c r="AE289" s="82">
        <v>51.6</v>
      </c>
    </row>
    <row r="290" spans="1:31" x14ac:dyDescent="0.2">
      <c r="A290" s="81">
        <v>43040</v>
      </c>
      <c r="B290" s="82">
        <v>57.3</v>
      </c>
      <c r="C290" s="82">
        <v>53.5</v>
      </c>
      <c r="D290" s="82">
        <v>54.4</v>
      </c>
      <c r="E290" s="82">
        <v>58.7</v>
      </c>
      <c r="F290" s="82">
        <v>58.31</v>
      </c>
      <c r="G290" s="82">
        <v>60.1</v>
      </c>
      <c r="H290" s="82">
        <v>57.7</v>
      </c>
      <c r="I290" s="82">
        <v>62.5</v>
      </c>
      <c r="J290" s="82">
        <v>54.1</v>
      </c>
      <c r="K290" s="82">
        <v>52.2</v>
      </c>
      <c r="L290" s="82">
        <v>50.7</v>
      </c>
      <c r="M290" s="82">
        <v>52.6</v>
      </c>
      <c r="N290" s="82">
        <v>50.4</v>
      </c>
      <c r="O290" s="82">
        <v>58.1</v>
      </c>
      <c r="P290" s="82">
        <v>58.3</v>
      </c>
      <c r="Q290" s="82">
        <v>53.6</v>
      </c>
      <c r="R290" s="82">
        <v>52.4</v>
      </c>
      <c r="S290" s="82">
        <v>57.427575830614998</v>
      </c>
      <c r="T290" s="82">
        <v>54.2</v>
      </c>
      <c r="U290" s="82">
        <v>51.5</v>
      </c>
      <c r="V290" s="82">
        <v>57.5</v>
      </c>
      <c r="W290" s="82">
        <v>48.9</v>
      </c>
      <c r="X290" s="82">
        <v>51.2</v>
      </c>
      <c r="Y290" s="82">
        <v>56.1</v>
      </c>
      <c r="Z290" s="82">
        <v>56.3</v>
      </c>
      <c r="AA290" s="82">
        <v>50</v>
      </c>
      <c r="AB290" s="82">
        <v>52.9</v>
      </c>
      <c r="AC290" s="82">
        <v>58.3</v>
      </c>
      <c r="AD290" s="82">
        <v>53.9</v>
      </c>
      <c r="AE290" s="82">
        <v>51.4</v>
      </c>
    </row>
    <row r="291" spans="1:31" x14ac:dyDescent="0.2">
      <c r="A291" s="81">
        <v>43070</v>
      </c>
      <c r="B291" s="82">
        <v>56.2</v>
      </c>
      <c r="C291" s="82">
        <v>52.4</v>
      </c>
      <c r="D291" s="82">
        <v>54.7</v>
      </c>
      <c r="E291" s="82">
        <v>59.8</v>
      </c>
      <c r="F291" s="82">
        <v>61.04</v>
      </c>
      <c r="G291" s="82">
        <v>60.6</v>
      </c>
      <c r="H291" s="82">
        <v>58.8</v>
      </c>
      <c r="I291" s="82">
        <v>63.3</v>
      </c>
      <c r="J291" s="82">
        <v>54.5</v>
      </c>
      <c r="K291" s="82">
        <v>53.1</v>
      </c>
      <c r="L291" s="82">
        <v>51.5</v>
      </c>
      <c r="M291" s="82">
        <v>54.7</v>
      </c>
      <c r="N291" s="82">
        <v>49.3</v>
      </c>
      <c r="O291" s="82">
        <v>59.1</v>
      </c>
      <c r="P291" s="82">
        <v>57.4</v>
      </c>
      <c r="Q291" s="82">
        <v>54</v>
      </c>
      <c r="R291" s="82">
        <v>51.7</v>
      </c>
      <c r="S291" s="82">
        <v>50.964893006040199</v>
      </c>
      <c r="T291" s="82">
        <v>55</v>
      </c>
      <c r="U291" s="82">
        <v>52</v>
      </c>
      <c r="V291" s="82">
        <v>57.3</v>
      </c>
      <c r="W291" s="82">
        <v>45.9</v>
      </c>
      <c r="X291" s="82">
        <v>49.9</v>
      </c>
      <c r="Y291" s="82">
        <v>55.8</v>
      </c>
      <c r="Z291" s="82">
        <v>56.6</v>
      </c>
      <c r="AA291" s="82">
        <v>50.4</v>
      </c>
      <c r="AB291" s="82">
        <v>54.9</v>
      </c>
      <c r="AC291" s="82">
        <v>56</v>
      </c>
      <c r="AD291" s="82">
        <v>55.1</v>
      </c>
      <c r="AE291" s="82">
        <v>52.5</v>
      </c>
    </row>
    <row r="292" spans="1:31" x14ac:dyDescent="0.2">
      <c r="A292" s="81">
        <v>43101</v>
      </c>
      <c r="B292" s="82">
        <v>58.7</v>
      </c>
      <c r="C292" s="82">
        <v>51.2</v>
      </c>
      <c r="D292" s="82">
        <v>55.9</v>
      </c>
      <c r="E292" s="82">
        <v>59.8</v>
      </c>
      <c r="F292" s="82">
        <v>66.650000000000006</v>
      </c>
      <c r="G292" s="82">
        <v>59.6</v>
      </c>
      <c r="H292" s="82">
        <v>58.4</v>
      </c>
      <c r="I292" s="82">
        <v>61.1</v>
      </c>
      <c r="J292" s="82">
        <v>54.4</v>
      </c>
      <c r="K292" s="82">
        <v>55.2</v>
      </c>
      <c r="L292" s="82">
        <v>51.1</v>
      </c>
      <c r="M292" s="82">
        <v>52.4</v>
      </c>
      <c r="N292" s="82">
        <v>49.9</v>
      </c>
      <c r="O292" s="82">
        <v>57.6</v>
      </c>
      <c r="P292" s="82">
        <v>59</v>
      </c>
      <c r="Q292" s="82">
        <v>54.8</v>
      </c>
      <c r="R292" s="82">
        <v>52.6</v>
      </c>
      <c r="S292" s="82">
        <v>55.399130043972598</v>
      </c>
      <c r="T292" s="82">
        <v>54.6</v>
      </c>
      <c r="U292" s="82">
        <v>52.1</v>
      </c>
      <c r="V292" s="82">
        <v>53</v>
      </c>
      <c r="W292" s="82">
        <v>49.2</v>
      </c>
      <c r="X292" s="82">
        <v>50.7</v>
      </c>
      <c r="Y292" s="82">
        <v>55.2</v>
      </c>
      <c r="Z292" s="82">
        <v>56.9</v>
      </c>
      <c r="AA292" s="82">
        <v>50.6</v>
      </c>
      <c r="AB292" s="82">
        <v>55.7</v>
      </c>
      <c r="AC292" s="82">
        <v>55</v>
      </c>
      <c r="AD292" s="82">
        <v>55.5</v>
      </c>
      <c r="AE292" s="82">
        <v>53.4</v>
      </c>
    </row>
    <row r="293" spans="1:31" x14ac:dyDescent="0.2">
      <c r="A293" s="81">
        <v>43132</v>
      </c>
      <c r="B293" s="82">
        <v>57.5</v>
      </c>
      <c r="C293" s="82">
        <v>53.2</v>
      </c>
      <c r="D293" s="82">
        <v>55.6</v>
      </c>
      <c r="E293" s="82">
        <v>58.8</v>
      </c>
      <c r="F293" s="82">
        <v>70.75</v>
      </c>
      <c r="G293" s="82">
        <v>58.6</v>
      </c>
      <c r="H293" s="82">
        <v>55.9</v>
      </c>
      <c r="I293" s="82">
        <v>60.6</v>
      </c>
      <c r="J293" s="82">
        <v>54.1</v>
      </c>
      <c r="K293" s="82">
        <v>56.1</v>
      </c>
      <c r="L293" s="82">
        <v>51.7</v>
      </c>
      <c r="M293" s="82">
        <v>52.1</v>
      </c>
      <c r="N293" s="82">
        <v>51.4</v>
      </c>
      <c r="O293" s="82">
        <v>56.2</v>
      </c>
      <c r="P293" s="82">
        <v>56.8</v>
      </c>
      <c r="Q293" s="82">
        <v>54.1</v>
      </c>
      <c r="R293" s="82">
        <v>51.6</v>
      </c>
      <c r="S293" s="82">
        <v>53.452875132901703</v>
      </c>
      <c r="T293" s="82">
        <v>53.7</v>
      </c>
      <c r="U293" s="82">
        <v>50.2</v>
      </c>
      <c r="V293" s="82">
        <v>53.2</v>
      </c>
      <c r="W293" s="82">
        <v>50</v>
      </c>
      <c r="X293" s="82">
        <v>50.3</v>
      </c>
      <c r="Y293" s="82">
        <v>56</v>
      </c>
      <c r="Z293" s="82">
        <v>56</v>
      </c>
      <c r="AA293" s="82">
        <v>50.9</v>
      </c>
      <c r="AB293" s="82">
        <v>55.6</v>
      </c>
      <c r="AC293" s="82">
        <v>54.9</v>
      </c>
      <c r="AD293" s="82">
        <v>55.3</v>
      </c>
      <c r="AE293" s="82">
        <v>53.5</v>
      </c>
    </row>
    <row r="294" spans="1:31" x14ac:dyDescent="0.2">
      <c r="A294" s="81">
        <v>43160</v>
      </c>
      <c r="B294" s="82">
        <v>63.1</v>
      </c>
      <c r="C294" s="82">
        <v>53.4</v>
      </c>
      <c r="D294" s="82">
        <v>55.7</v>
      </c>
      <c r="E294" s="82">
        <v>57.3</v>
      </c>
      <c r="F294" s="82">
        <v>61.05</v>
      </c>
      <c r="G294" s="82">
        <v>56.6</v>
      </c>
      <c r="H294" s="82">
        <v>53.7</v>
      </c>
      <c r="I294" s="82">
        <v>58.4</v>
      </c>
      <c r="J294" s="82">
        <v>53.3</v>
      </c>
      <c r="K294" s="82">
        <v>55</v>
      </c>
      <c r="L294" s="82">
        <v>50.6</v>
      </c>
      <c r="M294" s="82">
        <v>51</v>
      </c>
      <c r="N294" s="82">
        <v>50.7</v>
      </c>
      <c r="O294" s="82">
        <v>54.1</v>
      </c>
      <c r="P294" s="82">
        <v>55.1</v>
      </c>
      <c r="Q294" s="82">
        <v>53.2</v>
      </c>
      <c r="R294" s="82">
        <v>52.4</v>
      </c>
      <c r="S294" s="82">
        <v>53.138892832554802</v>
      </c>
      <c r="T294" s="82">
        <v>53.7</v>
      </c>
      <c r="U294" s="82">
        <v>50.6</v>
      </c>
      <c r="V294" s="82">
        <v>52.8</v>
      </c>
      <c r="W294" s="82">
        <v>46.7</v>
      </c>
      <c r="X294" s="82">
        <v>49.1</v>
      </c>
      <c r="Y294" s="82">
        <v>54.8</v>
      </c>
      <c r="Z294" s="82">
        <v>55.3</v>
      </c>
      <c r="AA294" s="82">
        <v>49.1</v>
      </c>
      <c r="AB294" s="82">
        <v>51.8</v>
      </c>
      <c r="AC294" s="82">
        <v>54.9</v>
      </c>
      <c r="AD294" s="82">
        <v>55.6</v>
      </c>
      <c r="AE294" s="82">
        <v>51.6</v>
      </c>
    </row>
    <row r="295" spans="1:31" x14ac:dyDescent="0.2">
      <c r="A295" s="81">
        <v>43191</v>
      </c>
      <c r="B295" s="82">
        <v>58.3</v>
      </c>
      <c r="C295" s="82">
        <v>52.3</v>
      </c>
      <c r="D295" s="82">
        <v>55.5</v>
      </c>
      <c r="E295" s="82">
        <v>57.2</v>
      </c>
      <c r="F295" s="82">
        <v>54.24</v>
      </c>
      <c r="G295" s="82">
        <v>56.2</v>
      </c>
      <c r="H295" s="82">
        <v>53.8</v>
      </c>
      <c r="I295" s="82">
        <v>58.1</v>
      </c>
      <c r="J295" s="82">
        <v>53.5</v>
      </c>
      <c r="K295" s="82">
        <v>52.9</v>
      </c>
      <c r="L295" s="82">
        <v>49.1</v>
      </c>
      <c r="M295" s="82">
        <v>51.6</v>
      </c>
      <c r="N295" s="82">
        <v>51.6</v>
      </c>
      <c r="O295" s="82">
        <v>55.3</v>
      </c>
      <c r="P295" s="82">
        <v>53.5</v>
      </c>
      <c r="Q295" s="82">
        <v>53.8</v>
      </c>
      <c r="R295" s="82">
        <v>51.6</v>
      </c>
      <c r="S295" s="82">
        <v>59.203530801353899</v>
      </c>
      <c r="T295" s="82">
        <v>53.9</v>
      </c>
      <c r="U295" s="82">
        <v>51.3</v>
      </c>
      <c r="V295" s="82">
        <v>51.4</v>
      </c>
      <c r="W295" s="82">
        <v>49.1</v>
      </c>
      <c r="X295" s="82">
        <v>48.4</v>
      </c>
      <c r="Y295" s="82">
        <v>54.4</v>
      </c>
      <c r="Z295" s="82">
        <v>54.8</v>
      </c>
      <c r="AA295" s="82">
        <v>49.5</v>
      </c>
      <c r="AB295" s="82">
        <v>48.9</v>
      </c>
      <c r="AC295" s="82">
        <v>53.9</v>
      </c>
      <c r="AD295" s="82">
        <v>56.5</v>
      </c>
      <c r="AE295" s="82">
        <v>52.9</v>
      </c>
    </row>
    <row r="296" spans="1:31" x14ac:dyDescent="0.2">
      <c r="A296" s="81">
        <v>43221</v>
      </c>
      <c r="B296" s="82">
        <v>57.5</v>
      </c>
      <c r="C296" s="82">
        <v>50.7</v>
      </c>
      <c r="D296" s="82">
        <v>56.2</v>
      </c>
      <c r="E296" s="82">
        <v>56.5</v>
      </c>
      <c r="F296" s="82">
        <v>47.78</v>
      </c>
      <c r="G296" s="82">
        <v>55.5</v>
      </c>
      <c r="H296" s="82">
        <v>55.1</v>
      </c>
      <c r="I296" s="82">
        <v>56.9</v>
      </c>
      <c r="J296" s="82">
        <v>53.1</v>
      </c>
      <c r="K296" s="82">
        <v>54.2</v>
      </c>
      <c r="L296" s="82">
        <v>47.8</v>
      </c>
      <c r="M296" s="82">
        <v>51.2</v>
      </c>
      <c r="N296" s="82">
        <v>51.7</v>
      </c>
      <c r="O296" s="82">
        <v>55.4</v>
      </c>
      <c r="P296" s="82">
        <v>52.7</v>
      </c>
      <c r="Q296" s="82">
        <v>52.8</v>
      </c>
      <c r="R296" s="82">
        <v>51</v>
      </c>
      <c r="S296" s="82">
        <v>54.328230091142899</v>
      </c>
      <c r="T296" s="82">
        <v>53.3</v>
      </c>
      <c r="U296" s="82">
        <v>49.8</v>
      </c>
      <c r="V296" s="82">
        <v>53.2</v>
      </c>
      <c r="W296" s="82">
        <v>49.4</v>
      </c>
      <c r="X296" s="82">
        <v>48.9</v>
      </c>
      <c r="Y296" s="82">
        <v>53.4</v>
      </c>
      <c r="Z296" s="82">
        <v>53.4</v>
      </c>
      <c r="AA296" s="82">
        <v>51.1</v>
      </c>
      <c r="AB296" s="82">
        <v>46.4</v>
      </c>
      <c r="AC296" s="82">
        <v>54.4</v>
      </c>
      <c r="AD296" s="82">
        <v>56.4</v>
      </c>
      <c r="AE296" s="82">
        <v>53.9</v>
      </c>
    </row>
    <row r="297" spans="1:31" x14ac:dyDescent="0.2">
      <c r="A297" s="81">
        <v>43252</v>
      </c>
      <c r="B297" s="82">
        <v>57.4</v>
      </c>
      <c r="C297" s="82">
        <v>49.8</v>
      </c>
      <c r="D297" s="82">
        <v>57.1</v>
      </c>
      <c r="E297" s="82">
        <v>56.8</v>
      </c>
      <c r="F297" s="82">
        <v>49.8</v>
      </c>
      <c r="G297" s="82">
        <v>54.9</v>
      </c>
      <c r="H297" s="82">
        <v>52.5</v>
      </c>
      <c r="I297" s="82">
        <v>55.9</v>
      </c>
      <c r="J297" s="82">
        <v>53</v>
      </c>
      <c r="K297" s="82">
        <v>53.5</v>
      </c>
      <c r="L297" s="82">
        <v>47.7</v>
      </c>
      <c r="M297" s="82">
        <v>53.1</v>
      </c>
      <c r="N297" s="82">
        <v>50.3</v>
      </c>
      <c r="O297" s="82">
        <v>56.6</v>
      </c>
      <c r="P297" s="82">
        <v>53.3</v>
      </c>
      <c r="Q297" s="82">
        <v>53</v>
      </c>
      <c r="R297" s="82">
        <v>52.1</v>
      </c>
      <c r="S297" s="82">
        <v>52.724539725642202</v>
      </c>
      <c r="T297" s="82">
        <v>54.2</v>
      </c>
      <c r="U297" s="82">
        <v>49.5</v>
      </c>
      <c r="V297" s="82">
        <v>55</v>
      </c>
      <c r="W297" s="82">
        <v>48</v>
      </c>
      <c r="X297" s="82">
        <v>49.8</v>
      </c>
      <c r="Y297" s="82">
        <v>53.4</v>
      </c>
      <c r="Z297" s="82">
        <v>54.5</v>
      </c>
      <c r="AA297" s="82">
        <v>50.2</v>
      </c>
      <c r="AB297" s="82">
        <v>46.8</v>
      </c>
      <c r="AC297" s="82">
        <v>54.4</v>
      </c>
      <c r="AD297" s="82">
        <v>55.4</v>
      </c>
      <c r="AE297" s="82">
        <v>55.7</v>
      </c>
    </row>
    <row r="298" spans="1:31" x14ac:dyDescent="0.2">
      <c r="A298" s="81">
        <v>43282</v>
      </c>
      <c r="B298" s="82">
        <v>52</v>
      </c>
      <c r="C298" s="82">
        <v>50.5</v>
      </c>
      <c r="D298" s="82">
        <v>56.9</v>
      </c>
      <c r="E298" s="82">
        <v>55.4</v>
      </c>
      <c r="F298" s="82">
        <v>55.7</v>
      </c>
      <c r="G298" s="82">
        <v>55.1</v>
      </c>
      <c r="H298" s="82">
        <v>53.3</v>
      </c>
      <c r="I298" s="82">
        <v>56.9</v>
      </c>
      <c r="J298" s="82">
        <v>52.8</v>
      </c>
      <c r="K298" s="82">
        <v>53.5</v>
      </c>
      <c r="L298" s="82">
        <v>48.2</v>
      </c>
      <c r="M298" s="82">
        <v>52.3</v>
      </c>
      <c r="N298" s="82">
        <v>50.5</v>
      </c>
      <c r="O298" s="82">
        <v>56.3</v>
      </c>
      <c r="P298" s="82">
        <v>51.5</v>
      </c>
      <c r="Q298" s="82">
        <v>52.3</v>
      </c>
      <c r="R298" s="82">
        <v>52.1</v>
      </c>
      <c r="S298" s="82">
        <v>51.2462636215065</v>
      </c>
      <c r="T298" s="82">
        <v>52.9</v>
      </c>
      <c r="U298" s="82">
        <v>48.1</v>
      </c>
      <c r="V298" s="82">
        <v>54.9</v>
      </c>
      <c r="W298" s="82">
        <v>49.9</v>
      </c>
      <c r="X298" s="82">
        <v>48.3</v>
      </c>
      <c r="Y298" s="82">
        <v>52.9</v>
      </c>
      <c r="Z298" s="82">
        <v>53.1</v>
      </c>
      <c r="AA298" s="82">
        <v>50.1</v>
      </c>
      <c r="AB298" s="82">
        <v>49</v>
      </c>
      <c r="AC298" s="82">
        <v>54</v>
      </c>
      <c r="AD298" s="82">
        <v>55.3</v>
      </c>
      <c r="AE298" s="82">
        <v>54.9</v>
      </c>
    </row>
    <row r="299" spans="1:31" x14ac:dyDescent="0.2">
      <c r="A299" s="81">
        <v>43313</v>
      </c>
      <c r="B299" s="82">
        <v>56.7</v>
      </c>
      <c r="C299" s="82">
        <v>51.1</v>
      </c>
      <c r="D299" s="82">
        <v>56.8</v>
      </c>
      <c r="E299" s="82">
        <v>54.9</v>
      </c>
      <c r="F299" s="82">
        <v>59.15</v>
      </c>
      <c r="G299" s="82">
        <v>54.6</v>
      </c>
      <c r="H299" s="82">
        <v>53.5</v>
      </c>
      <c r="I299" s="82">
        <v>55.9</v>
      </c>
      <c r="J299" s="82">
        <v>52.6</v>
      </c>
      <c r="K299" s="82">
        <v>53.9</v>
      </c>
      <c r="L299" s="82">
        <v>48.5</v>
      </c>
      <c r="M299" s="82">
        <v>51.7</v>
      </c>
      <c r="N299" s="82">
        <v>51.9</v>
      </c>
      <c r="O299" s="82">
        <v>57.5</v>
      </c>
      <c r="P299" s="82">
        <v>50.1</v>
      </c>
      <c r="Q299" s="82">
        <v>52.5</v>
      </c>
      <c r="R299" s="82">
        <v>50.7</v>
      </c>
      <c r="S299" s="82">
        <v>52.132210597352199</v>
      </c>
      <c r="T299" s="82">
        <v>51.4</v>
      </c>
      <c r="U299" s="82">
        <v>48.9</v>
      </c>
      <c r="V299" s="82">
        <v>55.1</v>
      </c>
      <c r="W299" s="82">
        <v>45.2</v>
      </c>
      <c r="X299" s="82">
        <v>49.9</v>
      </c>
      <c r="Y299" s="82">
        <v>53</v>
      </c>
      <c r="Z299" s="82">
        <v>53</v>
      </c>
      <c r="AA299" s="82">
        <v>49.9</v>
      </c>
      <c r="AB299" s="82">
        <v>46.4</v>
      </c>
      <c r="AC299" s="82">
        <v>52.8</v>
      </c>
      <c r="AD299" s="82">
        <v>54.5</v>
      </c>
      <c r="AE299" s="82">
        <v>53.7</v>
      </c>
    </row>
    <row r="300" spans="1:31" x14ac:dyDescent="0.2">
      <c r="A300" s="81">
        <v>43344</v>
      </c>
      <c r="B300" s="82">
        <v>59</v>
      </c>
      <c r="C300" s="82">
        <v>50.9</v>
      </c>
      <c r="D300" s="82">
        <v>54.8</v>
      </c>
      <c r="E300" s="82">
        <v>53.4</v>
      </c>
      <c r="F300" s="82">
        <v>53.7</v>
      </c>
      <c r="G300" s="82">
        <v>53.2</v>
      </c>
      <c r="H300" s="82">
        <v>52.5</v>
      </c>
      <c r="I300" s="82">
        <v>53.7</v>
      </c>
      <c r="J300" s="82">
        <v>52.2</v>
      </c>
      <c r="K300" s="82">
        <v>53.6</v>
      </c>
      <c r="L300" s="82">
        <v>47.9</v>
      </c>
      <c r="M300" s="82">
        <v>52.2</v>
      </c>
      <c r="N300" s="82">
        <v>50.7</v>
      </c>
      <c r="O300" s="82">
        <v>56.3</v>
      </c>
      <c r="P300" s="82">
        <v>50</v>
      </c>
      <c r="Q300" s="82">
        <v>52.5</v>
      </c>
      <c r="R300" s="82">
        <v>51.7</v>
      </c>
      <c r="S300" s="82">
        <v>51.870945765782103</v>
      </c>
      <c r="T300" s="82">
        <v>50.5</v>
      </c>
      <c r="U300" s="82">
        <v>50</v>
      </c>
      <c r="V300" s="82">
        <v>53.4</v>
      </c>
      <c r="W300" s="82">
        <v>44.5</v>
      </c>
      <c r="X300" s="82">
        <v>51.3</v>
      </c>
      <c r="Y300" s="82">
        <v>51.4</v>
      </c>
      <c r="Z300" s="82">
        <v>50.8</v>
      </c>
      <c r="AA300" s="82">
        <v>50</v>
      </c>
      <c r="AB300" s="82">
        <v>42.7</v>
      </c>
      <c r="AC300" s="82">
        <v>53.8</v>
      </c>
      <c r="AD300" s="82">
        <v>55.6</v>
      </c>
      <c r="AE300" s="82">
        <v>51.5</v>
      </c>
    </row>
    <row r="301" spans="1:31" x14ac:dyDescent="0.2">
      <c r="A301" s="81">
        <v>43374</v>
      </c>
      <c r="B301" s="82">
        <v>58.3</v>
      </c>
      <c r="C301" s="82">
        <v>51.1</v>
      </c>
      <c r="D301" s="82">
        <v>53.9</v>
      </c>
      <c r="E301" s="82">
        <v>52.5</v>
      </c>
      <c r="F301" s="82">
        <v>66.8</v>
      </c>
      <c r="G301" s="82">
        <v>52</v>
      </c>
      <c r="H301" s="82">
        <v>51.2</v>
      </c>
      <c r="I301" s="82">
        <v>52.2</v>
      </c>
      <c r="J301" s="82">
        <v>52</v>
      </c>
      <c r="K301" s="82">
        <v>53.1</v>
      </c>
      <c r="L301" s="82">
        <v>48.6</v>
      </c>
      <c r="M301" s="82">
        <v>53.1</v>
      </c>
      <c r="N301" s="82">
        <v>50.5</v>
      </c>
      <c r="O301" s="82">
        <v>54.9</v>
      </c>
      <c r="P301" s="82">
        <v>49.2</v>
      </c>
      <c r="Q301" s="82">
        <v>52.9</v>
      </c>
      <c r="R301" s="82">
        <v>50.7</v>
      </c>
      <c r="S301" s="82">
        <v>53.5</v>
      </c>
      <c r="T301" s="82">
        <v>50.4</v>
      </c>
      <c r="U301" s="82">
        <v>51.3</v>
      </c>
      <c r="V301" s="82">
        <v>53.8</v>
      </c>
      <c r="W301" s="82">
        <v>42.4</v>
      </c>
      <c r="X301" s="82">
        <v>51</v>
      </c>
      <c r="Y301" s="82">
        <v>51.8</v>
      </c>
      <c r="Z301" s="82">
        <v>48.7</v>
      </c>
      <c r="AA301" s="82">
        <v>48.9</v>
      </c>
      <c r="AB301" s="82">
        <v>44.3</v>
      </c>
      <c r="AC301" s="82">
        <v>51.1</v>
      </c>
      <c r="AD301" s="82">
        <v>55.7</v>
      </c>
      <c r="AE301" s="82">
        <v>53.9</v>
      </c>
    </row>
    <row r="302" spans="1:31" x14ac:dyDescent="0.2">
      <c r="A302" s="81">
        <v>43405</v>
      </c>
      <c r="B302" s="82">
        <v>51.3</v>
      </c>
      <c r="C302" s="82">
        <v>52.7</v>
      </c>
      <c r="D302" s="82">
        <v>54.9</v>
      </c>
      <c r="E302" s="82">
        <v>51.8</v>
      </c>
      <c r="F302" s="82">
        <v>58.2</v>
      </c>
      <c r="G302" s="82">
        <v>51.8</v>
      </c>
      <c r="H302" s="82">
        <v>50.8</v>
      </c>
      <c r="I302" s="82">
        <v>51.8</v>
      </c>
      <c r="J302" s="82">
        <v>52</v>
      </c>
      <c r="K302" s="82">
        <v>54</v>
      </c>
      <c r="L302" s="82">
        <v>47.1</v>
      </c>
      <c r="M302" s="82">
        <v>54</v>
      </c>
      <c r="N302" s="82">
        <v>50.4</v>
      </c>
      <c r="O302" s="82">
        <v>55.4</v>
      </c>
      <c r="P302" s="82">
        <v>48.6</v>
      </c>
      <c r="Q302" s="82">
        <v>52.2</v>
      </c>
      <c r="R302" s="82">
        <v>49.7</v>
      </c>
      <c r="S302" s="82">
        <v>53.5</v>
      </c>
      <c r="T302" s="82">
        <v>49.5</v>
      </c>
      <c r="U302" s="82">
        <v>52.6</v>
      </c>
      <c r="V302" s="82">
        <v>55.2</v>
      </c>
      <c r="W302" s="82">
        <v>49.5</v>
      </c>
      <c r="X302" s="82">
        <v>48.6</v>
      </c>
      <c r="Y302" s="82">
        <v>52.6</v>
      </c>
      <c r="Z302" s="82">
        <v>48.4</v>
      </c>
      <c r="AA302" s="82">
        <v>49.8</v>
      </c>
      <c r="AB302" s="82">
        <v>44.7</v>
      </c>
      <c r="AC302" s="82">
        <v>53.1</v>
      </c>
      <c r="AD302" s="82">
        <v>55.3</v>
      </c>
      <c r="AE302" s="82">
        <v>56.5</v>
      </c>
    </row>
    <row r="303" spans="1:31" x14ac:dyDescent="0.2">
      <c r="A303" s="81">
        <v>43435</v>
      </c>
      <c r="B303" s="82">
        <v>49.5</v>
      </c>
      <c r="C303" s="82">
        <v>52.6</v>
      </c>
      <c r="D303" s="82">
        <v>53.6</v>
      </c>
      <c r="E303" s="82">
        <v>49.7</v>
      </c>
      <c r="F303" s="82">
        <v>57.5</v>
      </c>
      <c r="G303" s="82">
        <v>51.4</v>
      </c>
      <c r="H303" s="82">
        <v>49.7</v>
      </c>
      <c r="I303" s="82">
        <v>51.5</v>
      </c>
      <c r="J303" s="82">
        <v>51.5</v>
      </c>
      <c r="K303" s="82">
        <v>53.8</v>
      </c>
      <c r="L303" s="82">
        <v>48</v>
      </c>
      <c r="M303" s="82">
        <v>53.2</v>
      </c>
      <c r="N303" s="82">
        <v>51.2</v>
      </c>
      <c r="O303" s="82">
        <v>54.5</v>
      </c>
      <c r="P303" s="82">
        <v>49.2</v>
      </c>
      <c r="Q303" s="82">
        <v>52.4</v>
      </c>
      <c r="R303" s="82">
        <v>49.7</v>
      </c>
      <c r="S303" s="82">
        <v>55.1</v>
      </c>
      <c r="T303" s="82">
        <v>47.6</v>
      </c>
      <c r="U303" s="82">
        <v>51.7</v>
      </c>
      <c r="V303" s="82">
        <v>54.5</v>
      </c>
      <c r="W303" s="82">
        <v>50.7</v>
      </c>
      <c r="X303" s="82">
        <v>49.8</v>
      </c>
      <c r="Y303" s="82">
        <v>51.1</v>
      </c>
      <c r="Z303" s="82">
        <v>47.7</v>
      </c>
      <c r="AA303" s="82">
        <v>50.3</v>
      </c>
      <c r="AB303" s="82">
        <v>44.2</v>
      </c>
      <c r="AC303" s="82">
        <v>54.2</v>
      </c>
      <c r="AD303" s="82">
        <v>53.8</v>
      </c>
      <c r="AE303" s="82">
        <v>53.8</v>
      </c>
    </row>
    <row r="304" spans="1:31" x14ac:dyDescent="0.2">
      <c r="A304" s="81">
        <v>43466</v>
      </c>
      <c r="B304" s="82">
        <v>52.5</v>
      </c>
      <c r="C304" s="82">
        <v>52.7</v>
      </c>
      <c r="D304" s="82">
        <v>53</v>
      </c>
      <c r="E304" s="82">
        <v>49</v>
      </c>
      <c r="F304" s="82">
        <v>51.1</v>
      </c>
      <c r="G304" s="82">
        <v>50.5</v>
      </c>
      <c r="H304" s="82">
        <v>51.2</v>
      </c>
      <c r="I304" s="82">
        <v>49.7</v>
      </c>
      <c r="J304" s="82">
        <v>50.7</v>
      </c>
      <c r="K304" s="82">
        <v>53.7</v>
      </c>
      <c r="L304" s="82">
        <v>48.2</v>
      </c>
      <c r="M304" s="82">
        <v>53.9</v>
      </c>
      <c r="N304" s="82">
        <v>49.9</v>
      </c>
      <c r="O304" s="82">
        <v>52.6</v>
      </c>
      <c r="P304" s="82">
        <v>47.8</v>
      </c>
      <c r="Q304" s="82">
        <v>50.3</v>
      </c>
      <c r="R304" s="82">
        <v>50.9</v>
      </c>
      <c r="S304" s="82">
        <v>53.1</v>
      </c>
      <c r="T304" s="82">
        <v>48.2</v>
      </c>
      <c r="U304" s="82">
        <v>50.9</v>
      </c>
      <c r="V304" s="82">
        <v>56.2</v>
      </c>
      <c r="W304" s="82">
        <v>49.9</v>
      </c>
      <c r="X304" s="82">
        <v>48.3</v>
      </c>
      <c r="Y304" s="82">
        <v>52.4</v>
      </c>
      <c r="Z304" s="82">
        <v>47.5</v>
      </c>
      <c r="AA304" s="82">
        <v>50.2</v>
      </c>
      <c r="AB304" s="82">
        <v>44.2</v>
      </c>
      <c r="AC304" s="82">
        <v>52.8</v>
      </c>
      <c r="AD304" s="82">
        <v>54.9</v>
      </c>
      <c r="AE304" s="82">
        <v>51.9</v>
      </c>
    </row>
    <row r="305" spans="1:31" x14ac:dyDescent="0.2">
      <c r="A305" s="81">
        <v>43497</v>
      </c>
      <c r="B305" s="82">
        <v>54</v>
      </c>
      <c r="C305" s="82">
        <v>53.4</v>
      </c>
      <c r="D305" s="82">
        <v>52.6</v>
      </c>
      <c r="E305" s="82">
        <v>48.6</v>
      </c>
      <c r="F305" s="82">
        <v>61.6</v>
      </c>
      <c r="G305" s="82">
        <v>49.3</v>
      </c>
      <c r="H305" s="82">
        <v>51.5</v>
      </c>
      <c r="I305" s="82">
        <v>47.6</v>
      </c>
      <c r="J305" s="82">
        <v>50.6</v>
      </c>
      <c r="K305" s="82">
        <v>54.2</v>
      </c>
      <c r="L305" s="82">
        <v>48.4</v>
      </c>
      <c r="M305" s="82">
        <v>54.3</v>
      </c>
      <c r="N305" s="82">
        <v>50.1</v>
      </c>
      <c r="O305" s="82">
        <v>54</v>
      </c>
      <c r="P305" s="82">
        <v>47.7</v>
      </c>
      <c r="Q305" s="82">
        <v>48.9</v>
      </c>
      <c r="R305" s="82">
        <v>52.6</v>
      </c>
      <c r="S305" s="82">
        <v>53.4</v>
      </c>
      <c r="T305" s="82">
        <v>47.6</v>
      </c>
      <c r="U305" s="82">
        <v>50.1</v>
      </c>
      <c r="V305" s="82">
        <v>56.6</v>
      </c>
      <c r="W305" s="82">
        <v>46.2</v>
      </c>
      <c r="X305" s="82">
        <v>47.2</v>
      </c>
      <c r="Y305" s="82">
        <v>49.9</v>
      </c>
      <c r="Z305" s="82">
        <v>46.3</v>
      </c>
      <c r="AA305" s="82">
        <v>49.9</v>
      </c>
      <c r="AB305" s="82">
        <v>46.4</v>
      </c>
      <c r="AC305" s="82">
        <v>52</v>
      </c>
      <c r="AD305" s="82">
        <v>53</v>
      </c>
      <c r="AE305" s="82">
        <v>51.2</v>
      </c>
    </row>
    <row r="306" spans="1:31" x14ac:dyDescent="0.2">
      <c r="A306" s="81">
        <v>43525</v>
      </c>
      <c r="B306" s="82">
        <v>51</v>
      </c>
      <c r="C306" s="82">
        <v>52.8</v>
      </c>
      <c r="D306" s="82">
        <v>50.5</v>
      </c>
      <c r="E306" s="82">
        <v>47.3</v>
      </c>
      <c r="F306" s="82">
        <v>56.6</v>
      </c>
      <c r="G306" s="82">
        <v>47.5</v>
      </c>
      <c r="H306" s="82">
        <v>49.7</v>
      </c>
      <c r="I306" s="82">
        <v>44.1</v>
      </c>
      <c r="J306" s="82">
        <v>50.5</v>
      </c>
      <c r="K306" s="82">
        <v>54.7</v>
      </c>
      <c r="L306" s="82">
        <v>48</v>
      </c>
      <c r="M306" s="82">
        <v>52.6</v>
      </c>
      <c r="N306" s="82">
        <v>51.2</v>
      </c>
      <c r="O306" s="82">
        <v>53.9</v>
      </c>
      <c r="P306" s="82">
        <v>47.4</v>
      </c>
      <c r="Q306" s="82">
        <v>49.2</v>
      </c>
      <c r="R306" s="82">
        <v>49.8</v>
      </c>
      <c r="S306" s="82">
        <v>51.9</v>
      </c>
      <c r="T306" s="82">
        <v>48.7</v>
      </c>
      <c r="U306" s="82">
        <v>52.8</v>
      </c>
      <c r="V306" s="82">
        <v>56.8</v>
      </c>
      <c r="W306" s="82">
        <v>45</v>
      </c>
      <c r="X306" s="82">
        <v>48.8</v>
      </c>
      <c r="Y306" s="82">
        <v>50.9</v>
      </c>
      <c r="Z306" s="82">
        <v>49</v>
      </c>
      <c r="AA306" s="82">
        <v>50.3</v>
      </c>
      <c r="AB306" s="82">
        <v>47.2</v>
      </c>
      <c r="AC306" s="82">
        <v>55.1</v>
      </c>
      <c r="AD306" s="82">
        <v>52.4</v>
      </c>
      <c r="AE306" s="82">
        <v>51.9</v>
      </c>
    </row>
    <row r="307" spans="1:31" x14ac:dyDescent="0.2">
      <c r="A307" s="81">
        <v>43556</v>
      </c>
      <c r="B307" s="82">
        <v>54.8</v>
      </c>
      <c r="C307" s="82">
        <v>51.5</v>
      </c>
      <c r="D307" s="82">
        <v>49.7</v>
      </c>
      <c r="E307" s="82">
        <v>46.6</v>
      </c>
      <c r="F307" s="82">
        <v>59.6</v>
      </c>
      <c r="G307" s="82">
        <v>47.9</v>
      </c>
      <c r="H307" s="82">
        <v>50</v>
      </c>
      <c r="I307" s="82">
        <v>44.4</v>
      </c>
      <c r="J307" s="82">
        <v>50.4</v>
      </c>
      <c r="K307" s="82">
        <v>56.6</v>
      </c>
      <c r="L307" s="82">
        <v>48.4</v>
      </c>
      <c r="M307" s="82">
        <v>51.8</v>
      </c>
      <c r="N307" s="82">
        <v>50.4</v>
      </c>
      <c r="O307" s="82">
        <v>52.5</v>
      </c>
      <c r="P307" s="82">
        <v>49.1</v>
      </c>
      <c r="Q307" s="82">
        <v>49.5</v>
      </c>
      <c r="R307" s="82">
        <v>50.1</v>
      </c>
      <c r="S307" s="82">
        <v>52.7</v>
      </c>
      <c r="T307" s="82">
        <v>49</v>
      </c>
      <c r="U307" s="82">
        <v>51.8</v>
      </c>
      <c r="V307" s="82">
        <v>57.3</v>
      </c>
      <c r="W307" s="82">
        <v>47.2</v>
      </c>
      <c r="X307" s="82">
        <v>50.2</v>
      </c>
      <c r="Y307" s="82">
        <v>51.8</v>
      </c>
      <c r="Z307" s="82">
        <v>48.2</v>
      </c>
      <c r="AA307" s="82">
        <v>51</v>
      </c>
      <c r="AB307" s="82">
        <v>46.8</v>
      </c>
      <c r="AC307" s="82">
        <v>53.1</v>
      </c>
      <c r="AD307" s="82">
        <v>52.6</v>
      </c>
      <c r="AE307" s="82">
        <v>52.5</v>
      </c>
    </row>
    <row r="308" spans="1:31" x14ac:dyDescent="0.2">
      <c r="A308" s="81">
        <v>43586</v>
      </c>
      <c r="B308" s="82">
        <v>52.7</v>
      </c>
      <c r="C308" s="82">
        <v>50.2</v>
      </c>
      <c r="D308" s="82">
        <v>49.1</v>
      </c>
      <c r="E308" s="82">
        <v>46.6</v>
      </c>
      <c r="F308" s="82">
        <v>47.6</v>
      </c>
      <c r="G308" s="82">
        <v>47.7</v>
      </c>
      <c r="H308" s="82">
        <v>50.6</v>
      </c>
      <c r="I308" s="82">
        <v>44.3</v>
      </c>
      <c r="J308" s="82">
        <v>49.8</v>
      </c>
      <c r="K308" s="82">
        <v>54.2</v>
      </c>
      <c r="L308" s="82">
        <v>46.9</v>
      </c>
      <c r="M308" s="82">
        <v>52.7</v>
      </c>
      <c r="N308" s="82">
        <v>51.6</v>
      </c>
      <c r="O308" s="82">
        <v>50.4</v>
      </c>
      <c r="P308" s="82">
        <v>49.7</v>
      </c>
      <c r="Q308" s="82">
        <v>49.8</v>
      </c>
      <c r="R308" s="82">
        <v>50</v>
      </c>
      <c r="S308" s="82">
        <v>50.2</v>
      </c>
      <c r="T308" s="82">
        <v>48.8</v>
      </c>
      <c r="U308" s="82">
        <v>49.8</v>
      </c>
      <c r="V308" s="82">
        <v>57.3</v>
      </c>
      <c r="W308" s="82">
        <v>45.4</v>
      </c>
      <c r="X308" s="82">
        <v>48.4</v>
      </c>
      <c r="Y308" s="82">
        <v>50.1</v>
      </c>
      <c r="Z308" s="82">
        <v>48.4</v>
      </c>
      <c r="AA308" s="82">
        <v>50.7</v>
      </c>
      <c r="AB308" s="82">
        <v>45.3</v>
      </c>
      <c r="AC308" s="82">
        <v>49.4</v>
      </c>
      <c r="AD308" s="82">
        <v>50.5</v>
      </c>
      <c r="AE308" s="82">
        <v>52</v>
      </c>
    </row>
    <row r="309" spans="1:31" x14ac:dyDescent="0.2">
      <c r="A309" s="81">
        <v>43617</v>
      </c>
      <c r="B309" s="82">
        <v>49.4</v>
      </c>
      <c r="C309" s="82">
        <v>51</v>
      </c>
      <c r="D309" s="82">
        <v>49.2</v>
      </c>
      <c r="E309" s="82">
        <v>45.9</v>
      </c>
      <c r="F309" s="82">
        <v>45</v>
      </c>
      <c r="G309" s="82">
        <v>47.6</v>
      </c>
      <c r="H309" s="82">
        <v>51.9</v>
      </c>
      <c r="I309" s="82">
        <v>45</v>
      </c>
      <c r="J309" s="82">
        <v>49.4</v>
      </c>
      <c r="K309" s="82">
        <v>52.4</v>
      </c>
      <c r="L309" s="82">
        <v>47.9</v>
      </c>
      <c r="M309" s="82">
        <v>52.1</v>
      </c>
      <c r="N309" s="82">
        <v>50.6</v>
      </c>
      <c r="O309" s="82">
        <v>49.8</v>
      </c>
      <c r="P309" s="82">
        <v>48.4</v>
      </c>
      <c r="Q309" s="82">
        <v>49.3</v>
      </c>
      <c r="R309" s="82">
        <v>49.2</v>
      </c>
      <c r="S309" s="82">
        <v>51.3</v>
      </c>
      <c r="T309" s="82">
        <v>48.4</v>
      </c>
      <c r="U309" s="82">
        <v>48.6</v>
      </c>
      <c r="V309" s="82">
        <v>57.4</v>
      </c>
      <c r="W309" s="82">
        <v>46.2</v>
      </c>
      <c r="X309" s="82">
        <v>47.5</v>
      </c>
      <c r="Y309" s="82">
        <v>47.9</v>
      </c>
      <c r="Z309" s="82">
        <v>45.5</v>
      </c>
      <c r="AA309" s="82">
        <v>50.6</v>
      </c>
      <c r="AB309" s="82">
        <v>47.9</v>
      </c>
      <c r="AC309" s="82">
        <v>48</v>
      </c>
      <c r="AD309" s="82">
        <v>50.6</v>
      </c>
      <c r="AE309" s="82">
        <v>52.5</v>
      </c>
    </row>
    <row r="310" spans="1:31" x14ac:dyDescent="0.2">
      <c r="A310" s="81">
        <v>43647</v>
      </c>
      <c r="B310" s="82">
        <v>51.3</v>
      </c>
      <c r="C310" s="82">
        <v>49.9</v>
      </c>
      <c r="D310" s="82">
        <v>50.2</v>
      </c>
      <c r="E310" s="82">
        <v>43.1</v>
      </c>
      <c r="F310" s="82">
        <v>49.5</v>
      </c>
      <c r="G310" s="82">
        <v>46.5</v>
      </c>
      <c r="H310" s="82">
        <v>49.7</v>
      </c>
      <c r="I310" s="82">
        <v>43.2</v>
      </c>
      <c r="J310" s="82">
        <v>49.3</v>
      </c>
      <c r="K310" s="82">
        <v>54.6</v>
      </c>
      <c r="L310" s="82">
        <v>43.8</v>
      </c>
      <c r="M310" s="82">
        <v>52.5</v>
      </c>
      <c r="N310" s="82">
        <v>49.6</v>
      </c>
      <c r="O310" s="82">
        <v>48.7</v>
      </c>
      <c r="P310" s="82">
        <v>48.5</v>
      </c>
      <c r="Q310" s="82">
        <v>49.4</v>
      </c>
      <c r="R310" s="82">
        <v>49.8</v>
      </c>
      <c r="S310" s="82">
        <v>48.1</v>
      </c>
      <c r="T310" s="82">
        <v>47.4</v>
      </c>
      <c r="U310" s="82">
        <v>49.3</v>
      </c>
      <c r="V310" s="82">
        <v>56.6</v>
      </c>
      <c r="W310" s="82">
        <v>52.1</v>
      </c>
      <c r="X310" s="82">
        <v>47.3</v>
      </c>
      <c r="Y310" s="82">
        <v>48.2</v>
      </c>
      <c r="Z310" s="82">
        <v>48.1</v>
      </c>
      <c r="AA310" s="82">
        <v>50.3</v>
      </c>
      <c r="AB310" s="82">
        <v>46.7</v>
      </c>
      <c r="AC310" s="82">
        <v>48</v>
      </c>
      <c r="AD310" s="82">
        <v>50</v>
      </c>
      <c r="AE310" s="82">
        <v>52.6</v>
      </c>
    </row>
    <row r="311" spans="1:31" x14ac:dyDescent="0.2">
      <c r="A311" s="81">
        <v>43678</v>
      </c>
      <c r="B311" s="82">
        <v>53.1</v>
      </c>
      <c r="C311" s="82">
        <v>52.5</v>
      </c>
      <c r="D311" s="82">
        <v>49.1</v>
      </c>
      <c r="E311" s="82">
        <v>44.9</v>
      </c>
      <c r="F311" s="82">
        <v>48.7</v>
      </c>
      <c r="G311" s="82">
        <v>47</v>
      </c>
      <c r="H311" s="82">
        <v>51.1</v>
      </c>
      <c r="I311" s="82">
        <v>43.5</v>
      </c>
      <c r="J311" s="82">
        <v>49.5</v>
      </c>
      <c r="K311" s="82">
        <v>54.9</v>
      </c>
      <c r="L311" s="82">
        <v>40.799999999999997</v>
      </c>
      <c r="M311" s="82">
        <v>51.4</v>
      </c>
      <c r="N311" s="82">
        <v>49</v>
      </c>
      <c r="O311" s="82">
        <v>48.6</v>
      </c>
      <c r="P311" s="82">
        <v>48.7</v>
      </c>
      <c r="Q311" s="82">
        <v>49.3</v>
      </c>
      <c r="R311" s="82">
        <v>49</v>
      </c>
      <c r="S311" s="82">
        <v>48.4</v>
      </c>
      <c r="T311" s="82">
        <v>48.8</v>
      </c>
      <c r="U311" s="82">
        <v>49.1</v>
      </c>
      <c r="V311" s="82">
        <v>57</v>
      </c>
      <c r="W311" s="82">
        <v>45.7</v>
      </c>
      <c r="X311" s="82">
        <v>49</v>
      </c>
      <c r="Y311" s="82">
        <v>48.8</v>
      </c>
      <c r="Z311" s="82">
        <v>47.9</v>
      </c>
      <c r="AA311" s="82">
        <v>50</v>
      </c>
      <c r="AB311" s="82">
        <v>48</v>
      </c>
      <c r="AC311" s="82">
        <v>47.4</v>
      </c>
      <c r="AD311" s="82">
        <v>50.3</v>
      </c>
      <c r="AE311" s="82">
        <v>51.4</v>
      </c>
    </row>
    <row r="312" spans="1:31" x14ac:dyDescent="0.2">
      <c r="A312" s="81">
        <v>43709</v>
      </c>
      <c r="B312" s="82">
        <v>54.7</v>
      </c>
      <c r="C312" s="82">
        <v>53.4</v>
      </c>
      <c r="D312" s="82">
        <v>51</v>
      </c>
      <c r="E312" s="82">
        <v>44.9</v>
      </c>
      <c r="F312" s="82">
        <v>50.2</v>
      </c>
      <c r="G312" s="82">
        <v>45.7</v>
      </c>
      <c r="H312" s="82">
        <v>50.1</v>
      </c>
      <c r="I312" s="82">
        <v>41.7</v>
      </c>
      <c r="J312" s="82">
        <v>49.7</v>
      </c>
      <c r="K312" s="82">
        <v>53.6</v>
      </c>
      <c r="L312" s="82">
        <v>41.5</v>
      </c>
      <c r="M312" s="82">
        <v>51.4</v>
      </c>
      <c r="N312" s="82">
        <v>49.1</v>
      </c>
      <c r="O312" s="82">
        <v>48.7</v>
      </c>
      <c r="P312" s="82">
        <v>47.8</v>
      </c>
      <c r="Q312" s="82">
        <v>48.9</v>
      </c>
      <c r="R312" s="82">
        <v>49.1</v>
      </c>
      <c r="S312" s="82">
        <v>48.4</v>
      </c>
      <c r="T312" s="82">
        <v>47.8</v>
      </c>
      <c r="U312" s="82">
        <v>46.3</v>
      </c>
      <c r="V312" s="82">
        <v>57.3</v>
      </c>
      <c r="W312" s="82">
        <v>41.6</v>
      </c>
      <c r="X312" s="82">
        <v>48</v>
      </c>
      <c r="Y312" s="82">
        <v>47.7</v>
      </c>
      <c r="Z312" s="82">
        <v>50</v>
      </c>
      <c r="AA312" s="82">
        <v>50.6</v>
      </c>
      <c r="AB312" s="82">
        <v>50</v>
      </c>
      <c r="AC312" s="82">
        <v>48.3</v>
      </c>
      <c r="AD312" s="82">
        <v>51.1</v>
      </c>
      <c r="AE312" s="82">
        <v>50.5</v>
      </c>
    </row>
    <row r="313" spans="1:31" x14ac:dyDescent="0.2">
      <c r="A313" s="81">
        <v>43739</v>
      </c>
      <c r="B313" s="82">
        <v>51.6</v>
      </c>
      <c r="C313" s="82">
        <v>52.2</v>
      </c>
      <c r="D313" s="82">
        <v>51.2</v>
      </c>
      <c r="E313" s="82">
        <v>45</v>
      </c>
      <c r="F313" s="82">
        <v>49.5</v>
      </c>
      <c r="G313" s="82">
        <v>45.9</v>
      </c>
      <c r="H313" s="82">
        <v>50.7</v>
      </c>
      <c r="I313" s="82">
        <v>42.1</v>
      </c>
      <c r="J313" s="82">
        <v>49.8</v>
      </c>
      <c r="K313" s="82">
        <v>53.5</v>
      </c>
      <c r="L313" s="82">
        <v>39.299999999999997</v>
      </c>
      <c r="M313" s="82">
        <v>50.6</v>
      </c>
      <c r="N313" s="82">
        <v>47.7</v>
      </c>
      <c r="O313" s="82">
        <v>50.7</v>
      </c>
      <c r="P313" s="82">
        <v>47.7</v>
      </c>
      <c r="Q313" s="82">
        <v>48.4</v>
      </c>
      <c r="R313" s="82">
        <v>50.4</v>
      </c>
      <c r="S313" s="82">
        <v>52.6</v>
      </c>
      <c r="T313" s="82">
        <v>45.6</v>
      </c>
      <c r="U313" s="82">
        <v>47.2</v>
      </c>
      <c r="V313" s="82">
        <v>57.8</v>
      </c>
      <c r="W313" s="82">
        <v>48.1</v>
      </c>
      <c r="X313" s="82">
        <v>48.4</v>
      </c>
      <c r="Y313" s="82">
        <v>46.8</v>
      </c>
      <c r="Z313" s="82">
        <v>49.8</v>
      </c>
      <c r="AA313" s="82">
        <v>50</v>
      </c>
      <c r="AB313" s="82">
        <v>49</v>
      </c>
      <c r="AC313" s="82">
        <v>49.6</v>
      </c>
      <c r="AD313" s="82">
        <v>51.3</v>
      </c>
      <c r="AE313" s="82">
        <v>50</v>
      </c>
    </row>
    <row r="314" spans="1:31" x14ac:dyDescent="0.2">
      <c r="A314" s="81">
        <v>43770</v>
      </c>
      <c r="B314" s="82">
        <v>48.1</v>
      </c>
      <c r="C314" s="82">
        <v>52.9</v>
      </c>
      <c r="D314" s="82">
        <v>51.4</v>
      </c>
      <c r="E314" s="82">
        <v>43.5</v>
      </c>
      <c r="F314" s="82">
        <v>53</v>
      </c>
      <c r="G314" s="82">
        <v>46.9</v>
      </c>
      <c r="H314" s="82">
        <v>51.7</v>
      </c>
      <c r="I314" s="82">
        <v>44.1</v>
      </c>
      <c r="J314" s="82">
        <v>50.3</v>
      </c>
      <c r="K314" s="82">
        <v>54.1</v>
      </c>
      <c r="L314" s="82">
        <v>38.5</v>
      </c>
      <c r="M314" s="82">
        <v>51.2</v>
      </c>
      <c r="N314" s="82">
        <v>48.2</v>
      </c>
      <c r="O314" s="82">
        <v>49.7</v>
      </c>
      <c r="P314" s="82">
        <v>47.6</v>
      </c>
      <c r="Q314" s="82">
        <v>48.9</v>
      </c>
      <c r="R314" s="82">
        <v>48</v>
      </c>
      <c r="S314" s="82">
        <v>51.4</v>
      </c>
      <c r="T314" s="82">
        <v>46.7</v>
      </c>
      <c r="U314" s="82">
        <v>45.6</v>
      </c>
      <c r="V314" s="82">
        <v>58.3</v>
      </c>
      <c r="W314" s="82">
        <v>47.7</v>
      </c>
      <c r="X314" s="82">
        <v>49.4</v>
      </c>
      <c r="Y314" s="82">
        <v>47.5</v>
      </c>
      <c r="Z314" s="82">
        <v>49.8</v>
      </c>
      <c r="AA314" s="82">
        <v>49.3</v>
      </c>
      <c r="AB314" s="82">
        <v>49.5</v>
      </c>
      <c r="AC314" s="82">
        <v>48.9</v>
      </c>
      <c r="AD314" s="82">
        <v>52.6</v>
      </c>
      <c r="AE314" s="82">
        <v>51</v>
      </c>
    </row>
    <row r="315" spans="1:31" x14ac:dyDescent="0.2">
      <c r="A315" s="81">
        <v>43800</v>
      </c>
      <c r="B315" s="82">
        <v>48.3</v>
      </c>
      <c r="C315" s="82">
        <v>50.2</v>
      </c>
      <c r="D315" s="82">
        <v>50.4</v>
      </c>
      <c r="E315" s="82">
        <v>43.6</v>
      </c>
      <c r="F315" s="82">
        <v>50.7</v>
      </c>
      <c r="G315" s="82">
        <v>46.3</v>
      </c>
      <c r="H315" s="82">
        <v>50.4</v>
      </c>
      <c r="I315" s="82">
        <v>43.7</v>
      </c>
      <c r="J315" s="82">
        <v>50.1</v>
      </c>
      <c r="K315" s="82">
        <v>53.9</v>
      </c>
      <c r="L315" s="82">
        <v>42.1</v>
      </c>
      <c r="M315" s="82">
        <v>52.7</v>
      </c>
      <c r="N315" s="82">
        <v>49.5</v>
      </c>
      <c r="O315" s="82">
        <v>49.5</v>
      </c>
      <c r="P315" s="82">
        <v>46.2</v>
      </c>
      <c r="Q315" s="82">
        <v>48.4</v>
      </c>
      <c r="R315" s="82">
        <v>47.1</v>
      </c>
      <c r="S315" s="82">
        <v>49.3</v>
      </c>
      <c r="T315" s="82">
        <v>48</v>
      </c>
      <c r="U315" s="82">
        <v>47.5</v>
      </c>
      <c r="V315" s="82">
        <v>56.9</v>
      </c>
      <c r="W315" s="82">
        <v>47.1</v>
      </c>
      <c r="X315" s="82">
        <v>50.1</v>
      </c>
      <c r="Y315" s="82">
        <v>47.4</v>
      </c>
      <c r="Z315" s="82">
        <v>50.8</v>
      </c>
      <c r="AA315" s="82">
        <v>50.1</v>
      </c>
      <c r="AB315" s="82">
        <v>49.5</v>
      </c>
      <c r="AC315" s="82">
        <v>47.5</v>
      </c>
      <c r="AD315" s="82">
        <v>52.4</v>
      </c>
      <c r="AE315" s="82">
        <v>50.8</v>
      </c>
    </row>
    <row r="316" spans="1:31" x14ac:dyDescent="0.2">
      <c r="A316" s="81">
        <v>43831</v>
      </c>
      <c r="B316" s="82">
        <v>45.4</v>
      </c>
      <c r="C316" s="82">
        <v>51</v>
      </c>
      <c r="D316" s="82">
        <v>50.6</v>
      </c>
      <c r="E316" s="82">
        <v>45.2</v>
      </c>
      <c r="F316" s="82">
        <v>53.2</v>
      </c>
      <c r="G316" s="82">
        <v>47.9</v>
      </c>
      <c r="H316" s="82">
        <v>51.1</v>
      </c>
      <c r="I316" s="82">
        <v>45.3</v>
      </c>
      <c r="J316" s="82">
        <v>50.4</v>
      </c>
      <c r="K316" s="82">
        <v>54.4</v>
      </c>
      <c r="L316" s="82">
        <v>46.8</v>
      </c>
      <c r="M316" s="82">
        <v>55.3</v>
      </c>
      <c r="N316" s="82">
        <v>49.3</v>
      </c>
      <c r="O316" s="82">
        <v>51.4</v>
      </c>
      <c r="P316" s="82">
        <v>48.9</v>
      </c>
      <c r="Q316" s="82">
        <v>48.8</v>
      </c>
      <c r="R316" s="82">
        <v>49</v>
      </c>
      <c r="S316" s="82">
        <v>49.6</v>
      </c>
      <c r="T316" s="82">
        <v>47.4</v>
      </c>
      <c r="U316" s="82">
        <v>47.9</v>
      </c>
      <c r="V316" s="82">
        <v>54.9</v>
      </c>
      <c r="W316" s="82">
        <v>45.2</v>
      </c>
      <c r="X316" s="82">
        <v>49.8</v>
      </c>
      <c r="Y316" s="82">
        <v>48.5</v>
      </c>
      <c r="Z316" s="82">
        <v>51.8</v>
      </c>
      <c r="AA316" s="82">
        <v>49.9</v>
      </c>
      <c r="AB316" s="82">
        <v>51.3</v>
      </c>
      <c r="AC316" s="82">
        <v>50</v>
      </c>
      <c r="AD316" s="82">
        <v>51.9</v>
      </c>
      <c r="AE316" s="82">
        <v>50.6</v>
      </c>
    </row>
    <row r="317" spans="1:31" x14ac:dyDescent="0.2">
      <c r="A317" s="81">
        <v>43862</v>
      </c>
      <c r="B317" s="82">
        <v>44.3</v>
      </c>
      <c r="C317" s="82">
        <v>52.3</v>
      </c>
      <c r="D317" s="82">
        <v>51.8</v>
      </c>
      <c r="E317" s="82">
        <v>46.5</v>
      </c>
      <c r="F317" s="82">
        <v>49.2</v>
      </c>
      <c r="G317" s="82">
        <v>49.2</v>
      </c>
      <c r="H317" s="82">
        <v>49.8</v>
      </c>
      <c r="I317" s="82">
        <v>48</v>
      </c>
      <c r="J317" s="82">
        <v>47.1</v>
      </c>
      <c r="K317" s="82">
        <v>56.2</v>
      </c>
      <c r="L317" s="82">
        <v>33.1</v>
      </c>
      <c r="M317" s="82">
        <v>54.5</v>
      </c>
      <c r="N317" s="82">
        <v>51.9</v>
      </c>
      <c r="O317" s="82">
        <v>51.2</v>
      </c>
      <c r="P317" s="82">
        <v>48.7</v>
      </c>
      <c r="Q317" s="82">
        <v>47.8</v>
      </c>
      <c r="R317" s="82">
        <v>50</v>
      </c>
      <c r="S317" s="82">
        <v>53.2</v>
      </c>
      <c r="T317" s="82">
        <v>48.2</v>
      </c>
      <c r="U317" s="82">
        <v>48.2</v>
      </c>
      <c r="V317" s="82">
        <v>52.5</v>
      </c>
      <c r="W317" s="82">
        <v>44.3</v>
      </c>
      <c r="X317" s="82">
        <v>48.7</v>
      </c>
      <c r="Y317" s="82">
        <v>50.4</v>
      </c>
      <c r="Z317" s="82">
        <v>49.9</v>
      </c>
      <c r="AA317" s="82">
        <v>49.5</v>
      </c>
      <c r="AB317" s="82">
        <v>52.4</v>
      </c>
      <c r="AC317" s="82">
        <v>51.7</v>
      </c>
      <c r="AD317" s="82">
        <v>50.7</v>
      </c>
      <c r="AE317" s="82">
        <v>49</v>
      </c>
    </row>
    <row r="318" spans="1:31" x14ac:dyDescent="0.2">
      <c r="A318" s="81">
        <v>43891</v>
      </c>
      <c r="B318" s="82">
        <v>53.7</v>
      </c>
      <c r="C318" s="82">
        <v>48.4</v>
      </c>
      <c r="D318" s="82">
        <v>46.1</v>
      </c>
      <c r="E318" s="82">
        <v>41.3</v>
      </c>
      <c r="F318" s="82">
        <v>46.8</v>
      </c>
      <c r="G318" s="82">
        <v>44.5</v>
      </c>
      <c r="H318" s="82">
        <v>43.2</v>
      </c>
      <c r="I318" s="82">
        <v>45.4</v>
      </c>
      <c r="J318" s="82">
        <v>47.3</v>
      </c>
      <c r="K318" s="82">
        <v>42.5</v>
      </c>
      <c r="L318" s="82">
        <v>34.9</v>
      </c>
      <c r="M318" s="82">
        <v>51.8</v>
      </c>
      <c r="N318" s="82">
        <v>45.3</v>
      </c>
      <c r="O318" s="82">
        <v>45.1</v>
      </c>
      <c r="P318" s="82">
        <v>40.299999999999997</v>
      </c>
      <c r="Q318" s="82">
        <v>44.2</v>
      </c>
      <c r="R318" s="82">
        <v>46.9</v>
      </c>
      <c r="S318" s="82">
        <v>38</v>
      </c>
      <c r="T318" s="82">
        <v>42.4</v>
      </c>
      <c r="U318" s="82">
        <v>47.5</v>
      </c>
      <c r="V318" s="82">
        <v>42.4</v>
      </c>
      <c r="W318" s="82">
        <v>48.1</v>
      </c>
      <c r="X318" s="82">
        <v>44.2</v>
      </c>
      <c r="Y318" s="82">
        <v>45.7</v>
      </c>
      <c r="Z318" s="82">
        <v>50.4</v>
      </c>
      <c r="AA318" s="82">
        <v>46.7</v>
      </c>
      <c r="AB318" s="82">
        <v>48.1</v>
      </c>
      <c r="AC318" s="82">
        <v>47.8</v>
      </c>
      <c r="AD318" s="82">
        <v>48.5</v>
      </c>
      <c r="AE318" s="82">
        <v>41.9</v>
      </c>
    </row>
    <row r="319" spans="1:31" x14ac:dyDescent="0.2">
      <c r="A319" s="81">
        <v>43922</v>
      </c>
      <c r="B319" s="82">
        <v>35.799999999999997</v>
      </c>
      <c r="C319" s="82">
        <v>36</v>
      </c>
      <c r="D319" s="82">
        <v>33</v>
      </c>
      <c r="E319" s="82">
        <v>35.1</v>
      </c>
      <c r="F319" s="82">
        <v>38.6</v>
      </c>
      <c r="G319" s="82">
        <v>33.4</v>
      </c>
      <c r="H319" s="82">
        <v>31.5</v>
      </c>
      <c r="I319" s="82">
        <v>34.5</v>
      </c>
      <c r="J319" s="82">
        <v>39.6</v>
      </c>
      <c r="K319" s="82">
        <v>29.5</v>
      </c>
      <c r="L319" s="82">
        <v>36.9</v>
      </c>
      <c r="M319" s="82">
        <v>27.4</v>
      </c>
      <c r="N319" s="82">
        <v>27.5</v>
      </c>
      <c r="O319" s="82">
        <v>36</v>
      </c>
      <c r="P319" s="82">
        <v>31.1</v>
      </c>
      <c r="Q319" s="82">
        <v>41.9</v>
      </c>
      <c r="R319" s="82">
        <v>35</v>
      </c>
      <c r="S319" s="82">
        <v>26.1</v>
      </c>
      <c r="T319" s="82">
        <v>31.9</v>
      </c>
      <c r="U319" s="82">
        <v>31.3</v>
      </c>
      <c r="V319" s="82">
        <v>44.4</v>
      </c>
      <c r="W319" s="82">
        <v>46.1</v>
      </c>
      <c r="X319" s="82">
        <v>41.6</v>
      </c>
      <c r="Y319" s="82">
        <v>30.8</v>
      </c>
      <c r="Z319" s="82">
        <v>42.2</v>
      </c>
      <c r="AA319" s="82">
        <v>36.799999999999997</v>
      </c>
      <c r="AB319" s="82">
        <v>33.4</v>
      </c>
      <c r="AC319" s="82">
        <v>32.6</v>
      </c>
      <c r="AD319" s="82">
        <v>36.1</v>
      </c>
      <c r="AE319" s="82">
        <v>32.700000000000003</v>
      </c>
    </row>
    <row r="320" spans="1:31" x14ac:dyDescent="0.2">
      <c r="A320" s="81">
        <v>43952</v>
      </c>
      <c r="B320" s="82">
        <v>41.6</v>
      </c>
      <c r="C320" s="82">
        <v>38.299999999999997</v>
      </c>
      <c r="D320" s="82">
        <v>40.6</v>
      </c>
      <c r="E320" s="82">
        <v>39.6</v>
      </c>
      <c r="F320" s="82">
        <v>54</v>
      </c>
      <c r="G320" s="82">
        <v>39.4</v>
      </c>
      <c r="H320" s="82">
        <v>40.6</v>
      </c>
      <c r="I320" s="82">
        <v>36.6</v>
      </c>
      <c r="J320" s="82">
        <v>42.4</v>
      </c>
      <c r="K320" s="82">
        <v>41.1</v>
      </c>
      <c r="L320" s="82">
        <v>43.9</v>
      </c>
      <c r="M320" s="82">
        <v>30.8</v>
      </c>
      <c r="N320" s="82">
        <v>28.6</v>
      </c>
      <c r="O320" s="82">
        <v>39.200000000000003</v>
      </c>
      <c r="P320" s="82">
        <v>45.4</v>
      </c>
      <c r="Q320" s="82">
        <v>38.4</v>
      </c>
      <c r="R320" s="82">
        <v>38.299999999999997</v>
      </c>
      <c r="S320" s="82">
        <v>39.700000000000003</v>
      </c>
      <c r="T320" s="82">
        <v>40.6</v>
      </c>
      <c r="U320" s="82">
        <v>36.200000000000003</v>
      </c>
      <c r="V320" s="82">
        <v>48.1</v>
      </c>
      <c r="W320" s="82">
        <v>50.2</v>
      </c>
      <c r="X320" s="82">
        <v>41.3</v>
      </c>
      <c r="Y320" s="82">
        <v>38.299999999999997</v>
      </c>
      <c r="Z320" s="82">
        <v>41.9</v>
      </c>
      <c r="AA320" s="82">
        <v>41.6</v>
      </c>
      <c r="AB320" s="82">
        <v>40.9</v>
      </c>
      <c r="AC320" s="82">
        <v>40.700000000000003</v>
      </c>
      <c r="AD320" s="82">
        <v>39.799999999999997</v>
      </c>
      <c r="AE320" s="82">
        <v>42.7</v>
      </c>
    </row>
    <row r="321" spans="1:31" x14ac:dyDescent="0.2">
      <c r="A321" s="81">
        <v>43983</v>
      </c>
      <c r="B321" s="82">
        <v>51.5</v>
      </c>
      <c r="C321" s="82">
        <v>51.6</v>
      </c>
      <c r="D321" s="82">
        <v>47.8</v>
      </c>
      <c r="E321" s="82">
        <v>44.9</v>
      </c>
      <c r="F321" s="82">
        <v>52.2</v>
      </c>
      <c r="G321" s="82">
        <v>47.4</v>
      </c>
      <c r="H321" s="82">
        <v>52.3</v>
      </c>
      <c r="I321" s="82">
        <v>45.2</v>
      </c>
      <c r="J321" s="82">
        <v>47.8</v>
      </c>
      <c r="K321" s="82">
        <v>49.4</v>
      </c>
      <c r="L321" s="82">
        <v>49.6</v>
      </c>
      <c r="M321" s="82">
        <v>47.2</v>
      </c>
      <c r="N321" s="82">
        <v>39.1</v>
      </c>
      <c r="O321" s="82">
        <v>51</v>
      </c>
      <c r="P321" s="82">
        <v>47.5</v>
      </c>
      <c r="Q321" s="82">
        <v>40.1</v>
      </c>
      <c r="R321" s="82">
        <v>38.6</v>
      </c>
      <c r="S321" s="82">
        <v>56.3</v>
      </c>
      <c r="T321" s="82">
        <v>47.2</v>
      </c>
      <c r="U321" s="82">
        <v>49.4</v>
      </c>
      <c r="V321" s="82">
        <v>47.7</v>
      </c>
      <c r="W321" s="82">
        <v>53.9</v>
      </c>
      <c r="X321" s="82">
        <v>43.4</v>
      </c>
      <c r="Y321" s="82">
        <v>49</v>
      </c>
      <c r="Z321" s="82">
        <v>46.2</v>
      </c>
      <c r="AA321" s="82">
        <v>43.5</v>
      </c>
      <c r="AB321" s="82">
        <v>53.9</v>
      </c>
      <c r="AC321" s="82">
        <v>50.1</v>
      </c>
      <c r="AD321" s="82">
        <v>49.8</v>
      </c>
      <c r="AE321" s="82">
        <v>51.1</v>
      </c>
    </row>
    <row r="322" spans="1:31" x14ac:dyDescent="0.2">
      <c r="A322" s="81">
        <v>44013</v>
      </c>
      <c r="B322" s="82">
        <v>53.5</v>
      </c>
      <c r="C322" s="82">
        <v>58.2</v>
      </c>
      <c r="D322" s="82">
        <v>52.9</v>
      </c>
      <c r="E322" s="82">
        <v>47</v>
      </c>
      <c r="F322" s="82">
        <v>57.4</v>
      </c>
      <c r="G322" s="82">
        <v>51.8</v>
      </c>
      <c r="H322" s="82">
        <v>52.4</v>
      </c>
      <c r="I322" s="82">
        <v>51</v>
      </c>
      <c r="J322" s="82">
        <v>50.6</v>
      </c>
      <c r="K322" s="82">
        <v>48.6</v>
      </c>
      <c r="L322" s="82">
        <v>44.5</v>
      </c>
      <c r="M322" s="82">
        <v>46</v>
      </c>
      <c r="N322" s="82">
        <v>46.9</v>
      </c>
      <c r="O322" s="82">
        <v>57.3</v>
      </c>
      <c r="P322" s="82">
        <v>51.9</v>
      </c>
      <c r="Q322" s="82">
        <v>45.2</v>
      </c>
      <c r="R322" s="82">
        <v>40.4</v>
      </c>
      <c r="S322" s="82">
        <v>59</v>
      </c>
      <c r="T322" s="82">
        <v>52.8</v>
      </c>
      <c r="U322" s="82">
        <v>48.4</v>
      </c>
      <c r="V322" s="82">
        <v>48.8</v>
      </c>
      <c r="W322" s="82">
        <v>51.2</v>
      </c>
      <c r="X322" s="82">
        <v>46.9</v>
      </c>
      <c r="Y322" s="82">
        <v>53.5</v>
      </c>
      <c r="Z322" s="82">
        <v>50.6</v>
      </c>
      <c r="AA322" s="82">
        <v>45.9</v>
      </c>
      <c r="AB322" s="82">
        <v>56.9</v>
      </c>
      <c r="AC322" s="82">
        <v>53.3</v>
      </c>
      <c r="AD322" s="82">
        <v>50.9</v>
      </c>
      <c r="AE322" s="82">
        <v>47.6</v>
      </c>
    </row>
    <row r="323" spans="1:31" x14ac:dyDescent="0.2">
      <c r="A323" s="81">
        <v>44044</v>
      </c>
      <c r="B323" s="82">
        <v>49.3</v>
      </c>
      <c r="C323" s="82">
        <v>64.7</v>
      </c>
      <c r="D323" s="82">
        <v>55.1</v>
      </c>
      <c r="E323" s="82">
        <v>49.1</v>
      </c>
      <c r="F323" s="82">
        <v>52.3</v>
      </c>
      <c r="G323" s="82">
        <v>51.7</v>
      </c>
      <c r="H323" s="82">
        <v>49.8</v>
      </c>
      <c r="I323" s="82">
        <v>52.2</v>
      </c>
      <c r="J323" s="82">
        <v>51.8</v>
      </c>
      <c r="K323" s="82">
        <v>49.4</v>
      </c>
      <c r="L323" s="82">
        <v>44</v>
      </c>
      <c r="M323" s="82">
        <v>52</v>
      </c>
      <c r="N323" s="82">
        <v>50.8</v>
      </c>
      <c r="O323" s="82">
        <v>52.3</v>
      </c>
      <c r="P323" s="82">
        <v>53.1</v>
      </c>
      <c r="Q323" s="82">
        <v>47.2</v>
      </c>
      <c r="R323" s="82">
        <v>41.3</v>
      </c>
      <c r="S323" s="82">
        <v>51</v>
      </c>
      <c r="T323" s="82">
        <v>50.6</v>
      </c>
      <c r="U323" s="82">
        <v>51.1</v>
      </c>
      <c r="V323" s="82">
        <v>50</v>
      </c>
      <c r="W323" s="82">
        <v>57.3</v>
      </c>
      <c r="X323" s="82">
        <v>48.5</v>
      </c>
      <c r="Y323" s="82">
        <v>49.9</v>
      </c>
      <c r="Z323" s="82">
        <v>52.2</v>
      </c>
      <c r="AA323" s="82">
        <v>49.7</v>
      </c>
      <c r="AB323" s="82">
        <v>54.3</v>
      </c>
      <c r="AC323" s="82">
        <v>55.2</v>
      </c>
      <c r="AD323" s="82">
        <v>53.1</v>
      </c>
      <c r="AE323" s="82">
        <v>45.7</v>
      </c>
    </row>
    <row r="324" spans="1:31" x14ac:dyDescent="0.2">
      <c r="A324" s="81">
        <v>44075</v>
      </c>
      <c r="B324" s="82">
        <v>46.7</v>
      </c>
      <c r="C324" s="82">
        <v>64.900000000000006</v>
      </c>
      <c r="D324" s="82">
        <v>56</v>
      </c>
      <c r="E324" s="82">
        <v>50.7</v>
      </c>
      <c r="F324" s="82">
        <v>54.4</v>
      </c>
      <c r="G324" s="82">
        <v>53.7</v>
      </c>
      <c r="H324" s="82">
        <v>51.2</v>
      </c>
      <c r="I324" s="82">
        <v>56.4</v>
      </c>
      <c r="J324" s="82">
        <v>52.4</v>
      </c>
      <c r="K324" s="82">
        <v>50</v>
      </c>
      <c r="L324" s="82">
        <v>47.7</v>
      </c>
      <c r="M324" s="82">
        <v>56.8</v>
      </c>
      <c r="N324" s="82">
        <v>47.2</v>
      </c>
      <c r="O324" s="82">
        <v>50</v>
      </c>
      <c r="P324" s="82">
        <v>53.2</v>
      </c>
      <c r="Q324" s="82">
        <v>47.7</v>
      </c>
      <c r="R324" s="82">
        <v>42.1</v>
      </c>
      <c r="S324" s="82">
        <v>54</v>
      </c>
      <c r="T324" s="82">
        <v>50.8</v>
      </c>
      <c r="U324" s="82">
        <v>48.9</v>
      </c>
      <c r="V324" s="82">
        <v>50.7</v>
      </c>
      <c r="W324" s="82">
        <v>58.3</v>
      </c>
      <c r="X324" s="82">
        <v>49.8</v>
      </c>
      <c r="Y324" s="82">
        <v>50.8</v>
      </c>
      <c r="Z324" s="82">
        <v>55.2</v>
      </c>
      <c r="AA324" s="82">
        <v>49.9</v>
      </c>
      <c r="AB324" s="82">
        <v>52.8</v>
      </c>
      <c r="AC324" s="82">
        <v>54.1</v>
      </c>
      <c r="AD324" s="82">
        <v>53.2</v>
      </c>
      <c r="AE324" s="82">
        <v>52.2</v>
      </c>
    </row>
    <row r="325" spans="1:31" x14ac:dyDescent="0.2">
      <c r="A325" s="81">
        <v>44105</v>
      </c>
      <c r="B325" s="82">
        <v>56.3</v>
      </c>
      <c r="C325" s="82">
        <v>66.7</v>
      </c>
      <c r="D325" s="82">
        <v>55.5</v>
      </c>
      <c r="E325" s="82">
        <v>51.9</v>
      </c>
      <c r="F325" s="82">
        <v>61.8</v>
      </c>
      <c r="G325" s="82">
        <v>54.8</v>
      </c>
      <c r="H325" s="82">
        <v>51.3</v>
      </c>
      <c r="I325" s="82">
        <v>58.2</v>
      </c>
      <c r="J325" s="82">
        <v>53</v>
      </c>
      <c r="K325" s="82">
        <v>48.7</v>
      </c>
      <c r="L325" s="82">
        <v>49.8</v>
      </c>
      <c r="M325" s="82">
        <v>58.9</v>
      </c>
      <c r="N325" s="82">
        <v>47.8</v>
      </c>
      <c r="O325" s="82">
        <v>50.3</v>
      </c>
      <c r="P325" s="82">
        <v>53.8</v>
      </c>
      <c r="Q325" s="82">
        <v>48.7</v>
      </c>
      <c r="R325" s="82">
        <v>43.6</v>
      </c>
      <c r="S325" s="82">
        <v>51.7</v>
      </c>
      <c r="T325" s="82">
        <v>50.8</v>
      </c>
      <c r="U325" s="82">
        <v>46.9</v>
      </c>
      <c r="V325" s="82">
        <v>51</v>
      </c>
      <c r="W325" s="82">
        <v>60.9</v>
      </c>
      <c r="X325" s="82">
        <v>51.2</v>
      </c>
      <c r="Y325" s="82">
        <v>52.5</v>
      </c>
      <c r="Z325" s="82">
        <v>55.1</v>
      </c>
      <c r="AA325" s="82">
        <v>50.8</v>
      </c>
      <c r="AB325" s="82">
        <v>53.9</v>
      </c>
      <c r="AC325" s="82">
        <v>53.7</v>
      </c>
      <c r="AD325" s="82">
        <v>53.4</v>
      </c>
      <c r="AE325" s="82">
        <v>51.8</v>
      </c>
    </row>
    <row r="326" spans="1:31" x14ac:dyDescent="0.2">
      <c r="A326" s="81">
        <v>44136</v>
      </c>
      <c r="B326" s="82">
        <v>52.1</v>
      </c>
      <c r="C326" s="82">
        <v>64</v>
      </c>
      <c r="D326" s="82">
        <v>55.8</v>
      </c>
      <c r="E326" s="82">
        <v>53.9</v>
      </c>
      <c r="F326" s="82">
        <v>47.7</v>
      </c>
      <c r="G326" s="82">
        <v>53.8</v>
      </c>
      <c r="H326" s="82">
        <v>49.6</v>
      </c>
      <c r="I326" s="82">
        <v>57.8</v>
      </c>
      <c r="J326" s="82">
        <v>53.8</v>
      </c>
      <c r="K326" s="82">
        <v>42.3</v>
      </c>
      <c r="L326" s="82">
        <v>50.1</v>
      </c>
      <c r="M326" s="82">
        <v>56.3</v>
      </c>
      <c r="N326" s="82">
        <v>50.6</v>
      </c>
      <c r="O326" s="82">
        <v>52.2</v>
      </c>
      <c r="P326" s="82">
        <v>51.5</v>
      </c>
      <c r="Q326" s="82">
        <v>49</v>
      </c>
      <c r="R326" s="82">
        <v>43.7</v>
      </c>
      <c r="S326" s="82">
        <v>55.3</v>
      </c>
      <c r="T326" s="82">
        <v>50.8</v>
      </c>
      <c r="U326" s="82">
        <v>46.3</v>
      </c>
      <c r="V326" s="82">
        <v>54.7</v>
      </c>
      <c r="W326" s="82">
        <v>52.6</v>
      </c>
      <c r="X326" s="82">
        <v>52.9</v>
      </c>
      <c r="Y326" s="82">
        <v>49.8</v>
      </c>
      <c r="Z326" s="82">
        <v>56.9</v>
      </c>
      <c r="AA326" s="82">
        <v>50.4</v>
      </c>
      <c r="AB326" s="82">
        <v>51.4</v>
      </c>
      <c r="AC326" s="82">
        <v>55.6</v>
      </c>
      <c r="AD326" s="82">
        <v>56.7</v>
      </c>
      <c r="AE326" s="82">
        <v>49.9</v>
      </c>
    </row>
    <row r="327" spans="1:31" x14ac:dyDescent="0.2">
      <c r="A327" s="81">
        <v>44166</v>
      </c>
      <c r="B327" s="82">
        <v>55.3</v>
      </c>
      <c r="C327" s="82">
        <v>61.5</v>
      </c>
      <c r="D327" s="82">
        <v>57.9</v>
      </c>
      <c r="E327" s="82">
        <v>57</v>
      </c>
      <c r="F327" s="82">
        <v>41.9</v>
      </c>
      <c r="G327" s="82">
        <v>55.2</v>
      </c>
      <c r="H327" s="82">
        <v>51.1</v>
      </c>
      <c r="I327" s="82">
        <v>58.3</v>
      </c>
      <c r="J327" s="82">
        <v>53.8</v>
      </c>
      <c r="K327" s="82">
        <v>46.9</v>
      </c>
      <c r="L327" s="82">
        <v>43.5</v>
      </c>
      <c r="M327" s="82">
        <v>56.4</v>
      </c>
      <c r="N327" s="82">
        <v>51.3</v>
      </c>
      <c r="O327" s="82">
        <v>57.2</v>
      </c>
      <c r="P327" s="82">
        <v>52.8</v>
      </c>
      <c r="Q327" s="82">
        <v>50</v>
      </c>
      <c r="R327" s="82">
        <v>42.4</v>
      </c>
      <c r="S327" s="82">
        <v>48.7</v>
      </c>
      <c r="T327" s="82">
        <v>51.7</v>
      </c>
      <c r="U327" s="82">
        <v>49.7</v>
      </c>
      <c r="V327" s="82">
        <v>57</v>
      </c>
      <c r="W327" s="82">
        <v>50.3</v>
      </c>
      <c r="X327" s="82">
        <v>52.9</v>
      </c>
      <c r="Y327" s="82">
        <v>51</v>
      </c>
      <c r="Z327" s="82">
        <v>59.4</v>
      </c>
      <c r="AA327" s="82">
        <v>50.8</v>
      </c>
      <c r="AB327" s="82">
        <v>50.8</v>
      </c>
      <c r="AC327" s="82">
        <v>57.5</v>
      </c>
      <c r="AD327" s="82">
        <v>57.1</v>
      </c>
      <c r="AE327" s="82">
        <v>51.7</v>
      </c>
    </row>
    <row r="328" spans="1:31" x14ac:dyDescent="0.2">
      <c r="A328" s="81">
        <v>44197</v>
      </c>
      <c r="B328" s="82">
        <v>55.3</v>
      </c>
      <c r="C328" s="82">
        <v>56.5</v>
      </c>
      <c r="D328" s="82">
        <v>54.4</v>
      </c>
      <c r="E328" s="82">
        <v>57</v>
      </c>
      <c r="F328" s="82">
        <v>42.1</v>
      </c>
      <c r="G328" s="82">
        <v>54.8</v>
      </c>
      <c r="H328" s="82">
        <v>51.6</v>
      </c>
      <c r="I328" s="82">
        <v>57.1</v>
      </c>
      <c r="J328" s="82">
        <v>53.6</v>
      </c>
      <c r="K328" s="82">
        <v>50</v>
      </c>
      <c r="L328" s="82">
        <v>47.8</v>
      </c>
      <c r="M328" s="82">
        <v>57.7</v>
      </c>
      <c r="N328" s="82">
        <v>52.2</v>
      </c>
      <c r="O328" s="82">
        <v>51.8</v>
      </c>
      <c r="P328" s="82">
        <v>55.1</v>
      </c>
      <c r="Q328" s="82">
        <v>49.8</v>
      </c>
      <c r="R328" s="82">
        <v>43</v>
      </c>
      <c r="S328" s="82">
        <v>58.05</v>
      </c>
      <c r="T328" s="82">
        <v>51.9</v>
      </c>
      <c r="U328" s="82">
        <v>50.9</v>
      </c>
      <c r="V328" s="82">
        <v>57.1</v>
      </c>
      <c r="W328" s="82">
        <v>50.3</v>
      </c>
      <c r="X328" s="82">
        <v>53.2</v>
      </c>
      <c r="Y328" s="82">
        <v>49.3</v>
      </c>
      <c r="Z328" s="82">
        <v>60.2</v>
      </c>
      <c r="AA328" s="82">
        <v>49</v>
      </c>
      <c r="AB328" s="82">
        <v>54.4</v>
      </c>
      <c r="AC328" s="82">
        <v>54.1</v>
      </c>
      <c r="AD328" s="82">
        <v>59.2</v>
      </c>
      <c r="AE328" s="82">
        <v>51.3</v>
      </c>
    </row>
    <row r="329" spans="1:31" x14ac:dyDescent="0.2">
      <c r="A329" s="81">
        <v>44228</v>
      </c>
      <c r="B329" s="82">
        <v>58.8</v>
      </c>
      <c r="C329" s="82">
        <v>58.4</v>
      </c>
      <c r="D329" s="82">
        <v>54.8</v>
      </c>
      <c r="E329" s="82">
        <v>56.5</v>
      </c>
      <c r="F329" s="82">
        <v>40.799999999999997</v>
      </c>
      <c r="G329" s="82">
        <v>57.9</v>
      </c>
      <c r="H329" s="82">
        <v>56.1</v>
      </c>
      <c r="I329" s="82">
        <v>60.7</v>
      </c>
      <c r="J329" s="82">
        <v>53.9</v>
      </c>
      <c r="K329" s="82">
        <v>49.4</v>
      </c>
      <c r="L329" s="82">
        <v>50.2</v>
      </c>
      <c r="M329" s="82">
        <v>57.5</v>
      </c>
      <c r="N329" s="82">
        <v>50.9</v>
      </c>
      <c r="O329" s="82">
        <v>52</v>
      </c>
      <c r="P329" s="82">
        <v>56.9</v>
      </c>
      <c r="Q329" s="82">
        <v>51.4</v>
      </c>
      <c r="R329" s="82">
        <v>44.2</v>
      </c>
      <c r="S329" s="82">
        <v>54.21</v>
      </c>
      <c r="T329" s="82">
        <v>53.4</v>
      </c>
      <c r="U329" s="82">
        <v>51.5</v>
      </c>
      <c r="V329" s="82">
        <v>53.9</v>
      </c>
      <c r="W329" s="82">
        <v>53</v>
      </c>
      <c r="X329" s="82">
        <v>55.3</v>
      </c>
      <c r="Y329" s="82">
        <v>52.9</v>
      </c>
      <c r="Z329" s="82">
        <v>60.4</v>
      </c>
      <c r="AA329" s="82">
        <v>47.2</v>
      </c>
      <c r="AB329" s="82">
        <v>51.7</v>
      </c>
      <c r="AC329" s="82">
        <v>55.1</v>
      </c>
      <c r="AD329" s="82">
        <v>58.6</v>
      </c>
      <c r="AE329" s="82">
        <v>51.6</v>
      </c>
    </row>
    <row r="330" spans="1:31" x14ac:dyDescent="0.2">
      <c r="A330" s="81">
        <v>44256</v>
      </c>
      <c r="B330" s="82">
        <v>59.9</v>
      </c>
      <c r="C330" s="82">
        <v>52.8</v>
      </c>
      <c r="D330" s="82">
        <v>58.5</v>
      </c>
      <c r="E330" s="82">
        <v>58</v>
      </c>
      <c r="F330" s="82">
        <v>67.599999999999994</v>
      </c>
      <c r="G330" s="82">
        <v>62.5</v>
      </c>
      <c r="H330" s="82">
        <v>59.3</v>
      </c>
      <c r="I330" s="82">
        <v>66.599999999999994</v>
      </c>
      <c r="J330" s="82">
        <v>55</v>
      </c>
      <c r="K330" s="82">
        <v>51.8</v>
      </c>
      <c r="L330" s="82">
        <v>50.5</v>
      </c>
      <c r="M330" s="82">
        <v>55.4</v>
      </c>
      <c r="N330" s="82">
        <v>53.2</v>
      </c>
      <c r="O330" s="82">
        <v>57.1</v>
      </c>
      <c r="P330" s="82">
        <v>59.8</v>
      </c>
      <c r="Q330" s="82">
        <v>52.7</v>
      </c>
      <c r="R330" s="82">
        <v>45.6</v>
      </c>
      <c r="S330" s="82">
        <v>63.6</v>
      </c>
      <c r="T330" s="82">
        <v>54.3</v>
      </c>
      <c r="U330" s="82">
        <v>51.1</v>
      </c>
      <c r="V330" s="82">
        <v>53.3</v>
      </c>
      <c r="W330" s="82">
        <v>57.4</v>
      </c>
      <c r="X330" s="82">
        <v>55.3</v>
      </c>
      <c r="Y330" s="82">
        <v>56.9</v>
      </c>
      <c r="Z330" s="82">
        <v>60.8</v>
      </c>
      <c r="AA330" s="82">
        <v>48.8</v>
      </c>
      <c r="AB330" s="82">
        <v>52.6</v>
      </c>
      <c r="AC330" s="82">
        <v>58.9</v>
      </c>
      <c r="AD330" s="82">
        <v>59.1</v>
      </c>
      <c r="AE330" s="82">
        <v>53.6</v>
      </c>
    </row>
    <row r="331" spans="1:31" x14ac:dyDescent="0.2">
      <c r="A331" s="81">
        <v>44287</v>
      </c>
      <c r="B331" s="82">
        <v>61.7</v>
      </c>
      <c r="C331" s="82">
        <v>52.3</v>
      </c>
      <c r="D331" s="82">
        <v>57.2</v>
      </c>
      <c r="E331" s="82">
        <v>58.9</v>
      </c>
      <c r="F331" s="82">
        <v>72</v>
      </c>
      <c r="G331" s="82">
        <v>62.9</v>
      </c>
      <c r="H331" s="82">
        <v>58.9</v>
      </c>
      <c r="I331" s="82">
        <v>66.2</v>
      </c>
      <c r="J331" s="82">
        <v>55.9</v>
      </c>
      <c r="K331" s="82">
        <v>54.4</v>
      </c>
      <c r="L331" s="82">
        <v>50.3</v>
      </c>
      <c r="M331" s="82">
        <v>55.5</v>
      </c>
      <c r="N331" s="82">
        <v>54.6</v>
      </c>
      <c r="O331" s="82">
        <v>60.8</v>
      </c>
      <c r="P331" s="82">
        <v>60.7</v>
      </c>
      <c r="Q331" s="82">
        <v>53.6</v>
      </c>
      <c r="R331" s="82">
        <v>48.4</v>
      </c>
      <c r="S331" s="82">
        <v>58.3</v>
      </c>
      <c r="T331" s="82">
        <v>53.7</v>
      </c>
      <c r="U331" s="82">
        <v>50.4</v>
      </c>
      <c r="V331" s="82">
        <v>55.2</v>
      </c>
      <c r="W331" s="82">
        <v>56.2</v>
      </c>
      <c r="X331" s="82">
        <v>54.6</v>
      </c>
      <c r="Y331" s="82">
        <v>57.7</v>
      </c>
      <c r="Z331" s="82">
        <v>62.4</v>
      </c>
      <c r="AA331" s="82">
        <v>50.7</v>
      </c>
      <c r="AB331" s="82">
        <v>50.4</v>
      </c>
      <c r="AC331" s="82">
        <v>60.9</v>
      </c>
      <c r="AD331" s="82">
        <v>60.5</v>
      </c>
      <c r="AE331" s="82">
        <v>54.7</v>
      </c>
    </row>
    <row r="332" spans="1:31" x14ac:dyDescent="0.2">
      <c r="A332" s="81">
        <v>44317</v>
      </c>
      <c r="B332" s="82">
        <v>61.8</v>
      </c>
      <c r="C332" s="82">
        <v>53.7</v>
      </c>
      <c r="D332" s="82">
        <v>57</v>
      </c>
      <c r="E332" s="82">
        <v>61.8</v>
      </c>
      <c r="F332" s="82">
        <v>67.7</v>
      </c>
      <c r="G332" s="82">
        <v>63.1</v>
      </c>
      <c r="H332" s="82">
        <v>59.4</v>
      </c>
      <c r="I332" s="82">
        <v>64.400000000000006</v>
      </c>
      <c r="J332" s="82">
        <v>56</v>
      </c>
      <c r="K332" s="82">
        <v>58</v>
      </c>
      <c r="L332" s="82">
        <v>52.5</v>
      </c>
      <c r="M332" s="82">
        <v>50.8</v>
      </c>
      <c r="N332" s="82">
        <v>55.3</v>
      </c>
      <c r="O332" s="82">
        <v>64.099999999999994</v>
      </c>
      <c r="P332" s="82">
        <v>62.3</v>
      </c>
      <c r="Q332" s="82">
        <v>53</v>
      </c>
      <c r="R332" s="82">
        <v>47.6</v>
      </c>
      <c r="S332" s="82">
        <v>58.6</v>
      </c>
      <c r="T332" s="82">
        <v>57.2</v>
      </c>
      <c r="U332" s="82">
        <v>51.9</v>
      </c>
      <c r="V332" s="82">
        <v>56.4</v>
      </c>
      <c r="W332" s="82">
        <v>57.8</v>
      </c>
      <c r="X332" s="82">
        <v>53.7</v>
      </c>
      <c r="Y332" s="82">
        <v>59.4</v>
      </c>
      <c r="Z332" s="82">
        <v>62</v>
      </c>
      <c r="AA332" s="82">
        <v>47.8</v>
      </c>
      <c r="AB332" s="82">
        <v>49.3</v>
      </c>
      <c r="AC332" s="82">
        <v>65.599999999999994</v>
      </c>
      <c r="AD332" s="82">
        <v>62.6</v>
      </c>
      <c r="AE332" s="82">
        <v>53.1</v>
      </c>
    </row>
    <row r="333" spans="1:31" x14ac:dyDescent="0.2">
      <c r="A333" s="81">
        <v>44348</v>
      </c>
      <c r="B333" s="82">
        <v>63.2</v>
      </c>
      <c r="C333" s="82">
        <v>56.4</v>
      </c>
      <c r="D333" s="82">
        <v>56.5</v>
      </c>
      <c r="E333" s="82">
        <v>62.7</v>
      </c>
      <c r="F333" s="82">
        <v>62.1</v>
      </c>
      <c r="G333" s="82">
        <v>63.4</v>
      </c>
      <c r="H333" s="82">
        <v>59</v>
      </c>
      <c r="I333" s="82">
        <v>65.099999999999994</v>
      </c>
      <c r="J333" s="82">
        <v>55.5</v>
      </c>
      <c r="K333" s="82">
        <v>58.6</v>
      </c>
      <c r="L333" s="82">
        <v>51.4</v>
      </c>
      <c r="M333" s="82">
        <v>48.1</v>
      </c>
      <c r="N333" s="82">
        <v>53.5</v>
      </c>
      <c r="O333" s="82">
        <v>64</v>
      </c>
      <c r="P333" s="82">
        <v>62.2</v>
      </c>
      <c r="Q333" s="82">
        <v>52.4</v>
      </c>
      <c r="R333" s="82">
        <v>48.8</v>
      </c>
      <c r="S333" s="82">
        <v>60.9</v>
      </c>
      <c r="T333" s="82">
        <v>59.4</v>
      </c>
      <c r="U333" s="82">
        <v>49.2</v>
      </c>
      <c r="V333" s="82">
        <v>56.4</v>
      </c>
      <c r="W333" s="82">
        <v>57.4</v>
      </c>
      <c r="X333" s="82">
        <v>53.9</v>
      </c>
      <c r="Y333" s="82">
        <v>60.4</v>
      </c>
      <c r="Z333" s="82">
        <v>57.6</v>
      </c>
      <c r="AA333" s="82">
        <v>49.5</v>
      </c>
      <c r="AB333" s="82">
        <v>51.3</v>
      </c>
      <c r="AC333" s="82">
        <v>63.9</v>
      </c>
      <c r="AD333" s="82">
        <v>62.1</v>
      </c>
      <c r="AE333" s="82">
        <v>44.1</v>
      </c>
    </row>
    <row r="334" spans="1:31" x14ac:dyDescent="0.2">
      <c r="A334" s="81">
        <v>44378</v>
      </c>
      <c r="B334" s="82">
        <v>60.8</v>
      </c>
      <c r="C334" s="82">
        <v>56.7</v>
      </c>
      <c r="D334" s="82">
        <v>56.2</v>
      </c>
      <c r="E334" s="82">
        <v>62</v>
      </c>
      <c r="F334" s="82">
        <v>69.8</v>
      </c>
      <c r="G334" s="82">
        <v>62.8</v>
      </c>
      <c r="H334" s="82">
        <v>58</v>
      </c>
      <c r="I334" s="82">
        <v>65.900000000000006</v>
      </c>
      <c r="J334" s="82">
        <v>55.4</v>
      </c>
      <c r="K334" s="82">
        <v>57.4</v>
      </c>
      <c r="L334" s="82">
        <v>51.3</v>
      </c>
      <c r="M334" s="82">
        <v>55.3</v>
      </c>
      <c r="N334" s="82">
        <v>40.1</v>
      </c>
      <c r="O334" s="82">
        <v>63.3</v>
      </c>
      <c r="P334" s="82">
        <v>60.3</v>
      </c>
      <c r="Q334" s="82">
        <v>53</v>
      </c>
      <c r="R334" s="82">
        <v>49.6</v>
      </c>
      <c r="S334" s="82">
        <v>62.2</v>
      </c>
      <c r="T334" s="82">
        <v>57.6</v>
      </c>
      <c r="U334" s="82">
        <v>47.5</v>
      </c>
      <c r="V334" s="82">
        <v>55.8</v>
      </c>
      <c r="W334" s="82">
        <v>43.5</v>
      </c>
      <c r="X334" s="82">
        <v>53</v>
      </c>
      <c r="Y334" s="82">
        <v>59</v>
      </c>
      <c r="Z334" s="82">
        <v>59.7</v>
      </c>
      <c r="AA334" s="82">
        <v>48.7</v>
      </c>
      <c r="AB334" s="82">
        <v>54</v>
      </c>
      <c r="AC334" s="82">
        <v>60.4</v>
      </c>
      <c r="AD334" s="82">
        <v>63.4</v>
      </c>
      <c r="AE334" s="82">
        <v>45.1</v>
      </c>
    </row>
    <row r="335" spans="1:31" x14ac:dyDescent="0.2">
      <c r="A335" s="81">
        <v>44409</v>
      </c>
      <c r="B335" s="82">
        <v>51.6</v>
      </c>
      <c r="C335" s="82">
        <v>53.6</v>
      </c>
      <c r="D335" s="82">
        <v>57.2</v>
      </c>
      <c r="E335" s="82">
        <v>61</v>
      </c>
      <c r="F335" s="82">
        <v>67.3</v>
      </c>
      <c r="G335" s="82">
        <v>61.4</v>
      </c>
      <c r="H335" s="82">
        <v>57.5</v>
      </c>
      <c r="I335" s="82">
        <v>62.6</v>
      </c>
      <c r="J335" s="82">
        <v>54.1</v>
      </c>
      <c r="K335" s="82">
        <v>59.3</v>
      </c>
      <c r="L335" s="82">
        <v>53.3</v>
      </c>
      <c r="M335" s="82">
        <v>52.3</v>
      </c>
      <c r="N335" s="82">
        <v>43.7</v>
      </c>
      <c r="O335" s="82">
        <v>62.8</v>
      </c>
      <c r="P335" s="82">
        <v>60.9</v>
      </c>
      <c r="Q335" s="82">
        <v>52.7</v>
      </c>
      <c r="R335" s="82">
        <v>47.1</v>
      </c>
      <c r="S335" s="82">
        <v>39.700000000000003</v>
      </c>
      <c r="T335" s="82">
        <v>56</v>
      </c>
      <c r="U335" s="82">
        <v>46.5</v>
      </c>
      <c r="V335" s="82">
        <v>54.1</v>
      </c>
      <c r="W335" s="82">
        <v>57.9</v>
      </c>
      <c r="X335" s="82">
        <v>51.2</v>
      </c>
      <c r="Y335" s="82">
        <v>59.5</v>
      </c>
      <c r="Z335" s="82">
        <v>58.5</v>
      </c>
      <c r="AA335" s="82">
        <v>48.3</v>
      </c>
      <c r="AB335" s="82">
        <v>54.1</v>
      </c>
      <c r="AC335" s="82">
        <v>60.3</v>
      </c>
      <c r="AD335" s="82">
        <v>61.1</v>
      </c>
      <c r="AE335" s="82">
        <v>40.200000000000003</v>
      </c>
    </row>
    <row r="336" spans="1:31" x14ac:dyDescent="0.2">
      <c r="A336" s="81">
        <v>44440</v>
      </c>
      <c r="B336" s="82">
        <v>51.2</v>
      </c>
      <c r="C336" s="82">
        <v>54.4</v>
      </c>
      <c r="D336" s="82">
        <v>57</v>
      </c>
      <c r="E336" s="82">
        <v>58</v>
      </c>
      <c r="F336" s="82">
        <v>65.2</v>
      </c>
      <c r="G336" s="82">
        <v>58.6</v>
      </c>
      <c r="H336" s="82">
        <v>55</v>
      </c>
      <c r="I336" s="82">
        <v>58.4</v>
      </c>
      <c r="J336" s="82">
        <v>54.1</v>
      </c>
      <c r="K336" s="82">
        <v>58.4</v>
      </c>
      <c r="L336" s="82">
        <v>51.7</v>
      </c>
      <c r="M336" s="82">
        <v>53.7</v>
      </c>
      <c r="N336" s="82">
        <v>52.2</v>
      </c>
      <c r="O336" s="82">
        <v>60.3</v>
      </c>
      <c r="P336" s="82">
        <v>59.7</v>
      </c>
      <c r="Q336" s="82">
        <v>51.5</v>
      </c>
      <c r="R336" s="82">
        <v>48.6</v>
      </c>
      <c r="S336" s="82">
        <v>51.4</v>
      </c>
      <c r="T336" s="82">
        <v>53.4</v>
      </c>
      <c r="U336" s="82">
        <v>49.8</v>
      </c>
      <c r="V336" s="82">
        <v>58.6</v>
      </c>
      <c r="W336" s="82">
        <v>54.7</v>
      </c>
      <c r="X336" s="82">
        <v>52.4</v>
      </c>
      <c r="Y336" s="82">
        <v>58.1</v>
      </c>
      <c r="Z336" s="82">
        <v>54.7</v>
      </c>
      <c r="AA336" s="82">
        <v>48.9</v>
      </c>
      <c r="AB336" s="82">
        <v>52.5</v>
      </c>
      <c r="AC336" s="82">
        <v>57.1</v>
      </c>
      <c r="AD336" s="82">
        <v>60.7</v>
      </c>
      <c r="AE336" s="82">
        <v>40.200000000000003</v>
      </c>
    </row>
    <row r="337" spans="1:31" x14ac:dyDescent="0.2">
      <c r="A337" s="81">
        <v>44470</v>
      </c>
      <c r="B337" s="82">
        <v>50.4</v>
      </c>
      <c r="C337" s="82">
        <v>51.7</v>
      </c>
      <c r="D337" s="82">
        <v>57.7</v>
      </c>
      <c r="E337" s="82">
        <v>55.1</v>
      </c>
      <c r="F337" s="82">
        <v>71.900000000000006</v>
      </c>
      <c r="G337" s="82">
        <v>58.3</v>
      </c>
      <c r="H337" s="82">
        <v>53.6</v>
      </c>
      <c r="I337" s="82">
        <v>57.8</v>
      </c>
      <c r="J337" s="82">
        <v>54.2</v>
      </c>
      <c r="K337" s="82">
        <v>58.9</v>
      </c>
      <c r="L337" s="82">
        <v>50.8</v>
      </c>
      <c r="M337" s="82">
        <v>55.9</v>
      </c>
      <c r="N337" s="82">
        <v>57.2</v>
      </c>
      <c r="O337" s="82">
        <v>62.1</v>
      </c>
      <c r="P337" s="82">
        <v>61.1</v>
      </c>
      <c r="Q337" s="82">
        <v>53.2</v>
      </c>
      <c r="R337" s="82">
        <v>49.3</v>
      </c>
      <c r="S337" s="82">
        <v>54.3</v>
      </c>
      <c r="T337" s="82">
        <v>53.8</v>
      </c>
      <c r="U337" s="82">
        <v>51.6</v>
      </c>
      <c r="V337" s="82">
        <v>57.7</v>
      </c>
      <c r="W337" s="82">
        <v>53.6</v>
      </c>
      <c r="X337" s="82">
        <v>50.2</v>
      </c>
      <c r="Y337" s="82">
        <v>57.4</v>
      </c>
      <c r="Z337" s="82">
        <v>55.2</v>
      </c>
      <c r="AA337" s="82">
        <v>50.9</v>
      </c>
      <c r="AB337" s="82">
        <v>51.2</v>
      </c>
      <c r="AC337" s="82">
        <v>57.8</v>
      </c>
      <c r="AD337" s="82">
        <v>58.4</v>
      </c>
      <c r="AE337" s="82">
        <v>52.1</v>
      </c>
    </row>
    <row r="338" spans="1:31" x14ac:dyDescent="0.2">
      <c r="A338" s="81">
        <v>44501</v>
      </c>
      <c r="B338" s="82">
        <v>54.8</v>
      </c>
      <c r="C338" s="82">
        <v>49.8</v>
      </c>
      <c r="D338" s="82">
        <v>57.2</v>
      </c>
      <c r="E338" s="82">
        <v>57.1</v>
      </c>
      <c r="F338" s="82">
        <v>68.2</v>
      </c>
      <c r="G338" s="82">
        <v>58.4</v>
      </c>
      <c r="H338" s="82">
        <v>55.9</v>
      </c>
      <c r="I338" s="82">
        <v>57.4</v>
      </c>
      <c r="J338" s="82">
        <v>54.2</v>
      </c>
      <c r="K338" s="82">
        <v>58.8</v>
      </c>
      <c r="L338" s="82">
        <v>52.6</v>
      </c>
      <c r="M338" s="82">
        <v>57.6</v>
      </c>
      <c r="N338" s="82">
        <v>53.9</v>
      </c>
      <c r="O338" s="82">
        <v>59.9</v>
      </c>
      <c r="P338" s="82">
        <v>62.8</v>
      </c>
      <c r="Q338" s="82">
        <v>54.5</v>
      </c>
      <c r="R338" s="82">
        <v>49.4</v>
      </c>
      <c r="S338" s="82">
        <v>50.6</v>
      </c>
      <c r="T338" s="82">
        <v>54.4</v>
      </c>
      <c r="U338" s="82">
        <v>51.7</v>
      </c>
      <c r="V338" s="82">
        <v>56.9</v>
      </c>
      <c r="W338" s="82">
        <v>57.2</v>
      </c>
      <c r="X338" s="82">
        <v>50.9</v>
      </c>
      <c r="Y338" s="82">
        <v>57.1</v>
      </c>
      <c r="Z338" s="82">
        <v>54.9</v>
      </c>
      <c r="AA338" s="82">
        <v>50.6</v>
      </c>
      <c r="AB338" s="82">
        <v>52</v>
      </c>
      <c r="AC338" s="82">
        <v>58.1</v>
      </c>
      <c r="AD338" s="82">
        <v>58.3</v>
      </c>
      <c r="AE338" s="82">
        <v>52.2</v>
      </c>
    </row>
    <row r="339" spans="1:31" x14ac:dyDescent="0.2">
      <c r="A339" s="81">
        <v>44531</v>
      </c>
      <c r="C339" s="82">
        <v>49.8</v>
      </c>
      <c r="D339" s="82">
        <v>55.5</v>
      </c>
      <c r="E339" s="82">
        <v>59.1</v>
      </c>
      <c r="F339" s="82">
        <v>64.400000000000006</v>
      </c>
      <c r="G339" s="82">
        <v>58</v>
      </c>
      <c r="H339" s="82">
        <v>55.6</v>
      </c>
      <c r="I339" s="82">
        <v>57.4</v>
      </c>
      <c r="J339" s="82">
        <v>54.2</v>
      </c>
      <c r="K339" s="82">
        <v>59</v>
      </c>
      <c r="M339" s="82">
        <v>55.5</v>
      </c>
      <c r="N339" s="82">
        <v>53.5</v>
      </c>
      <c r="O339" s="82">
        <v>58.3</v>
      </c>
      <c r="P339" s="82">
        <v>62</v>
      </c>
      <c r="Q339" s="82">
        <v>54.3</v>
      </c>
      <c r="R339" s="82">
        <v>49.4</v>
      </c>
      <c r="T339" s="82">
        <v>56.1</v>
      </c>
      <c r="U339" s="82">
        <v>51.6</v>
      </c>
      <c r="V339" s="82">
        <v>53.9</v>
      </c>
      <c r="X339" s="82">
        <v>51.9</v>
      </c>
      <c r="Y339" s="82">
        <v>56.2</v>
      </c>
      <c r="Z339" s="82">
        <v>55.5</v>
      </c>
      <c r="AA339" s="82">
        <v>49.5</v>
      </c>
      <c r="AB339" s="82">
        <v>52.1</v>
      </c>
      <c r="AC339" s="82">
        <v>57.9</v>
      </c>
      <c r="AD339" s="82">
        <v>57.7</v>
      </c>
      <c r="AE339" s="82">
        <v>52.5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77B68-743B-433A-B206-BA183B8278B2}">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H86" sqref="H86"/>
    </sheetView>
  </sheetViews>
  <sheetFormatPr baseColWidth="10" defaultColWidth="9.1640625" defaultRowHeight="15" x14ac:dyDescent="0.2"/>
  <cols>
    <col min="1" max="1" width="9.1640625" style="10"/>
    <col min="2" max="2" width="17.83203125" style="11" customWidth="1"/>
    <col min="3" max="27" width="6.1640625" style="11" customWidth="1"/>
    <col min="28" max="28" width="7.33203125" style="11" customWidth="1"/>
    <col min="29" max="29" width="9.1640625" style="10"/>
    <col min="30" max="30" width="12.33203125" style="10" customWidth="1"/>
    <col min="31" max="31" width="9.1640625" style="10"/>
    <col min="32" max="32" width="10.5" style="10" customWidth="1"/>
    <col min="33" max="33" width="10.6640625" style="10" bestFit="1" customWidth="1"/>
    <col min="34" max="74" width="9.1640625" style="10"/>
    <col min="75" max="16384" width="9.1640625" style="11"/>
  </cols>
  <sheetData>
    <row r="1" spans="2:36" s="10" customFormat="1" ht="16" thickBot="1" x14ac:dyDescent="0.25">
      <c r="AD1" s="38" t="s">
        <v>75</v>
      </c>
      <c r="AE1" s="10" t="s">
        <v>55</v>
      </c>
      <c r="AG1" s="39">
        <v>44531</v>
      </c>
      <c r="AJ1" s="6" t="s">
        <v>76</v>
      </c>
    </row>
    <row r="2" spans="2:36" ht="72.75" customHeight="1" thickBot="1" x14ac:dyDescent="0.25">
      <c r="B2" s="44"/>
      <c r="C2" s="45" t="s">
        <v>17</v>
      </c>
      <c r="D2" s="45" t="s">
        <v>56</v>
      </c>
      <c r="E2" s="45" t="s">
        <v>57</v>
      </c>
      <c r="F2" s="45" t="s">
        <v>58</v>
      </c>
      <c r="G2" s="45" t="s">
        <v>59</v>
      </c>
      <c r="H2" s="45" t="s">
        <v>60</v>
      </c>
      <c r="I2" s="45" t="s">
        <v>31</v>
      </c>
      <c r="J2" s="45" t="s">
        <v>32</v>
      </c>
      <c r="K2" s="45" t="s">
        <v>61</v>
      </c>
      <c r="L2" s="45" t="s">
        <v>62</v>
      </c>
      <c r="M2" s="45" t="s">
        <v>34</v>
      </c>
      <c r="N2" s="45" t="s">
        <v>43</v>
      </c>
      <c r="O2" s="45" t="s">
        <v>46</v>
      </c>
      <c r="P2" s="45" t="s">
        <v>45</v>
      </c>
      <c r="Q2" s="45" t="s">
        <v>44</v>
      </c>
      <c r="R2" s="45" t="s">
        <v>26</v>
      </c>
      <c r="S2" s="45" t="s">
        <v>47</v>
      </c>
      <c r="T2" s="46" t="s">
        <v>49</v>
      </c>
      <c r="U2" s="45" t="s">
        <v>63</v>
      </c>
      <c r="V2" s="45" t="s">
        <v>51</v>
      </c>
      <c r="W2" s="45" t="s">
        <v>35</v>
      </c>
      <c r="X2" s="45" t="s">
        <v>36</v>
      </c>
      <c r="Y2" s="45" t="s">
        <v>52</v>
      </c>
      <c r="Z2" s="45" t="s">
        <v>64</v>
      </c>
      <c r="AA2" s="45" t="s">
        <v>54</v>
      </c>
      <c r="AB2" s="47" t="s">
        <v>20</v>
      </c>
      <c r="AE2" s="10" t="s">
        <v>65</v>
      </c>
      <c r="AG2" s="34">
        <f>DATE(YEAR(AG1),MONTH(AG1)-1,DAY(AG1))</f>
        <v>44501</v>
      </c>
    </row>
    <row r="3" spans="2:36" hidden="1" x14ac:dyDescent="0.2">
      <c r="B3" s="40" t="s">
        <v>66</v>
      </c>
      <c r="C3" s="35">
        <f>MAX(C48:C59)</f>
        <v>53.5</v>
      </c>
      <c r="D3" s="35">
        <f t="shared" ref="D3:AB3" si="0">MAX(D45:D56)</f>
        <v>61.3</v>
      </c>
      <c r="E3" s="35">
        <f t="shared" si="0"/>
        <v>56.5</v>
      </c>
      <c r="F3" s="35">
        <f t="shared" si="0"/>
        <v>51.6</v>
      </c>
      <c r="G3" s="35">
        <f t="shared" si="0"/>
        <v>60.6</v>
      </c>
      <c r="H3" s="35">
        <f t="shared" si="0"/>
        <v>54.8</v>
      </c>
      <c r="I3" s="35">
        <f t="shared" si="0"/>
        <v>63.3</v>
      </c>
      <c r="J3" s="35">
        <f t="shared" si="0"/>
        <v>58.8</v>
      </c>
      <c r="K3" s="35">
        <f t="shared" si="0"/>
        <v>56</v>
      </c>
      <c r="L3" s="35">
        <f t="shared" si="0"/>
        <v>59</v>
      </c>
      <c r="M3" s="35">
        <f t="shared" si="0"/>
        <v>56</v>
      </c>
      <c r="N3" s="35">
        <f t="shared" si="0"/>
        <v>53.4</v>
      </c>
      <c r="O3" s="35">
        <f t="shared" si="0"/>
        <v>52.6</v>
      </c>
      <c r="P3" s="35">
        <f t="shared" si="0"/>
        <v>52.6</v>
      </c>
      <c r="Q3" s="35">
        <f t="shared" si="0"/>
        <v>54.7</v>
      </c>
      <c r="R3" s="35">
        <f t="shared" si="0"/>
        <v>57.1</v>
      </c>
      <c r="S3" s="35">
        <f t="shared" si="0"/>
        <v>63.1</v>
      </c>
      <c r="T3" s="35">
        <f t="shared" si="0"/>
        <v>51.9</v>
      </c>
      <c r="U3" s="35">
        <f t="shared" si="0"/>
        <v>51.3</v>
      </c>
      <c r="V3" s="35">
        <f t="shared" si="0"/>
        <v>56.9</v>
      </c>
      <c r="W3" s="35">
        <f t="shared" si="0"/>
        <v>56.1</v>
      </c>
      <c r="X3" s="35">
        <f t="shared" si="0"/>
        <v>59.1</v>
      </c>
      <c r="Y3" s="35">
        <f t="shared" si="0"/>
        <v>55.7</v>
      </c>
      <c r="Z3" s="35">
        <f t="shared" si="0"/>
        <v>59.8</v>
      </c>
      <c r="AA3" s="35">
        <f t="shared" si="0"/>
        <v>55</v>
      </c>
      <c r="AB3" s="41">
        <f t="shared" si="0"/>
        <v>70.75</v>
      </c>
      <c r="AF3" s="10" t="s">
        <v>67</v>
      </c>
      <c r="AG3" s="34">
        <f>DATE(YEAR(AG1),MONTH(AG1)-12,DAY(AG1))</f>
        <v>44166</v>
      </c>
    </row>
    <row r="4" spans="2:36" hidden="1" x14ac:dyDescent="0.2">
      <c r="B4" s="40" t="s">
        <v>68</v>
      </c>
      <c r="C4" s="35">
        <f>MIN(C48:C59)</f>
        <v>50.6</v>
      </c>
      <c r="D4" s="35">
        <f t="shared" ref="D4:AB4" si="1">MIN(D45:D56)</f>
        <v>57.3</v>
      </c>
      <c r="E4" s="35">
        <f t="shared" si="1"/>
        <v>54.5</v>
      </c>
      <c r="F4" s="35">
        <f t="shared" si="1"/>
        <v>50</v>
      </c>
      <c r="G4" s="35">
        <f t="shared" si="1"/>
        <v>51.8</v>
      </c>
      <c r="H4" s="35">
        <f t="shared" si="1"/>
        <v>52.2</v>
      </c>
      <c r="I4" s="35">
        <f t="shared" si="1"/>
        <v>51.8</v>
      </c>
      <c r="J4" s="35">
        <f t="shared" si="1"/>
        <v>50.8</v>
      </c>
      <c r="K4" s="35">
        <f t="shared" si="1"/>
        <v>51.1</v>
      </c>
      <c r="L4" s="35">
        <f t="shared" si="1"/>
        <v>48.6</v>
      </c>
      <c r="M4" s="35">
        <f t="shared" si="1"/>
        <v>51.4</v>
      </c>
      <c r="N4" s="35">
        <f t="shared" si="1"/>
        <v>49.8</v>
      </c>
      <c r="O4" s="35">
        <f t="shared" si="1"/>
        <v>49.7</v>
      </c>
      <c r="P4" s="35">
        <f t="shared" si="1"/>
        <v>48.1</v>
      </c>
      <c r="Q4" s="35">
        <f t="shared" si="1"/>
        <v>51</v>
      </c>
      <c r="R4" s="35">
        <f t="shared" si="1"/>
        <v>53.9</v>
      </c>
      <c r="S4" s="35">
        <f t="shared" si="1"/>
        <v>51.3</v>
      </c>
      <c r="T4" s="35">
        <f t="shared" si="1"/>
        <v>49.3</v>
      </c>
      <c r="U4" s="35">
        <f t="shared" si="1"/>
        <v>48.3</v>
      </c>
      <c r="V4" s="35">
        <f t="shared" si="1"/>
        <v>48.4</v>
      </c>
      <c r="W4" s="35">
        <f t="shared" si="1"/>
        <v>52.9</v>
      </c>
      <c r="X4" s="35">
        <f t="shared" si="1"/>
        <v>54.1</v>
      </c>
      <c r="Y4" s="35">
        <f t="shared" si="1"/>
        <v>42.7</v>
      </c>
      <c r="Z4" s="35">
        <f t="shared" si="1"/>
        <v>51.8</v>
      </c>
      <c r="AA4" s="35">
        <f t="shared" si="1"/>
        <v>49.5</v>
      </c>
      <c r="AB4" s="41">
        <f t="shared" si="1"/>
        <v>47.78</v>
      </c>
    </row>
    <row r="5" spans="2:36" hidden="1" x14ac:dyDescent="0.2">
      <c r="B5" s="40" t="s">
        <v>69</v>
      </c>
      <c r="C5" s="48">
        <f>AVERAGE(C48:C59)</f>
        <v>52.275000000000006</v>
      </c>
      <c r="D5" s="48">
        <f t="shared" ref="D5:AB5" si="2">AVERAGE(D45:D56)</f>
        <v>59.241666666666667</v>
      </c>
      <c r="E5" s="48">
        <f t="shared" si="2"/>
        <v>55.516666666666659</v>
      </c>
      <c r="F5" s="48">
        <f t="shared" si="2"/>
        <v>50.875000000000007</v>
      </c>
      <c r="G5" s="48">
        <f t="shared" si="2"/>
        <v>55.725000000000001</v>
      </c>
      <c r="H5" s="48">
        <f t="shared" si="2"/>
        <v>53.175000000000004</v>
      </c>
      <c r="I5" s="48">
        <f t="shared" si="2"/>
        <v>57.066666666666663</v>
      </c>
      <c r="J5" s="48">
        <f t="shared" si="2"/>
        <v>54.125</v>
      </c>
      <c r="K5" s="48">
        <f t="shared" si="2"/>
        <v>54.024999999999999</v>
      </c>
      <c r="L5" s="48">
        <f t="shared" si="2"/>
        <v>53.1</v>
      </c>
      <c r="M5" s="48">
        <f t="shared" si="2"/>
        <v>53.724999999999994</v>
      </c>
      <c r="N5" s="48">
        <f t="shared" si="2"/>
        <v>51.608333333333341</v>
      </c>
      <c r="O5" s="48">
        <f t="shared" si="2"/>
        <v>51.491666666666681</v>
      </c>
      <c r="P5" s="48">
        <f t="shared" si="2"/>
        <v>50.533333333333331</v>
      </c>
      <c r="Q5" s="48">
        <f t="shared" si="2"/>
        <v>52.45000000000001</v>
      </c>
      <c r="R5" s="48">
        <f t="shared" si="2"/>
        <v>55.666666666666657</v>
      </c>
      <c r="S5" s="48">
        <f t="shared" si="2"/>
        <v>57.166666666666657</v>
      </c>
      <c r="T5" s="48">
        <f t="shared" si="2"/>
        <v>50.741666666666667</v>
      </c>
      <c r="U5" s="48">
        <f t="shared" si="2"/>
        <v>49.68333333333333</v>
      </c>
      <c r="V5" s="48">
        <f t="shared" si="2"/>
        <v>53.458333333333336</v>
      </c>
      <c r="W5" s="48">
        <f t="shared" si="2"/>
        <v>54.008333333333333</v>
      </c>
      <c r="X5" s="48">
        <f t="shared" si="2"/>
        <v>56.224999999999994</v>
      </c>
      <c r="Y5" s="48">
        <f t="shared" si="2"/>
        <v>48.93333333333333</v>
      </c>
      <c r="Z5" s="48">
        <f t="shared" si="2"/>
        <v>56.18333333333333</v>
      </c>
      <c r="AA5" s="48">
        <f t="shared" si="2"/>
        <v>52.758333333333326</v>
      </c>
      <c r="AB5" s="49">
        <f t="shared" si="2"/>
        <v>58.738333333333337</v>
      </c>
    </row>
    <row r="6" spans="2:36" x14ac:dyDescent="0.2">
      <c r="B6" s="58" t="s">
        <v>70</v>
      </c>
      <c r="C6" s="50" t="str">
        <f>IF((VLOOKUP($AG$1,$B:$AA,MATCH(C2,$B$2:$AA$2,),))&gt;C5,"above","below")</f>
        <v>above</v>
      </c>
      <c r="D6" s="51" t="str">
        <f t="shared" ref="D6:AA6" si="3">IF((VLOOKUP($AG$1,$B:$AA,MATCH(D2,$B$2:$AA$2,),))&gt;D5,"above","below")</f>
        <v>above</v>
      </c>
      <c r="E6" s="51" t="str">
        <f t="shared" si="3"/>
        <v>above</v>
      </c>
      <c r="F6" s="51" t="str">
        <f t="shared" si="3"/>
        <v>above</v>
      </c>
      <c r="G6" s="51" t="str">
        <f t="shared" si="3"/>
        <v>above</v>
      </c>
      <c r="H6" s="51" t="str">
        <f t="shared" si="3"/>
        <v>above</v>
      </c>
      <c r="I6" s="51" t="str">
        <f t="shared" si="3"/>
        <v>above</v>
      </c>
      <c r="J6" s="51" t="str">
        <f t="shared" si="3"/>
        <v>above</v>
      </c>
      <c r="K6" s="51" t="str">
        <f t="shared" si="3"/>
        <v>above</v>
      </c>
      <c r="L6" s="51" t="str">
        <f t="shared" si="3"/>
        <v>above</v>
      </c>
      <c r="M6" s="51" t="str">
        <f t="shared" si="3"/>
        <v>above</v>
      </c>
      <c r="N6" s="51" t="str">
        <f t="shared" si="3"/>
        <v>below</v>
      </c>
      <c r="O6" s="51" t="str">
        <f t="shared" si="3"/>
        <v>below</v>
      </c>
      <c r="P6" s="51" t="str">
        <f t="shared" si="3"/>
        <v>above</v>
      </c>
      <c r="Q6" s="51" t="str">
        <f t="shared" si="3"/>
        <v>above</v>
      </c>
      <c r="R6" s="51" t="str">
        <f t="shared" si="3"/>
        <v>below</v>
      </c>
      <c r="S6" s="51" t="e">
        <f t="shared" si="3"/>
        <v>#N/A</v>
      </c>
      <c r="T6" s="51" t="str">
        <f t="shared" si="3"/>
        <v>above</v>
      </c>
      <c r="U6" s="51" t="str">
        <f t="shared" si="3"/>
        <v>above</v>
      </c>
      <c r="V6" s="51" t="str">
        <f t="shared" si="3"/>
        <v>above</v>
      </c>
      <c r="W6" s="51" t="str">
        <f t="shared" si="3"/>
        <v>above</v>
      </c>
      <c r="X6" s="51" t="str">
        <f t="shared" si="3"/>
        <v>above</v>
      </c>
      <c r="Y6" s="51" t="str">
        <f t="shared" si="3"/>
        <v>above</v>
      </c>
      <c r="Z6" s="51" t="str">
        <f t="shared" si="3"/>
        <v>above</v>
      </c>
      <c r="AA6" s="51" t="str">
        <f t="shared" si="3"/>
        <v>above</v>
      </c>
      <c r="AB6" s="52" t="str">
        <f>IF((VLOOKUP($AG$1,$B:$AB,MATCH(AB2,$B$2:$AB$2,),))&gt;AB5,"above","below")</f>
        <v>above</v>
      </c>
    </row>
    <row r="7" spans="2:36" x14ac:dyDescent="0.2">
      <c r="B7" s="58" t="s">
        <v>71</v>
      </c>
      <c r="C7" s="53">
        <f t="shared" ref="C7:AA7" si="4">VLOOKUP($AG$1,$B:$AA,MATCH(C2,$B$2:$AA$2,),)-VLOOKUP($AG$3,$B:$AA,MATCH(C2,$B$2:$AA$2,),)</f>
        <v>0.40000000000000568</v>
      </c>
      <c r="D7" s="35">
        <f t="shared" si="4"/>
        <v>1</v>
      </c>
      <c r="E7" s="35">
        <f t="shared" si="4"/>
        <v>0.60000000000000142</v>
      </c>
      <c r="F7" s="35">
        <f t="shared" si="4"/>
        <v>-2.1000000000000014</v>
      </c>
      <c r="G7" s="35">
        <f t="shared" si="4"/>
        <v>2.7999999999999972</v>
      </c>
      <c r="H7" s="35">
        <f t="shared" si="4"/>
        <v>4.2999999999999972</v>
      </c>
      <c r="I7" s="35">
        <f t="shared" si="4"/>
        <v>-0.89999999999999858</v>
      </c>
      <c r="J7" s="35">
        <f t="shared" si="4"/>
        <v>4.5</v>
      </c>
      <c r="K7" s="35">
        <f t="shared" si="4"/>
        <v>0.39999999999999858</v>
      </c>
      <c r="L7" s="35">
        <f t="shared" si="4"/>
        <v>9.2000000000000028</v>
      </c>
      <c r="M7" s="35">
        <f t="shared" si="4"/>
        <v>5.2000000000000028</v>
      </c>
      <c r="N7" s="35">
        <f t="shared" si="4"/>
        <v>-11.700000000000003</v>
      </c>
      <c r="O7" s="35">
        <f t="shared" si="4"/>
        <v>7</v>
      </c>
      <c r="P7" s="35">
        <f t="shared" si="4"/>
        <v>1.8999999999999986</v>
      </c>
      <c r="Q7" s="35">
        <f t="shared" si="4"/>
        <v>-0.89999999999999858</v>
      </c>
      <c r="R7" s="35">
        <f t="shared" si="4"/>
        <v>-2.3999999999999986</v>
      </c>
      <c r="S7" s="35" t="e">
        <f t="shared" si="4"/>
        <v>#N/A</v>
      </c>
      <c r="T7" s="35">
        <f t="shared" si="4"/>
        <v>2.2000000000000028</v>
      </c>
      <c r="U7" s="35">
        <f t="shared" si="4"/>
        <v>-1</v>
      </c>
      <c r="V7" s="35">
        <f t="shared" si="4"/>
        <v>-3.8999999999999986</v>
      </c>
      <c r="W7" s="35">
        <f t="shared" si="4"/>
        <v>12.100000000000001</v>
      </c>
      <c r="X7" s="35">
        <f t="shared" si="4"/>
        <v>1.0999999999999943</v>
      </c>
      <c r="Y7" s="35">
        <f t="shared" si="4"/>
        <v>1.3000000000000043</v>
      </c>
      <c r="Z7" s="35">
        <f t="shared" si="4"/>
        <v>2.1000000000000014</v>
      </c>
      <c r="AA7" s="35">
        <f t="shared" si="4"/>
        <v>4.3999999999999986</v>
      </c>
      <c r="AB7" s="41">
        <f>VLOOKUP($AG$1,$B:$AB,MATCH(AB2,$B$2:$AB$2,),)-VLOOKUP($AG$3,$B:$AB,MATCH(AB2,$B$2:$AB$2,),)</f>
        <v>22.500000000000007</v>
      </c>
    </row>
    <row r="8" spans="2:36" x14ac:dyDescent="0.2">
      <c r="B8" s="58" t="s">
        <v>72</v>
      </c>
      <c r="C8" s="53">
        <f>VLOOKUP($AG$1,$B:$AA,MATCH(C2,$B$2:$AA$2,),)-VLOOKUP($AG$2,$B:$AA,MATCH(C2,$B$2:$AA$2,),)</f>
        <v>0</v>
      </c>
      <c r="D8" s="35">
        <f t="shared" ref="D8:AA8" si="5">VLOOKUP($AG$1,$B:$AA,MATCH(D2,$B$2:$AA$2,),)-VLOOKUP($AG$2,$B:$AA,MATCH(D2,$B$2:$AA$2,),)</f>
        <v>0.39999999999999858</v>
      </c>
      <c r="E8" s="35">
        <f t="shared" si="5"/>
        <v>-0.59999999999999432</v>
      </c>
      <c r="F8" s="35">
        <f t="shared" si="5"/>
        <v>1</v>
      </c>
      <c r="G8" s="35">
        <f t="shared" si="5"/>
        <v>-0.39999999999999858</v>
      </c>
      <c r="H8" s="35">
        <f t="shared" si="5"/>
        <v>-0.20000000000000284</v>
      </c>
      <c r="I8" s="35">
        <f t="shared" si="5"/>
        <v>0</v>
      </c>
      <c r="J8" s="35">
        <f t="shared" si="5"/>
        <v>-0.29999999999999716</v>
      </c>
      <c r="K8" s="35">
        <f t="shared" si="5"/>
        <v>-0.20000000000000284</v>
      </c>
      <c r="L8" s="35">
        <f t="shared" si="5"/>
        <v>-0.79999999999999716</v>
      </c>
      <c r="M8" s="35">
        <f t="shared" si="5"/>
        <v>-0.89999999999999858</v>
      </c>
      <c r="N8" s="35">
        <f t="shared" si="5"/>
        <v>0</v>
      </c>
      <c r="O8" s="35">
        <f t="shared" si="5"/>
        <v>0</v>
      </c>
      <c r="P8" s="35">
        <f t="shared" si="5"/>
        <v>-0.10000000000000142</v>
      </c>
      <c r="Q8" s="35">
        <f t="shared" si="5"/>
        <v>-2.1000000000000014</v>
      </c>
      <c r="R8" s="35">
        <f t="shared" si="5"/>
        <v>-1.7000000000000028</v>
      </c>
      <c r="S8" s="35" t="e">
        <f t="shared" si="5"/>
        <v>#N/A</v>
      </c>
      <c r="T8" s="35">
        <f t="shared" si="5"/>
        <v>-0.39999999999999858</v>
      </c>
      <c r="U8" s="35">
        <f t="shared" si="5"/>
        <v>1</v>
      </c>
      <c r="V8" s="35">
        <f t="shared" si="5"/>
        <v>0.60000000000000142</v>
      </c>
      <c r="W8" s="35">
        <f t="shared" si="5"/>
        <v>0.20000000000000284</v>
      </c>
      <c r="X8" s="35">
        <f t="shared" si="5"/>
        <v>-1.6000000000000014</v>
      </c>
      <c r="Y8" s="35">
        <f t="shared" si="5"/>
        <v>0.10000000000000142</v>
      </c>
      <c r="Z8" s="35">
        <f t="shared" si="5"/>
        <v>2</v>
      </c>
      <c r="AA8" s="35">
        <f t="shared" si="5"/>
        <v>1.7000000000000028</v>
      </c>
      <c r="AB8" s="41">
        <f>VLOOKUP($AG$1,$B:$AB,MATCH(AB2,$B$2:$AB$2,),)-VLOOKUP($AG$2,$B:$AB,MATCH(AB2,$B$2:$AB$2,),)</f>
        <v>-3.7999999999999972</v>
      </c>
    </row>
    <row r="9" spans="2:36" ht="66.75" customHeight="1" x14ac:dyDescent="0.2">
      <c r="B9" s="59" t="s">
        <v>73</v>
      </c>
      <c r="C9" s="55" t="str">
        <f t="shared" ref="C9:AB9" si="6">IF(VLOOKUP($AG$1,$B:$AB,MATCH(C2,$B$2:$AB$2,),)&gt;50,"Growth","Contraction")</f>
        <v>Growth</v>
      </c>
      <c r="D9" s="56" t="str">
        <f t="shared" si="6"/>
        <v>Growth</v>
      </c>
      <c r="E9" s="56" t="str">
        <f t="shared" si="6"/>
        <v>Growth</v>
      </c>
      <c r="F9" s="56" t="str">
        <f t="shared" si="6"/>
        <v>Growth</v>
      </c>
      <c r="G9" s="56" t="str">
        <f t="shared" si="6"/>
        <v>Growth</v>
      </c>
      <c r="H9" s="56" t="str">
        <f t="shared" si="6"/>
        <v>Growth</v>
      </c>
      <c r="I9" s="56" t="str">
        <f t="shared" si="6"/>
        <v>Growth</v>
      </c>
      <c r="J9" s="56" t="str">
        <f t="shared" si="6"/>
        <v>Growth</v>
      </c>
      <c r="K9" s="56" t="str">
        <f t="shared" si="6"/>
        <v>Growth</v>
      </c>
      <c r="L9" s="56" t="str">
        <f t="shared" si="6"/>
        <v>Growth</v>
      </c>
      <c r="M9" s="56" t="str">
        <f t="shared" si="6"/>
        <v>Growth</v>
      </c>
      <c r="N9" s="56" t="str">
        <f t="shared" si="6"/>
        <v>Contraction</v>
      </c>
      <c r="O9" s="56" t="str">
        <f t="shared" si="6"/>
        <v>Contraction</v>
      </c>
      <c r="P9" s="56" t="str">
        <f t="shared" si="6"/>
        <v>Growth</v>
      </c>
      <c r="Q9" s="56" t="str">
        <f t="shared" si="6"/>
        <v>Growth</v>
      </c>
      <c r="R9" s="56" t="str">
        <f t="shared" si="6"/>
        <v>Growth</v>
      </c>
      <c r="S9" s="56" t="e">
        <f t="shared" si="6"/>
        <v>#N/A</v>
      </c>
      <c r="T9" s="56" t="str">
        <f t="shared" si="6"/>
        <v>Growth</v>
      </c>
      <c r="U9" s="56" t="str">
        <f t="shared" si="6"/>
        <v>Growth</v>
      </c>
      <c r="V9" s="56" t="str">
        <f t="shared" si="6"/>
        <v>Growth</v>
      </c>
      <c r="W9" s="56" t="str">
        <f t="shared" si="6"/>
        <v>Growth</v>
      </c>
      <c r="X9" s="56" t="str">
        <f t="shared" si="6"/>
        <v>Growth</v>
      </c>
      <c r="Y9" s="56" t="str">
        <f t="shared" si="6"/>
        <v>Growth</v>
      </c>
      <c r="Z9" s="56" t="str">
        <f t="shared" si="6"/>
        <v>Growth</v>
      </c>
      <c r="AA9" s="56" t="str">
        <f t="shared" si="6"/>
        <v>Growth</v>
      </c>
      <c r="AB9" s="57" t="str">
        <f t="shared" si="6"/>
        <v>Growth</v>
      </c>
    </row>
    <row r="10" spans="2:36" ht="26.25" customHeight="1" thickBot="1" x14ac:dyDescent="0.25">
      <c r="B10" s="60" t="s">
        <v>74</v>
      </c>
      <c r="C10" s="54" t="str">
        <f>IF(C8&gt;0,"+","-")</f>
        <v>-</v>
      </c>
      <c r="D10" s="42" t="str">
        <f t="shared" ref="D10:AB10" si="7">IF(D8&gt;0,"+","-")</f>
        <v>+</v>
      </c>
      <c r="E10" s="42" t="str">
        <f t="shared" si="7"/>
        <v>-</v>
      </c>
      <c r="F10" s="42" t="str">
        <f t="shared" si="7"/>
        <v>+</v>
      </c>
      <c r="G10" s="42" t="str">
        <f t="shared" si="7"/>
        <v>-</v>
      </c>
      <c r="H10" s="42" t="str">
        <f t="shared" si="7"/>
        <v>-</v>
      </c>
      <c r="I10" s="42" t="str">
        <f t="shared" si="7"/>
        <v>-</v>
      </c>
      <c r="J10" s="42" t="str">
        <f t="shared" si="7"/>
        <v>-</v>
      </c>
      <c r="K10" s="42" t="str">
        <f t="shared" si="7"/>
        <v>-</v>
      </c>
      <c r="L10" s="42" t="str">
        <f t="shared" si="7"/>
        <v>-</v>
      </c>
      <c r="M10" s="42" t="str">
        <f t="shared" si="7"/>
        <v>-</v>
      </c>
      <c r="N10" s="42" t="str">
        <f t="shared" si="7"/>
        <v>-</v>
      </c>
      <c r="O10" s="42" t="str">
        <f t="shared" si="7"/>
        <v>-</v>
      </c>
      <c r="P10" s="42" t="str">
        <f t="shared" si="7"/>
        <v>-</v>
      </c>
      <c r="Q10" s="42" t="str">
        <f t="shared" si="7"/>
        <v>-</v>
      </c>
      <c r="R10" s="42" t="str">
        <f t="shared" si="7"/>
        <v>-</v>
      </c>
      <c r="S10" s="42" t="e">
        <f t="shared" si="7"/>
        <v>#N/A</v>
      </c>
      <c r="T10" s="42" t="str">
        <f t="shared" si="7"/>
        <v>-</v>
      </c>
      <c r="U10" s="42" t="str">
        <f t="shared" si="7"/>
        <v>+</v>
      </c>
      <c r="V10" s="42" t="str">
        <f t="shared" si="7"/>
        <v>+</v>
      </c>
      <c r="W10" s="42" t="str">
        <f t="shared" si="7"/>
        <v>+</v>
      </c>
      <c r="X10" s="42" t="str">
        <f t="shared" si="7"/>
        <v>-</v>
      </c>
      <c r="Y10" s="42" t="str">
        <f t="shared" si="7"/>
        <v>+</v>
      </c>
      <c r="Z10" s="42" t="str">
        <f t="shared" si="7"/>
        <v>+</v>
      </c>
      <c r="AA10" s="42" t="str">
        <f t="shared" si="7"/>
        <v>+</v>
      </c>
      <c r="AB10" s="43" t="str">
        <f t="shared" si="7"/>
        <v>-</v>
      </c>
    </row>
    <row r="11" spans="2:36" ht="26.25" customHeight="1" x14ac:dyDescent="0.2">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row>
    <row r="12" spans="2:36" x14ac:dyDescent="0.2">
      <c r="B12" s="36">
        <v>42064</v>
      </c>
      <c r="C12" s="37">
        <f>VLOOKUP(B12,Global!$A:$B,2,)</f>
        <v>51.8</v>
      </c>
      <c r="D12" s="37">
        <f>VLOOKUP(B12,US!$A:$D,4,)</f>
        <v>51.8</v>
      </c>
      <c r="E12" s="37">
        <f>VLOOKUP(B12,US!$A:$B,2,)</f>
        <v>55.3</v>
      </c>
      <c r="F12" s="37">
        <f>VLOOKUP(B12,China!$A:$B,2,)</f>
        <v>50.1</v>
      </c>
      <c r="G12" s="37">
        <f>VLOOKUP(B12,'Euro Area'!A:B,2,)</f>
        <v>52.2</v>
      </c>
      <c r="H12" s="37">
        <f>VLOOKUP(B12,Japan!$A:$B,2,)</f>
        <v>50.3</v>
      </c>
      <c r="I12" s="37">
        <f>VLOOKUP(B12,Germany!$A:$B,2,)</f>
        <v>52.8</v>
      </c>
      <c r="J12" s="37">
        <f>VLOOKUP(B12,France!$A:$B,2,)</f>
        <v>48.8</v>
      </c>
      <c r="K12" s="37">
        <f>VLOOKUP(B12,UK!$A:$B,2,)</f>
        <v>54.4</v>
      </c>
      <c r="L12" s="37">
        <f>VLOOKUP(B12,Italy!$A:$B,2,)</f>
        <v>53.3</v>
      </c>
      <c r="M12" s="37">
        <f>VLOOKUP(B12,Spain!$A:$B,2,)</f>
        <v>54.3</v>
      </c>
      <c r="N12" s="37">
        <f>VLOOKUP(B12,Brazil!$A:$B,2,)</f>
        <v>46.2</v>
      </c>
      <c r="O12" s="37">
        <f>VLOOKUP(B12,Mexico!$A:$B,2,)</f>
        <v>53.8</v>
      </c>
      <c r="P12" s="37">
        <f>VLOOKUP(B12,Russia!$A:$B,2,)</f>
        <v>48.1</v>
      </c>
      <c r="Q12" s="37">
        <f>VLOOKUP(B12,India!$A:$B,2,)</f>
        <v>52.1</v>
      </c>
      <c r="R12" s="37">
        <f>VLOOKUP(B12,Canada!$A:$B,2,)</f>
        <v>48.9</v>
      </c>
      <c r="S12" s="37">
        <f>VLOOKUP(B12,Australia!$A:$B,2,)</f>
        <v>46.3</v>
      </c>
      <c r="T12" s="37">
        <f>VLOOKUP(B12,Indonesia!$A:$B,2,)</f>
        <v>46.4</v>
      </c>
      <c r="U12" s="37">
        <f>VLOOKUP(B12,SouthKorea!$A:$B,2,)</f>
        <v>49.2</v>
      </c>
      <c r="V12" s="37">
        <f>VLOOKUP(B12,Taiwan!$A:$B,2,)</f>
        <v>51</v>
      </c>
      <c r="W12" s="37">
        <f>VLOOKUP(B12,Greece!$A:$B,2,)</f>
        <v>48.9</v>
      </c>
      <c r="X12" s="37">
        <f>VLOOKUP(B12,Ireland!$A:$B,2,)</f>
        <v>56.8</v>
      </c>
      <c r="Y12" s="37">
        <f>VLOOKUP(B12,Turkey!$A:$B,2,)</f>
        <v>48</v>
      </c>
      <c r="Z12" s="37">
        <f>VLOOKUP(B12,CzechRepublic!$A:$B,2,)</f>
        <v>56.1</v>
      </c>
      <c r="AA12" s="37">
        <f>VLOOKUP(B12,Poland!$A:$B,2,)</f>
        <v>54.8</v>
      </c>
      <c r="AB12" s="37">
        <f>VLOOKUP(B12,Denmark!$A:$B,2,)</f>
        <v>58.54</v>
      </c>
    </row>
    <row r="13" spans="2:36" x14ac:dyDescent="0.2">
      <c r="B13" s="36">
        <v>42095</v>
      </c>
      <c r="C13" s="37">
        <f>VLOOKUP(B13,Global!$A:$B,2,)</f>
        <v>51</v>
      </c>
      <c r="D13" s="37">
        <f>VLOOKUP(B13,US!$A:$D,4,)</f>
        <v>51.6</v>
      </c>
      <c r="E13" s="37">
        <f>VLOOKUP(B13,US!$A:$B,2,)</f>
        <v>54.1</v>
      </c>
      <c r="F13" s="37">
        <f>VLOOKUP(B13,China!$A:$B,2,)</f>
        <v>50.1</v>
      </c>
      <c r="G13" s="37">
        <f>VLOOKUP(B13,'Euro Area'!A:B,2,)</f>
        <v>52</v>
      </c>
      <c r="H13" s="37">
        <f>VLOOKUP(B13,Japan!$A:$B,2,)</f>
        <v>49.9</v>
      </c>
      <c r="I13" s="37">
        <f>VLOOKUP(B13,Germany!$A:$B,2,)</f>
        <v>52.1</v>
      </c>
      <c r="J13" s="37">
        <f>VLOOKUP(B13,France!$A:$B,2,)</f>
        <v>48</v>
      </c>
      <c r="K13" s="37">
        <f>VLOOKUP(B13,UK!$A:$B,2,)</f>
        <v>51.9</v>
      </c>
      <c r="L13" s="37">
        <f>VLOOKUP(B13,Italy!$A:$B,2,)</f>
        <v>53.8</v>
      </c>
      <c r="M13" s="37">
        <f>VLOOKUP(B13,Spain!$A:$B,2,)</f>
        <v>54.2</v>
      </c>
      <c r="N13" s="37">
        <f>VLOOKUP(B13,Brazil!$A:$B,2,)</f>
        <v>46</v>
      </c>
      <c r="O13" s="37">
        <f>VLOOKUP(B13,Mexico!$A:$B,2,)</f>
        <v>53.8</v>
      </c>
      <c r="P13" s="37">
        <f>VLOOKUP(B13,Russia!$A:$B,2,)</f>
        <v>48.9</v>
      </c>
      <c r="Q13" s="37">
        <f>VLOOKUP(B13,India!$A:$B,2,)</f>
        <v>51.3</v>
      </c>
      <c r="R13" s="37">
        <f>VLOOKUP(B13,Canada!$A:$B,2,)</f>
        <v>49</v>
      </c>
      <c r="S13" s="37">
        <f>VLOOKUP(B13,Australia!$A:$B,2,)</f>
        <v>48</v>
      </c>
      <c r="T13" s="37">
        <f>VLOOKUP(B13,Indonesia!$A:$B,2,)</f>
        <v>46.7</v>
      </c>
      <c r="U13" s="37">
        <f>VLOOKUP(B13,SouthKorea!$A:$B,2,)</f>
        <v>48.8</v>
      </c>
      <c r="V13" s="37">
        <f>VLOOKUP(B13,Taiwan!$A:$B,2,)</f>
        <v>49.2</v>
      </c>
      <c r="W13" s="37">
        <f>VLOOKUP(B13,Greece!$A:$B,2,)</f>
        <v>46.5</v>
      </c>
      <c r="X13" s="37">
        <f>VLOOKUP(B13,Ireland!$A:$B,2,)</f>
        <v>55.8</v>
      </c>
      <c r="Y13" s="37">
        <f>VLOOKUP(B13,Turkey!$A:$B,2,)</f>
        <v>48.5</v>
      </c>
      <c r="Z13" s="37">
        <f>VLOOKUP(B13,CzechRepublic!$A:$B,2,)</f>
        <v>54.7</v>
      </c>
      <c r="AA13" s="37">
        <f>VLOOKUP(B13,Poland!$A:$B,2,)</f>
        <v>54</v>
      </c>
      <c r="AB13" s="37">
        <f>VLOOKUP(B13,Denmark!$A:$B,2,)</f>
        <v>53.3</v>
      </c>
    </row>
    <row r="14" spans="2:36" x14ac:dyDescent="0.2">
      <c r="B14" s="36">
        <v>42125</v>
      </c>
      <c r="C14" s="37">
        <f>VLOOKUP(B14,Global!$A:$B,2,)</f>
        <v>51.2</v>
      </c>
      <c r="D14" s="37">
        <f>VLOOKUP(B14,US!$A:$D,4,)</f>
        <v>52.9</v>
      </c>
      <c r="E14" s="37">
        <f>VLOOKUP(B14,US!$A:$B,2,)</f>
        <v>53.8</v>
      </c>
      <c r="F14" s="37">
        <f>VLOOKUP(B14,China!$A:$B,2,)</f>
        <v>50.2</v>
      </c>
      <c r="G14" s="37">
        <f>VLOOKUP(B14,'Euro Area'!A:B,2,)</f>
        <v>52.2</v>
      </c>
      <c r="H14" s="37">
        <f>VLOOKUP(B14,Japan!$A:$B,2,)</f>
        <v>50.9</v>
      </c>
      <c r="I14" s="37">
        <f>VLOOKUP(B14,Germany!$A:$B,2,)</f>
        <v>51.1</v>
      </c>
      <c r="J14" s="37">
        <f>VLOOKUP(B14,France!$A:$B,2,)</f>
        <v>49.4</v>
      </c>
      <c r="K14" s="37">
        <f>VLOOKUP(B14,UK!$A:$B,2,)</f>
        <v>52.2</v>
      </c>
      <c r="L14" s="37">
        <f>VLOOKUP(B14,Italy!$A:$B,2,)</f>
        <v>54.8</v>
      </c>
      <c r="M14" s="37">
        <f>VLOOKUP(B14,Spain!$A:$B,2,)</f>
        <v>55.8</v>
      </c>
      <c r="N14" s="37">
        <f>VLOOKUP(B14,Brazil!$A:$B,2,)</f>
        <v>45.9</v>
      </c>
      <c r="O14" s="37">
        <f>VLOOKUP(B14,Mexico!$A:$B,2,)</f>
        <v>53.3</v>
      </c>
      <c r="P14" s="37">
        <f>VLOOKUP(B14,Russia!$A:$B,2,)</f>
        <v>47.6</v>
      </c>
      <c r="Q14" s="37">
        <f>VLOOKUP(B14,India!$A:$B,2,)</f>
        <v>52.6</v>
      </c>
      <c r="R14" s="37">
        <f>VLOOKUP(B14,Canada!$A:$B,2,)</f>
        <v>49.8</v>
      </c>
      <c r="S14" s="37">
        <f>VLOOKUP(B14,Australia!$A:$B,2,)</f>
        <v>52.29</v>
      </c>
      <c r="T14" s="37">
        <f>VLOOKUP(B14,Indonesia!$A:$B,2,)</f>
        <v>47.1</v>
      </c>
      <c r="U14" s="37">
        <f>VLOOKUP(B14,SouthKorea!$A:$B,2,)</f>
        <v>47.8</v>
      </c>
      <c r="V14" s="37">
        <f>VLOOKUP(B14,Taiwan!$A:$B,2,)</f>
        <v>49.3</v>
      </c>
      <c r="W14" s="37">
        <f>VLOOKUP(B14,Greece!$A:$B,2,)</f>
        <v>48</v>
      </c>
      <c r="X14" s="37">
        <f>VLOOKUP(B14,Ireland!$A:$B,2,)</f>
        <v>57.1</v>
      </c>
      <c r="Y14" s="37">
        <f>VLOOKUP(B14,Turkey!$A:$B,2,)</f>
        <v>50.2</v>
      </c>
      <c r="Z14" s="37">
        <f>VLOOKUP(B14,CzechRepublic!$A:$B,2,)</f>
        <v>55.5</v>
      </c>
      <c r="AA14" s="37">
        <f>VLOOKUP(B14,Poland!$A:$B,2,)</f>
        <v>52.4</v>
      </c>
      <c r="AB14" s="37">
        <f>VLOOKUP(B14,Denmark!$A:$B,2,)</f>
        <v>52.73</v>
      </c>
    </row>
    <row r="15" spans="2:36" x14ac:dyDescent="0.2">
      <c r="B15" s="36">
        <v>42156</v>
      </c>
      <c r="C15" s="37">
        <f>VLOOKUP(B15,Global!$A:$B,2,)</f>
        <v>51</v>
      </c>
      <c r="D15" s="37">
        <f>VLOOKUP(B15,US!$A:$D,4,)</f>
        <v>52.3</v>
      </c>
      <c r="E15" s="37">
        <f>VLOOKUP(B15,US!$A:$B,2,)</f>
        <v>53.6</v>
      </c>
      <c r="F15" s="37">
        <f>VLOOKUP(B15,China!$A:$B,2,)</f>
        <v>50.2</v>
      </c>
      <c r="G15" s="37">
        <f>VLOOKUP(B15,'Euro Area'!A:B,2,)</f>
        <v>52.5</v>
      </c>
      <c r="H15" s="37">
        <f>VLOOKUP(B15,Japan!$A:$B,2,)</f>
        <v>50.1</v>
      </c>
      <c r="I15" s="37">
        <f>VLOOKUP(B15,Germany!$A:$B,2,)</f>
        <v>51.9</v>
      </c>
      <c r="J15" s="37">
        <f>VLOOKUP(B15,France!$A:$B,2,)</f>
        <v>50.7</v>
      </c>
      <c r="K15" s="37">
        <f>VLOOKUP(B15,UK!$A:$B,2,)</f>
        <v>51.9</v>
      </c>
      <c r="L15" s="37">
        <f>VLOOKUP(B15,Italy!$A:$B,2,)</f>
        <v>54.1</v>
      </c>
      <c r="M15" s="37">
        <f>VLOOKUP(B15,Spain!$A:$B,2,)</f>
        <v>54.5</v>
      </c>
      <c r="N15" s="37">
        <f>VLOOKUP(B15,Brazil!$A:$B,2,)</f>
        <v>46.5</v>
      </c>
      <c r="O15" s="37">
        <f>VLOOKUP(B15,Mexico!$A:$B,2,)</f>
        <v>52</v>
      </c>
      <c r="P15" s="37">
        <f>VLOOKUP(B15,Russia!$A:$B,2,)</f>
        <v>48.7</v>
      </c>
      <c r="Q15" s="37">
        <f>VLOOKUP(B15,India!$A:$B,2,)</f>
        <v>51.3</v>
      </c>
      <c r="R15" s="37">
        <f>VLOOKUP(B15,Canada!$A:$B,2,)</f>
        <v>51.3</v>
      </c>
      <c r="S15" s="37">
        <f>VLOOKUP(B15,Australia!$A:$B,2,)</f>
        <v>44.2</v>
      </c>
      <c r="T15" s="37">
        <f>VLOOKUP(B15,Indonesia!$A:$B,2,)</f>
        <v>47.8</v>
      </c>
      <c r="U15" s="37">
        <f>VLOOKUP(B15,SouthKorea!$A:$B,2,)</f>
        <v>46.1</v>
      </c>
      <c r="V15" s="37">
        <f>VLOOKUP(B15,Taiwan!$A:$B,2,)</f>
        <v>46.3</v>
      </c>
      <c r="W15" s="37">
        <f>VLOOKUP(B15,Greece!$A:$B,2,)</f>
        <v>46.9</v>
      </c>
      <c r="X15" s="37">
        <f>VLOOKUP(B15,Ireland!$A:$B,2,)</f>
        <v>54.6</v>
      </c>
      <c r="Y15" s="37">
        <f>VLOOKUP(B15,Turkey!$A:$B,2,)</f>
        <v>49</v>
      </c>
      <c r="Z15" s="37">
        <f>VLOOKUP(B15,CzechRepublic!$A:$B,2,)</f>
        <v>56.9</v>
      </c>
      <c r="AA15" s="37">
        <f>VLOOKUP(B15,Poland!$A:$B,2,)</f>
        <v>54.3</v>
      </c>
      <c r="AB15" s="37">
        <f>VLOOKUP(B15,Denmark!$A:$B,2,)</f>
        <v>54.46</v>
      </c>
    </row>
    <row r="16" spans="2:36" x14ac:dyDescent="0.2">
      <c r="B16" s="36">
        <v>42186</v>
      </c>
      <c r="C16" s="37">
        <f>VLOOKUP(B16,Global!$A:$B,2,)</f>
        <v>51</v>
      </c>
      <c r="D16" s="37">
        <f>VLOOKUP(B16,US!$A:$D,4,)</f>
        <v>51.9</v>
      </c>
      <c r="E16" s="37">
        <f>VLOOKUP(B16,US!$A:$B,2,)</f>
        <v>53.8</v>
      </c>
      <c r="F16" s="37">
        <f>VLOOKUP(B16,China!$A:$B,2,)</f>
        <v>50</v>
      </c>
      <c r="G16" s="37">
        <f>VLOOKUP(B16,'Euro Area'!A:B,2,)</f>
        <v>52.4</v>
      </c>
      <c r="H16" s="37">
        <f>VLOOKUP(B16,Japan!$A:$B,2,)</f>
        <v>51.2</v>
      </c>
      <c r="I16" s="37">
        <f>VLOOKUP(B16,Germany!$A:$B,2,)</f>
        <v>51.8</v>
      </c>
      <c r="J16" s="37">
        <f>VLOOKUP(B16,France!$A:$B,2,)</f>
        <v>49.6</v>
      </c>
      <c r="K16" s="37">
        <f>VLOOKUP(B16,UK!$A:$B,2,)</f>
        <v>52.5</v>
      </c>
      <c r="L16" s="37">
        <f>VLOOKUP(B16,Italy!$A:$B,2,)</f>
        <v>55.3</v>
      </c>
      <c r="M16" s="37">
        <f>VLOOKUP(B16,Spain!$A:$B,2,)</f>
        <v>53.6</v>
      </c>
      <c r="N16" s="37">
        <f>VLOOKUP(B16,Brazil!$A:$B,2,)</f>
        <v>47.2</v>
      </c>
      <c r="O16" s="37">
        <f>VLOOKUP(B16,Mexico!$A:$B,2,)</f>
        <v>52.9</v>
      </c>
      <c r="P16" s="37">
        <f>VLOOKUP(B16,Russia!$A:$B,2,)</f>
        <v>48.3</v>
      </c>
      <c r="Q16" s="37">
        <f>VLOOKUP(B16,India!$A:$B,2,)</f>
        <v>52.7</v>
      </c>
      <c r="R16" s="37">
        <f>VLOOKUP(B16,Canada!$A:$B,2,)</f>
        <v>50.8</v>
      </c>
      <c r="S16" s="37">
        <f>VLOOKUP(B16,Australia!$A:$B,2,)</f>
        <v>50.4</v>
      </c>
      <c r="T16" s="37">
        <f>VLOOKUP(B16,Indonesia!$A:$B,2,)</f>
        <v>47.3</v>
      </c>
      <c r="U16" s="37">
        <f>VLOOKUP(B16,SouthKorea!$A:$B,2,)</f>
        <v>47.6</v>
      </c>
      <c r="V16" s="37">
        <f>VLOOKUP(B16,Taiwan!$A:$B,2,)</f>
        <v>47.1</v>
      </c>
      <c r="W16" s="37">
        <f>VLOOKUP(B16,Greece!$A:$B,2,)</f>
        <v>30.2</v>
      </c>
      <c r="X16" s="37">
        <f>VLOOKUP(B16,Ireland!$A:$B,2,)</f>
        <v>56.7</v>
      </c>
      <c r="Y16" s="37">
        <f>VLOOKUP(B16,Turkey!$A:$B,2,)</f>
        <v>50.1</v>
      </c>
      <c r="Z16" s="37">
        <f>VLOOKUP(B16,CzechRepublic!$A:$B,2,)</f>
        <v>57.5</v>
      </c>
      <c r="AA16" s="37">
        <f>VLOOKUP(B16,Poland!$A:$B,2,)</f>
        <v>54.5</v>
      </c>
      <c r="AB16" s="37">
        <f>VLOOKUP(B16,Denmark!$A:$B,2,)</f>
        <v>52.31</v>
      </c>
    </row>
    <row r="17" spans="2:28" x14ac:dyDescent="0.2">
      <c r="B17" s="36">
        <v>42217</v>
      </c>
      <c r="C17" s="37">
        <f>VLOOKUP(B17,Global!$A:$B,2,)</f>
        <v>50.7</v>
      </c>
      <c r="D17" s="37">
        <f>VLOOKUP(B17,US!$A:$D,4,)</f>
        <v>50.8</v>
      </c>
      <c r="E17" s="37">
        <f>VLOOKUP(B17,US!$A:$B,2,)</f>
        <v>53</v>
      </c>
      <c r="F17" s="37">
        <f>VLOOKUP(B17,China!$A:$B,2,)</f>
        <v>47.3</v>
      </c>
      <c r="G17" s="37">
        <f>VLOOKUP(B17,'Euro Area'!A:B,2,)</f>
        <v>52.3</v>
      </c>
      <c r="H17" s="37">
        <f>VLOOKUP(B17,Japan!$A:$B,2,)</f>
        <v>51.7</v>
      </c>
      <c r="I17" s="37">
        <f>VLOOKUP(B17,Germany!$A:$B,2,)</f>
        <v>53.3</v>
      </c>
      <c r="J17" s="37">
        <f>VLOOKUP(B17,France!$A:$B,2,)</f>
        <v>48.3</v>
      </c>
      <c r="K17" s="37">
        <f>VLOOKUP(B17,UK!$A:$B,2,)</f>
        <v>51.6</v>
      </c>
      <c r="L17" s="37">
        <f>VLOOKUP(B17,Italy!$A:$B,2,)</f>
        <v>53.8</v>
      </c>
      <c r="M17" s="37">
        <f>VLOOKUP(B17,Spain!$A:$B,2,)</f>
        <v>53.2</v>
      </c>
      <c r="N17" s="37">
        <f>VLOOKUP(B17,Brazil!$A:$B,2,)</f>
        <v>45.8</v>
      </c>
      <c r="O17" s="37">
        <f>VLOOKUP(B17,Mexico!$A:$B,2,)</f>
        <v>52.4</v>
      </c>
      <c r="P17" s="37">
        <f>VLOOKUP(B17,Russia!$A:$B,2,)</f>
        <v>47.9</v>
      </c>
      <c r="Q17" s="37">
        <f>VLOOKUP(B17,India!$A:$B,2,)</f>
        <v>52.3</v>
      </c>
      <c r="R17" s="37">
        <f>VLOOKUP(B17,Canada!$A:$B,2,)</f>
        <v>49.4</v>
      </c>
      <c r="S17" s="37">
        <f>VLOOKUP(B17,Australia!$A:$B,2,)</f>
        <v>51.7</v>
      </c>
      <c r="T17" s="37">
        <f>VLOOKUP(B17,Indonesia!$A:$B,2,)</f>
        <v>48.4</v>
      </c>
      <c r="U17" s="37">
        <f>VLOOKUP(B17,SouthKorea!$A:$B,2,)</f>
        <v>47.9</v>
      </c>
      <c r="V17" s="37">
        <f>VLOOKUP(B17,Taiwan!$A:$B,2,)</f>
        <v>46.1</v>
      </c>
      <c r="W17" s="37">
        <f>VLOOKUP(B17,Greece!$A:$B,2,)</f>
        <v>39.1</v>
      </c>
      <c r="X17" s="37">
        <f>VLOOKUP(B17,Ireland!$A:$B,2,)</f>
        <v>53.6</v>
      </c>
      <c r="Y17" s="37">
        <f>VLOOKUP(B17,Turkey!$A:$B,2,)</f>
        <v>49.3</v>
      </c>
      <c r="Z17" s="37">
        <f>VLOOKUP(B17,CzechRepublic!$A:$B,2,)</f>
        <v>56.6</v>
      </c>
      <c r="AA17" s="37">
        <f>VLOOKUP(B17,Poland!$A:$B,2,)</f>
        <v>51.1</v>
      </c>
      <c r="AB17" s="37">
        <f>VLOOKUP(B17,Denmark!$A:$B,2,)</f>
        <v>62.51</v>
      </c>
    </row>
    <row r="18" spans="2:28" x14ac:dyDescent="0.2">
      <c r="B18" s="36">
        <v>42248</v>
      </c>
      <c r="C18" s="37">
        <f>VLOOKUP(B18,Global!$A:$B,2,)</f>
        <v>50.6</v>
      </c>
      <c r="D18" s="37">
        <f>VLOOKUP(B18,US!$A:$D,4,)</f>
        <v>50.1</v>
      </c>
      <c r="E18" s="37">
        <f>VLOOKUP(B18,US!$A:$B,2,)</f>
        <v>53.1</v>
      </c>
      <c r="F18" s="37">
        <f>VLOOKUP(B18,China!$A:$B,2,)</f>
        <v>47.2</v>
      </c>
      <c r="G18" s="37">
        <f>VLOOKUP(B18,'Euro Area'!A:B,2,)</f>
        <v>52</v>
      </c>
      <c r="H18" s="37">
        <f>VLOOKUP(B18,Japan!$A:$B,2,)</f>
        <v>51</v>
      </c>
      <c r="I18" s="37">
        <f>VLOOKUP(B18,Germany!$A:$B,2,)</f>
        <v>52.3</v>
      </c>
      <c r="J18" s="37">
        <f>VLOOKUP(B18,France!$A:$B,2,)</f>
        <v>50.6</v>
      </c>
      <c r="K18" s="37">
        <f>VLOOKUP(B18,UK!$A:$B,2,)</f>
        <v>51.6</v>
      </c>
      <c r="L18" s="37">
        <f>VLOOKUP(B18,Italy!$A:$B,2,)</f>
        <v>52.7</v>
      </c>
      <c r="M18" s="37">
        <f>VLOOKUP(B18,Spain!$A:$B,2,)</f>
        <v>51.7</v>
      </c>
      <c r="N18" s="37">
        <f>VLOOKUP(B18,Brazil!$A:$B,2,)</f>
        <v>47</v>
      </c>
      <c r="O18" s="37">
        <f>VLOOKUP(B18,Mexico!$A:$B,2,)</f>
        <v>52.1</v>
      </c>
      <c r="P18" s="37">
        <f>VLOOKUP(B18,Russia!$A:$B,2,)</f>
        <v>49.1</v>
      </c>
      <c r="Q18" s="37">
        <f>VLOOKUP(B18,India!$A:$B,2,)</f>
        <v>51.2</v>
      </c>
      <c r="R18" s="37">
        <f>VLOOKUP(B18,Canada!$A:$B,2,)</f>
        <v>48.6</v>
      </c>
      <c r="S18" s="37">
        <f>VLOOKUP(B18,Australia!$A:$B,2,)</f>
        <v>52.1</v>
      </c>
      <c r="T18" s="37">
        <f>VLOOKUP(B18,Indonesia!$A:$B,2,)</f>
        <v>47.4</v>
      </c>
      <c r="U18" s="37">
        <f>VLOOKUP(B18,SouthKorea!$A:$B,2,)</f>
        <v>49.2</v>
      </c>
      <c r="V18" s="37">
        <f>VLOOKUP(B18,Taiwan!$A:$B,2,)</f>
        <v>46.9</v>
      </c>
      <c r="W18" s="37">
        <f>VLOOKUP(B18,Greece!$A:$B,2,)</f>
        <v>43.3</v>
      </c>
      <c r="X18" s="37">
        <f>VLOOKUP(B18,Ireland!$A:$B,2,)</f>
        <v>53.8</v>
      </c>
      <c r="Y18" s="37">
        <f>VLOOKUP(B18,Turkey!$A:$B,2,)</f>
        <v>48.8</v>
      </c>
      <c r="Z18" s="37">
        <f>VLOOKUP(B18,CzechRepublic!$A:$B,2,)</f>
        <v>55.5</v>
      </c>
      <c r="AA18" s="37">
        <f>VLOOKUP(B18,Poland!$A:$B,2,)</f>
        <v>50.9</v>
      </c>
      <c r="AB18" s="37">
        <f>VLOOKUP(B18,Denmark!$A:$B,2,)</f>
        <v>69.37</v>
      </c>
    </row>
    <row r="19" spans="2:28" x14ac:dyDescent="0.2">
      <c r="B19" s="36">
        <v>42278</v>
      </c>
      <c r="C19" s="37">
        <f>VLOOKUP(B19,Global!$A:$B,2,)</f>
        <v>51.4</v>
      </c>
      <c r="D19" s="37">
        <f>VLOOKUP(B19,US!$A:$D,4,)</f>
        <v>49.6</v>
      </c>
      <c r="E19" s="37">
        <f>VLOOKUP(B19,US!$A:$B,2,)</f>
        <v>54.1</v>
      </c>
      <c r="F19" s="37">
        <f>VLOOKUP(B19,China!$A:$B,2,)</f>
        <v>48.3</v>
      </c>
      <c r="G19" s="37">
        <f>VLOOKUP(B19,'Euro Area'!A:B,2,)</f>
        <v>52.3</v>
      </c>
      <c r="H19" s="37">
        <f>VLOOKUP(B19,Japan!$A:$B,2,)</f>
        <v>52.4</v>
      </c>
      <c r="I19" s="37">
        <f>VLOOKUP(B19,Germany!$A:$B,2,)</f>
        <v>52.1</v>
      </c>
      <c r="J19" s="37">
        <f>VLOOKUP(B19,France!$A:$B,2,)</f>
        <v>50.6</v>
      </c>
      <c r="K19" s="37">
        <f>VLOOKUP(B19,UK!$A:$B,2,)</f>
        <v>54.3</v>
      </c>
      <c r="L19" s="37">
        <f>VLOOKUP(B19,Italy!$A:$B,2,)</f>
        <v>54.1</v>
      </c>
      <c r="M19" s="37">
        <f>VLOOKUP(B19,Spain!$A:$B,2,)</f>
        <v>51.3</v>
      </c>
      <c r="N19" s="37">
        <f>VLOOKUP(B19,Brazil!$A:$B,2,)</f>
        <v>44.1</v>
      </c>
      <c r="O19" s="37">
        <f>VLOOKUP(B19,Mexico!$A:$B,2,)</f>
        <v>53</v>
      </c>
      <c r="P19" s="37">
        <f>VLOOKUP(B19,Russia!$A:$B,2,)</f>
        <v>50.2</v>
      </c>
      <c r="Q19" s="37">
        <f>VLOOKUP(B19,India!$A:$B,2,)</f>
        <v>50.7</v>
      </c>
      <c r="R19" s="37">
        <f>VLOOKUP(B19,Canada!$A:$B,2,)</f>
        <v>48</v>
      </c>
      <c r="S19" s="37">
        <f>VLOOKUP(B19,Australia!$A:$B,2,)</f>
        <v>50.2</v>
      </c>
      <c r="T19" s="37">
        <f>VLOOKUP(B19,Indonesia!$A:$B,2,)</f>
        <v>47.8</v>
      </c>
      <c r="U19" s="37">
        <f>VLOOKUP(B19,SouthKorea!$A:$B,2,)</f>
        <v>49.1</v>
      </c>
      <c r="V19" s="37">
        <f>VLOOKUP(B19,Taiwan!$A:$B,2,)</f>
        <v>47.8</v>
      </c>
      <c r="W19" s="37">
        <f>VLOOKUP(B19,Greece!$A:$B,2,)</f>
        <v>47.3</v>
      </c>
      <c r="X19" s="37">
        <f>VLOOKUP(B19,Ireland!$A:$B,2,)</f>
        <v>53.6</v>
      </c>
      <c r="Y19" s="37">
        <f>VLOOKUP(B19,Turkey!$A:$B,2,)</f>
        <v>49.5</v>
      </c>
      <c r="Z19" s="37">
        <f>VLOOKUP(B19,CzechRepublic!$A:$B,2,)</f>
        <v>54</v>
      </c>
      <c r="AA19" s="37">
        <f>VLOOKUP(B19,Poland!$A:$B,2,)</f>
        <v>52.2</v>
      </c>
      <c r="AB19" s="37">
        <f>VLOOKUP(B19,Denmark!$A:$B,2,)</f>
        <v>55.62</v>
      </c>
    </row>
    <row r="20" spans="2:28" x14ac:dyDescent="0.2">
      <c r="B20" s="36">
        <v>42309</v>
      </c>
      <c r="C20" s="37">
        <f>VLOOKUP(B20,Global!$A:$B,2,)</f>
        <v>51.2</v>
      </c>
      <c r="D20" s="37">
        <f>VLOOKUP(B20,US!$A:$D,4,)</f>
        <v>49.1</v>
      </c>
      <c r="E20" s="37">
        <f>VLOOKUP(B20,US!$A:$B,2,)</f>
        <v>52.8</v>
      </c>
      <c r="F20" s="37">
        <f>VLOOKUP(B20,China!$A:$B,2,)</f>
        <v>48.6</v>
      </c>
      <c r="G20" s="37">
        <f>VLOOKUP(B20,'Euro Area'!A:B,2,)</f>
        <v>52.8</v>
      </c>
      <c r="H20" s="37">
        <f>VLOOKUP(B20,Japan!$A:$B,2,)</f>
        <v>52.6</v>
      </c>
      <c r="I20" s="37">
        <f>VLOOKUP(B20,Germany!$A:$B,2,)</f>
        <v>52.9</v>
      </c>
      <c r="J20" s="37">
        <f>VLOOKUP(B20,France!$A:$B,2,)</f>
        <v>50.6</v>
      </c>
      <c r="K20" s="37">
        <f>VLOOKUP(B20,UK!$A:$B,2,)</f>
        <v>52.3</v>
      </c>
      <c r="L20" s="37">
        <f>VLOOKUP(B20,Italy!$A:$B,2,)</f>
        <v>54.9</v>
      </c>
      <c r="M20" s="37">
        <f>VLOOKUP(B20,Spain!$A:$B,2,)</f>
        <v>53.1</v>
      </c>
      <c r="N20" s="37">
        <f>VLOOKUP(B20,Brazil!$A:$B,2,)</f>
        <v>43.8</v>
      </c>
      <c r="O20" s="37">
        <f>VLOOKUP(B20,Mexico!$A:$B,2,)</f>
        <v>53</v>
      </c>
      <c r="P20" s="37">
        <f>VLOOKUP(B20,Russia!$A:$B,2,)</f>
        <v>50.1</v>
      </c>
      <c r="Q20" s="37">
        <f>VLOOKUP(B20,India!$A:$B,2,)</f>
        <v>50.3</v>
      </c>
      <c r="R20" s="37">
        <f>VLOOKUP(B20,Canada!$A:$B,2,)</f>
        <v>48.6</v>
      </c>
      <c r="S20" s="37">
        <f>VLOOKUP(B20,Australia!$A:$B,2,)</f>
        <v>52.5</v>
      </c>
      <c r="T20" s="37">
        <f>VLOOKUP(B20,Indonesia!$A:$B,2,)</f>
        <v>46.9</v>
      </c>
      <c r="U20" s="37">
        <f>VLOOKUP(B20,SouthKorea!$A:$B,2,)</f>
        <v>49.1</v>
      </c>
      <c r="V20" s="37">
        <f>VLOOKUP(B20,Taiwan!$A:$B,2,)</f>
        <v>49.5</v>
      </c>
      <c r="W20" s="37">
        <f>VLOOKUP(B20,Greece!$A:$B,2,)</f>
        <v>48.1</v>
      </c>
      <c r="X20" s="37">
        <f>VLOOKUP(B20,Ireland!$A:$B,2,)</f>
        <v>53.3</v>
      </c>
      <c r="Y20" s="37">
        <f>VLOOKUP(B20,Turkey!$A:$B,2,)</f>
        <v>50.9</v>
      </c>
      <c r="Z20" s="37">
        <f>VLOOKUP(B20,CzechRepublic!$A:$B,2,)</f>
        <v>54.2</v>
      </c>
      <c r="AA20" s="37">
        <f>VLOOKUP(B20,Poland!$A:$B,2,)</f>
        <v>52.1</v>
      </c>
      <c r="AB20" s="37">
        <f>VLOOKUP(B20,Denmark!$A:$B,2,)</f>
        <v>61.47</v>
      </c>
    </row>
    <row r="21" spans="2:28" x14ac:dyDescent="0.2">
      <c r="B21" s="36">
        <v>42339</v>
      </c>
      <c r="C21" s="37">
        <f>VLOOKUP(B21,Global!$A:$B,2,)</f>
        <v>50.9</v>
      </c>
      <c r="D21" s="37">
        <f>VLOOKUP(B21,US!$A:$D,4,)</f>
        <v>48.4</v>
      </c>
      <c r="E21" s="37">
        <f>VLOOKUP(B21,US!$A:$B,2,)</f>
        <v>51.2</v>
      </c>
      <c r="F21" s="37">
        <f>VLOOKUP(B21,China!$A:$B,2,)</f>
        <v>48.2</v>
      </c>
      <c r="G21" s="37">
        <f>VLOOKUP(B21,'Euro Area'!A:B,2,)</f>
        <v>53.2</v>
      </c>
      <c r="H21" s="37">
        <f>VLOOKUP(B21,Japan!$A:$B,2,)</f>
        <v>52.6</v>
      </c>
      <c r="I21" s="37">
        <f>VLOOKUP(B21,Germany!$A:$B,2,)</f>
        <v>53.2</v>
      </c>
      <c r="J21" s="37">
        <f>VLOOKUP(B21,France!$A:$B,2,)</f>
        <v>51.4</v>
      </c>
      <c r="K21" s="37">
        <f>VLOOKUP(B21,UK!$A:$B,2,)</f>
        <v>51</v>
      </c>
      <c r="L21" s="37">
        <f>VLOOKUP(B21,Italy!$A:$B,2,)</f>
        <v>55.6</v>
      </c>
      <c r="M21" s="37">
        <f>VLOOKUP(B21,Spain!$A:$B,2,)</f>
        <v>53</v>
      </c>
      <c r="N21" s="37">
        <f>VLOOKUP(B21,Brazil!$A:$B,2,)</f>
        <v>45.6</v>
      </c>
      <c r="O21" s="37">
        <f>VLOOKUP(B21,Mexico!$A:$B,2,)</f>
        <v>52.4</v>
      </c>
      <c r="P21" s="37">
        <f>VLOOKUP(B21,Russia!$A:$B,2,)</f>
        <v>48.7</v>
      </c>
      <c r="Q21" s="37">
        <f>VLOOKUP(B21,India!$A:$B,2,)</f>
        <v>49.1</v>
      </c>
      <c r="R21" s="37">
        <f>VLOOKUP(B21,Canada!$A:$B,2,)</f>
        <v>47.5</v>
      </c>
      <c r="S21" s="37">
        <f>VLOOKUP(B21,Australia!$A:$B,2,)</f>
        <v>51.9</v>
      </c>
      <c r="T21" s="37">
        <f>VLOOKUP(B21,Indonesia!$A:$B,2,)</f>
        <v>47.8</v>
      </c>
      <c r="U21" s="37">
        <f>VLOOKUP(B21,SouthKorea!$A:$B,2,)</f>
        <v>50.7</v>
      </c>
      <c r="V21" s="37">
        <f>VLOOKUP(B21,Taiwan!$A:$B,2,)</f>
        <v>51.7</v>
      </c>
      <c r="W21" s="37">
        <f>VLOOKUP(B21,Greece!$A:$B,2,)</f>
        <v>50.2</v>
      </c>
      <c r="X21" s="37">
        <f>VLOOKUP(B21,Ireland!$A:$B,2,)</f>
        <v>54.2</v>
      </c>
      <c r="Y21" s="37">
        <f>VLOOKUP(B21,Turkey!$A:$B,2,)</f>
        <v>52.2</v>
      </c>
      <c r="Z21" s="37">
        <f>VLOOKUP(B21,CzechRepublic!$A:$B,2,)</f>
        <v>55.6</v>
      </c>
      <c r="AA21" s="37">
        <f>VLOOKUP(B21,Poland!$A:$B,2,)</f>
        <v>52.1</v>
      </c>
      <c r="AB21" s="37">
        <f>VLOOKUP(B21,Denmark!$A:$B,2,)</f>
        <v>54.76</v>
      </c>
    </row>
    <row r="22" spans="2:28" x14ac:dyDescent="0.2">
      <c r="B22" s="36">
        <v>42370</v>
      </c>
      <c r="C22" s="37">
        <f>VLOOKUP(B22,Global!$A:$B,2,)</f>
        <v>50.9</v>
      </c>
      <c r="D22" s="37">
        <f>VLOOKUP(B22,US!$A:$D,4,)</f>
        <v>47.8</v>
      </c>
      <c r="E22" s="37">
        <f>VLOOKUP(B22,US!$A:$B,2,)</f>
        <v>52.4</v>
      </c>
      <c r="F22" s="37">
        <f>VLOOKUP(B22,China!$A:$B,2,)</f>
        <v>48.4</v>
      </c>
      <c r="G22" s="37">
        <f>VLOOKUP(B22,'Euro Area'!A:B,2,)</f>
        <v>52.3</v>
      </c>
      <c r="H22" s="37">
        <f>VLOOKUP(B22,Japan!$A:$B,2,)</f>
        <v>52.3</v>
      </c>
      <c r="I22" s="37">
        <f>VLOOKUP(B22,Germany!$A:$B,2,)</f>
        <v>52.3</v>
      </c>
      <c r="J22" s="37">
        <f>VLOOKUP(B22,France!$A:$B,2,)</f>
        <v>50</v>
      </c>
      <c r="K22" s="37">
        <f>VLOOKUP(B22,UK!$A:$B,2,)</f>
        <v>52.2</v>
      </c>
      <c r="L22" s="37">
        <f>VLOOKUP(B22,Italy!$A:$B,2,)</f>
        <v>53.2</v>
      </c>
      <c r="M22" s="37">
        <f>VLOOKUP(B22,Spain!$A:$B,2,)</f>
        <v>55.4</v>
      </c>
      <c r="N22" s="37">
        <f>VLOOKUP(B22,Brazil!$A:$B,2,)</f>
        <v>47.4</v>
      </c>
      <c r="O22" s="37">
        <f>VLOOKUP(B22,Mexico!$A:$B,2,)</f>
        <v>52.2</v>
      </c>
      <c r="P22" s="37">
        <f>VLOOKUP(B22,Russia!$A:$B,2,)</f>
        <v>49.8</v>
      </c>
      <c r="Q22" s="37">
        <f>VLOOKUP(B22,India!$A:$B,2,)</f>
        <v>51.1</v>
      </c>
      <c r="R22" s="37">
        <f>VLOOKUP(B22,Canada!$A:$B,2,)</f>
        <v>49.3</v>
      </c>
      <c r="S22" s="37">
        <f>VLOOKUP(B22,Australia!$A:$B,2,)</f>
        <v>51.5</v>
      </c>
      <c r="T22" s="37">
        <f>VLOOKUP(B22,Indonesia!$A:$B,2,)</f>
        <v>48.9</v>
      </c>
      <c r="U22" s="37">
        <f>VLOOKUP(B22,SouthKorea!$A:$B,2,)</f>
        <v>49.5</v>
      </c>
      <c r="V22" s="37">
        <f>VLOOKUP(B22,Taiwan!$A:$B,2,)</f>
        <v>50.6</v>
      </c>
      <c r="W22" s="37">
        <f>VLOOKUP(B22,Greece!$A:$B,2,)</f>
        <v>50</v>
      </c>
      <c r="X22" s="37">
        <f>VLOOKUP(B22,Ireland!$A:$B,2,)</f>
        <v>54.3</v>
      </c>
      <c r="Y22" s="37">
        <f>VLOOKUP(B22,Turkey!$A:$B,2,)</f>
        <v>50.9</v>
      </c>
      <c r="Z22" s="37">
        <f>VLOOKUP(B22,CzechRepublic!$A:$B,2,)</f>
        <v>56.9</v>
      </c>
      <c r="AA22" s="37">
        <f>VLOOKUP(B22,Poland!$A:$B,2,)</f>
        <v>50.9</v>
      </c>
      <c r="AB22" s="37">
        <f>VLOOKUP(B22,Denmark!$A:$B,2,)</f>
        <v>54.46</v>
      </c>
    </row>
    <row r="23" spans="2:28" x14ac:dyDescent="0.2">
      <c r="B23" s="36">
        <v>42401</v>
      </c>
      <c r="C23" s="37">
        <f>VLOOKUP(B23,Global!$A:$B,2,)</f>
        <v>50</v>
      </c>
      <c r="D23" s="37">
        <f>VLOOKUP(B23,US!$A:$D,4,)</f>
        <v>49.4</v>
      </c>
      <c r="E23" s="37">
        <f>VLOOKUP(B23,US!$A:$B,2,)</f>
        <v>51.3</v>
      </c>
      <c r="F23" s="37">
        <f>VLOOKUP(B23,China!$A:$B,2,)</f>
        <v>48</v>
      </c>
      <c r="G23" s="37">
        <f>VLOOKUP(B23,'Euro Area'!A:B,2,)</f>
        <v>51.2</v>
      </c>
      <c r="H23" s="37">
        <f>VLOOKUP(B23,Japan!$A:$B,2,)</f>
        <v>50.1</v>
      </c>
      <c r="I23" s="37">
        <f>VLOOKUP(B23,Germany!$A:$B,2,)</f>
        <v>50.5</v>
      </c>
      <c r="J23" s="37">
        <f>VLOOKUP(B23,France!$A:$B,2,)</f>
        <v>50.2</v>
      </c>
      <c r="K23" s="37">
        <f>VLOOKUP(B23,UK!$A:$B,2,)</f>
        <v>50.8</v>
      </c>
      <c r="L23" s="37">
        <f>VLOOKUP(B23,Italy!$A:$B,2,)</f>
        <v>52.2</v>
      </c>
      <c r="M23" s="37">
        <f>VLOOKUP(B23,Spain!$A:$B,2,)</f>
        <v>54.1</v>
      </c>
      <c r="N23" s="37">
        <f>VLOOKUP(B23,Brazil!$A:$B,2,)</f>
        <v>44.5</v>
      </c>
      <c r="O23" s="37">
        <f>VLOOKUP(B23,Mexico!$A:$B,2,)</f>
        <v>53.1</v>
      </c>
      <c r="P23" s="37">
        <f>VLOOKUP(B23,Russia!$A:$B,2,)</f>
        <v>49.3</v>
      </c>
      <c r="Q23" s="37">
        <f>VLOOKUP(B23,India!$A:$B,2,)</f>
        <v>51.1</v>
      </c>
      <c r="R23" s="37">
        <f>VLOOKUP(B23,Canada!$A:$B,2,)</f>
        <v>49.4</v>
      </c>
      <c r="S23" s="37">
        <f>VLOOKUP(B23,Australia!$A:$B,2,)</f>
        <v>53.5</v>
      </c>
      <c r="T23" s="37">
        <f>VLOOKUP(B23,Indonesia!$A:$B,2,)</f>
        <v>48.7</v>
      </c>
      <c r="U23" s="37">
        <f>VLOOKUP(B23,SouthKorea!$A:$B,2,)</f>
        <v>48.7</v>
      </c>
      <c r="V23" s="37">
        <f>VLOOKUP(B23,Taiwan!$A:$B,2,)</f>
        <v>49.4</v>
      </c>
      <c r="W23" s="37">
        <f>VLOOKUP(B23,Greece!$A:$B,2,)</f>
        <v>48.4</v>
      </c>
      <c r="X23" s="37">
        <f>VLOOKUP(B23,Ireland!$A:$B,2,)</f>
        <v>52.9</v>
      </c>
      <c r="Y23" s="37">
        <f>VLOOKUP(B23,Turkey!$A:$B,2,)</f>
        <v>50.3</v>
      </c>
      <c r="Z23" s="37">
        <f>VLOOKUP(B23,CzechRepublic!$A:$B,2,)</f>
        <v>55.5</v>
      </c>
      <c r="AA23" s="37">
        <f>VLOOKUP(B23,Poland!$A:$B,2,)</f>
        <v>52.8</v>
      </c>
      <c r="AB23" s="37">
        <f>VLOOKUP(B23,Denmark!$A:$B,2,)</f>
        <v>50.93</v>
      </c>
    </row>
    <row r="24" spans="2:28" x14ac:dyDescent="0.2">
      <c r="B24" s="36">
        <v>42430</v>
      </c>
      <c r="C24" s="37">
        <f>VLOOKUP(B24,Global!$A:$B,2,)</f>
        <v>50.5</v>
      </c>
      <c r="D24" s="37">
        <f>VLOOKUP(B24,US!$A:$D,4,)</f>
        <v>51.2</v>
      </c>
      <c r="E24" s="37">
        <f>VLOOKUP(B24,US!$A:$B,2,)</f>
        <v>51.5</v>
      </c>
      <c r="F24" s="37">
        <f>VLOOKUP(B24,China!$A:$B,2,)</f>
        <v>49.7</v>
      </c>
      <c r="G24" s="37">
        <f>VLOOKUP(B24,'Euro Area'!A:B,2,)</f>
        <v>51.6</v>
      </c>
      <c r="H24" s="37">
        <f>VLOOKUP(B24,Japan!$A:$B,2,)</f>
        <v>49.1</v>
      </c>
      <c r="I24" s="37">
        <f>VLOOKUP(B24,Germany!$A:$B,2,)</f>
        <v>50.7</v>
      </c>
      <c r="J24" s="37">
        <f>VLOOKUP(B24,France!$A:$B,2,)</f>
        <v>49.6</v>
      </c>
      <c r="K24" s="37">
        <f>VLOOKUP(B24,UK!$A:$B,2,)</f>
        <v>51.1</v>
      </c>
      <c r="L24" s="37">
        <f>VLOOKUP(B24,Italy!$A:$B,2,)</f>
        <v>53.5</v>
      </c>
      <c r="M24" s="37">
        <f>VLOOKUP(B24,Spain!$A:$B,2,)</f>
        <v>53.4</v>
      </c>
      <c r="N24" s="37">
        <f>VLOOKUP(B24,Brazil!$A:$B,2,)</f>
        <v>46</v>
      </c>
      <c r="O24" s="37">
        <f>VLOOKUP(B24,Mexico!$A:$B,2,)</f>
        <v>53.2</v>
      </c>
      <c r="P24" s="37">
        <f>VLOOKUP(B24,Russia!$A:$B,2,)</f>
        <v>48.3</v>
      </c>
      <c r="Q24" s="37">
        <f>VLOOKUP(B24,India!$A:$B,2,)</f>
        <v>52.4</v>
      </c>
      <c r="R24" s="37">
        <f>VLOOKUP(B24,Canada!$A:$B,2,)</f>
        <v>51.5</v>
      </c>
      <c r="S24" s="37">
        <f>VLOOKUP(B24,Australia!$A:$B,2,)</f>
        <v>58.1</v>
      </c>
      <c r="T24" s="37">
        <f>VLOOKUP(B24,Indonesia!$A:$B,2,)</f>
        <v>50.6</v>
      </c>
      <c r="U24" s="37">
        <f>VLOOKUP(B24,SouthKorea!$A:$B,2,)</f>
        <v>49.5</v>
      </c>
      <c r="V24" s="37">
        <f>VLOOKUP(B24,Taiwan!$A:$B,2,)</f>
        <v>51.1</v>
      </c>
      <c r="W24" s="37">
        <f>VLOOKUP(B24,Greece!$A:$B,2,)</f>
        <v>49</v>
      </c>
      <c r="X24" s="37">
        <f>VLOOKUP(B24,Ireland!$A:$B,2,)</f>
        <v>54.9</v>
      </c>
      <c r="Y24" s="37">
        <f>VLOOKUP(B24,Turkey!$A:$B,2,)</f>
        <v>49.2</v>
      </c>
      <c r="Z24" s="37">
        <f>VLOOKUP(B24,CzechRepublic!$A:$B,2,)</f>
        <v>54.3</v>
      </c>
      <c r="AA24" s="37">
        <f>VLOOKUP(B24,Poland!$A:$B,2,)</f>
        <v>53.8</v>
      </c>
      <c r="AB24" s="37">
        <f>VLOOKUP(B24,Denmark!$A:$B,2,)</f>
        <v>55.11</v>
      </c>
    </row>
    <row r="25" spans="2:28" x14ac:dyDescent="0.2">
      <c r="B25" s="36">
        <v>42461</v>
      </c>
      <c r="C25" s="37">
        <f>VLOOKUP(B25,Global!$A:$B,2,)</f>
        <v>50.1</v>
      </c>
      <c r="D25" s="37">
        <f>VLOOKUP(B25,US!$A:$D,4,)</f>
        <v>50.8</v>
      </c>
      <c r="E25" s="37">
        <f>VLOOKUP(B25,US!$A:$B,2,)</f>
        <v>50.8</v>
      </c>
      <c r="F25" s="37">
        <f>VLOOKUP(B25,China!$A:$B,2,)</f>
        <v>49.4</v>
      </c>
      <c r="G25" s="37">
        <f>VLOOKUP(B25,'Euro Area'!A:B,2,)</f>
        <v>51.7</v>
      </c>
      <c r="H25" s="37">
        <f>VLOOKUP(B25,Japan!$A:$B,2,)</f>
        <v>48.2</v>
      </c>
      <c r="I25" s="37">
        <f>VLOOKUP(B25,Germany!$A:$B,2,)</f>
        <v>51.8</v>
      </c>
      <c r="J25" s="37">
        <f>VLOOKUP(B25,France!$A:$B,2,)</f>
        <v>48</v>
      </c>
      <c r="K25" s="37">
        <f>VLOOKUP(B25,UK!$A:$B,2,)</f>
        <v>50</v>
      </c>
      <c r="L25" s="37">
        <f>VLOOKUP(B25,Italy!$A:$B,2,)</f>
        <v>53.9</v>
      </c>
      <c r="M25" s="37">
        <f>VLOOKUP(B25,Spain!$A:$B,2,)</f>
        <v>53.5</v>
      </c>
      <c r="N25" s="37">
        <f>VLOOKUP(B25,Brazil!$A:$B,2,)</f>
        <v>42.6</v>
      </c>
      <c r="O25" s="37">
        <f>VLOOKUP(B25,Mexico!$A:$B,2,)</f>
        <v>52.4</v>
      </c>
      <c r="P25" s="37">
        <f>VLOOKUP(B25,Russia!$A:$B,2,)</f>
        <v>48</v>
      </c>
      <c r="Q25" s="37">
        <f>VLOOKUP(B25,India!$A:$B,2,)</f>
        <v>50.5</v>
      </c>
      <c r="R25" s="37">
        <f>VLOOKUP(B25,Canada!$A:$B,2,)</f>
        <v>52.2</v>
      </c>
      <c r="S25" s="37">
        <f>VLOOKUP(B25,Australia!$A:$B,2,)</f>
        <v>53.4</v>
      </c>
      <c r="T25" s="37">
        <f>VLOOKUP(B25,Indonesia!$A:$B,2,)</f>
        <v>50.9</v>
      </c>
      <c r="U25" s="37">
        <f>VLOOKUP(B25,SouthKorea!$A:$B,2,)</f>
        <v>50</v>
      </c>
      <c r="V25" s="37">
        <f>VLOOKUP(B25,Taiwan!$A:$B,2,)</f>
        <v>49.7</v>
      </c>
      <c r="W25" s="37">
        <f>VLOOKUP(B25,Greece!$A:$B,2,)</f>
        <v>49.7</v>
      </c>
      <c r="X25" s="37">
        <f>VLOOKUP(B25,Ireland!$A:$B,2,)</f>
        <v>52.6</v>
      </c>
      <c r="Y25" s="37">
        <f>VLOOKUP(B25,Turkey!$A:$B,2,)</f>
        <v>48.9</v>
      </c>
      <c r="Z25" s="37">
        <f>VLOOKUP(B25,CzechRepublic!$A:$B,2,)</f>
        <v>53.6</v>
      </c>
      <c r="AA25" s="37">
        <f>VLOOKUP(B25,Poland!$A:$B,2,)</f>
        <v>51</v>
      </c>
      <c r="AB25" s="37">
        <f>VLOOKUP(B25,Denmark!$A:$B,2,)</f>
        <v>63.28</v>
      </c>
    </row>
    <row r="26" spans="2:28" x14ac:dyDescent="0.2">
      <c r="B26" s="36">
        <v>42491</v>
      </c>
      <c r="C26" s="37">
        <f>VLOOKUP(B26,Global!$A:$B,2,)</f>
        <v>50</v>
      </c>
      <c r="D26" s="37">
        <f>VLOOKUP(B26,US!$A:$D,4,)</f>
        <v>50.9</v>
      </c>
      <c r="E26" s="37">
        <f>VLOOKUP(B26,US!$A:$B,2,)</f>
        <v>50.7</v>
      </c>
      <c r="F26" s="37">
        <f>VLOOKUP(B26,China!$A:$B,2,)</f>
        <v>49.2</v>
      </c>
      <c r="G26" s="37">
        <f>VLOOKUP(B26,'Euro Area'!A:B,2,)</f>
        <v>51.5</v>
      </c>
      <c r="H26" s="37">
        <f>VLOOKUP(B26,Japan!$A:$B,2,)</f>
        <v>47.7</v>
      </c>
      <c r="I26" s="37">
        <f>VLOOKUP(B26,Germany!$A:$B,2,)</f>
        <v>52.1</v>
      </c>
      <c r="J26" s="37">
        <f>VLOOKUP(B26,France!$A:$B,2,)</f>
        <v>48.4</v>
      </c>
      <c r="K26" s="37">
        <f>VLOOKUP(B26,UK!$A:$B,2,)</f>
        <v>50.7</v>
      </c>
      <c r="L26" s="37">
        <f>VLOOKUP(B26,Italy!$A:$B,2,)</f>
        <v>52.4</v>
      </c>
      <c r="M26" s="37">
        <f>VLOOKUP(B26,Spain!$A:$B,2,)</f>
        <v>51.8</v>
      </c>
      <c r="N26" s="37">
        <f>VLOOKUP(B26,Brazil!$A:$B,2,)</f>
        <v>41.6</v>
      </c>
      <c r="O26" s="37">
        <f>VLOOKUP(B26,Mexico!$A:$B,2,)</f>
        <v>53.6</v>
      </c>
      <c r="P26" s="37">
        <f>VLOOKUP(B26,Russia!$A:$B,2,)</f>
        <v>49.6</v>
      </c>
      <c r="Q26" s="37">
        <f>VLOOKUP(B26,India!$A:$B,2,)</f>
        <v>50.7</v>
      </c>
      <c r="R26" s="37">
        <f>VLOOKUP(B26,Canada!$A:$B,2,)</f>
        <v>52.1</v>
      </c>
      <c r="S26" s="37">
        <f>VLOOKUP(B26,Australia!$A:$B,2,)</f>
        <v>51</v>
      </c>
      <c r="T26" s="37">
        <f>VLOOKUP(B26,Indonesia!$A:$B,2,)</f>
        <v>50.6</v>
      </c>
      <c r="U26" s="37">
        <f>VLOOKUP(B26,SouthKorea!$A:$B,2,)</f>
        <v>50.1</v>
      </c>
      <c r="V26" s="37">
        <f>VLOOKUP(B26,Taiwan!$A:$B,2,)</f>
        <v>48.5</v>
      </c>
      <c r="W26" s="37">
        <f>VLOOKUP(B26,Greece!$A:$B,2,)</f>
        <v>48.4</v>
      </c>
      <c r="X26" s="37">
        <f>VLOOKUP(B26,Ireland!$A:$B,2,)</f>
        <v>51.5</v>
      </c>
      <c r="Y26" s="37">
        <f>VLOOKUP(B26,Turkey!$A:$B,2,)</f>
        <v>49.4</v>
      </c>
      <c r="Z26" s="37">
        <f>VLOOKUP(B26,CzechRepublic!$A:$B,2,)</f>
        <v>53.3</v>
      </c>
      <c r="AA26" s="37">
        <f>VLOOKUP(B26,Poland!$A:$B,2,)</f>
        <v>52.1</v>
      </c>
      <c r="AB26" s="37">
        <f>VLOOKUP(B26,Denmark!$A:$B,2,)</f>
        <v>61.65</v>
      </c>
    </row>
    <row r="27" spans="2:28" x14ac:dyDescent="0.2">
      <c r="B27" s="36">
        <v>42522</v>
      </c>
      <c r="C27" s="37">
        <f>VLOOKUP(B27,Global!$A:$B,2,)</f>
        <v>50.9</v>
      </c>
      <c r="D27" s="37">
        <f>VLOOKUP(B27,US!$A:$D,4,)</f>
        <v>52.5</v>
      </c>
      <c r="E27" s="37">
        <f>VLOOKUP(B27,US!$A:$B,2,)</f>
        <v>51.3</v>
      </c>
      <c r="F27" s="37">
        <f>VLOOKUP(B27,China!$A:$B,2,)</f>
        <v>48.6</v>
      </c>
      <c r="G27" s="37">
        <f>VLOOKUP(B27,'Euro Area'!A:B,2,)</f>
        <v>52.8</v>
      </c>
      <c r="H27" s="37">
        <f>VLOOKUP(B27,Japan!$A:$B,2,)</f>
        <v>48.1</v>
      </c>
      <c r="I27" s="37">
        <f>VLOOKUP(B27,Germany!$A:$B,2,)</f>
        <v>54.5</v>
      </c>
      <c r="J27" s="37">
        <f>VLOOKUP(B27,France!$A:$B,2,)</f>
        <v>48.3</v>
      </c>
      <c r="K27" s="37">
        <f>VLOOKUP(B27,UK!$A:$B,2,)</f>
        <v>53.2</v>
      </c>
      <c r="L27" s="37">
        <f>VLOOKUP(B27,Italy!$A:$B,2,)</f>
        <v>53.5</v>
      </c>
      <c r="M27" s="37">
        <f>VLOOKUP(B27,Spain!$A:$B,2,)</f>
        <v>52.2</v>
      </c>
      <c r="N27" s="37">
        <f>VLOOKUP(B27,Brazil!$A:$B,2,)</f>
        <v>43.2</v>
      </c>
      <c r="O27" s="37">
        <f>VLOOKUP(B27,Mexico!$A:$B,2,)</f>
        <v>51.1</v>
      </c>
      <c r="P27" s="37">
        <f>VLOOKUP(B27,Russia!$A:$B,2,)</f>
        <v>51.5</v>
      </c>
      <c r="Q27" s="37">
        <f>VLOOKUP(B27,India!$A:$B,2,)</f>
        <v>51.7</v>
      </c>
      <c r="R27" s="37">
        <f>VLOOKUP(B27,Canada!$A:$B,2,)</f>
        <v>51.8</v>
      </c>
      <c r="S27" s="37">
        <f>VLOOKUP(B27,Australia!$A:$B,2,)</f>
        <v>51.8</v>
      </c>
      <c r="T27" s="37">
        <f>VLOOKUP(B27,Indonesia!$A:$B,2,)</f>
        <v>51.9</v>
      </c>
      <c r="U27" s="37">
        <f>VLOOKUP(B27,SouthKorea!$A:$B,2,)</f>
        <v>50.5</v>
      </c>
      <c r="V27" s="37">
        <f>VLOOKUP(B27,Taiwan!$A:$B,2,)</f>
        <v>50.5</v>
      </c>
      <c r="W27" s="37">
        <f>VLOOKUP(B27,Greece!$A:$B,2,)</f>
        <v>50.4</v>
      </c>
      <c r="X27" s="37">
        <f>VLOOKUP(B27,Ireland!$A:$B,2,)</f>
        <v>53</v>
      </c>
      <c r="Y27" s="37">
        <f>VLOOKUP(B27,Turkey!$A:$B,2,)</f>
        <v>47.4</v>
      </c>
      <c r="Z27" s="37">
        <f>VLOOKUP(B27,CzechRepublic!$A:$B,2,)</f>
        <v>51.8</v>
      </c>
      <c r="AA27" s="37">
        <f>VLOOKUP(B27,Poland!$A:$B,2,)</f>
        <v>51.8</v>
      </c>
      <c r="AB27" s="37">
        <f>VLOOKUP(B27,Denmark!$A:$B,2,)</f>
        <v>59.75</v>
      </c>
    </row>
    <row r="28" spans="2:28" x14ac:dyDescent="0.2">
      <c r="B28" s="36">
        <v>42552</v>
      </c>
      <c r="C28" s="37">
        <f>VLOOKUP(B28,Global!$A:$B,2,)</f>
        <v>51</v>
      </c>
      <c r="D28" s="37">
        <f>VLOOKUP(B28,US!$A:$D,4,)</f>
        <v>52.9</v>
      </c>
      <c r="E28" s="37">
        <f>VLOOKUP(B28,US!$A:$B,2,)</f>
        <v>52.9</v>
      </c>
      <c r="F28" s="37">
        <f>VLOOKUP(B28,China!$A:$B,2,)</f>
        <v>50.6</v>
      </c>
      <c r="G28" s="37">
        <f>VLOOKUP(B28,'Euro Area'!A:B,2,)</f>
        <v>52</v>
      </c>
      <c r="H28" s="37">
        <f>VLOOKUP(B28,Japan!$A:$B,2,)</f>
        <v>49.3</v>
      </c>
      <c r="I28" s="37">
        <f>VLOOKUP(B28,Germany!$A:$B,2,)</f>
        <v>53.8</v>
      </c>
      <c r="J28" s="37">
        <f>VLOOKUP(B28,France!$A:$B,2,)</f>
        <v>48.6</v>
      </c>
      <c r="K28" s="37">
        <f>VLOOKUP(B28,UK!$A:$B,2,)</f>
        <v>48.5</v>
      </c>
      <c r="L28" s="37">
        <f>VLOOKUP(B28,Italy!$A:$B,2,)</f>
        <v>51.2</v>
      </c>
      <c r="M28" s="37">
        <f>VLOOKUP(B28,Spain!$A:$B,2,)</f>
        <v>51</v>
      </c>
      <c r="N28" s="37">
        <f>VLOOKUP(B28,Brazil!$A:$B,2,)</f>
        <v>46</v>
      </c>
      <c r="O28" s="37">
        <f>VLOOKUP(B28,Mexico!$A:$B,2,)</f>
        <v>50.6</v>
      </c>
      <c r="P28" s="37">
        <f>VLOOKUP(B28,Russia!$A:$B,2,)</f>
        <v>49.5</v>
      </c>
      <c r="Q28" s="37">
        <f>VLOOKUP(B28,India!$A:$B,2,)</f>
        <v>51.8</v>
      </c>
      <c r="R28" s="37">
        <f>VLOOKUP(B28,Canada!$A:$B,2,)</f>
        <v>51.9</v>
      </c>
      <c r="S28" s="37">
        <f>VLOOKUP(B28,Australia!$A:$B,2,)</f>
        <v>56.4</v>
      </c>
      <c r="T28" s="37">
        <f>VLOOKUP(B28,Indonesia!$A:$B,2,)</f>
        <v>48.4</v>
      </c>
      <c r="U28" s="37">
        <f>VLOOKUP(B28,SouthKorea!$A:$B,2,)</f>
        <v>50.1</v>
      </c>
      <c r="V28" s="37">
        <f>VLOOKUP(B28,Taiwan!$A:$B,2,)</f>
        <v>51</v>
      </c>
      <c r="W28" s="37">
        <f>VLOOKUP(B28,Greece!$A:$B,2,)</f>
        <v>48.7</v>
      </c>
      <c r="X28" s="37">
        <f>VLOOKUP(B28,Ireland!$A:$B,2,)</f>
        <v>50.2</v>
      </c>
      <c r="Y28" s="37">
        <f>VLOOKUP(B28,Turkey!$A:$B,2,)</f>
        <v>47.6</v>
      </c>
      <c r="Z28" s="37">
        <f>VLOOKUP(B28,CzechRepublic!$A:$B,2,)</f>
        <v>49.3</v>
      </c>
      <c r="AA28" s="37">
        <f>VLOOKUP(B28,Poland!$A:$B,2,)</f>
        <v>50.3</v>
      </c>
      <c r="AB28" s="37">
        <f>VLOOKUP(B28,Denmark!$A:$B,2,)</f>
        <v>59.53</v>
      </c>
    </row>
    <row r="29" spans="2:28" x14ac:dyDescent="0.2">
      <c r="B29" s="36">
        <v>42583</v>
      </c>
      <c r="C29" s="37">
        <f>VLOOKUP(B29,Global!$A:$B,2,)</f>
        <v>50.9</v>
      </c>
      <c r="D29" s="37">
        <f>VLOOKUP(B29,US!$A:$D,4,)</f>
        <v>49.9</v>
      </c>
      <c r="E29" s="37">
        <f>VLOOKUP(B29,US!$A:$B,2,)</f>
        <v>52</v>
      </c>
      <c r="F29" s="37">
        <f>VLOOKUP(B29,China!$A:$B,2,)</f>
        <v>50</v>
      </c>
      <c r="G29" s="37">
        <f>VLOOKUP(B29,'Euro Area'!A:B,2,)</f>
        <v>51.7</v>
      </c>
      <c r="H29" s="37">
        <f>VLOOKUP(B29,Japan!$A:$B,2,)</f>
        <v>49.5</v>
      </c>
      <c r="I29" s="37">
        <f>VLOOKUP(B29,Germany!$A:$B,2,)</f>
        <v>53.6</v>
      </c>
      <c r="J29" s="37">
        <f>VLOOKUP(B29,France!$A:$B,2,)</f>
        <v>48.3</v>
      </c>
      <c r="K29" s="37">
        <f>VLOOKUP(B29,UK!$A:$B,2,)</f>
        <v>53.2</v>
      </c>
      <c r="L29" s="37">
        <f>VLOOKUP(B29,Italy!$A:$B,2,)</f>
        <v>49.8</v>
      </c>
      <c r="M29" s="37">
        <f>VLOOKUP(B29,Spain!$A:$B,2,)</f>
        <v>51</v>
      </c>
      <c r="N29" s="37">
        <f>VLOOKUP(B29,Brazil!$A:$B,2,)</f>
        <v>45.7</v>
      </c>
      <c r="O29" s="37">
        <f>VLOOKUP(B29,Mexico!$A:$B,2,)</f>
        <v>50.9</v>
      </c>
      <c r="P29" s="37">
        <f>VLOOKUP(B29,Russia!$A:$B,2,)</f>
        <v>50.8</v>
      </c>
      <c r="Q29" s="37">
        <f>VLOOKUP(B29,India!$A:$B,2,)</f>
        <v>52.6</v>
      </c>
      <c r="R29" s="37">
        <f>VLOOKUP(B29,Canada!$A:$B,2,)</f>
        <v>51.1</v>
      </c>
      <c r="S29" s="37">
        <f>VLOOKUP(B29,Australia!$A:$B,2,)</f>
        <v>46.9</v>
      </c>
      <c r="T29" s="37">
        <f>VLOOKUP(B29,Indonesia!$A:$B,2,)</f>
        <v>50.4</v>
      </c>
      <c r="U29" s="37">
        <f>VLOOKUP(B29,SouthKorea!$A:$B,2,)</f>
        <v>48.6</v>
      </c>
      <c r="V29" s="37">
        <f>VLOOKUP(B29,Taiwan!$A:$B,2,)</f>
        <v>51.8</v>
      </c>
      <c r="W29" s="37">
        <f>VLOOKUP(B29,Greece!$A:$B,2,)</f>
        <v>50.4</v>
      </c>
      <c r="X29" s="37">
        <f>VLOOKUP(B29,Ireland!$A:$B,2,)</f>
        <v>51.7</v>
      </c>
      <c r="Y29" s="37">
        <f>VLOOKUP(B29,Turkey!$A:$B,2,)</f>
        <v>47</v>
      </c>
      <c r="Z29" s="37">
        <f>VLOOKUP(B29,CzechRepublic!$A:$B,2,)</f>
        <v>50.1</v>
      </c>
      <c r="AA29" s="37">
        <f>VLOOKUP(B29,Poland!$A:$B,2,)</f>
        <v>51.5</v>
      </c>
      <c r="AB29" s="37">
        <f>VLOOKUP(B29,Denmark!$A:$B,2,)</f>
        <v>53.62</v>
      </c>
    </row>
    <row r="30" spans="2:28" x14ac:dyDescent="0.2">
      <c r="B30" s="36">
        <v>42614</v>
      </c>
      <c r="C30" s="37">
        <f>VLOOKUP(B30,Global!$A:$B,2,)</f>
        <v>51</v>
      </c>
      <c r="D30" s="37">
        <f>VLOOKUP(B30,US!$A:$D,4,)</f>
        <v>51.4</v>
      </c>
      <c r="E30" s="37">
        <f>VLOOKUP(B30,US!$A:$B,2,)</f>
        <v>51.5</v>
      </c>
      <c r="F30" s="37">
        <f>VLOOKUP(B30,China!$A:$B,2,)</f>
        <v>50.1</v>
      </c>
      <c r="G30" s="37">
        <f>VLOOKUP(B30,'Euro Area'!A:B,2,)</f>
        <v>52.6</v>
      </c>
      <c r="H30" s="37">
        <f>VLOOKUP(B30,Japan!$A:$B,2,)</f>
        <v>50.4</v>
      </c>
      <c r="I30" s="37">
        <f>VLOOKUP(B30,Germany!$A:$B,2,)</f>
        <v>54.3</v>
      </c>
      <c r="J30" s="37">
        <f>VLOOKUP(B30,France!$A:$B,2,)</f>
        <v>49.7</v>
      </c>
      <c r="K30" s="37">
        <f>VLOOKUP(B30,UK!$A:$B,2,)</f>
        <v>55.6</v>
      </c>
      <c r="L30" s="37">
        <f>VLOOKUP(B30,Italy!$A:$B,2,)</f>
        <v>51</v>
      </c>
      <c r="M30" s="37">
        <f>VLOOKUP(B30,Spain!$A:$B,2,)</f>
        <v>52.3</v>
      </c>
      <c r="N30" s="37">
        <f>VLOOKUP(B30,Brazil!$A:$B,2,)</f>
        <v>46</v>
      </c>
      <c r="O30" s="37">
        <f>VLOOKUP(B30,Mexico!$A:$B,2,)</f>
        <v>51.9</v>
      </c>
      <c r="P30" s="37">
        <f>VLOOKUP(B30,Russia!$A:$B,2,)</f>
        <v>51.1</v>
      </c>
      <c r="Q30" s="37">
        <f>VLOOKUP(B30,India!$A:$B,2,)</f>
        <v>52.1</v>
      </c>
      <c r="R30" s="37">
        <f>VLOOKUP(B30,Canada!$A:$B,2,)</f>
        <v>50.3</v>
      </c>
      <c r="S30" s="37">
        <f>VLOOKUP(B30,Australia!$A:$B,2,)</f>
        <v>49.8</v>
      </c>
      <c r="T30" s="37">
        <f>VLOOKUP(B30,Indonesia!$A:$B,2,)</f>
        <v>50.9</v>
      </c>
      <c r="U30" s="37">
        <f>VLOOKUP(B30,SouthKorea!$A:$B,2,)</f>
        <v>47.6</v>
      </c>
      <c r="V30" s="37">
        <f>VLOOKUP(B30,Taiwan!$A:$B,2,)</f>
        <v>52.2</v>
      </c>
      <c r="W30" s="37">
        <f>VLOOKUP(B30,Greece!$A:$B,2,)</f>
        <v>49.2</v>
      </c>
      <c r="X30" s="37">
        <f>VLOOKUP(B30,Ireland!$A:$B,2,)</f>
        <v>51.3</v>
      </c>
      <c r="Y30" s="37">
        <f>VLOOKUP(B30,Turkey!$A:$B,2,)</f>
        <v>48.3</v>
      </c>
      <c r="Z30" s="37">
        <f>VLOOKUP(B30,CzechRepublic!$A:$B,2,)</f>
        <v>52</v>
      </c>
      <c r="AA30" s="37">
        <f>VLOOKUP(B30,Poland!$A:$B,2,)</f>
        <v>52.2</v>
      </c>
      <c r="AB30" s="37">
        <f>VLOOKUP(B30,Denmark!$A:$B,2,)</f>
        <v>58.98</v>
      </c>
    </row>
    <row r="31" spans="2:28" x14ac:dyDescent="0.2">
      <c r="B31" s="36">
        <v>42644</v>
      </c>
      <c r="C31" s="37">
        <f>VLOOKUP(B31,Global!$A:$B,2,)</f>
        <v>52</v>
      </c>
      <c r="D31" s="37">
        <f>VLOOKUP(B31,US!$A:$D,4,)</f>
        <v>51.8</v>
      </c>
      <c r="E31" s="37">
        <f>VLOOKUP(B31,US!$A:$B,2,)</f>
        <v>53.4</v>
      </c>
      <c r="F31" s="37">
        <f>VLOOKUP(B31,China!$A:$B,2,)</f>
        <v>51.2</v>
      </c>
      <c r="G31" s="37">
        <f>VLOOKUP(B31,'Euro Area'!A:B,2,)</f>
        <v>53.5</v>
      </c>
      <c r="H31" s="37">
        <f>VLOOKUP(B31,Japan!$A:$B,2,)</f>
        <v>51.4</v>
      </c>
      <c r="I31" s="37">
        <f>VLOOKUP(B31,Germany!$A:$B,2,)</f>
        <v>55</v>
      </c>
      <c r="J31" s="37">
        <f>VLOOKUP(B31,France!$A:$B,2,)</f>
        <v>51.8</v>
      </c>
      <c r="K31" s="37">
        <f>VLOOKUP(B31,UK!$A:$B,2,)</f>
        <v>53.8</v>
      </c>
      <c r="L31" s="37">
        <f>VLOOKUP(B31,Italy!$A:$B,2,)</f>
        <v>50.9</v>
      </c>
      <c r="M31" s="37">
        <f>VLOOKUP(B31,Spain!$A:$B,2,)</f>
        <v>53.3</v>
      </c>
      <c r="N31" s="37">
        <f>VLOOKUP(B31,Brazil!$A:$B,2,)</f>
        <v>46.3</v>
      </c>
      <c r="O31" s="37">
        <f>VLOOKUP(B31,Mexico!$A:$B,2,)</f>
        <v>51.8</v>
      </c>
      <c r="P31" s="37">
        <f>VLOOKUP(B31,Russia!$A:$B,2,)</f>
        <v>52.4</v>
      </c>
      <c r="Q31" s="37">
        <f>VLOOKUP(B31,India!$A:$B,2,)</f>
        <v>54.4</v>
      </c>
      <c r="R31" s="37">
        <f>VLOOKUP(B31,Canada!$A:$B,2,)</f>
        <v>51.1</v>
      </c>
      <c r="S31" s="37">
        <f>VLOOKUP(B31,Australia!$A:$B,2,)</f>
        <v>50.9</v>
      </c>
      <c r="T31" s="37">
        <f>VLOOKUP(B31,Indonesia!$A:$B,2,)</f>
        <v>48.7</v>
      </c>
      <c r="U31" s="37">
        <f>VLOOKUP(B31,SouthKorea!$A:$B,2,)</f>
        <v>48</v>
      </c>
      <c r="V31" s="37">
        <f>VLOOKUP(B31,Taiwan!$A:$B,2,)</f>
        <v>52.7</v>
      </c>
      <c r="W31" s="37">
        <f>VLOOKUP(B31,Greece!$A:$B,2,)</f>
        <v>48.6</v>
      </c>
      <c r="X31" s="37">
        <f>VLOOKUP(B31,Ireland!$A:$B,2,)</f>
        <v>52.1</v>
      </c>
      <c r="Y31" s="37">
        <f>VLOOKUP(B31,Turkey!$A:$B,2,)</f>
        <v>49.8</v>
      </c>
      <c r="Z31" s="37">
        <f>VLOOKUP(B31,CzechRepublic!$A:$B,2,)</f>
        <v>53.3</v>
      </c>
      <c r="AA31" s="37">
        <f>VLOOKUP(B31,Poland!$A:$B,2,)</f>
        <v>50.2</v>
      </c>
      <c r="AB31" s="37">
        <f>VLOOKUP(B31,Denmark!$A:$B,2,)</f>
        <v>57.31</v>
      </c>
    </row>
    <row r="32" spans="2:28" x14ac:dyDescent="0.2">
      <c r="B32" s="36">
        <v>42675</v>
      </c>
      <c r="C32" s="37">
        <f>VLOOKUP(B32,Global!$A:$B,2,)</f>
        <v>52.1</v>
      </c>
      <c r="D32" s="37">
        <f>VLOOKUP(B32,US!$A:$D,4,)</f>
        <v>53.4</v>
      </c>
      <c r="E32" s="37">
        <f>VLOOKUP(B32,US!$A:$B,2,)</f>
        <v>54.1</v>
      </c>
      <c r="F32" s="37">
        <f>VLOOKUP(B32,China!$A:$B,2,)</f>
        <v>50.9</v>
      </c>
      <c r="G32" s="37">
        <f>VLOOKUP(B32,'Euro Area'!A:B,2,)</f>
        <v>53.7</v>
      </c>
      <c r="H32" s="37">
        <f>VLOOKUP(B32,Japan!$A:$B,2,)</f>
        <v>51.3</v>
      </c>
      <c r="I32" s="37">
        <f>VLOOKUP(B32,Germany!$A:$B,2,)</f>
        <v>54.3</v>
      </c>
      <c r="J32" s="37">
        <f>VLOOKUP(B32,France!$A:$B,2,)</f>
        <v>51.7</v>
      </c>
      <c r="K32" s="37">
        <f>VLOOKUP(B32,UK!$A:$B,2,)</f>
        <v>53.2</v>
      </c>
      <c r="L32" s="37">
        <f>VLOOKUP(B32,Italy!$A:$B,2,)</f>
        <v>52.2</v>
      </c>
      <c r="M32" s="37">
        <f>VLOOKUP(B32,Spain!$A:$B,2,)</f>
        <v>54.5</v>
      </c>
      <c r="N32" s="37">
        <f>VLOOKUP(B32,Brazil!$A:$B,2,)</f>
        <v>46.2</v>
      </c>
      <c r="O32" s="37">
        <f>VLOOKUP(B32,Mexico!$A:$B,2,)</f>
        <v>51.1</v>
      </c>
      <c r="P32" s="37">
        <f>VLOOKUP(B32,Russia!$A:$B,2,)</f>
        <v>53.6</v>
      </c>
      <c r="Q32" s="37">
        <f>VLOOKUP(B32,India!$A:$B,2,)</f>
        <v>52.3</v>
      </c>
      <c r="R32" s="37">
        <f>VLOOKUP(B32,Canada!$A:$B,2,)</f>
        <v>51.5</v>
      </c>
      <c r="S32" s="37">
        <f>VLOOKUP(B32,Australia!$A:$B,2,)</f>
        <v>54.2</v>
      </c>
      <c r="T32" s="37">
        <f>VLOOKUP(B32,Indonesia!$A:$B,2,)</f>
        <v>49.7</v>
      </c>
      <c r="U32" s="37">
        <f>VLOOKUP(B32,SouthKorea!$A:$B,2,)</f>
        <v>48</v>
      </c>
      <c r="V32" s="37">
        <f>VLOOKUP(B32,Taiwan!$A:$B,2,)</f>
        <v>54.7</v>
      </c>
      <c r="W32" s="37">
        <f>VLOOKUP(B32,Greece!$A:$B,2,)</f>
        <v>48.3</v>
      </c>
      <c r="X32" s="37">
        <f>VLOOKUP(B32,Ireland!$A:$B,2,)</f>
        <v>53.7</v>
      </c>
      <c r="Y32" s="37">
        <f>VLOOKUP(B32,Turkey!$A:$B,2,)</f>
        <v>48.8</v>
      </c>
      <c r="Z32" s="37">
        <f>VLOOKUP(B32,CzechRepublic!$A:$B,2,)</f>
        <v>52.2</v>
      </c>
      <c r="AA32" s="37">
        <f>VLOOKUP(B32,Poland!$A:$B,2,)</f>
        <v>51.9</v>
      </c>
      <c r="AB32" s="37">
        <f>VLOOKUP(B32,Denmark!$A:$B,2,)</f>
        <v>57.22</v>
      </c>
    </row>
    <row r="33" spans="2:28" x14ac:dyDescent="0.2">
      <c r="B33" s="36">
        <v>42705</v>
      </c>
      <c r="C33" s="37">
        <f>VLOOKUP(B33,Global!$A:$B,2,)</f>
        <v>52.7</v>
      </c>
      <c r="D33" s="37">
        <f>VLOOKUP(B33,US!$A:$D,4,)</f>
        <v>54.3</v>
      </c>
      <c r="E33" s="37">
        <f>VLOOKUP(B33,US!$A:$B,2,)</f>
        <v>54.3</v>
      </c>
      <c r="F33" s="37">
        <f>VLOOKUP(B33,China!$A:$B,2,)</f>
        <v>51.9</v>
      </c>
      <c r="G33" s="37">
        <f>VLOOKUP(B33,'Euro Area'!A:B,2,)</f>
        <v>54.9</v>
      </c>
      <c r="H33" s="37">
        <f>VLOOKUP(B33,Japan!$A:$B,2,)</f>
        <v>52.4</v>
      </c>
      <c r="I33" s="37">
        <f>VLOOKUP(B33,Germany!$A:$B,2,)</f>
        <v>55.6</v>
      </c>
      <c r="J33" s="37">
        <f>VLOOKUP(B33,France!$A:$B,2,)</f>
        <v>53.5</v>
      </c>
      <c r="K33" s="37">
        <f>VLOOKUP(B33,UK!$A:$B,2,)</f>
        <v>55.6</v>
      </c>
      <c r="L33" s="37">
        <f>VLOOKUP(B33,Italy!$A:$B,2,)</f>
        <v>53.2</v>
      </c>
      <c r="M33" s="37">
        <f>VLOOKUP(B33,Spain!$A:$B,2,)</f>
        <v>55.3</v>
      </c>
      <c r="N33" s="37">
        <f>VLOOKUP(B33,Brazil!$A:$B,2,)</f>
        <v>45.2</v>
      </c>
      <c r="O33" s="37">
        <f>VLOOKUP(B33,Mexico!$A:$B,2,)</f>
        <v>50.2</v>
      </c>
      <c r="P33" s="37">
        <f>VLOOKUP(B33,Russia!$A:$B,2,)</f>
        <v>53.7</v>
      </c>
      <c r="Q33" s="37">
        <f>VLOOKUP(B33,India!$A:$B,2,)</f>
        <v>49.6</v>
      </c>
      <c r="R33" s="37">
        <f>VLOOKUP(B33,Canada!$A:$B,2,)</f>
        <v>51.8</v>
      </c>
      <c r="S33" s="37">
        <f>VLOOKUP(B33,Australia!$A:$B,2,)</f>
        <v>55.4</v>
      </c>
      <c r="T33" s="37">
        <f>VLOOKUP(B33,Indonesia!$A:$B,2,)</f>
        <v>49</v>
      </c>
      <c r="U33" s="37">
        <f>VLOOKUP(B33,SouthKorea!$A:$B,2,)</f>
        <v>49.4</v>
      </c>
      <c r="V33" s="37">
        <f>VLOOKUP(B33,Taiwan!$A:$B,2,)</f>
        <v>56.2</v>
      </c>
      <c r="W33" s="37">
        <f>VLOOKUP(B33,Greece!$A:$B,2,)</f>
        <v>49.3</v>
      </c>
      <c r="X33" s="37">
        <f>VLOOKUP(B33,Ireland!$A:$B,2,)</f>
        <v>55.7</v>
      </c>
      <c r="Y33" s="37">
        <f>VLOOKUP(B33,Turkey!$A:$B,2,)</f>
        <v>47.7</v>
      </c>
      <c r="Z33" s="37">
        <f>VLOOKUP(B33,CzechRepublic!$A:$B,2,)</f>
        <v>53.8</v>
      </c>
      <c r="AA33" s="37">
        <f>VLOOKUP(B33,Poland!$A:$B,2,)</f>
        <v>54.3</v>
      </c>
      <c r="AB33" s="37">
        <f>VLOOKUP(B33,Denmark!$A:$B,2,)</f>
        <v>62.52</v>
      </c>
    </row>
    <row r="34" spans="2:28" x14ac:dyDescent="0.2">
      <c r="B34" s="36">
        <v>42736</v>
      </c>
      <c r="C34" s="37">
        <f>VLOOKUP(B34,Global!$A:$B,2,)</f>
        <v>52.7</v>
      </c>
      <c r="D34" s="37">
        <f>VLOOKUP(B34,US!$A:$D,4,)</f>
        <v>55.6</v>
      </c>
      <c r="E34" s="37">
        <f>VLOOKUP(B34,US!$A:$B,2,)</f>
        <v>55</v>
      </c>
      <c r="F34" s="37">
        <f>VLOOKUP(B34,China!$A:$B,2,)</f>
        <v>51</v>
      </c>
      <c r="G34" s="37">
        <f>VLOOKUP(B34,'Euro Area'!A:B,2,)</f>
        <v>55.2</v>
      </c>
      <c r="H34" s="37">
        <f>VLOOKUP(B34,Japan!$A:$B,2,)</f>
        <v>52.7</v>
      </c>
      <c r="I34" s="37">
        <f>VLOOKUP(B34,Germany!$A:$B,2,)</f>
        <v>56.4</v>
      </c>
      <c r="J34" s="37">
        <f>VLOOKUP(B34,France!$A:$B,2,)</f>
        <v>53.6</v>
      </c>
      <c r="K34" s="37">
        <f>VLOOKUP(B34,UK!$A:$B,2,)</f>
        <v>55.2</v>
      </c>
      <c r="L34" s="37">
        <f>VLOOKUP(B34,Italy!$A:$B,2,)</f>
        <v>53</v>
      </c>
      <c r="M34" s="37">
        <f>VLOOKUP(B34,Spain!$A:$B,2,)</f>
        <v>55.6</v>
      </c>
      <c r="N34" s="37">
        <f>VLOOKUP(B34,Brazil!$A:$B,2,)</f>
        <v>44</v>
      </c>
      <c r="O34" s="37">
        <f>VLOOKUP(B34,Mexico!$A:$B,2,)</f>
        <v>50.8</v>
      </c>
      <c r="P34" s="37">
        <f>VLOOKUP(B34,Russia!$A:$B,2,)</f>
        <v>54.7</v>
      </c>
      <c r="Q34" s="37">
        <f>VLOOKUP(B34,India!$A:$B,2,)</f>
        <v>50.4</v>
      </c>
      <c r="R34" s="37">
        <f>VLOOKUP(B34,Canada!$A:$B,2,)</f>
        <v>53.5</v>
      </c>
      <c r="S34" s="37">
        <f>VLOOKUP(B34,Australia!$A:$B,2,)</f>
        <v>51.2</v>
      </c>
      <c r="T34" s="37">
        <f>VLOOKUP(B34,Indonesia!$A:$B,2,)</f>
        <v>50.4</v>
      </c>
      <c r="U34" s="37">
        <f>VLOOKUP(B34,SouthKorea!$A:$B,2,)</f>
        <v>49</v>
      </c>
      <c r="V34" s="37">
        <f>VLOOKUP(B34,Taiwan!$A:$B,2,)</f>
        <v>55.6</v>
      </c>
      <c r="W34" s="37">
        <f>VLOOKUP(B34,Greece!$A:$B,2,)</f>
        <v>46.6</v>
      </c>
      <c r="X34" s="37">
        <f>VLOOKUP(B34,Ireland!$A:$B,2,)</f>
        <v>55.5</v>
      </c>
      <c r="Y34" s="37">
        <f>VLOOKUP(B34,Turkey!$A:$B,2,)</f>
        <v>48.7</v>
      </c>
      <c r="Z34" s="37">
        <f>VLOOKUP(B34,CzechRepublic!$A:$B,2,)</f>
        <v>55.7</v>
      </c>
      <c r="AA34" s="37">
        <f>VLOOKUP(B34,Poland!$A:$B,2,)</f>
        <v>54.8</v>
      </c>
      <c r="AB34" s="37">
        <f>VLOOKUP(B34,Denmark!$A:$B,2,)</f>
        <v>57.57</v>
      </c>
    </row>
    <row r="35" spans="2:28" x14ac:dyDescent="0.2">
      <c r="B35" s="36">
        <v>42767</v>
      </c>
      <c r="C35" s="37">
        <f>VLOOKUP(B35,Global!$A:$B,2,)</f>
        <v>53</v>
      </c>
      <c r="D35" s="37">
        <f>VLOOKUP(B35,US!$A:$D,4,)</f>
        <v>57.6</v>
      </c>
      <c r="E35" s="37">
        <f>VLOOKUP(B35,US!$A:$B,2,)</f>
        <v>54.2</v>
      </c>
      <c r="F35" s="37">
        <f>VLOOKUP(B35,China!$A:$B,2,)</f>
        <v>51.7</v>
      </c>
      <c r="G35" s="37">
        <f>VLOOKUP(B35,'Euro Area'!A:B,2,)</f>
        <v>55.4</v>
      </c>
      <c r="H35" s="37">
        <f>VLOOKUP(B35,Japan!$A:$B,2,)</f>
        <v>53.3</v>
      </c>
      <c r="I35" s="37">
        <f>VLOOKUP(B35,Germany!$A:$B,2,)</f>
        <v>56.8</v>
      </c>
      <c r="J35" s="37">
        <f>VLOOKUP(B35,France!$A:$B,2,)</f>
        <v>52.2</v>
      </c>
      <c r="K35" s="37">
        <f>VLOOKUP(B35,UK!$A:$B,2,)</f>
        <v>54.5</v>
      </c>
      <c r="L35" s="37">
        <f>VLOOKUP(B35,Italy!$A:$B,2,)</f>
        <v>55</v>
      </c>
      <c r="M35" s="37">
        <f>VLOOKUP(B35,Spain!$A:$B,2,)</f>
        <v>54.8</v>
      </c>
      <c r="N35" s="37">
        <f>VLOOKUP(B35,Brazil!$A:$B,2,)</f>
        <v>46.9</v>
      </c>
      <c r="O35" s="37">
        <f>VLOOKUP(B35,Mexico!$A:$B,2,)</f>
        <v>50.6</v>
      </c>
      <c r="P35" s="37">
        <f>VLOOKUP(B35,Russia!$A:$B,2,)</f>
        <v>52.5</v>
      </c>
      <c r="Q35" s="37">
        <f>VLOOKUP(B35,India!$A:$B,2,)</f>
        <v>50.7</v>
      </c>
      <c r="R35" s="37">
        <f>VLOOKUP(B35,Canada!$A:$B,2,)</f>
        <v>54.7</v>
      </c>
      <c r="S35" s="37">
        <f>VLOOKUP(B35,Australia!$A:$B,2,)</f>
        <v>59.3</v>
      </c>
      <c r="T35" s="37">
        <f>VLOOKUP(B35,Indonesia!$A:$B,2,)</f>
        <v>49.3</v>
      </c>
      <c r="U35" s="37">
        <f>VLOOKUP(B35,SouthKorea!$A:$B,2,)</f>
        <v>49.2</v>
      </c>
      <c r="V35" s="37">
        <f>VLOOKUP(B35,Taiwan!$A:$B,2,)</f>
        <v>54.5</v>
      </c>
      <c r="W35" s="37">
        <f>VLOOKUP(B35,Greece!$A:$B,2,)</f>
        <v>47.7</v>
      </c>
      <c r="X35" s="37">
        <f>VLOOKUP(B35,Ireland!$A:$B,2,)</f>
        <v>53.8</v>
      </c>
      <c r="Y35" s="37">
        <f>VLOOKUP(B35,Turkey!$A:$B,2,)</f>
        <v>49.7</v>
      </c>
      <c r="Z35" s="37">
        <f>VLOOKUP(B35,CzechRepublic!$A:$B,2,)</f>
        <v>57.6</v>
      </c>
      <c r="AA35" s="37">
        <f>VLOOKUP(B35,Poland!$A:$B,2,)</f>
        <v>54.2</v>
      </c>
      <c r="AB35" s="37">
        <f>VLOOKUP(B35,Denmark!$A:$B,2,)</f>
        <v>56.51</v>
      </c>
    </row>
    <row r="36" spans="2:28" x14ac:dyDescent="0.2">
      <c r="B36" s="36">
        <v>42795</v>
      </c>
      <c r="C36" s="37">
        <f>VLOOKUP(B36,Global!$A:$B,2,)</f>
        <v>53</v>
      </c>
      <c r="D36" s="37">
        <f>VLOOKUP(B36,US!$A:$D,4,)</f>
        <v>56.6</v>
      </c>
      <c r="E36" s="37">
        <f>VLOOKUP(B36,US!$A:$B,2,)</f>
        <v>53.3</v>
      </c>
      <c r="F36" s="37">
        <f>VLOOKUP(B36,China!$A:$B,2,)</f>
        <v>51.2</v>
      </c>
      <c r="G36" s="37">
        <f>VLOOKUP(B36,'Euro Area'!A:B,2,)</f>
        <v>56.2</v>
      </c>
      <c r="H36" s="37">
        <f>VLOOKUP(B36,Japan!$A:$B,2,)</f>
        <v>52.4</v>
      </c>
      <c r="I36" s="37">
        <f>VLOOKUP(B36,Germany!$A:$B,2,)</f>
        <v>58.3</v>
      </c>
      <c r="J36" s="37">
        <f>VLOOKUP(B36,France!$A:$B,2,)</f>
        <v>53.3</v>
      </c>
      <c r="K36" s="37">
        <f>VLOOKUP(B36,UK!$A:$B,2,)</f>
        <v>54.1</v>
      </c>
      <c r="L36" s="37">
        <f>VLOOKUP(B36,Italy!$A:$B,2,)</f>
        <v>55.7</v>
      </c>
      <c r="M36" s="37">
        <f>VLOOKUP(B36,Spain!$A:$B,2,)</f>
        <v>53.9</v>
      </c>
      <c r="N36" s="37">
        <f>VLOOKUP(B36,Brazil!$A:$B,2,)</f>
        <v>49.6</v>
      </c>
      <c r="O36" s="37">
        <f>VLOOKUP(B36,Mexico!$A:$B,2,)</f>
        <v>51.5</v>
      </c>
      <c r="P36" s="37">
        <f>VLOOKUP(B36,Russia!$A:$B,2,)</f>
        <v>52.4</v>
      </c>
      <c r="Q36" s="37">
        <f>VLOOKUP(B36,India!$A:$B,2,)</f>
        <v>52.5</v>
      </c>
      <c r="R36" s="37">
        <f>VLOOKUP(B36,Canada!$A:$B,2,)</f>
        <v>55.5</v>
      </c>
      <c r="S36" s="37">
        <f>VLOOKUP(B36,Australia!$A:$B,2,)</f>
        <v>57.5</v>
      </c>
      <c r="T36" s="37">
        <f>VLOOKUP(B36,Indonesia!$A:$B,2,)</f>
        <v>50.5</v>
      </c>
      <c r="U36" s="37">
        <f>VLOOKUP(B36,SouthKorea!$A:$B,2,)</f>
        <v>48.4</v>
      </c>
      <c r="V36" s="37">
        <f>VLOOKUP(B36,Taiwan!$A:$B,2,)</f>
        <v>56.2</v>
      </c>
      <c r="W36" s="37">
        <f>VLOOKUP(B36,Greece!$A:$B,2,)</f>
        <v>46.7</v>
      </c>
      <c r="X36" s="37">
        <f>VLOOKUP(B36,Ireland!$A:$B,2,)</f>
        <v>53.6</v>
      </c>
      <c r="Y36" s="37">
        <f>VLOOKUP(B36,Turkey!$A:$B,2,)</f>
        <v>52.3</v>
      </c>
      <c r="Z36" s="37">
        <f>VLOOKUP(B36,CzechRepublic!$A:$B,2,)</f>
        <v>57.5</v>
      </c>
      <c r="AA36" s="37">
        <f>VLOOKUP(B36,Poland!$A:$B,2,)</f>
        <v>53.5</v>
      </c>
      <c r="AB36" s="37">
        <f>VLOOKUP(B36,Denmark!$A:$B,2,)</f>
        <v>56.62</v>
      </c>
    </row>
    <row r="37" spans="2:28" x14ac:dyDescent="0.2">
      <c r="B37" s="36">
        <v>42826</v>
      </c>
      <c r="C37" s="37">
        <f>VLOOKUP(B37,Global!$A:$B,2,)</f>
        <v>52.7</v>
      </c>
      <c r="D37" s="37">
        <f>VLOOKUP(B37,US!$A:$D,4,)</f>
        <v>55.3</v>
      </c>
      <c r="E37" s="37">
        <f>VLOOKUP(B37,US!$A:$B,2,)</f>
        <v>52.8</v>
      </c>
      <c r="F37" s="37">
        <f>VLOOKUP(B37,China!$A:$B,2,)</f>
        <v>50.3</v>
      </c>
      <c r="G37" s="37">
        <f>VLOOKUP(B37,'Euro Area'!A:B,2,)</f>
        <v>56.7</v>
      </c>
      <c r="H37" s="37">
        <f>VLOOKUP(B37,Japan!$A:$B,2,)</f>
        <v>52.7</v>
      </c>
      <c r="I37" s="37">
        <f>VLOOKUP(B37,Germany!$A:$B,2,)</f>
        <v>58.2</v>
      </c>
      <c r="J37" s="37">
        <f>VLOOKUP(B37,France!$A:$B,2,)</f>
        <v>55.1</v>
      </c>
      <c r="K37" s="37">
        <f>VLOOKUP(B37,UK!$A:$B,2,)</f>
        <v>57.8</v>
      </c>
      <c r="L37" s="37">
        <f>VLOOKUP(B37,Italy!$A:$B,2,)</f>
        <v>56.2</v>
      </c>
      <c r="M37" s="37">
        <f>VLOOKUP(B37,Spain!$A:$B,2,)</f>
        <v>54.5</v>
      </c>
      <c r="N37" s="37">
        <f>VLOOKUP(B37,Brazil!$A:$B,2,)</f>
        <v>50.1</v>
      </c>
      <c r="O37" s="37">
        <f>VLOOKUP(B37,Mexico!$A:$B,2,)</f>
        <v>50.7</v>
      </c>
      <c r="P37" s="37">
        <f>VLOOKUP(B37,Russia!$A:$B,2,)</f>
        <v>50.8</v>
      </c>
      <c r="Q37" s="37">
        <f>VLOOKUP(B37,India!$A:$B,2,)</f>
        <v>52.5</v>
      </c>
      <c r="R37" s="37">
        <f>VLOOKUP(B37,Canada!$A:$B,2,)</f>
        <v>55.9</v>
      </c>
      <c r="S37" s="37">
        <f>VLOOKUP(B37,Australia!$A:$B,2,)</f>
        <v>59.2</v>
      </c>
      <c r="T37" s="37">
        <f>VLOOKUP(B37,Indonesia!$A:$B,2,)</f>
        <v>51.2</v>
      </c>
      <c r="U37" s="37">
        <f>VLOOKUP(B37,SouthKorea!$A:$B,2,)</f>
        <v>49.4</v>
      </c>
      <c r="V37" s="37">
        <f>VLOOKUP(B37,Taiwan!$A:$B,2,)</f>
        <v>54.4</v>
      </c>
      <c r="W37" s="37">
        <f>VLOOKUP(B37,Greece!$A:$B,2,)</f>
        <v>48.2</v>
      </c>
      <c r="X37" s="37">
        <f>VLOOKUP(B37,Ireland!$A:$B,2,)</f>
        <v>55</v>
      </c>
      <c r="Y37" s="37">
        <f>VLOOKUP(B37,Turkey!$A:$B,2,)</f>
        <v>51.7</v>
      </c>
      <c r="Z37" s="37">
        <f>VLOOKUP(B37,CzechRepublic!$A:$B,2,)</f>
        <v>57.5</v>
      </c>
      <c r="AA37" s="37">
        <f>VLOOKUP(B37,Poland!$A:$B,2,)</f>
        <v>54.1</v>
      </c>
      <c r="AB37" s="37">
        <f>VLOOKUP(B37,Denmark!$A:$B,2,)</f>
        <v>49.11</v>
      </c>
    </row>
    <row r="38" spans="2:28" x14ac:dyDescent="0.2">
      <c r="B38" s="36">
        <v>42856</v>
      </c>
      <c r="C38" s="37">
        <f>VLOOKUP(B38,Global!$A:$B,2,)</f>
        <v>52.6</v>
      </c>
      <c r="D38" s="37">
        <f>VLOOKUP(B38,US!$A:$D,4,)</f>
        <v>55.5</v>
      </c>
      <c r="E38" s="37">
        <f>VLOOKUP(B38,US!$A:$B,2,)</f>
        <v>52.7</v>
      </c>
      <c r="F38" s="37">
        <f>VLOOKUP(B38,China!$A:$B,2,)</f>
        <v>49.6</v>
      </c>
      <c r="G38" s="37">
        <f>VLOOKUP(B38,'Euro Area'!A:B,2,)</f>
        <v>57</v>
      </c>
      <c r="H38" s="37">
        <f>VLOOKUP(B38,Japan!$A:$B,2,)</f>
        <v>53.1</v>
      </c>
      <c r="I38" s="37">
        <f>VLOOKUP(B38,Germany!$A:$B,2,)</f>
        <v>59.5</v>
      </c>
      <c r="J38" s="37">
        <f>VLOOKUP(B38,France!$A:$B,2,)</f>
        <v>53.8</v>
      </c>
      <c r="K38" s="37">
        <f>VLOOKUP(B38,UK!$A:$B,2,)</f>
        <v>56.6</v>
      </c>
      <c r="L38" s="37">
        <f>VLOOKUP(B38,Italy!$A:$B,2,)</f>
        <v>55.1</v>
      </c>
      <c r="M38" s="37">
        <f>VLOOKUP(B38,Spain!$A:$B,2,)</f>
        <v>55.4</v>
      </c>
      <c r="N38" s="37">
        <f>VLOOKUP(B38,Brazil!$A:$B,2,)</f>
        <v>52</v>
      </c>
      <c r="O38" s="37">
        <f>VLOOKUP(B38,Mexico!$A:$B,2,)</f>
        <v>51.2</v>
      </c>
      <c r="P38" s="37">
        <f>VLOOKUP(B38,Russia!$A:$B,2,)</f>
        <v>52.4</v>
      </c>
      <c r="Q38" s="37">
        <f>VLOOKUP(B38,India!$A:$B,2,)</f>
        <v>51.6</v>
      </c>
      <c r="R38" s="37">
        <f>VLOOKUP(B38,Canada!$A:$B,2,)</f>
        <v>55.1</v>
      </c>
      <c r="S38" s="37">
        <f>VLOOKUP(B38,Australia!$A:$B,2,)</f>
        <v>54.8</v>
      </c>
      <c r="T38" s="37">
        <f>VLOOKUP(B38,Indonesia!$A:$B,2,)</f>
        <v>50.6</v>
      </c>
      <c r="U38" s="37">
        <f>VLOOKUP(B38,SouthKorea!$A:$B,2,)</f>
        <v>49.2</v>
      </c>
      <c r="V38" s="37">
        <f>VLOOKUP(B38,Taiwan!$A:$B,2,)</f>
        <v>53.1</v>
      </c>
      <c r="W38" s="37">
        <f>VLOOKUP(B38,Greece!$A:$B,2,)</f>
        <v>49.6</v>
      </c>
      <c r="X38" s="37">
        <f>VLOOKUP(B38,Ireland!$A:$B,2,)</f>
        <v>55.9</v>
      </c>
      <c r="Y38" s="37">
        <f>VLOOKUP(B38,Turkey!$A:$B,2,)</f>
        <v>53.5</v>
      </c>
      <c r="Z38" s="37">
        <f>VLOOKUP(B38,CzechRepublic!$A:$B,2,)</f>
        <v>56.4</v>
      </c>
      <c r="AA38" s="37">
        <f>VLOOKUP(B38,Poland!$A:$B,2,)</f>
        <v>52.7</v>
      </c>
      <c r="AB38" s="37">
        <f>VLOOKUP(B38,Denmark!$A:$B,2,)</f>
        <v>57.99</v>
      </c>
    </row>
    <row r="39" spans="2:28" x14ac:dyDescent="0.2">
      <c r="B39" s="36">
        <v>42887</v>
      </c>
      <c r="C39" s="37">
        <f>VLOOKUP(B39,Global!$A:$B,2,)</f>
        <v>52.6</v>
      </c>
      <c r="D39" s="37">
        <f>VLOOKUP(B39,US!$A:$D,4,)</f>
        <v>56.7</v>
      </c>
      <c r="E39" s="37">
        <f>VLOOKUP(B39,US!$A:$B,2,)</f>
        <v>52</v>
      </c>
      <c r="F39" s="37">
        <f>VLOOKUP(B39,China!$A:$B,2,)</f>
        <v>50.4</v>
      </c>
      <c r="G39" s="37">
        <f>VLOOKUP(B39,'Euro Area'!A:B,2,)</f>
        <v>57.4</v>
      </c>
      <c r="H39" s="37">
        <f>VLOOKUP(B39,Japan!$A:$B,2,)</f>
        <v>52.4</v>
      </c>
      <c r="I39" s="37">
        <f>VLOOKUP(B39,Germany!$A:$B,2,)</f>
        <v>59.6</v>
      </c>
      <c r="J39" s="37">
        <f>VLOOKUP(B39,France!$A:$B,2,)</f>
        <v>54.8</v>
      </c>
      <c r="K39" s="37">
        <f>VLOOKUP(B39,UK!$A:$B,2,)</f>
        <v>54.4</v>
      </c>
      <c r="L39" s="37">
        <f>VLOOKUP(B39,Italy!$A:$B,2,)</f>
        <v>55.2</v>
      </c>
      <c r="M39" s="37">
        <f>VLOOKUP(B39,Spain!$A:$B,2,)</f>
        <v>54.7</v>
      </c>
      <c r="N39" s="37">
        <f>VLOOKUP(B39,Brazil!$A:$B,2,)</f>
        <v>50.5</v>
      </c>
      <c r="O39" s="37">
        <f>VLOOKUP(B39,Mexico!$A:$B,2,)</f>
        <v>52.3</v>
      </c>
      <c r="P39" s="37">
        <f>VLOOKUP(B39,Russia!$A:$B,2,)</f>
        <v>50.3</v>
      </c>
      <c r="Q39" s="37">
        <f>VLOOKUP(B39,India!$A:$B,2,)</f>
        <v>50.9</v>
      </c>
      <c r="R39" s="37">
        <f>VLOOKUP(B39,Canada!$A:$B,2,)</f>
        <v>54.7</v>
      </c>
      <c r="S39" s="37">
        <f>VLOOKUP(B39,Australia!$A:$B,2,)</f>
        <v>55</v>
      </c>
      <c r="T39" s="37">
        <f>VLOOKUP(B39,Indonesia!$A:$B,2,)</f>
        <v>49.5</v>
      </c>
      <c r="U39" s="37">
        <f>VLOOKUP(B39,SouthKorea!$A:$B,2,)</f>
        <v>50.1</v>
      </c>
      <c r="V39" s="37">
        <f>VLOOKUP(B39,Taiwan!$A:$B,2,)</f>
        <v>53.3</v>
      </c>
      <c r="W39" s="37">
        <f>VLOOKUP(B39,Greece!$A:$B,2,)</f>
        <v>50.5</v>
      </c>
      <c r="X39" s="37">
        <f>VLOOKUP(B39,Ireland!$A:$B,2,)</f>
        <v>56</v>
      </c>
      <c r="Y39" s="37">
        <f>VLOOKUP(B39,Turkey!$A:$B,2,)</f>
        <v>54.7</v>
      </c>
      <c r="Z39" s="37">
        <f>VLOOKUP(B39,CzechRepublic!$A:$B,2,)</f>
        <v>56.4</v>
      </c>
      <c r="AA39" s="37">
        <f>VLOOKUP(B39,Poland!$A:$B,2,)</f>
        <v>53.1</v>
      </c>
      <c r="AB39" s="37">
        <f>VLOOKUP(B39,Denmark!$A:$B,2,)</f>
        <v>63.61</v>
      </c>
    </row>
    <row r="40" spans="2:28" x14ac:dyDescent="0.2">
      <c r="B40" s="36">
        <v>42917</v>
      </c>
      <c r="C40" s="37">
        <f>VLOOKUP(B40,Global!$A:$B,2,)</f>
        <v>52.8</v>
      </c>
      <c r="D40" s="37">
        <f>VLOOKUP(B40,US!$A:$D,4,)</f>
        <v>56.5</v>
      </c>
      <c r="E40" s="37">
        <f>VLOOKUP(B40,US!$A:$B,2,)</f>
        <v>53.3</v>
      </c>
      <c r="F40" s="37">
        <f>VLOOKUP(B40,China!$A:$B,2,)</f>
        <v>51.1</v>
      </c>
      <c r="G40" s="37">
        <f>VLOOKUP(B40,'Euro Area'!A:B,2,)</f>
        <v>56.6</v>
      </c>
      <c r="H40" s="37">
        <f>VLOOKUP(B40,Japan!$A:$B,2,)</f>
        <v>52.1</v>
      </c>
      <c r="I40" s="37">
        <f>VLOOKUP(B40,Germany!$A:$B,2,)</f>
        <v>58.1</v>
      </c>
      <c r="J40" s="37">
        <f>VLOOKUP(B40,France!$A:$B,2,)</f>
        <v>54.9</v>
      </c>
      <c r="K40" s="37">
        <f>VLOOKUP(B40,UK!$A:$B,2,)</f>
        <v>55.3</v>
      </c>
      <c r="L40" s="37">
        <f>VLOOKUP(B40,Italy!$A:$B,2,)</f>
        <v>55.1</v>
      </c>
      <c r="M40" s="37">
        <f>VLOOKUP(B40,Spain!$A:$B,2,)</f>
        <v>54</v>
      </c>
      <c r="N40" s="37">
        <f>VLOOKUP(B40,Brazil!$A:$B,2,)</f>
        <v>50</v>
      </c>
      <c r="O40" s="37">
        <f>VLOOKUP(B40,Mexico!$A:$B,2,)</f>
        <v>51.2</v>
      </c>
      <c r="P40" s="37">
        <f>VLOOKUP(B40,Russia!$A:$B,2,)</f>
        <v>52.7</v>
      </c>
      <c r="Q40" s="37">
        <f>VLOOKUP(B40,India!$A:$B,2,)</f>
        <v>47.9</v>
      </c>
      <c r="R40" s="37">
        <f>VLOOKUP(B40,Canada!$A:$B,2,)</f>
        <v>55.5</v>
      </c>
      <c r="S40" s="37">
        <f>VLOOKUP(B40,Australia!$A:$B,2,)</f>
        <v>56</v>
      </c>
      <c r="T40" s="37">
        <f>VLOOKUP(B40,Indonesia!$A:$B,2,)</f>
        <v>48.6</v>
      </c>
      <c r="U40" s="37">
        <f>VLOOKUP(B40,SouthKorea!$A:$B,2,)</f>
        <v>49.1</v>
      </c>
      <c r="V40" s="37">
        <f>VLOOKUP(B40,Taiwan!$A:$B,2,)</f>
        <v>53.6</v>
      </c>
      <c r="W40" s="37">
        <f>VLOOKUP(B40,Greece!$A:$B,2,)</f>
        <v>50.5</v>
      </c>
      <c r="X40" s="37">
        <f>VLOOKUP(B40,Ireland!$A:$B,2,)</f>
        <v>54.6</v>
      </c>
      <c r="Y40" s="37">
        <f>VLOOKUP(B40,Turkey!$A:$B,2,)</f>
        <v>53.6</v>
      </c>
      <c r="Z40" s="37">
        <f>VLOOKUP(B40,CzechRepublic!$A:$B,2,)</f>
        <v>55.3</v>
      </c>
      <c r="AA40" s="37">
        <f>VLOOKUP(B40,Poland!$A:$B,2,)</f>
        <v>52.3</v>
      </c>
      <c r="AB40" s="37">
        <f>VLOOKUP(B40,Denmark!$A:$B,2,)</f>
        <v>63.72</v>
      </c>
    </row>
    <row r="41" spans="2:28" x14ac:dyDescent="0.2">
      <c r="B41" s="36">
        <v>42948</v>
      </c>
      <c r="C41" s="37">
        <f>VLOOKUP(B41,Global!$A:$B,2,)</f>
        <v>53.2</v>
      </c>
      <c r="D41" s="37">
        <f>VLOOKUP(B41,US!$A:$D,4,)</f>
        <v>59.3</v>
      </c>
      <c r="E41" s="37">
        <f>VLOOKUP(B41,US!$A:$B,2,)</f>
        <v>52.8</v>
      </c>
      <c r="F41" s="37">
        <f>VLOOKUP(B41,China!$A:$B,2,)</f>
        <v>51.6</v>
      </c>
      <c r="G41" s="37">
        <f>VLOOKUP(B41,'Euro Area'!A:B,2,)</f>
        <v>57.4</v>
      </c>
      <c r="H41" s="37">
        <f>VLOOKUP(B41,Japan!$A:$B,2,)</f>
        <v>52.2</v>
      </c>
      <c r="I41" s="37">
        <f>VLOOKUP(B41,Germany!$A:$B,2,)</f>
        <v>59.3</v>
      </c>
      <c r="J41" s="37">
        <f>VLOOKUP(B41,France!$A:$B,2,)</f>
        <v>55.8</v>
      </c>
      <c r="K41" s="37">
        <f>VLOOKUP(B41,UK!$A:$B,2,)</f>
        <v>56.8</v>
      </c>
      <c r="L41" s="37">
        <f>VLOOKUP(B41,Italy!$A:$B,2,)</f>
        <v>56.3</v>
      </c>
      <c r="M41" s="37">
        <f>VLOOKUP(B41,Spain!$A:$B,2,)</f>
        <v>52.4</v>
      </c>
      <c r="N41" s="37">
        <f>VLOOKUP(B41,Brazil!$A:$B,2,)</f>
        <v>50.9</v>
      </c>
      <c r="O41" s="37">
        <f>VLOOKUP(B41,Mexico!$A:$B,2,)</f>
        <v>52.2</v>
      </c>
      <c r="P41" s="37">
        <f>VLOOKUP(B41,Russia!$A:$B,2,)</f>
        <v>51.6</v>
      </c>
      <c r="Q41" s="37">
        <f>VLOOKUP(B41,India!$A:$B,2,)</f>
        <v>51.2</v>
      </c>
      <c r="R41" s="37">
        <f>VLOOKUP(B41,Canada!$A:$B,2,)</f>
        <v>54.6</v>
      </c>
      <c r="S41" s="37">
        <f>VLOOKUP(B41,Australia!$A:$B,2,)</f>
        <v>59.8</v>
      </c>
      <c r="T41" s="37">
        <f>VLOOKUP(B41,Indonesia!$A:$B,2,)</f>
        <v>50.7</v>
      </c>
      <c r="U41" s="37">
        <f>VLOOKUP(B41,SouthKorea!$A:$B,2,)</f>
        <v>49.9</v>
      </c>
      <c r="V41" s="37">
        <f>VLOOKUP(B41,Taiwan!$A:$B,2,)</f>
        <v>54.3</v>
      </c>
      <c r="W41" s="37">
        <f>VLOOKUP(B41,Greece!$A:$B,2,)</f>
        <v>52.2</v>
      </c>
      <c r="X41" s="37">
        <f>VLOOKUP(B41,Ireland!$A:$B,2,)</f>
        <v>56.1</v>
      </c>
      <c r="Y41" s="37">
        <f>VLOOKUP(B41,Turkey!$A:$B,2,)</f>
        <v>55.3</v>
      </c>
      <c r="Z41" s="37">
        <f>VLOOKUP(B41,CzechRepublic!$A:$B,2,)</f>
        <v>54.9</v>
      </c>
      <c r="AA41" s="37">
        <f>VLOOKUP(B41,Poland!$A:$B,2,)</f>
        <v>52.5</v>
      </c>
      <c r="AB41" s="37">
        <f>VLOOKUP(B41,Denmark!$A:$B,2,)</f>
        <v>60.57</v>
      </c>
    </row>
    <row r="42" spans="2:28" x14ac:dyDescent="0.2">
      <c r="B42" s="36">
        <v>42979</v>
      </c>
      <c r="C42" s="37">
        <f>VLOOKUP(B42,Global!$A:$B,2,)</f>
        <v>53.3</v>
      </c>
      <c r="D42" s="37">
        <f>VLOOKUP(B42,US!$A:$D,4,)</f>
        <v>60.2</v>
      </c>
      <c r="E42" s="37">
        <f>VLOOKUP(B42,US!$A:$B,2,)</f>
        <v>53.1</v>
      </c>
      <c r="F42" s="37">
        <f>VLOOKUP(B42,China!$A:$B,2,)</f>
        <v>51</v>
      </c>
      <c r="G42" s="37">
        <f>VLOOKUP(B42,'Euro Area'!A:B,2,)</f>
        <v>58.1</v>
      </c>
      <c r="H42" s="37">
        <f>VLOOKUP(B42,Japan!$A:$B,2,)</f>
        <v>52.9</v>
      </c>
      <c r="I42" s="37">
        <f>VLOOKUP(B42,Germany!$A:$B,2,)</f>
        <v>60.6</v>
      </c>
      <c r="J42" s="37">
        <f>VLOOKUP(B42,France!$A:$B,2,)</f>
        <v>56.1</v>
      </c>
      <c r="K42" s="37">
        <f>VLOOKUP(B42,UK!$A:$B,2,)</f>
        <v>56</v>
      </c>
      <c r="L42" s="37">
        <f>VLOOKUP(B42,Italy!$A:$B,2,)</f>
        <v>56.3</v>
      </c>
      <c r="M42" s="37">
        <f>VLOOKUP(B42,Spain!$A:$B,2,)</f>
        <v>54.3</v>
      </c>
      <c r="N42" s="37">
        <f>VLOOKUP(B42,Brazil!$A:$B,2,)</f>
        <v>50.9</v>
      </c>
      <c r="O42" s="37">
        <f>VLOOKUP(B42,Mexico!$A:$B,2,)</f>
        <v>52.8</v>
      </c>
      <c r="P42" s="37">
        <f>VLOOKUP(B42,Russia!$A:$B,2,)</f>
        <v>51.9</v>
      </c>
      <c r="Q42" s="37">
        <f>VLOOKUP(B42,India!$A:$B,2,)</f>
        <v>51.2</v>
      </c>
      <c r="R42" s="37">
        <f>VLOOKUP(B42,Canada!$A:$B,2,)</f>
        <v>55</v>
      </c>
      <c r="S42" s="37">
        <f>VLOOKUP(B42,Australia!$A:$B,2,)</f>
        <v>54.2</v>
      </c>
      <c r="T42" s="37">
        <f>VLOOKUP(B42,Indonesia!$A:$B,2,)</f>
        <v>50.4</v>
      </c>
      <c r="U42" s="37">
        <f>VLOOKUP(B42,SouthKorea!$A:$B,2,)</f>
        <v>50.6</v>
      </c>
      <c r="V42" s="37">
        <f>VLOOKUP(B42,Taiwan!$A:$B,2,)</f>
        <v>54.2</v>
      </c>
      <c r="W42" s="37">
        <f>VLOOKUP(B42,Greece!$A:$B,2,)</f>
        <v>52.8</v>
      </c>
      <c r="X42" s="37">
        <f>VLOOKUP(B42,Ireland!$A:$B,2,)</f>
        <v>55.4</v>
      </c>
      <c r="Y42" s="37">
        <f>VLOOKUP(B42,Turkey!$A:$B,2,)</f>
        <v>53.5</v>
      </c>
      <c r="Z42" s="37">
        <f>VLOOKUP(B42,CzechRepublic!$A:$B,2,)</f>
        <v>56.6</v>
      </c>
      <c r="AA42" s="37">
        <f>VLOOKUP(B42,Poland!$A:$B,2,)</f>
        <v>53.7</v>
      </c>
      <c r="AB42" s="37">
        <f>VLOOKUP(B42,Denmark!$A:$B,2,)</f>
        <v>61.78</v>
      </c>
    </row>
    <row r="43" spans="2:28" x14ac:dyDescent="0.2">
      <c r="B43" s="36">
        <v>43009</v>
      </c>
      <c r="C43" s="37">
        <f>VLOOKUP(B43,Global!$A:$B,2,)</f>
        <v>53.5</v>
      </c>
      <c r="D43" s="37">
        <f>VLOOKUP(B43,US!$A:$D,4,)</f>
        <v>58.5</v>
      </c>
      <c r="E43" s="37">
        <f>VLOOKUP(B43,US!$A:$B,2,)</f>
        <v>54.6</v>
      </c>
      <c r="F43" s="37">
        <f>VLOOKUP(B43,China!$A:$B,2,)</f>
        <v>51</v>
      </c>
      <c r="G43" s="37">
        <f>VLOOKUP(B43,'Euro Area'!A:B,2,)</f>
        <v>58.5</v>
      </c>
      <c r="H43" s="37">
        <f>VLOOKUP(B43,Japan!$A:$B,2,)</f>
        <v>52.8</v>
      </c>
      <c r="I43" s="37">
        <f>VLOOKUP(B43,Germany!$A:$B,2,)</f>
        <v>60.6</v>
      </c>
      <c r="J43" s="37">
        <f>VLOOKUP(B43,France!$A:$B,2,)</f>
        <v>56.1</v>
      </c>
      <c r="K43" s="37">
        <f>VLOOKUP(B43,UK!$A:$B,2,)</f>
        <v>56.2</v>
      </c>
      <c r="L43" s="37">
        <f>VLOOKUP(B43,Italy!$A:$B,2,)</f>
        <v>57.8</v>
      </c>
      <c r="M43" s="37">
        <f>VLOOKUP(B43,Spain!$A:$B,2,)</f>
        <v>55.8</v>
      </c>
      <c r="N43" s="37">
        <f>VLOOKUP(B43,Brazil!$A:$B,2,)</f>
        <v>51.2</v>
      </c>
      <c r="O43" s="37">
        <f>VLOOKUP(B43,Mexico!$A:$B,2,)</f>
        <v>49.2</v>
      </c>
      <c r="P43" s="37">
        <f>VLOOKUP(B43,Russia!$A:$B,2,)</f>
        <v>51.1</v>
      </c>
      <c r="Q43" s="37">
        <f>VLOOKUP(B43,India!$A:$B,2,)</f>
        <v>50.3</v>
      </c>
      <c r="R43" s="37">
        <f>VLOOKUP(B43,Canada!$A:$B,2,)</f>
        <v>54.3</v>
      </c>
      <c r="S43" s="37">
        <f>VLOOKUP(B43,Australia!$A:$B,2,)</f>
        <v>51.1</v>
      </c>
      <c r="T43" s="37">
        <f>VLOOKUP(B43,Indonesia!$A:$B,2,)</f>
        <v>50.1</v>
      </c>
      <c r="U43" s="37">
        <f>VLOOKUP(B43,SouthKorea!$A:$B,2,)</f>
        <v>50.2</v>
      </c>
      <c r="V43" s="37">
        <f>VLOOKUP(B43,Taiwan!$A:$B,2,)</f>
        <v>53.6</v>
      </c>
      <c r="W43" s="37">
        <f>VLOOKUP(B43,Greece!$A:$B,2,)</f>
        <v>52.1</v>
      </c>
      <c r="X43" s="37">
        <f>VLOOKUP(B43,Ireland!$A:$B,2,)</f>
        <v>54.4</v>
      </c>
      <c r="Y43" s="37">
        <f>VLOOKUP(B43,Turkey!$A:$B,2,)</f>
        <v>52.8</v>
      </c>
      <c r="Z43" s="37">
        <f>VLOOKUP(B43,CzechRepublic!$A:$B,2,)</f>
        <v>58.5</v>
      </c>
      <c r="AA43" s="37">
        <f>VLOOKUP(B43,Poland!$A:$B,2,)</f>
        <v>53.4</v>
      </c>
      <c r="AB43" s="37">
        <f>VLOOKUP(B43,Denmark!$A:$B,2,)</f>
        <v>58.57</v>
      </c>
    </row>
    <row r="44" spans="2:28" x14ac:dyDescent="0.2">
      <c r="B44" s="36">
        <v>43040</v>
      </c>
      <c r="C44" s="37">
        <f>VLOOKUP(B44,Global!$A:$B,2,)</f>
        <v>54.1</v>
      </c>
      <c r="D44" s="37">
        <f>VLOOKUP(B44,US!$A:$D,4,)</f>
        <v>58.2</v>
      </c>
      <c r="E44" s="37">
        <f>VLOOKUP(B44,US!$A:$B,2,)</f>
        <v>53.9</v>
      </c>
      <c r="F44" s="37">
        <f>VLOOKUP(B44,China!$A:$B,2,)</f>
        <v>50.8</v>
      </c>
      <c r="G44" s="37">
        <f>VLOOKUP(B44,'Euro Area'!A:B,2,)</f>
        <v>60.1</v>
      </c>
      <c r="H44" s="37">
        <f>VLOOKUP(B44,Japan!$A:$B,2,)</f>
        <v>53.6</v>
      </c>
      <c r="I44" s="37">
        <f>VLOOKUP(B44,Germany!$A:$B,2,)</f>
        <v>62.5</v>
      </c>
      <c r="J44" s="37">
        <f>VLOOKUP(B44,France!$A:$B,2,)</f>
        <v>57.7</v>
      </c>
      <c r="K44" s="37">
        <f>VLOOKUP(B44,UK!$A:$B,2,)</f>
        <v>58.3</v>
      </c>
      <c r="L44" s="37">
        <f>VLOOKUP(B44,Italy!$A:$B,2,)</f>
        <v>58.3</v>
      </c>
      <c r="M44" s="37">
        <f>VLOOKUP(B44,Spain!$A:$B,2,)</f>
        <v>56.1</v>
      </c>
      <c r="N44" s="37">
        <f>VLOOKUP(B44,Brazil!$A:$B,2,)</f>
        <v>53.5</v>
      </c>
      <c r="O44" s="37">
        <f>VLOOKUP(B44,Mexico!$A:$B,2,)</f>
        <v>52.4</v>
      </c>
      <c r="P44" s="37">
        <f>VLOOKUP(B44,Russia!$A:$B,2,)</f>
        <v>51.5</v>
      </c>
      <c r="Q44" s="37">
        <f>VLOOKUP(B44,India!$A:$B,2,)</f>
        <v>52.6</v>
      </c>
      <c r="R44" s="37">
        <f>VLOOKUP(B44,Canada!$A:$B,2,)</f>
        <v>54.4</v>
      </c>
      <c r="S44" s="37">
        <f>VLOOKUP(B44,Australia!$A:$B,2,)</f>
        <v>57.3</v>
      </c>
      <c r="T44" s="37">
        <f>VLOOKUP(B44,Indonesia!$A:$B,2,)</f>
        <v>50.4</v>
      </c>
      <c r="U44" s="37">
        <f>VLOOKUP(B44,SouthKorea!$A:$B,2,)</f>
        <v>51.2</v>
      </c>
      <c r="V44" s="37">
        <f>VLOOKUP(B44,Taiwan!$A:$B,2,)</f>
        <v>56.3</v>
      </c>
      <c r="W44" s="37">
        <f>VLOOKUP(B44,Greece!$A:$B,2,)</f>
        <v>52.2</v>
      </c>
      <c r="X44" s="37">
        <f>VLOOKUP(B44,Ireland!$A:$B,2,)</f>
        <v>58.1</v>
      </c>
      <c r="Y44" s="37">
        <f>VLOOKUP(B44,Turkey!$A:$B,2,)</f>
        <v>52.9</v>
      </c>
      <c r="Z44" s="37">
        <f>VLOOKUP(B44,CzechRepublic!$A:$B,2,)</f>
        <v>58.7</v>
      </c>
      <c r="AA44" s="37">
        <f>VLOOKUP(B44,Poland!$A:$B,2,)</f>
        <v>54.2</v>
      </c>
      <c r="AB44" s="37">
        <f>VLOOKUP(B44,Denmark!$A:$B,2,)</f>
        <v>58.31</v>
      </c>
    </row>
    <row r="45" spans="2:28" x14ac:dyDescent="0.2">
      <c r="B45" s="36">
        <v>43070</v>
      </c>
      <c r="C45" s="37">
        <f>VLOOKUP(B45,Global!$A:$B,2,)</f>
        <v>54.5</v>
      </c>
      <c r="D45" s="37">
        <f>VLOOKUP(B45,US!$A:$D,4,)</f>
        <v>59.3</v>
      </c>
      <c r="E45" s="37">
        <f>VLOOKUP(B45,US!$A:$B,2,)</f>
        <v>55.1</v>
      </c>
      <c r="F45" s="37">
        <f>VLOOKUP(B45,China!$A:$B,2,)</f>
        <v>51.5</v>
      </c>
      <c r="G45" s="37">
        <f>VLOOKUP(B45,'Euro Area'!A:B,2,)</f>
        <v>60.6</v>
      </c>
      <c r="H45" s="37">
        <f>VLOOKUP(B45,Japan!$A:$B,2,)</f>
        <v>54</v>
      </c>
      <c r="I45" s="37">
        <f>VLOOKUP(B45,Germany!$A:$B,2,)</f>
        <v>63.3</v>
      </c>
      <c r="J45" s="37">
        <f>VLOOKUP(B45,France!$A:$B,2,)</f>
        <v>58.8</v>
      </c>
      <c r="K45" s="37">
        <f>VLOOKUP(B45,UK!$A:$B,2,)</f>
        <v>56</v>
      </c>
      <c r="L45" s="37">
        <f>VLOOKUP(B45,Italy!$A:$B,2,)</f>
        <v>57.4</v>
      </c>
      <c r="M45" s="37">
        <f>VLOOKUP(B45,Spain!$A:$B,2,)</f>
        <v>55.8</v>
      </c>
      <c r="N45" s="37">
        <f>VLOOKUP(B45,Brazil!$A:$B,2,)</f>
        <v>52.4</v>
      </c>
      <c r="O45" s="37">
        <f>VLOOKUP(B45,Mexico!$A:$B,2,)</f>
        <v>51.7</v>
      </c>
      <c r="P45" s="37">
        <f>VLOOKUP(B45,Russia!$A:$B,2,)</f>
        <v>52</v>
      </c>
      <c r="Q45" s="37">
        <f>VLOOKUP(B45,India!$A:$B,2,)</f>
        <v>54.7</v>
      </c>
      <c r="R45" s="37">
        <f>VLOOKUP(B45,Canada!$A:$B,2,)</f>
        <v>54.7</v>
      </c>
      <c r="S45" s="37">
        <f>VLOOKUP(B45,Australia!$A:$B,2,)</f>
        <v>56.2</v>
      </c>
      <c r="T45" s="37">
        <f>VLOOKUP(B45,Indonesia!$A:$B,2,)</f>
        <v>49.3</v>
      </c>
      <c r="U45" s="37">
        <f>VLOOKUP(B45,SouthKorea!$A:$B,2,)</f>
        <v>49.9</v>
      </c>
      <c r="V45" s="37">
        <f>VLOOKUP(B45,Taiwan!$A:$B,2,)</f>
        <v>56.6</v>
      </c>
      <c r="W45" s="37">
        <f>VLOOKUP(B45,Greece!$A:$B,2,)</f>
        <v>53.1</v>
      </c>
      <c r="X45" s="37">
        <f>VLOOKUP(B45,Ireland!$A:$B,2,)</f>
        <v>59.1</v>
      </c>
      <c r="Y45" s="37">
        <f>VLOOKUP(B45,Turkey!$A:$B,2,)</f>
        <v>54.9</v>
      </c>
      <c r="Z45" s="37">
        <f>VLOOKUP(B45,CzechRepublic!$A:$B,2,)</f>
        <v>59.8</v>
      </c>
      <c r="AA45" s="37">
        <f>VLOOKUP(B45,Poland!$A:$B,2,)</f>
        <v>55</v>
      </c>
      <c r="AB45" s="37">
        <f>VLOOKUP(B45,Denmark!$A:$B,2,)</f>
        <v>61.04</v>
      </c>
    </row>
    <row r="46" spans="2:28" x14ac:dyDescent="0.2">
      <c r="B46" s="36">
        <v>43101</v>
      </c>
      <c r="C46" s="37">
        <f>VLOOKUP(B46,Global!$A:$B,2,)</f>
        <v>54.4</v>
      </c>
      <c r="D46" s="37">
        <f>VLOOKUP(B46,US!$A:$D,4,)</f>
        <v>59.1</v>
      </c>
      <c r="E46" s="37">
        <f>VLOOKUP(B46,US!$A:$B,2,)</f>
        <v>55.5</v>
      </c>
      <c r="F46" s="37">
        <f>VLOOKUP(B46,China!$A:$B,2,)</f>
        <v>51.6</v>
      </c>
      <c r="G46" s="37">
        <f>VLOOKUP(B46,'Euro Area'!A:B,2,)</f>
        <v>59.6</v>
      </c>
      <c r="H46" s="37">
        <f>VLOOKUP(B46,Japan!$A:$B,2,)</f>
        <v>54.8</v>
      </c>
      <c r="I46" s="37">
        <f>VLOOKUP(B46,Germany!$A:$B,2,)</f>
        <v>61.1</v>
      </c>
      <c r="J46" s="37">
        <f>VLOOKUP(B46,France!$A:$B,2,)</f>
        <v>58.4</v>
      </c>
      <c r="K46" s="37">
        <f>VLOOKUP(B46,UK!$A:$B,2,)</f>
        <v>55</v>
      </c>
      <c r="L46" s="37">
        <f>VLOOKUP(B46,Italy!$A:$B,2,)</f>
        <v>59</v>
      </c>
      <c r="M46" s="37">
        <f>VLOOKUP(B46,Spain!$A:$B,2,)</f>
        <v>55.2</v>
      </c>
      <c r="N46" s="37">
        <f>VLOOKUP(B46,Brazil!$A:$B,2,)</f>
        <v>51.2</v>
      </c>
      <c r="O46" s="37">
        <f>VLOOKUP(B46,Mexico!$A:$B,2,)</f>
        <v>52.6</v>
      </c>
      <c r="P46" s="37">
        <f>VLOOKUP(B46,Russia!$A:$B,2,)</f>
        <v>52.1</v>
      </c>
      <c r="Q46" s="37">
        <f>VLOOKUP(B46,India!$A:$B,2,)</f>
        <v>52.4</v>
      </c>
      <c r="R46" s="37">
        <f>VLOOKUP(B46,Canada!$A:$B,2,)</f>
        <v>55.9</v>
      </c>
      <c r="S46" s="37">
        <f>VLOOKUP(B46,Australia!$A:$B,2,)</f>
        <v>58.7</v>
      </c>
      <c r="T46" s="37">
        <f>VLOOKUP(B46,Indonesia!$A:$B,2,)</f>
        <v>49.9</v>
      </c>
      <c r="U46" s="37">
        <f>VLOOKUP(B46,SouthKorea!$A:$B,2,)</f>
        <v>50.7</v>
      </c>
      <c r="V46" s="37">
        <f>VLOOKUP(B46,Taiwan!$A:$B,2,)</f>
        <v>56.9</v>
      </c>
      <c r="W46" s="37">
        <f>VLOOKUP(B46,Greece!$A:$B,2,)</f>
        <v>55.2</v>
      </c>
      <c r="X46" s="37">
        <f>VLOOKUP(B46,Ireland!$A:$B,2,)</f>
        <v>57.6</v>
      </c>
      <c r="Y46" s="37">
        <f>VLOOKUP(B46,Turkey!$A:$B,2,)</f>
        <v>55.7</v>
      </c>
      <c r="Z46" s="37">
        <f>VLOOKUP(B46,CzechRepublic!$A:$B,2,)</f>
        <v>59.8</v>
      </c>
      <c r="AA46" s="37">
        <f>VLOOKUP(B46,Poland!$A:$B,2,)</f>
        <v>54.6</v>
      </c>
      <c r="AB46" s="37">
        <f>VLOOKUP(B46,Denmark!$A:$B,2,)</f>
        <v>66.650000000000006</v>
      </c>
    </row>
    <row r="47" spans="2:28" x14ac:dyDescent="0.2">
      <c r="B47" s="36">
        <v>43132</v>
      </c>
      <c r="C47" s="37">
        <f>VLOOKUP(B47,Global!$A:$B,2,)</f>
        <v>54.1</v>
      </c>
      <c r="D47" s="37">
        <f>VLOOKUP(B47,US!$A:$D,4,)</f>
        <v>60.8</v>
      </c>
      <c r="E47" s="37">
        <f>VLOOKUP(B47,US!$A:$B,2,)</f>
        <v>55.3</v>
      </c>
      <c r="F47" s="37">
        <f>VLOOKUP(B47,China!$A:$B,2,)</f>
        <v>51.5</v>
      </c>
      <c r="G47" s="37">
        <f>VLOOKUP(B47,'Euro Area'!A:B,2,)</f>
        <v>58.6</v>
      </c>
      <c r="H47" s="37">
        <f>VLOOKUP(B47,Japan!$A:$B,2,)</f>
        <v>54.1</v>
      </c>
      <c r="I47" s="37">
        <f>VLOOKUP(B47,Germany!$A:$B,2,)</f>
        <v>60.6</v>
      </c>
      <c r="J47" s="37">
        <f>VLOOKUP(B47,France!$A:$B,2,)</f>
        <v>55.9</v>
      </c>
      <c r="K47" s="37">
        <f>VLOOKUP(B47,UK!$A:$B,2,)</f>
        <v>54.9</v>
      </c>
      <c r="L47" s="37">
        <f>VLOOKUP(B47,Italy!$A:$B,2,)</f>
        <v>56.8</v>
      </c>
      <c r="M47" s="37">
        <f>VLOOKUP(B47,Spain!$A:$B,2,)</f>
        <v>56</v>
      </c>
      <c r="N47" s="37">
        <f>VLOOKUP(B47,Brazil!$A:$B,2,)</f>
        <v>53.2</v>
      </c>
      <c r="O47" s="37">
        <f>VLOOKUP(B47,Mexico!$A:$B,2,)</f>
        <v>51.6</v>
      </c>
      <c r="P47" s="37">
        <f>VLOOKUP(B47,Russia!$A:$B,2,)</f>
        <v>50.2</v>
      </c>
      <c r="Q47" s="37">
        <f>VLOOKUP(B47,India!$A:$B,2,)</f>
        <v>52.1</v>
      </c>
      <c r="R47" s="37">
        <f>VLOOKUP(B47,Canada!$A:$B,2,)</f>
        <v>55.6</v>
      </c>
      <c r="S47" s="37">
        <f>VLOOKUP(B47,Australia!$A:$B,2,)</f>
        <v>57.5</v>
      </c>
      <c r="T47" s="37">
        <f>VLOOKUP(B47,Indonesia!$A:$B,2,)</f>
        <v>51.4</v>
      </c>
      <c r="U47" s="37">
        <f>VLOOKUP(B47,SouthKorea!$A:$B,2,)</f>
        <v>50.3</v>
      </c>
      <c r="V47" s="37">
        <f>VLOOKUP(B47,Taiwan!$A:$B,2,)</f>
        <v>56</v>
      </c>
      <c r="W47" s="37">
        <f>VLOOKUP(B47,Greece!$A:$B,2,)</f>
        <v>56.1</v>
      </c>
      <c r="X47" s="37">
        <f>VLOOKUP(B47,Ireland!$A:$B,2,)</f>
        <v>56.2</v>
      </c>
      <c r="Y47" s="37">
        <f>VLOOKUP(B47,Turkey!$A:$B,2,)</f>
        <v>55.6</v>
      </c>
      <c r="Z47" s="37">
        <f>VLOOKUP(B47,CzechRepublic!$A:$B,2,)</f>
        <v>58.8</v>
      </c>
      <c r="AA47" s="37">
        <f>VLOOKUP(B47,Poland!$A:$B,2,)</f>
        <v>53.7</v>
      </c>
      <c r="AB47" s="37">
        <f>VLOOKUP(B47,Denmark!$A:$B,2,)</f>
        <v>70.75</v>
      </c>
    </row>
    <row r="48" spans="2:28" x14ac:dyDescent="0.2">
      <c r="B48" s="36">
        <v>43160</v>
      </c>
      <c r="C48" s="37">
        <f>VLOOKUP(B48,Global!$A:$B,2,)</f>
        <v>53.3</v>
      </c>
      <c r="D48" s="37">
        <f>VLOOKUP(B48,US!$A:$D,4,)</f>
        <v>59.3</v>
      </c>
      <c r="E48" s="37">
        <f>VLOOKUP(B48,US!$A:$B,2,)</f>
        <v>55.6</v>
      </c>
      <c r="F48" s="37">
        <f>VLOOKUP(B48,China!$A:$B,2,)</f>
        <v>51</v>
      </c>
      <c r="G48" s="37">
        <f>VLOOKUP(B48,'Euro Area'!A:B,2,)</f>
        <v>56.6</v>
      </c>
      <c r="H48" s="37">
        <f>VLOOKUP(B48,Japan!$A:$B,2,)</f>
        <v>53.2</v>
      </c>
      <c r="I48" s="37">
        <f>VLOOKUP(B48,Germany!$A:$B,2,)</f>
        <v>58.4</v>
      </c>
      <c r="J48" s="37">
        <f>VLOOKUP(B48,France!$A:$B,2,)</f>
        <v>53.7</v>
      </c>
      <c r="K48" s="37">
        <f>VLOOKUP(B48,UK!$A:$B,2,)</f>
        <v>54.9</v>
      </c>
      <c r="L48" s="37">
        <f>VLOOKUP(B48,Italy!$A:$B,2,)</f>
        <v>55.1</v>
      </c>
      <c r="M48" s="37">
        <f>VLOOKUP(B48,Spain!$A:$B,2,)</f>
        <v>54.8</v>
      </c>
      <c r="N48" s="37">
        <f>VLOOKUP(B48,Brazil!$A:$B,2,)</f>
        <v>53.4</v>
      </c>
      <c r="O48" s="37">
        <f>VLOOKUP(B48,Mexico!$A:$B,2,)</f>
        <v>52.4</v>
      </c>
      <c r="P48" s="37">
        <f>VLOOKUP(B48,Russia!$A:$B,2,)</f>
        <v>50.6</v>
      </c>
      <c r="Q48" s="37">
        <f>VLOOKUP(B48,India!$A:$B,2,)</f>
        <v>51</v>
      </c>
      <c r="R48" s="37">
        <f>VLOOKUP(B48,Canada!$A:$B,2,)</f>
        <v>55.7</v>
      </c>
      <c r="S48" s="37">
        <f>VLOOKUP(B48,Australia!$A:$B,2,)</f>
        <v>63.1</v>
      </c>
      <c r="T48" s="37">
        <f>VLOOKUP(B48,Indonesia!$A:$B,2,)</f>
        <v>50.7</v>
      </c>
      <c r="U48" s="37">
        <f>VLOOKUP(B48,SouthKorea!$A:$B,2,)</f>
        <v>49.1</v>
      </c>
      <c r="V48" s="37">
        <f>VLOOKUP(B48,Taiwan!$A:$B,2,)</f>
        <v>55.3</v>
      </c>
      <c r="W48" s="37">
        <f>VLOOKUP(B48,Greece!$A:$B,2,)</f>
        <v>55</v>
      </c>
      <c r="X48" s="37">
        <f>VLOOKUP(B48,Ireland!$A:$B,2,)</f>
        <v>54.1</v>
      </c>
      <c r="Y48" s="37">
        <f>VLOOKUP(B48,Turkey!$A:$B,2,)</f>
        <v>51.8</v>
      </c>
      <c r="Z48" s="37">
        <f>VLOOKUP(B48,CzechRepublic!$A:$B,2,)</f>
        <v>57.3</v>
      </c>
      <c r="AA48" s="37">
        <f>VLOOKUP(B48,Poland!$A:$B,2,)</f>
        <v>53.7</v>
      </c>
      <c r="AB48" s="37">
        <f>VLOOKUP(B48,Denmark!$A:$B,2,)</f>
        <v>61.05</v>
      </c>
    </row>
    <row r="49" spans="2:28" x14ac:dyDescent="0.2">
      <c r="B49" s="36">
        <v>43191</v>
      </c>
      <c r="C49" s="37">
        <f>VLOOKUP(B49,Global!$A:$B,2,)</f>
        <v>53.5</v>
      </c>
      <c r="D49" s="37">
        <f>VLOOKUP(B49,US!$A:$D,4,)</f>
        <v>57.3</v>
      </c>
      <c r="E49" s="37">
        <f>VLOOKUP(B49,US!$A:$B,2,)</f>
        <v>56.5</v>
      </c>
      <c r="F49" s="37">
        <f>VLOOKUP(B49,China!$A:$B,2,)</f>
        <v>51.1</v>
      </c>
      <c r="G49" s="37">
        <f>VLOOKUP(B49,'Euro Area'!A:B,2,)</f>
        <v>56.2</v>
      </c>
      <c r="H49" s="37">
        <f>VLOOKUP(B49,Japan!$A:$B,2,)</f>
        <v>53.8</v>
      </c>
      <c r="I49" s="37">
        <f>VLOOKUP(B49,Germany!$A:$B,2,)</f>
        <v>58.1</v>
      </c>
      <c r="J49" s="37">
        <f>VLOOKUP(B49,France!$A:$B,2,)</f>
        <v>53.8</v>
      </c>
      <c r="K49" s="37">
        <f>VLOOKUP(B49,UK!$A:$B,2,)</f>
        <v>53.9</v>
      </c>
      <c r="L49" s="37">
        <f>VLOOKUP(B49,Italy!$A:$B,2,)</f>
        <v>53.5</v>
      </c>
      <c r="M49" s="37">
        <f>VLOOKUP(B49,Spain!$A:$B,2,)</f>
        <v>54.4</v>
      </c>
      <c r="N49" s="37">
        <f>VLOOKUP(B49,Brazil!$A:$B,2,)</f>
        <v>52.3</v>
      </c>
      <c r="O49" s="37">
        <f>VLOOKUP(B49,Mexico!$A:$B,2,)</f>
        <v>51.6</v>
      </c>
      <c r="P49" s="37">
        <f>VLOOKUP(B49,Russia!$A:$B,2,)</f>
        <v>51.3</v>
      </c>
      <c r="Q49" s="37">
        <f>VLOOKUP(B49,India!$A:$B,2,)</f>
        <v>51.6</v>
      </c>
      <c r="R49" s="37">
        <f>VLOOKUP(B49,Canada!$A:$B,2,)</f>
        <v>55.5</v>
      </c>
      <c r="S49" s="37">
        <f>VLOOKUP(B49,Australia!$A:$B,2,)</f>
        <v>58.3</v>
      </c>
      <c r="T49" s="37">
        <f>VLOOKUP(B49,Indonesia!$A:$B,2,)</f>
        <v>51.6</v>
      </c>
      <c r="U49" s="37">
        <f>VLOOKUP(B49,SouthKorea!$A:$B,2,)</f>
        <v>48.4</v>
      </c>
      <c r="V49" s="37">
        <f>VLOOKUP(B49,Taiwan!$A:$B,2,)</f>
        <v>54.8</v>
      </c>
      <c r="W49" s="37">
        <f>VLOOKUP(B49,Greece!$A:$B,2,)</f>
        <v>52.9</v>
      </c>
      <c r="X49" s="37">
        <f>VLOOKUP(B49,Ireland!$A:$B,2,)</f>
        <v>55.3</v>
      </c>
      <c r="Y49" s="37">
        <f>VLOOKUP(B49,Turkey!$A:$B,2,)</f>
        <v>48.9</v>
      </c>
      <c r="Z49" s="37">
        <f>VLOOKUP(B49,CzechRepublic!$A:$B,2,)</f>
        <v>57.2</v>
      </c>
      <c r="AA49" s="37">
        <f>VLOOKUP(B49,Poland!$A:$B,2,)</f>
        <v>53.9</v>
      </c>
      <c r="AB49" s="37">
        <f>VLOOKUP(B49,Denmark!$A:$B,2,)</f>
        <v>54.24</v>
      </c>
    </row>
    <row r="50" spans="2:28" s="10" customFormat="1" x14ac:dyDescent="0.2">
      <c r="B50" s="36">
        <v>43221</v>
      </c>
      <c r="C50" s="37">
        <f>VLOOKUP(B50,Global!$A:$B,2,)</f>
        <v>53.1</v>
      </c>
      <c r="D50" s="37">
        <f>VLOOKUP(B50,US!$A:$D,4,)</f>
        <v>58.7</v>
      </c>
      <c r="E50" s="37">
        <f>VLOOKUP(B50,US!$A:$B,2,)</f>
        <v>56.4</v>
      </c>
      <c r="F50" s="37">
        <f>VLOOKUP(B50,China!$A:$B,2,)</f>
        <v>51.1</v>
      </c>
      <c r="G50" s="37">
        <f>VLOOKUP(B50,'Euro Area'!A:B,2,)</f>
        <v>55.5</v>
      </c>
      <c r="H50" s="37">
        <f>VLOOKUP(B50,Japan!$A:$B,2,)</f>
        <v>52.8</v>
      </c>
      <c r="I50" s="37">
        <f>VLOOKUP(B50,Germany!$A:$B,2,)</f>
        <v>56.9</v>
      </c>
      <c r="J50" s="37">
        <f>VLOOKUP(B50,France!$A:$B,2,)</f>
        <v>55.1</v>
      </c>
      <c r="K50" s="37">
        <f>VLOOKUP(B50,UK!$A:$B,2,)</f>
        <v>54.4</v>
      </c>
      <c r="L50" s="37">
        <f>VLOOKUP(B50,Italy!$A:$B,2,)</f>
        <v>52.7</v>
      </c>
      <c r="M50" s="37">
        <f>VLOOKUP(B50,Spain!$A:$B,2,)</f>
        <v>53.4</v>
      </c>
      <c r="N50" s="37">
        <f>VLOOKUP(B50,Brazil!$A:$B,2,)</f>
        <v>50.7</v>
      </c>
      <c r="O50" s="37">
        <f>VLOOKUP(B50,Mexico!$A:$B,2,)</f>
        <v>51</v>
      </c>
      <c r="P50" s="37">
        <f>VLOOKUP(B50,Russia!$A:$B,2,)</f>
        <v>49.8</v>
      </c>
      <c r="Q50" s="37">
        <f>VLOOKUP(B50,India!$A:$B,2,)</f>
        <v>51.2</v>
      </c>
      <c r="R50" s="37">
        <f>VLOOKUP(B50,Canada!$A:$B,2,)</f>
        <v>56.2</v>
      </c>
      <c r="S50" s="37">
        <f>VLOOKUP(B50,Australia!$A:$B,2,)</f>
        <v>57.5</v>
      </c>
      <c r="T50" s="37">
        <f>VLOOKUP(B50,Indonesia!$A:$B,2,)</f>
        <v>51.7</v>
      </c>
      <c r="U50" s="37">
        <f>VLOOKUP(B50,SouthKorea!$A:$B,2,)</f>
        <v>48.9</v>
      </c>
      <c r="V50" s="37">
        <f>VLOOKUP(B50,Taiwan!$A:$B,2,)</f>
        <v>53.4</v>
      </c>
      <c r="W50" s="37">
        <f>VLOOKUP(B50,Greece!$A:$B,2,)</f>
        <v>54.2</v>
      </c>
      <c r="X50" s="37">
        <f>VLOOKUP(B50,Ireland!$A:$B,2,)</f>
        <v>55.4</v>
      </c>
      <c r="Y50" s="37">
        <f>VLOOKUP(B50,Turkey!$A:$B,2,)</f>
        <v>46.4</v>
      </c>
      <c r="Z50" s="37">
        <f>VLOOKUP(B50,CzechRepublic!$A:$B,2,)</f>
        <v>56.5</v>
      </c>
      <c r="AA50" s="37">
        <f>VLOOKUP(B50,Poland!$A:$B,2,)</f>
        <v>53.3</v>
      </c>
      <c r="AB50" s="37">
        <f>VLOOKUP(B50,Denmark!$A:$B,2,)</f>
        <v>47.78</v>
      </c>
    </row>
    <row r="51" spans="2:28" s="10" customFormat="1" x14ac:dyDescent="0.2">
      <c r="B51" s="36">
        <v>43252</v>
      </c>
      <c r="C51" s="37">
        <f>VLOOKUP(B51,Global!$A:$B,2,)</f>
        <v>53</v>
      </c>
      <c r="D51" s="37">
        <f>VLOOKUP(B51,US!$A:$D,4,)</f>
        <v>60.2</v>
      </c>
      <c r="E51" s="37">
        <f>VLOOKUP(B51,US!$A:$B,2,)</f>
        <v>55.4</v>
      </c>
      <c r="F51" s="37">
        <f>VLOOKUP(B51,China!$A:$B,2,)</f>
        <v>51</v>
      </c>
      <c r="G51" s="37">
        <f>VLOOKUP(B51,'Euro Area'!A:B,2,)</f>
        <v>54.9</v>
      </c>
      <c r="H51" s="37">
        <f>VLOOKUP(B51,Japan!$A:$B,2,)</f>
        <v>53</v>
      </c>
      <c r="I51" s="37">
        <f>VLOOKUP(B51,Germany!$A:$B,2,)</f>
        <v>55.9</v>
      </c>
      <c r="J51" s="37">
        <f>VLOOKUP(B51,France!$A:$B,2,)</f>
        <v>52.5</v>
      </c>
      <c r="K51" s="37">
        <f>VLOOKUP(B51,UK!$A:$B,2,)</f>
        <v>54.4</v>
      </c>
      <c r="L51" s="37">
        <f>VLOOKUP(B51,Italy!$A:$B,2,)</f>
        <v>53.3</v>
      </c>
      <c r="M51" s="37">
        <f>VLOOKUP(B51,Spain!$A:$B,2,)</f>
        <v>53.4</v>
      </c>
      <c r="N51" s="37">
        <f>VLOOKUP(B51,Brazil!$A:$B,2,)</f>
        <v>49.8</v>
      </c>
      <c r="O51" s="37">
        <f>VLOOKUP(B51,Mexico!$A:$B,2,)</f>
        <v>52.1</v>
      </c>
      <c r="P51" s="37">
        <f>VLOOKUP(B51,Russia!$A:$B,2,)</f>
        <v>49.5</v>
      </c>
      <c r="Q51" s="37">
        <f>VLOOKUP(B51,India!$A:$B,2,)</f>
        <v>53.1</v>
      </c>
      <c r="R51" s="37">
        <f>VLOOKUP(B51,Canada!$A:$B,2,)</f>
        <v>57.1</v>
      </c>
      <c r="S51" s="37">
        <f>VLOOKUP(B51,Australia!$A:$B,2,)</f>
        <v>57.4</v>
      </c>
      <c r="T51" s="37">
        <f>VLOOKUP(B51,Indonesia!$A:$B,2,)</f>
        <v>50.3</v>
      </c>
      <c r="U51" s="37">
        <f>VLOOKUP(B51,SouthKorea!$A:$B,2,)</f>
        <v>49.8</v>
      </c>
      <c r="V51" s="37">
        <f>VLOOKUP(B51,Taiwan!$A:$B,2,)</f>
        <v>54.5</v>
      </c>
      <c r="W51" s="37">
        <f>VLOOKUP(B51,Greece!$A:$B,2,)</f>
        <v>53.5</v>
      </c>
      <c r="X51" s="37">
        <f>VLOOKUP(B51,Ireland!$A:$B,2,)</f>
        <v>56.6</v>
      </c>
      <c r="Y51" s="37">
        <f>VLOOKUP(B51,Turkey!$A:$B,2,)</f>
        <v>46.8</v>
      </c>
      <c r="Z51" s="37">
        <f>VLOOKUP(B51,CzechRepublic!$A:$B,2,)</f>
        <v>56.8</v>
      </c>
      <c r="AA51" s="37">
        <f>VLOOKUP(B51,Poland!$A:$B,2,)</f>
        <v>54.2</v>
      </c>
      <c r="AB51" s="37">
        <f>VLOOKUP(B51,Denmark!$A:$B,2,)</f>
        <v>49.8</v>
      </c>
    </row>
    <row r="52" spans="2:28" s="10" customFormat="1" x14ac:dyDescent="0.2">
      <c r="B52" s="36">
        <v>43282</v>
      </c>
      <c r="C52" s="37">
        <f>VLOOKUP(B52,Global!$A:$B,2,)</f>
        <v>52.8</v>
      </c>
      <c r="D52" s="37">
        <f>VLOOKUP(B52,US!$A:$D,4,)</f>
        <v>58.1</v>
      </c>
      <c r="E52" s="37">
        <f>VLOOKUP(B52,US!$A:$B,2,)</f>
        <v>55.3</v>
      </c>
      <c r="F52" s="37">
        <f>VLOOKUP(B52,China!$A:$B,2,)</f>
        <v>50.8</v>
      </c>
      <c r="G52" s="37">
        <f>VLOOKUP(B52,'Euro Area'!A:B,2,)</f>
        <v>55.1</v>
      </c>
      <c r="H52" s="37">
        <f>VLOOKUP(B52,Japan!$A:$B,2,)</f>
        <v>52.3</v>
      </c>
      <c r="I52" s="37">
        <f>VLOOKUP(B52,Germany!$A:$B,2,)</f>
        <v>56.9</v>
      </c>
      <c r="J52" s="37">
        <f>VLOOKUP(B52,France!$A:$B,2,)</f>
        <v>53.3</v>
      </c>
      <c r="K52" s="37">
        <f>VLOOKUP(B52,UK!$A:$B,2,)</f>
        <v>54</v>
      </c>
      <c r="L52" s="37">
        <f>VLOOKUP(B52,Italy!$A:$B,2,)</f>
        <v>51.5</v>
      </c>
      <c r="M52" s="37">
        <f>VLOOKUP(B52,Spain!$A:$B,2,)</f>
        <v>52.9</v>
      </c>
      <c r="N52" s="37">
        <f>VLOOKUP(B52,Brazil!$A:$B,2,)</f>
        <v>50.5</v>
      </c>
      <c r="O52" s="37">
        <f>VLOOKUP(B52,Mexico!$A:$B,2,)</f>
        <v>52.1</v>
      </c>
      <c r="P52" s="37">
        <f>VLOOKUP(B52,Russia!$A:$B,2,)</f>
        <v>48.1</v>
      </c>
      <c r="Q52" s="37">
        <f>VLOOKUP(B52,India!$A:$B,2,)</f>
        <v>52.3</v>
      </c>
      <c r="R52" s="37">
        <f>VLOOKUP(B52,Canada!$A:$B,2,)</f>
        <v>56.9</v>
      </c>
      <c r="S52" s="37">
        <f>VLOOKUP(B52,Australia!$A:$B,2,)</f>
        <v>52</v>
      </c>
      <c r="T52" s="37">
        <f>VLOOKUP(B52,Indonesia!$A:$B,2,)</f>
        <v>50.5</v>
      </c>
      <c r="U52" s="37">
        <f>VLOOKUP(B52,SouthKorea!$A:$B,2,)</f>
        <v>48.3</v>
      </c>
      <c r="V52" s="37">
        <f>VLOOKUP(B52,Taiwan!$A:$B,2,)</f>
        <v>53.1</v>
      </c>
      <c r="W52" s="37">
        <f>VLOOKUP(B52,Greece!$A:$B,2,)</f>
        <v>53.5</v>
      </c>
      <c r="X52" s="37">
        <f>VLOOKUP(B52,Ireland!$A:$B,2,)</f>
        <v>56.3</v>
      </c>
      <c r="Y52" s="37">
        <f>VLOOKUP(B52,Turkey!$A:$B,2,)</f>
        <v>49</v>
      </c>
      <c r="Z52" s="37">
        <f>VLOOKUP(B52,CzechRepublic!$A:$B,2,)</f>
        <v>55.4</v>
      </c>
      <c r="AA52" s="37">
        <f>VLOOKUP(B52,Poland!$A:$B,2,)</f>
        <v>52.9</v>
      </c>
      <c r="AB52" s="37">
        <f>VLOOKUP(B52,Denmark!$A:$B,2,)</f>
        <v>55.7</v>
      </c>
    </row>
    <row r="53" spans="2:28" s="10" customFormat="1" x14ac:dyDescent="0.2">
      <c r="B53" s="36">
        <v>43313</v>
      </c>
      <c r="C53" s="37">
        <f>VLOOKUP(B53,Global!$A:$B,2,)</f>
        <v>52.6</v>
      </c>
      <c r="D53" s="37">
        <f>VLOOKUP(B53,US!$A:$D,4,)</f>
        <v>61.3</v>
      </c>
      <c r="E53" s="37">
        <f>VLOOKUP(B53,US!$A:$B,2,)</f>
        <v>54.5</v>
      </c>
      <c r="F53" s="37">
        <f>VLOOKUP(B53,China!$A:$B,2,)</f>
        <v>50.6</v>
      </c>
      <c r="G53" s="37">
        <f>VLOOKUP(B53,'Euro Area'!A:B,2,)</f>
        <v>54.6</v>
      </c>
      <c r="H53" s="37">
        <f>VLOOKUP(B53,Japan!$A:$B,2,)</f>
        <v>52.5</v>
      </c>
      <c r="I53" s="37">
        <f>VLOOKUP(B53,Germany!$A:$B,2,)</f>
        <v>55.9</v>
      </c>
      <c r="J53" s="37">
        <f>VLOOKUP(B53,France!$A:$B,2,)</f>
        <v>53.5</v>
      </c>
      <c r="K53" s="37">
        <f>VLOOKUP(B53,UK!$A:$B,2,)</f>
        <v>52.8</v>
      </c>
      <c r="L53" s="37">
        <f>VLOOKUP(B53,Italy!$A:$B,2,)</f>
        <v>50.1</v>
      </c>
      <c r="M53" s="37">
        <f>VLOOKUP(B53,Spain!$A:$B,2,)</f>
        <v>53</v>
      </c>
      <c r="N53" s="37">
        <f>VLOOKUP(B53,Brazil!$A:$B,2,)</f>
        <v>51.1</v>
      </c>
      <c r="O53" s="37">
        <f>VLOOKUP(B53,Mexico!$A:$B,2,)</f>
        <v>50.7</v>
      </c>
      <c r="P53" s="37">
        <f>VLOOKUP(B53,Russia!$A:$B,2,)</f>
        <v>48.9</v>
      </c>
      <c r="Q53" s="37">
        <f>VLOOKUP(B53,India!$A:$B,2,)</f>
        <v>51.7</v>
      </c>
      <c r="R53" s="37">
        <f>VLOOKUP(B53,Canada!$A:$B,2,)</f>
        <v>56.8</v>
      </c>
      <c r="S53" s="37">
        <f>VLOOKUP(B53,Australia!$A:$B,2,)</f>
        <v>56.7</v>
      </c>
      <c r="T53" s="37">
        <f>VLOOKUP(B53,Indonesia!$A:$B,2,)</f>
        <v>51.9</v>
      </c>
      <c r="U53" s="37">
        <f>VLOOKUP(B53,SouthKorea!$A:$B,2,)</f>
        <v>49.9</v>
      </c>
      <c r="V53" s="37">
        <f>VLOOKUP(B53,Taiwan!$A:$B,2,)</f>
        <v>53</v>
      </c>
      <c r="W53" s="37">
        <f>VLOOKUP(B53,Greece!$A:$B,2,)</f>
        <v>53.9</v>
      </c>
      <c r="X53" s="37">
        <f>VLOOKUP(B53,Ireland!$A:$B,2,)</f>
        <v>57.5</v>
      </c>
      <c r="Y53" s="37">
        <f>VLOOKUP(B53,Turkey!$A:$B,2,)</f>
        <v>46.4</v>
      </c>
      <c r="Z53" s="37">
        <f>VLOOKUP(B53,CzechRepublic!$A:$B,2,)</f>
        <v>54.9</v>
      </c>
      <c r="AA53" s="37">
        <f>VLOOKUP(B53,Poland!$A:$B,2,)</f>
        <v>51.4</v>
      </c>
      <c r="AB53" s="37">
        <f>VLOOKUP(B53,Denmark!$A:$B,2,)</f>
        <v>59.15</v>
      </c>
    </row>
    <row r="54" spans="2:28" s="10" customFormat="1" x14ac:dyDescent="0.2">
      <c r="B54" s="36">
        <v>43344</v>
      </c>
      <c r="C54" s="37">
        <f>VLOOKUP(B54,Global!$A:$B,2,)</f>
        <v>52.2</v>
      </c>
      <c r="D54" s="37">
        <f>VLOOKUP(B54,US!$A:$D,4,)</f>
        <v>59.8</v>
      </c>
      <c r="E54" s="37">
        <f>VLOOKUP(B54,US!$A:$B,2,)</f>
        <v>55.6</v>
      </c>
      <c r="F54" s="37">
        <f>VLOOKUP(B54,China!$A:$B,2,)</f>
        <v>50</v>
      </c>
      <c r="G54" s="37">
        <f>VLOOKUP(B54,'Euro Area'!A:B,2,)</f>
        <v>53.2</v>
      </c>
      <c r="H54" s="37">
        <f>VLOOKUP(B54,Japan!$A:$B,2,)</f>
        <v>52.5</v>
      </c>
      <c r="I54" s="37">
        <f>VLOOKUP(B54,Germany!$A:$B,2,)</f>
        <v>53.7</v>
      </c>
      <c r="J54" s="37">
        <f>VLOOKUP(B54,France!$A:$B,2,)</f>
        <v>52.5</v>
      </c>
      <c r="K54" s="37">
        <f>VLOOKUP(B54,UK!$A:$B,2,)</f>
        <v>53.8</v>
      </c>
      <c r="L54" s="37">
        <f>VLOOKUP(B54,Italy!$A:$B,2,)</f>
        <v>50</v>
      </c>
      <c r="M54" s="37">
        <f>VLOOKUP(B54,Spain!$A:$B,2,)</f>
        <v>51.4</v>
      </c>
      <c r="N54" s="37">
        <f>VLOOKUP(B54,Brazil!$A:$B,2,)</f>
        <v>50.9</v>
      </c>
      <c r="O54" s="37">
        <f>VLOOKUP(B54,Mexico!$A:$B,2,)</f>
        <v>51.7</v>
      </c>
      <c r="P54" s="37">
        <f>VLOOKUP(B54,Russia!$A:$B,2,)</f>
        <v>50</v>
      </c>
      <c r="Q54" s="37">
        <f>VLOOKUP(B54,India!$A:$B,2,)</f>
        <v>52.2</v>
      </c>
      <c r="R54" s="37">
        <f>VLOOKUP(B54,Canada!$A:$B,2,)</f>
        <v>54.8</v>
      </c>
      <c r="S54" s="37">
        <f>VLOOKUP(B54,Australia!$A:$B,2,)</f>
        <v>59</v>
      </c>
      <c r="T54" s="37">
        <f>VLOOKUP(B54,Indonesia!$A:$B,2,)</f>
        <v>50.7</v>
      </c>
      <c r="U54" s="37">
        <f>VLOOKUP(B54,SouthKorea!$A:$B,2,)</f>
        <v>51.3</v>
      </c>
      <c r="V54" s="37">
        <f>VLOOKUP(B54,Taiwan!$A:$B,2,)</f>
        <v>50.8</v>
      </c>
      <c r="W54" s="37">
        <f>VLOOKUP(B54,Greece!$A:$B,2,)</f>
        <v>53.6</v>
      </c>
      <c r="X54" s="37">
        <f>VLOOKUP(B54,Ireland!$A:$B,2,)</f>
        <v>56.3</v>
      </c>
      <c r="Y54" s="37">
        <f>VLOOKUP(B54,Turkey!$A:$B,2,)</f>
        <v>42.7</v>
      </c>
      <c r="Z54" s="37">
        <f>VLOOKUP(B54,CzechRepublic!$A:$B,2,)</f>
        <v>53.4</v>
      </c>
      <c r="AA54" s="37">
        <f>VLOOKUP(B54,Poland!$A:$B,2,)</f>
        <v>50.5</v>
      </c>
      <c r="AB54" s="37">
        <f>VLOOKUP(B54,Denmark!$A:$B,2,)</f>
        <v>53.7</v>
      </c>
    </row>
    <row r="55" spans="2:28" s="10" customFormat="1" x14ac:dyDescent="0.2">
      <c r="B55" s="36">
        <v>43374</v>
      </c>
      <c r="C55" s="37">
        <f>VLOOKUP(B55,Global!$A:$B,2,)</f>
        <v>52</v>
      </c>
      <c r="D55" s="37">
        <f>VLOOKUP(B55,US!$A:$D,4,)</f>
        <v>57.7</v>
      </c>
      <c r="E55" s="37">
        <f>VLOOKUP(B55,US!$A:$B,2,)</f>
        <v>55.7</v>
      </c>
      <c r="F55" s="37">
        <f>VLOOKUP(B55,China!$A:$B,2,)</f>
        <v>50.1</v>
      </c>
      <c r="G55" s="37">
        <f>VLOOKUP(B55,'Euro Area'!A:B,2,)</f>
        <v>52</v>
      </c>
      <c r="H55" s="37">
        <f>VLOOKUP(B55,Japan!$A:$B,2,)</f>
        <v>52.9</v>
      </c>
      <c r="I55" s="37">
        <f>VLOOKUP(B55,Germany!$A:$B,2,)</f>
        <v>52.2</v>
      </c>
      <c r="J55" s="37">
        <f>VLOOKUP(B55,France!$A:$B,2,)</f>
        <v>51.2</v>
      </c>
      <c r="K55" s="37">
        <f>VLOOKUP(B55,UK!$A:$B,2,)</f>
        <v>51.1</v>
      </c>
      <c r="L55" s="37">
        <f>VLOOKUP(B55,Italy!$A:$B,2,)</f>
        <v>49.2</v>
      </c>
      <c r="M55" s="37">
        <f>VLOOKUP(B55,Spain!$A:$B,2,)</f>
        <v>51.8</v>
      </c>
      <c r="N55" s="37">
        <f>VLOOKUP(B55,Brazil!$A:$B,2,)</f>
        <v>51.1</v>
      </c>
      <c r="O55" s="37">
        <f>VLOOKUP(B55,Mexico!$A:$B,2,)</f>
        <v>50.7</v>
      </c>
      <c r="P55" s="37">
        <f>VLOOKUP(B55,Russia!$A:$B,2,)</f>
        <v>51.3</v>
      </c>
      <c r="Q55" s="37">
        <f>VLOOKUP(B55,India!$A:$B,2,)</f>
        <v>53.1</v>
      </c>
      <c r="R55" s="37">
        <f>VLOOKUP(B55,Canada!$A:$B,2,)</f>
        <v>53.9</v>
      </c>
      <c r="S55" s="37">
        <f>VLOOKUP(B55,Australia!$A:$B,2,)</f>
        <v>58.3</v>
      </c>
      <c r="T55" s="37">
        <f>VLOOKUP(B55,Indonesia!$A:$B,2,)</f>
        <v>50.5</v>
      </c>
      <c r="U55" s="37">
        <f>VLOOKUP(B55,SouthKorea!$A:$B,2,)</f>
        <v>51</v>
      </c>
      <c r="V55" s="37">
        <f>VLOOKUP(B55,Taiwan!$A:$B,2,)</f>
        <v>48.7</v>
      </c>
      <c r="W55" s="37">
        <f>VLOOKUP(B55,Greece!$A:$B,2,)</f>
        <v>53.1</v>
      </c>
      <c r="X55" s="37">
        <f>VLOOKUP(B55,Ireland!$A:$B,2,)</f>
        <v>54.9</v>
      </c>
      <c r="Y55" s="37">
        <f>VLOOKUP(B55,Turkey!$A:$B,2,)</f>
        <v>44.3</v>
      </c>
      <c r="Z55" s="37">
        <f>VLOOKUP(B55,CzechRepublic!$A:$B,2,)</f>
        <v>52.5</v>
      </c>
      <c r="AA55" s="37">
        <f>VLOOKUP(B55,Poland!$A:$B,2,)</f>
        <v>50.4</v>
      </c>
      <c r="AB55" s="37">
        <f>VLOOKUP(B55,Denmark!$A:$B,2,)</f>
        <v>66.8</v>
      </c>
    </row>
    <row r="56" spans="2:28" s="10" customFormat="1" x14ac:dyDescent="0.2">
      <c r="B56" s="36">
        <v>43405</v>
      </c>
      <c r="C56" s="37">
        <f>VLOOKUP(B56,Global!$A:$B,2,)</f>
        <v>52</v>
      </c>
      <c r="D56" s="37">
        <f>VLOOKUP(B56,US!$A:$D,4,)</f>
        <v>59.3</v>
      </c>
      <c r="E56" s="37">
        <f>VLOOKUP(B56,US!$A:$B,2,)</f>
        <v>55.3</v>
      </c>
      <c r="F56" s="37">
        <f>VLOOKUP(B56,China!$A:$B,2,)</f>
        <v>50.2</v>
      </c>
      <c r="G56" s="37">
        <f>VLOOKUP(B56,'Euro Area'!A:B,2,)</f>
        <v>51.8</v>
      </c>
      <c r="H56" s="37">
        <f>VLOOKUP(B56,Japan!$A:$B,2,)</f>
        <v>52.2</v>
      </c>
      <c r="I56" s="37">
        <f>VLOOKUP(B56,Germany!$A:$B,2,)</f>
        <v>51.8</v>
      </c>
      <c r="J56" s="37">
        <f>VLOOKUP(B56,France!$A:$B,2,)</f>
        <v>50.8</v>
      </c>
      <c r="K56" s="37">
        <f>VLOOKUP(B56,UK!$A:$B,2,)</f>
        <v>53.1</v>
      </c>
      <c r="L56" s="37">
        <f>VLOOKUP(B56,Italy!$A:$B,2,)</f>
        <v>48.6</v>
      </c>
      <c r="M56" s="37">
        <f>VLOOKUP(B56,Spain!$A:$B,2,)</f>
        <v>52.6</v>
      </c>
      <c r="N56" s="37">
        <f>VLOOKUP(B56,Brazil!$A:$B,2,)</f>
        <v>52.7</v>
      </c>
      <c r="O56" s="37">
        <f>VLOOKUP(B56,Mexico!$A:$B,2,)</f>
        <v>49.7</v>
      </c>
      <c r="P56" s="37">
        <f>VLOOKUP(B56,Russia!$A:$B,2,)</f>
        <v>52.6</v>
      </c>
      <c r="Q56" s="37">
        <f>VLOOKUP(B56,India!$A:$B,2,)</f>
        <v>54</v>
      </c>
      <c r="R56" s="37">
        <f>VLOOKUP(B56,Canada!$A:$B,2,)</f>
        <v>54.9</v>
      </c>
      <c r="S56" s="37">
        <f>VLOOKUP(B56,Australia!$A:$B,2,)</f>
        <v>51.3</v>
      </c>
      <c r="T56" s="37">
        <f>VLOOKUP(B56,Indonesia!$A:$B,2,)</f>
        <v>50.4</v>
      </c>
      <c r="U56" s="37">
        <f>VLOOKUP(B56,SouthKorea!$A:$B,2,)</f>
        <v>48.6</v>
      </c>
      <c r="V56" s="37">
        <f>VLOOKUP(B56,Taiwan!$A:$B,2,)</f>
        <v>48.4</v>
      </c>
      <c r="W56" s="37">
        <f>VLOOKUP(B56,Greece!$A:$B,2,)</f>
        <v>54</v>
      </c>
      <c r="X56" s="37">
        <f>VLOOKUP(B56,Ireland!$A:$B,2,)</f>
        <v>55.4</v>
      </c>
      <c r="Y56" s="37">
        <f>VLOOKUP(B56,Turkey!$A:$B,2,)</f>
        <v>44.7</v>
      </c>
      <c r="Z56" s="37">
        <f>VLOOKUP(B56,CzechRepublic!$A:$B,2,)</f>
        <v>51.8</v>
      </c>
      <c r="AA56" s="37">
        <f>VLOOKUP(B56,Poland!$A:$B,2,)</f>
        <v>49.5</v>
      </c>
      <c r="AB56" s="37">
        <f>VLOOKUP(B56,Denmark!$A:$B,2,)</f>
        <v>58.2</v>
      </c>
    </row>
    <row r="57" spans="2:28" s="10" customFormat="1" x14ac:dyDescent="0.2">
      <c r="B57" s="36">
        <v>43435</v>
      </c>
      <c r="C57" s="37">
        <f>VLOOKUP(B57,Global!$A:$B,2,)</f>
        <v>51.5</v>
      </c>
      <c r="D57" s="37">
        <f>VLOOKUP(B57,US!$A:$D,4,)</f>
        <v>54.3</v>
      </c>
      <c r="E57" s="37">
        <f>VLOOKUP(B57,US!$A:$B,2,)</f>
        <v>53.8</v>
      </c>
      <c r="F57" s="37">
        <f>VLOOKUP(B57,China!$A:$B,2,)</f>
        <v>49.7</v>
      </c>
      <c r="G57" s="37">
        <f>VLOOKUP(B57,'Euro Area'!A:B,2,)</f>
        <v>51.4</v>
      </c>
      <c r="H57" s="37">
        <f>VLOOKUP(B57,Japan!$A:$B,2,)</f>
        <v>52.4</v>
      </c>
      <c r="I57" s="37">
        <f>VLOOKUP(B57,Germany!$A:$B,2,)</f>
        <v>51.5</v>
      </c>
      <c r="J57" s="37">
        <f>VLOOKUP(B57,France!$A:$B,2,)</f>
        <v>49.7</v>
      </c>
      <c r="K57" s="37">
        <f>VLOOKUP(B57,UK!$A:$B,2,)</f>
        <v>54.2</v>
      </c>
      <c r="L57" s="37">
        <f>VLOOKUP(B57,Italy!$A:$B,2,)</f>
        <v>49.2</v>
      </c>
      <c r="M57" s="37">
        <f>VLOOKUP(B57,Spain!$A:$B,2,)</f>
        <v>51.1</v>
      </c>
      <c r="N57" s="37">
        <f>VLOOKUP(B57,Brazil!$A:$B,2,)</f>
        <v>52.6</v>
      </c>
      <c r="O57" s="37">
        <f>VLOOKUP(B57,Mexico!$A:$B,2,)</f>
        <v>49.7</v>
      </c>
      <c r="P57" s="37">
        <f>VLOOKUP(B57,Russia!$A:$B,2,)</f>
        <v>51.7</v>
      </c>
      <c r="Q57" s="37">
        <f>VLOOKUP(B57,India!$A:$B,2,)</f>
        <v>53.2</v>
      </c>
      <c r="R57" s="37">
        <f>VLOOKUP(B57,Canada!$A:$B,2,)</f>
        <v>53.6</v>
      </c>
      <c r="S57" s="37">
        <f>VLOOKUP(B57,Australia!$A:$B,2,)</f>
        <v>49.5</v>
      </c>
      <c r="T57" s="37">
        <f>VLOOKUP(B57,Indonesia!$A:$B,2,)</f>
        <v>51.2</v>
      </c>
      <c r="U57" s="37">
        <f>VLOOKUP(B57,SouthKorea!$A:$B,2,)</f>
        <v>49.8</v>
      </c>
      <c r="V57" s="37">
        <f>VLOOKUP(B57,Taiwan!$A:$B,2,)</f>
        <v>47.7</v>
      </c>
      <c r="W57" s="37">
        <f>VLOOKUP(B57,Greece!$A:$B,2,)</f>
        <v>53.8</v>
      </c>
      <c r="X57" s="37">
        <f>VLOOKUP(B57,Ireland!$A:$B,2,)</f>
        <v>54.5</v>
      </c>
      <c r="Y57" s="37">
        <f>VLOOKUP(B57,Turkey!$A:$B,2,)</f>
        <v>44.2</v>
      </c>
      <c r="Z57" s="37">
        <f>VLOOKUP(B57,CzechRepublic!$A:$B,2,)</f>
        <v>49.7</v>
      </c>
      <c r="AA57" s="37">
        <f>VLOOKUP(B57,Poland!$A:$B,2,)</f>
        <v>47.6</v>
      </c>
      <c r="AB57" s="37">
        <f>VLOOKUP(B57,Denmark!$A:$B,2,)</f>
        <v>57.5</v>
      </c>
    </row>
    <row r="58" spans="2:28" s="10" customFormat="1" x14ac:dyDescent="0.2">
      <c r="B58" s="36">
        <v>43466</v>
      </c>
      <c r="C58" s="37">
        <f>VLOOKUP(B58,Global!$A:$B,2,)</f>
        <v>50.7</v>
      </c>
      <c r="D58" s="37">
        <f>VLOOKUP(B58,US!$A:$D,4,)</f>
        <v>56.6</v>
      </c>
      <c r="E58" s="37">
        <f>VLOOKUP(B58,US!$A:$B,2,)</f>
        <v>54.9</v>
      </c>
      <c r="F58" s="37">
        <f>VLOOKUP(B58,China!$A:$B,2,)</f>
        <v>48.3</v>
      </c>
      <c r="G58" s="37">
        <f>VLOOKUP(B58,'Euro Area'!A:B,2,)</f>
        <v>50.5</v>
      </c>
      <c r="H58" s="37">
        <f>VLOOKUP(B58,Japan!$A:$B,2,)</f>
        <v>50.3</v>
      </c>
      <c r="I58" s="37">
        <f>VLOOKUP(B58,Germany!$A:$B,2,)</f>
        <v>49.7</v>
      </c>
      <c r="J58" s="37">
        <f>VLOOKUP(B58,France!$A:$B,2,)</f>
        <v>51.2</v>
      </c>
      <c r="K58" s="37">
        <f>VLOOKUP(B58,UK!$A:$B,2,)</f>
        <v>52.8</v>
      </c>
      <c r="L58" s="37">
        <f>VLOOKUP(B58,Italy!$A:$B,2,)</f>
        <v>47.8</v>
      </c>
      <c r="M58" s="37">
        <f>VLOOKUP(B58,Spain!$A:$B,2,)</f>
        <v>52.4</v>
      </c>
      <c r="N58" s="37">
        <f>VLOOKUP(B58,Brazil!$A:$B,2,)</f>
        <v>52.7</v>
      </c>
      <c r="O58" s="37">
        <f>VLOOKUP(B58,Mexico!$A:$B,2,)</f>
        <v>50.9</v>
      </c>
      <c r="P58" s="37">
        <f>VLOOKUP(B58,Russia!$A:$B,2,)</f>
        <v>50.9</v>
      </c>
      <c r="Q58" s="37">
        <f>VLOOKUP(B58,India!$A:$B,2,)</f>
        <v>53.9</v>
      </c>
      <c r="R58" s="37">
        <f>VLOOKUP(B58,Canada!$A:$B,2,)</f>
        <v>53</v>
      </c>
      <c r="S58" s="37">
        <f>VLOOKUP(B58,Australia!$A:$B,2,)</f>
        <v>52.5</v>
      </c>
      <c r="T58" s="37">
        <f>VLOOKUP(B58,Indonesia!$A:$B,2,)</f>
        <v>49.9</v>
      </c>
      <c r="U58" s="37">
        <f>VLOOKUP(B58,SouthKorea!$A:$B,2,)</f>
        <v>48.3</v>
      </c>
      <c r="V58" s="37">
        <f>VLOOKUP(B58,Taiwan!$A:$B,2,)</f>
        <v>47.5</v>
      </c>
      <c r="W58" s="37">
        <f>VLOOKUP(B58,Greece!$A:$B,2,)</f>
        <v>53.7</v>
      </c>
      <c r="X58" s="37">
        <f>VLOOKUP(B58,Ireland!$A:$B,2,)</f>
        <v>52.6</v>
      </c>
      <c r="Y58" s="37">
        <f>VLOOKUP(B58,Turkey!$A:$B,2,)</f>
        <v>44.2</v>
      </c>
      <c r="Z58" s="37">
        <f>VLOOKUP(B58,CzechRepublic!$A:$B,2,)</f>
        <v>49</v>
      </c>
      <c r="AA58" s="37">
        <f>VLOOKUP(B58,Poland!$A:$B,2,)</f>
        <v>48.2</v>
      </c>
      <c r="AB58" s="37">
        <f>VLOOKUP(B58,Denmark!$A:$B,2,)</f>
        <v>51.1</v>
      </c>
    </row>
    <row r="59" spans="2:28" s="10" customFormat="1" x14ac:dyDescent="0.2">
      <c r="B59" s="36">
        <v>43497</v>
      </c>
      <c r="C59" s="37">
        <f>VLOOKUP(B59,Global!$A:$B,2,)</f>
        <v>50.6</v>
      </c>
      <c r="D59" s="37">
        <f>VLOOKUP(B59,US!$A:$D,4,)</f>
        <v>54.3</v>
      </c>
      <c r="E59" s="37">
        <f>VLOOKUP(B59,US!$A:$B,2,)</f>
        <v>53</v>
      </c>
      <c r="F59" s="37">
        <f>VLOOKUP(B59,China!$A:$B,2,)</f>
        <v>49.9</v>
      </c>
      <c r="G59" s="37">
        <f>VLOOKUP(B59,'Euro Area'!A:B,2,)</f>
        <v>49.3</v>
      </c>
      <c r="H59" s="37">
        <f>VLOOKUP(B59,Japan!$A:$B,2,)</f>
        <v>48.9</v>
      </c>
      <c r="I59" s="37">
        <f>VLOOKUP(B59,Germany!$A:$B,2,)</f>
        <v>47.6</v>
      </c>
      <c r="J59" s="37">
        <f>VLOOKUP(B59,France!$A:$B,2,)</f>
        <v>51.5</v>
      </c>
      <c r="K59" s="37">
        <f>VLOOKUP(B59,UK!$A:$B,2,)</f>
        <v>52</v>
      </c>
      <c r="L59" s="37">
        <f>VLOOKUP(B59,Italy!$A:$B,2,)</f>
        <v>47.7</v>
      </c>
      <c r="M59" s="37">
        <f>VLOOKUP(B59,Spain!$A:$B,2,)</f>
        <v>49.9</v>
      </c>
      <c r="N59" s="37">
        <f>VLOOKUP(B59,Brazil!$A:$B,2,)</f>
        <v>53.4</v>
      </c>
      <c r="O59" s="37">
        <f>VLOOKUP(B59,Mexico!$A:$B,2,)</f>
        <v>52.6</v>
      </c>
      <c r="P59" s="37">
        <f>VLOOKUP(B59,Russia!$A:$B,2,)</f>
        <v>50.1</v>
      </c>
      <c r="Q59" s="37">
        <f>VLOOKUP(B59,India!$A:$B,2,)</f>
        <v>54.3</v>
      </c>
      <c r="R59" s="37">
        <f>VLOOKUP(B59,Canada!$A:$B,2,)</f>
        <v>52.6</v>
      </c>
      <c r="S59" s="37">
        <f>VLOOKUP(B59,Australia!$A:$B,2,)</f>
        <v>54</v>
      </c>
      <c r="T59" s="37">
        <f>VLOOKUP(B59,Indonesia!$A:$B,2,)</f>
        <v>50.1</v>
      </c>
      <c r="U59" s="37">
        <f>VLOOKUP(B59,SouthKorea!$A:$B,2,)</f>
        <v>47.2</v>
      </c>
      <c r="V59" s="37">
        <f>VLOOKUP(B59,Taiwan!$A:$B,2,)</f>
        <v>46.3</v>
      </c>
      <c r="W59" s="37">
        <f>VLOOKUP(B59,Greece!$A:$B,2,)</f>
        <v>54.2</v>
      </c>
      <c r="X59" s="37">
        <f>VLOOKUP(B59,Ireland!$A:$B,2,)</f>
        <v>54</v>
      </c>
      <c r="Y59" s="37">
        <f>VLOOKUP(B59,Turkey!$A:$B,2,)</f>
        <v>46.4</v>
      </c>
      <c r="Z59" s="37">
        <f>VLOOKUP(B59,CzechRepublic!$A:$B,2,)</f>
        <v>48.6</v>
      </c>
      <c r="AA59" s="37">
        <f>VLOOKUP(B59,Poland!$A:$B,2,)</f>
        <v>47.6</v>
      </c>
      <c r="AB59" s="37">
        <f>VLOOKUP(B59,Denmark!$A:$B,2,)</f>
        <v>61.6</v>
      </c>
    </row>
    <row r="60" spans="2:28" s="10" customFormat="1" x14ac:dyDescent="0.2">
      <c r="B60" s="36">
        <v>43525</v>
      </c>
      <c r="C60" s="37">
        <f>VLOOKUP(B60,Global!$A:$B,2,)</f>
        <v>50.5</v>
      </c>
      <c r="D60" s="37">
        <f>VLOOKUP(B60,US!$A:$D,4,)</f>
        <v>54.3</v>
      </c>
      <c r="E60" s="37">
        <f>VLOOKUP(B60,US!$A:$B,2,)</f>
        <v>52.4</v>
      </c>
      <c r="F60" s="37">
        <f>VLOOKUP(B60,China!$A:$B,2,)</f>
        <v>50.8</v>
      </c>
      <c r="G60" s="37">
        <f>VLOOKUP(B60,'Euro Area'!A:B,2,)</f>
        <v>47.5</v>
      </c>
      <c r="H60" s="37">
        <f>VLOOKUP(B60,Japan!$A:$B,2,)</f>
        <v>49.2</v>
      </c>
      <c r="I60" s="37">
        <f>VLOOKUP(B60,Germany!$A:$B,2,)</f>
        <v>44.1</v>
      </c>
      <c r="J60" s="37">
        <f>VLOOKUP(B60,France!$A:$B,2,)</f>
        <v>49.7</v>
      </c>
      <c r="K60" s="37">
        <f>VLOOKUP(B60,UK!$A:$B,2,)</f>
        <v>55.1</v>
      </c>
      <c r="L60" s="37">
        <f>VLOOKUP(B60,Italy!$A:$B,2,)</f>
        <v>47.4</v>
      </c>
      <c r="M60" s="37">
        <f>VLOOKUP(B60,Spain!$A:$B,2,)</f>
        <v>50.9</v>
      </c>
      <c r="N60" s="37">
        <f>VLOOKUP(B60,Brazil!$A:$B,2,)</f>
        <v>52.8</v>
      </c>
      <c r="O60" s="37">
        <f>VLOOKUP(B60,Mexico!$A:$B,2,)</f>
        <v>49.8</v>
      </c>
      <c r="P60" s="37">
        <f>VLOOKUP(B60,Russia!$A:$B,2,)</f>
        <v>52.8</v>
      </c>
      <c r="Q60" s="37">
        <f>VLOOKUP(B60,India!$A:$B,2,)</f>
        <v>52.6</v>
      </c>
      <c r="R60" s="37">
        <f>VLOOKUP(B60,Canada!$A:$B,2,)</f>
        <v>50.5</v>
      </c>
      <c r="S60" s="37">
        <f>VLOOKUP(B60,Australia!$A:$B,2,)</f>
        <v>51</v>
      </c>
      <c r="T60" s="37">
        <f>VLOOKUP(B60,Indonesia!$A:$B,2,)</f>
        <v>51.2</v>
      </c>
      <c r="U60" s="37">
        <f>VLOOKUP(B60,SouthKorea!$A:$B,2,)</f>
        <v>48.8</v>
      </c>
      <c r="V60" s="37">
        <f>VLOOKUP(B60,Taiwan!$A:$B,2,)</f>
        <v>49</v>
      </c>
      <c r="W60" s="37">
        <f>VLOOKUP(B60,Greece!$A:$B,2,)</f>
        <v>54.7</v>
      </c>
      <c r="X60" s="37">
        <f>VLOOKUP(B60,Ireland!$A:$B,2,)</f>
        <v>53.9</v>
      </c>
      <c r="Y60" s="37">
        <f>VLOOKUP(B60,Turkey!$A:$B,2,)</f>
        <v>47.2</v>
      </c>
      <c r="Z60" s="37">
        <f>VLOOKUP(B60,CzechRepublic!$A:$B,2,)</f>
        <v>47.3</v>
      </c>
      <c r="AA60" s="37">
        <f>VLOOKUP(B60,Poland!$A:$B,2,)</f>
        <v>48.7</v>
      </c>
      <c r="AB60" s="37">
        <f>VLOOKUP(B60,Denmark!$A:$B,2,)</f>
        <v>56.6</v>
      </c>
    </row>
    <row r="61" spans="2:28" s="10" customFormat="1" x14ac:dyDescent="0.2">
      <c r="B61" s="36">
        <v>43556</v>
      </c>
      <c r="C61" s="37">
        <f>VLOOKUP(B61,Global!$A:$B,2,)</f>
        <v>50.4</v>
      </c>
      <c r="D61" s="37">
        <f>VLOOKUP(B61,US!$A:$D,4,)</f>
        <v>52.8</v>
      </c>
      <c r="E61" s="37">
        <f>VLOOKUP(B61,US!$A:$B,2,)</f>
        <v>52.6</v>
      </c>
      <c r="F61" s="37">
        <f>VLOOKUP(B61,China!$A:$B,2,)</f>
        <v>50.2</v>
      </c>
      <c r="G61" s="37">
        <f>VLOOKUP(B61,'Euro Area'!A:B,2,)</f>
        <v>47.9</v>
      </c>
      <c r="H61" s="37">
        <f>VLOOKUP(B61,Japan!$A:$B,2,)</f>
        <v>49.5</v>
      </c>
      <c r="I61" s="37">
        <f>VLOOKUP(B61,Germany!$A:$B,2,)</f>
        <v>44.4</v>
      </c>
      <c r="J61" s="37">
        <f>VLOOKUP(B61,France!$A:$B,2,)</f>
        <v>50</v>
      </c>
      <c r="K61" s="37">
        <f>VLOOKUP(B61,UK!$A:$B,2,)</f>
        <v>53.1</v>
      </c>
      <c r="L61" s="37">
        <f>VLOOKUP(B61,Italy!$A:$B,2,)</f>
        <v>49.1</v>
      </c>
      <c r="M61" s="37">
        <f>VLOOKUP(B61,Spain!$A:$B,2,)</f>
        <v>51.8</v>
      </c>
      <c r="N61" s="37">
        <f>VLOOKUP(B61,Brazil!$A:$B,2,)</f>
        <v>51.5</v>
      </c>
      <c r="O61" s="37">
        <f>VLOOKUP(B61,Mexico!$A:$B,2,)</f>
        <v>50.1</v>
      </c>
      <c r="P61" s="37">
        <f>VLOOKUP(B61,Russia!$A:$B,2,)</f>
        <v>51.8</v>
      </c>
      <c r="Q61" s="37">
        <f>VLOOKUP(B61,India!$A:$B,2,)</f>
        <v>51.8</v>
      </c>
      <c r="R61" s="37">
        <f>VLOOKUP(B61,Canada!$A:$B,2,)</f>
        <v>49.7</v>
      </c>
      <c r="S61" s="37">
        <f>VLOOKUP(B61,Australia!$A:$B,2,)</f>
        <v>54.8</v>
      </c>
      <c r="T61" s="37">
        <f>VLOOKUP(B61,Indonesia!$A:$B,2,)</f>
        <v>50.4</v>
      </c>
      <c r="U61" s="37">
        <f>VLOOKUP(B61,SouthKorea!$A:$B,2,)</f>
        <v>50.2</v>
      </c>
      <c r="V61" s="37">
        <f>VLOOKUP(B61,Taiwan!$A:$B,2,)</f>
        <v>48.2</v>
      </c>
      <c r="W61" s="37">
        <f>VLOOKUP(B61,Greece!$A:$B,2,)</f>
        <v>56.6</v>
      </c>
      <c r="X61" s="37">
        <f>VLOOKUP(B61,Ireland!$A:$B,2,)</f>
        <v>52.5</v>
      </c>
      <c r="Y61" s="37">
        <f>VLOOKUP(B61,Turkey!$A:$B,2,)</f>
        <v>46.8</v>
      </c>
      <c r="Z61" s="37">
        <f>VLOOKUP(B61,CzechRepublic!$A:$B,2,)</f>
        <v>46.6</v>
      </c>
      <c r="AA61" s="37">
        <f>VLOOKUP(B61,Poland!$A:$B,2,)</f>
        <v>49</v>
      </c>
      <c r="AB61" s="37">
        <f>VLOOKUP(B61,Denmark!$A:$B,2,)</f>
        <v>59.6</v>
      </c>
    </row>
    <row r="62" spans="2:28" s="10" customFormat="1" x14ac:dyDescent="0.2">
      <c r="B62" s="36">
        <v>43586</v>
      </c>
      <c r="C62" s="37">
        <f>VLOOKUP(B62,Global!$A:$B,2,)</f>
        <v>49.8</v>
      </c>
      <c r="D62" s="37">
        <f>VLOOKUP(B62,US!$A:$D,4,)</f>
        <v>52.1</v>
      </c>
      <c r="E62" s="37">
        <f>VLOOKUP(B62,US!$A:$B,2,)</f>
        <v>50.5</v>
      </c>
      <c r="F62" s="37">
        <f>VLOOKUP(B62,China!$A:$B,2,)</f>
        <v>50.2</v>
      </c>
      <c r="G62" s="37">
        <f>VLOOKUP(B62,'Euro Area'!A:B,2,)</f>
        <v>47.7</v>
      </c>
      <c r="H62" s="37">
        <f>VLOOKUP(B62,Japan!$A:$B,2,)</f>
        <v>49.8</v>
      </c>
      <c r="I62" s="37">
        <f>VLOOKUP(B62,Germany!$A:$B,2,)</f>
        <v>44.3</v>
      </c>
      <c r="J62" s="37">
        <f>VLOOKUP(B62,France!$A:$B,2,)</f>
        <v>50.6</v>
      </c>
      <c r="K62" s="37">
        <f>VLOOKUP(B62,UK!$A:$B,2,)</f>
        <v>49.4</v>
      </c>
      <c r="L62" s="37">
        <f>VLOOKUP(B62,Italy!$A:$B,2,)</f>
        <v>49.7</v>
      </c>
      <c r="M62" s="37">
        <f>VLOOKUP(B62,Spain!$A:$B,2,)</f>
        <v>50.1</v>
      </c>
      <c r="N62" s="37">
        <f>VLOOKUP(B62,Brazil!$A:$B,2,)</f>
        <v>50.2</v>
      </c>
      <c r="O62" s="37">
        <f>VLOOKUP(B62,Mexico!$A:$B,2,)</f>
        <v>50</v>
      </c>
      <c r="P62" s="37">
        <f>VLOOKUP(B62,Russia!$A:$B,2,)</f>
        <v>49.8</v>
      </c>
      <c r="Q62" s="37">
        <f>VLOOKUP(B62,India!$A:$B,2,)</f>
        <v>52.7</v>
      </c>
      <c r="R62" s="37">
        <f>VLOOKUP(B62,Canada!$A:$B,2,)</f>
        <v>49.1</v>
      </c>
      <c r="S62" s="37">
        <f>VLOOKUP(B62,Australia!$A:$B,2,)</f>
        <v>52.7</v>
      </c>
      <c r="T62" s="37">
        <f>VLOOKUP(B62,Indonesia!$A:$B,2,)</f>
        <v>51.6</v>
      </c>
      <c r="U62" s="37">
        <f>VLOOKUP(B62,SouthKorea!$A:$B,2,)</f>
        <v>48.4</v>
      </c>
      <c r="V62" s="37">
        <f>VLOOKUP(B62,Taiwan!$A:$B,2,)</f>
        <v>48.4</v>
      </c>
      <c r="W62" s="37">
        <f>VLOOKUP(B62,Greece!$A:$B,2,)</f>
        <v>54.2</v>
      </c>
      <c r="X62" s="37">
        <f>VLOOKUP(B62,Ireland!$A:$B,2,)</f>
        <v>50.4</v>
      </c>
      <c r="Y62" s="37">
        <f>VLOOKUP(B62,Turkey!$A:$B,2,)</f>
        <v>45.3</v>
      </c>
      <c r="Z62" s="37">
        <f>VLOOKUP(B62,CzechRepublic!$A:$B,2,)</f>
        <v>46.6</v>
      </c>
      <c r="AA62" s="37">
        <f>VLOOKUP(B62,Poland!$A:$B,2,)</f>
        <v>48.8</v>
      </c>
      <c r="AB62" s="37">
        <f>VLOOKUP(B62,Denmark!$A:$B,2,)</f>
        <v>47.6</v>
      </c>
    </row>
    <row r="63" spans="2:28" s="10" customFormat="1" x14ac:dyDescent="0.2">
      <c r="B63" s="36">
        <v>43617</v>
      </c>
      <c r="C63" s="37">
        <f>VLOOKUP(B63,Global!$A:$B,2,)</f>
        <v>49.4</v>
      </c>
      <c r="D63" s="37">
        <f>VLOOKUP(B63,US!$A:$D,4,)</f>
        <v>51.7</v>
      </c>
      <c r="E63" s="37">
        <f>VLOOKUP(B63,US!$A:$B,2,)</f>
        <v>50.6</v>
      </c>
      <c r="F63" s="37">
        <f>VLOOKUP(B63,China!$A:$B,2,)</f>
        <v>49.4</v>
      </c>
      <c r="G63" s="37">
        <f>VLOOKUP(B63,'Euro Area'!A:B,2,)</f>
        <v>47.6</v>
      </c>
      <c r="H63" s="37">
        <f>VLOOKUP(B63,Japan!$A:$B,2,)</f>
        <v>49.3</v>
      </c>
      <c r="I63" s="37">
        <f>VLOOKUP(B63,Germany!$A:$B,2,)</f>
        <v>45</v>
      </c>
      <c r="J63" s="37">
        <f>VLOOKUP(B63,France!$A:$B,2,)</f>
        <v>51.9</v>
      </c>
      <c r="K63" s="37">
        <f>VLOOKUP(B63,UK!$A:$B,2,)</f>
        <v>48</v>
      </c>
      <c r="L63" s="37">
        <f>VLOOKUP(B63,Italy!$A:$B,2,)</f>
        <v>48.4</v>
      </c>
      <c r="M63" s="37">
        <f>VLOOKUP(B63,Spain!$A:$B,2,)</f>
        <v>47.9</v>
      </c>
      <c r="N63" s="37">
        <f>VLOOKUP(B63,Brazil!$A:$B,2,)</f>
        <v>51</v>
      </c>
      <c r="O63" s="37">
        <f>VLOOKUP(B63,Mexico!$A:$B,2,)</f>
        <v>49.2</v>
      </c>
      <c r="P63" s="37">
        <f>VLOOKUP(B63,Russia!$A:$B,2,)</f>
        <v>48.6</v>
      </c>
      <c r="Q63" s="37">
        <f>VLOOKUP(B63,India!$A:$B,2,)</f>
        <v>52.1</v>
      </c>
      <c r="R63" s="37">
        <f>VLOOKUP(B63,Canada!$A:$B,2,)</f>
        <v>49.2</v>
      </c>
      <c r="S63" s="37">
        <f>VLOOKUP(B63,Australia!$A:$B,2,)</f>
        <v>49.4</v>
      </c>
      <c r="T63" s="37">
        <f>VLOOKUP(B63,Indonesia!$A:$B,2,)</f>
        <v>50.6</v>
      </c>
      <c r="U63" s="37">
        <f>VLOOKUP(B63,SouthKorea!$A:$B,2,)</f>
        <v>47.5</v>
      </c>
      <c r="V63" s="37">
        <f>VLOOKUP(B63,Taiwan!$A:$B,2,)</f>
        <v>45.5</v>
      </c>
      <c r="W63" s="37">
        <f>VLOOKUP(B63,Greece!$A:$B,2,)</f>
        <v>52.4</v>
      </c>
      <c r="X63" s="37">
        <f>VLOOKUP(B63,Ireland!$A:$B,2,)</f>
        <v>49.8</v>
      </c>
      <c r="Y63" s="37">
        <f>VLOOKUP(B63,Turkey!$A:$B,2,)</f>
        <v>47.9</v>
      </c>
      <c r="Z63" s="37">
        <f>VLOOKUP(B63,CzechRepublic!$A:$B,2,)</f>
        <v>45.9</v>
      </c>
      <c r="AA63" s="37">
        <f>VLOOKUP(B63,Poland!$A:$B,2,)</f>
        <v>48.4</v>
      </c>
      <c r="AB63" s="37">
        <f>VLOOKUP(B63,Denmark!$A:$B,2,)</f>
        <v>45</v>
      </c>
    </row>
    <row r="64" spans="2:28" s="10" customFormat="1" x14ac:dyDescent="0.2">
      <c r="B64" s="36">
        <v>43647</v>
      </c>
      <c r="C64" s="37">
        <f>VLOOKUP(B64,Global!$A:$B,2,)</f>
        <v>49.3</v>
      </c>
      <c r="D64" s="37">
        <f>VLOOKUP(B64,US!$A:$D,4,)</f>
        <v>51.2</v>
      </c>
      <c r="E64" s="37">
        <f>VLOOKUP(B64,US!$A:$B,2,)</f>
        <v>50</v>
      </c>
      <c r="F64" s="37">
        <f>VLOOKUP(B64,China!$A:$B,2,)</f>
        <v>49.9</v>
      </c>
      <c r="G64" s="37">
        <f>VLOOKUP(B64,'Euro Area'!A:B,2,)</f>
        <v>46.5</v>
      </c>
      <c r="H64" s="37">
        <f>VLOOKUP(B64,Japan!$A:$B,2,)</f>
        <v>49.4</v>
      </c>
      <c r="I64" s="37">
        <f>VLOOKUP(B64,Germany!$A:$B,2,)</f>
        <v>43.2</v>
      </c>
      <c r="J64" s="37">
        <f>VLOOKUP(B64,France!$A:$B,2,)</f>
        <v>49.7</v>
      </c>
      <c r="K64" s="37">
        <f>VLOOKUP(B64,UK!$A:$B,2,)</f>
        <v>48</v>
      </c>
      <c r="L64" s="37">
        <f>VLOOKUP(B64,Italy!$A:$B,2,)</f>
        <v>48.5</v>
      </c>
      <c r="M64" s="37">
        <f>VLOOKUP(B64,Spain!$A:$B,2,)</f>
        <v>48.2</v>
      </c>
      <c r="N64" s="37">
        <f>VLOOKUP(B64,Brazil!$A:$B,2,)</f>
        <v>49.9</v>
      </c>
      <c r="O64" s="37">
        <f>VLOOKUP(B64,Mexico!$A:$B,2,)</f>
        <v>49.8</v>
      </c>
      <c r="P64" s="37">
        <f>VLOOKUP(B64,Russia!$A:$B,2,)</f>
        <v>49.3</v>
      </c>
      <c r="Q64" s="37">
        <f>VLOOKUP(B64,India!$A:$B,2,)</f>
        <v>52.5</v>
      </c>
      <c r="R64" s="37">
        <f>VLOOKUP(B64,Canada!$A:$B,2,)</f>
        <v>50.2</v>
      </c>
      <c r="S64" s="37">
        <f>VLOOKUP(B64,Australia!$A:$B,2,)</f>
        <v>51.3</v>
      </c>
      <c r="T64" s="37">
        <f>VLOOKUP(B64,Indonesia!$A:$B,2,)</f>
        <v>49.6</v>
      </c>
      <c r="U64" s="37">
        <f>VLOOKUP(B64,SouthKorea!$A:$B,2,)</f>
        <v>47.3</v>
      </c>
      <c r="V64" s="37">
        <f>VLOOKUP(B64,Taiwan!$A:$B,2,)</f>
        <v>48.1</v>
      </c>
      <c r="W64" s="37">
        <f>VLOOKUP(B64,Greece!$A:$B,2,)</f>
        <v>54.6</v>
      </c>
      <c r="X64" s="37">
        <f>VLOOKUP(B64,Ireland!$A:$B,2,)</f>
        <v>48.7</v>
      </c>
      <c r="Y64" s="37">
        <f>VLOOKUP(B64,Turkey!$A:$B,2,)</f>
        <v>46.7</v>
      </c>
      <c r="Z64" s="37">
        <f>VLOOKUP(B64,CzechRepublic!$A:$B,2,)</f>
        <v>43.1</v>
      </c>
      <c r="AA64" s="37">
        <f>VLOOKUP(B64,Poland!$A:$B,2,)</f>
        <v>47.4</v>
      </c>
      <c r="AB64" s="37">
        <f>VLOOKUP(B64,Denmark!$A:$B,2,)</f>
        <v>49.5</v>
      </c>
    </row>
    <row r="65" spans="2:28" s="10" customFormat="1" x14ac:dyDescent="0.2">
      <c r="B65" s="36">
        <v>43678</v>
      </c>
      <c r="C65" s="37">
        <f>VLOOKUP(B65,Global!$A:$B,2,)</f>
        <v>49.5</v>
      </c>
      <c r="D65" s="37">
        <f>VLOOKUP(B65,US!$A:$D,4,)</f>
        <v>49.1</v>
      </c>
      <c r="E65" s="37">
        <f>VLOOKUP(B65,US!$A:$B,2,)</f>
        <v>50.3</v>
      </c>
      <c r="F65" s="37">
        <f>VLOOKUP(B65,China!$A:$B,2,)</f>
        <v>50.4</v>
      </c>
      <c r="G65" s="37">
        <f>VLOOKUP(B65,'Euro Area'!A:B,2,)</f>
        <v>47</v>
      </c>
      <c r="H65" s="37">
        <f>VLOOKUP(B65,Japan!$A:$B,2,)</f>
        <v>49.3</v>
      </c>
      <c r="I65" s="37">
        <f>VLOOKUP(B65,Germany!$A:$B,2,)</f>
        <v>43.5</v>
      </c>
      <c r="J65" s="37">
        <f>VLOOKUP(B65,France!$A:$B,2,)</f>
        <v>51.1</v>
      </c>
      <c r="K65" s="37">
        <f>VLOOKUP(B65,UK!$A:$B,2,)</f>
        <v>47.4</v>
      </c>
      <c r="L65" s="37">
        <f>VLOOKUP(B65,Italy!$A:$B,2,)</f>
        <v>48.7</v>
      </c>
      <c r="M65" s="37">
        <f>VLOOKUP(B65,Spain!$A:$B,2,)</f>
        <v>48.8</v>
      </c>
      <c r="N65" s="37">
        <f>VLOOKUP(B65,Brazil!$A:$B,2,)</f>
        <v>52.5</v>
      </c>
      <c r="O65" s="37">
        <f>VLOOKUP(B65,Mexico!$A:$B,2,)</f>
        <v>49</v>
      </c>
      <c r="P65" s="37">
        <f>VLOOKUP(B65,Russia!$A:$B,2,)</f>
        <v>49.1</v>
      </c>
      <c r="Q65" s="37">
        <f>VLOOKUP(B65,India!$A:$B,2,)</f>
        <v>51.4</v>
      </c>
      <c r="R65" s="37">
        <f>VLOOKUP(B65,Canada!$A:$B,2,)</f>
        <v>49.1</v>
      </c>
      <c r="S65" s="37">
        <f>VLOOKUP(B65,Australia!$A:$B,2,)</f>
        <v>53.1</v>
      </c>
      <c r="T65" s="37">
        <f>VLOOKUP(B65,Indonesia!$A:$B,2,)</f>
        <v>49</v>
      </c>
      <c r="U65" s="37">
        <f>VLOOKUP(B65,SouthKorea!$A:$B,2,)</f>
        <v>49</v>
      </c>
      <c r="V65" s="37">
        <f>VLOOKUP(B65,Taiwan!$A:$B,2,)</f>
        <v>47.9</v>
      </c>
      <c r="W65" s="37">
        <f>VLOOKUP(B65,Greece!$A:$B,2,)</f>
        <v>54.9</v>
      </c>
      <c r="X65" s="37">
        <f>VLOOKUP(B65,Ireland!$A:$B,2,)</f>
        <v>48.6</v>
      </c>
      <c r="Y65" s="37">
        <f>VLOOKUP(B65,Turkey!$A:$B,2,)</f>
        <v>48</v>
      </c>
      <c r="Z65" s="37">
        <f>VLOOKUP(B65,CzechRepublic!$A:$B,2,)</f>
        <v>44.9</v>
      </c>
      <c r="AA65" s="37">
        <f>VLOOKUP(B65,Poland!$A:$B,2,)</f>
        <v>48.8</v>
      </c>
      <c r="AB65" s="37">
        <f>VLOOKUP(B65,Denmark!$A:$B,2,)</f>
        <v>48.7</v>
      </c>
    </row>
    <row r="66" spans="2:28" s="10" customFormat="1" x14ac:dyDescent="0.2">
      <c r="B66" s="36">
        <v>43709</v>
      </c>
      <c r="C66" s="37">
        <f>VLOOKUP(B66,Global!$A:$B,2,)</f>
        <v>49.7</v>
      </c>
      <c r="D66" s="37">
        <f>VLOOKUP(B66,US!$A:$D,4,)</f>
        <v>47.8</v>
      </c>
      <c r="E66" s="37">
        <f>VLOOKUP(B66,US!$A:$B,2,)</f>
        <v>51.1</v>
      </c>
      <c r="F66" s="37">
        <f>VLOOKUP(B66,China!$A:$B,2,)</f>
        <v>51.4</v>
      </c>
      <c r="G66" s="37">
        <f>VLOOKUP(B66,'Euro Area'!A:B,2,)</f>
        <v>45.7</v>
      </c>
      <c r="H66" s="37">
        <f>VLOOKUP(B66,Japan!$A:$B,2,)</f>
        <v>48.9</v>
      </c>
      <c r="I66" s="37">
        <f>VLOOKUP(B66,Germany!$A:$B,2,)</f>
        <v>41.7</v>
      </c>
      <c r="J66" s="37">
        <f>VLOOKUP(B66,France!$A:$B,2,)</f>
        <v>50.1</v>
      </c>
      <c r="K66" s="37">
        <f>VLOOKUP(B66,UK!$A:$B,2,)</f>
        <v>48.3</v>
      </c>
      <c r="L66" s="37">
        <f>VLOOKUP(B66,Italy!$A:$B,2,)</f>
        <v>47.8</v>
      </c>
      <c r="M66" s="37">
        <f>VLOOKUP(B66,Spain!$A:$B,2,)</f>
        <v>47.7</v>
      </c>
      <c r="N66" s="37">
        <f>VLOOKUP(B66,Brazil!$A:$B,2,)</f>
        <v>53.4</v>
      </c>
      <c r="O66" s="37">
        <f>VLOOKUP(B66,Mexico!$A:$B,2,)</f>
        <v>49.1</v>
      </c>
      <c r="P66" s="37">
        <f>VLOOKUP(B66,Russia!$A:$B,2,)</f>
        <v>46.3</v>
      </c>
      <c r="Q66" s="37">
        <f>VLOOKUP(B66,India!$A:$B,2,)</f>
        <v>51.4</v>
      </c>
      <c r="R66" s="37">
        <f>VLOOKUP(B66,Canada!$A:$B,2,)</f>
        <v>51</v>
      </c>
      <c r="S66" s="37">
        <f>VLOOKUP(B66,Australia!$A:$B,2,)</f>
        <v>54.7</v>
      </c>
      <c r="T66" s="37">
        <f>VLOOKUP(B66,Indonesia!$A:$B,2,)</f>
        <v>49.1</v>
      </c>
      <c r="U66" s="37">
        <f>VLOOKUP(B66,SouthKorea!$A:$B,2,)</f>
        <v>48</v>
      </c>
      <c r="V66" s="37">
        <f>VLOOKUP(B66,Taiwan!$A:$B,2,)</f>
        <v>50</v>
      </c>
      <c r="W66" s="37">
        <f>VLOOKUP(B66,Greece!$A:$B,2,)</f>
        <v>53.6</v>
      </c>
      <c r="X66" s="37">
        <f>VLOOKUP(B66,Ireland!$A:$B,2,)</f>
        <v>48.7</v>
      </c>
      <c r="Y66" s="37">
        <f>VLOOKUP(B66,Turkey!$A:$B,2,)</f>
        <v>50</v>
      </c>
      <c r="Z66" s="37">
        <f>VLOOKUP(B66,CzechRepublic!$A:$B,2,)</f>
        <v>44.9</v>
      </c>
      <c r="AA66" s="37">
        <f>VLOOKUP(B66,Poland!$A:$B,2,)</f>
        <v>47.8</v>
      </c>
      <c r="AB66" s="37">
        <f>VLOOKUP(B66,Denmark!$A:$B,2,)</f>
        <v>50.2</v>
      </c>
    </row>
    <row r="67" spans="2:28" s="10" customFormat="1" x14ac:dyDescent="0.2">
      <c r="B67" s="36">
        <v>43739</v>
      </c>
      <c r="C67" s="37">
        <f>VLOOKUP(B67,Global!$A:$B,2,)</f>
        <v>49.8</v>
      </c>
      <c r="D67" s="37">
        <f>VLOOKUP(B67,US!$A:$D,4,)</f>
        <v>48.3</v>
      </c>
      <c r="E67" s="37">
        <f>VLOOKUP(B67,US!$A:$B,2,)</f>
        <v>51.3</v>
      </c>
      <c r="F67" s="37">
        <f>VLOOKUP(B67,China!$A:$B,2,)</f>
        <v>51.7</v>
      </c>
      <c r="G67" s="37">
        <f>VLOOKUP(B67,'Euro Area'!A:B,2,)</f>
        <v>45.9</v>
      </c>
      <c r="H67" s="37">
        <f>VLOOKUP(B67,Japan!$A:$B,2,)</f>
        <v>48.4</v>
      </c>
      <c r="I67" s="37">
        <f>VLOOKUP(B67,Germany!$A:$B,2,)</f>
        <v>42.1</v>
      </c>
      <c r="J67" s="37">
        <f>VLOOKUP(B67,France!$A:$B,2,)</f>
        <v>50.7</v>
      </c>
      <c r="K67" s="37">
        <f>VLOOKUP(B67,UK!$A:$B,2,)</f>
        <v>49.6</v>
      </c>
      <c r="L67" s="37">
        <f>VLOOKUP(B67,Italy!$A:$B,2,)</f>
        <v>47.7</v>
      </c>
      <c r="M67" s="37">
        <f>VLOOKUP(B67,Spain!$A:$B,2,)</f>
        <v>46.8</v>
      </c>
      <c r="N67" s="37">
        <f>VLOOKUP(B67,Brazil!$A:$B,2,)</f>
        <v>52.2</v>
      </c>
      <c r="O67" s="37">
        <f>VLOOKUP(B67,Mexico!$A:$B,2,)</f>
        <v>50.4</v>
      </c>
      <c r="P67" s="37">
        <f>VLOOKUP(B67,Russia!$A:$B,2,)</f>
        <v>47.2</v>
      </c>
      <c r="Q67" s="37">
        <f>VLOOKUP(B67,India!$A:$B,2,)</f>
        <v>50.6</v>
      </c>
      <c r="R67" s="37">
        <f>VLOOKUP(B67,Canada!$A:$B,2,)</f>
        <v>51.2</v>
      </c>
      <c r="S67" s="37">
        <f>VLOOKUP(B67,Australia!$A:$B,2,)</f>
        <v>51.6</v>
      </c>
      <c r="T67" s="37">
        <f>VLOOKUP(B67,Indonesia!$A:$B,2,)</f>
        <v>47.7</v>
      </c>
      <c r="U67" s="37">
        <f>VLOOKUP(B67,SouthKorea!$A:$B,2,)</f>
        <v>48.4</v>
      </c>
      <c r="V67" s="37">
        <f>VLOOKUP(B67,Taiwan!$A:$B,2,)</f>
        <v>49.8</v>
      </c>
      <c r="W67" s="37">
        <f>VLOOKUP(B67,Greece!$A:$B,2,)</f>
        <v>53.5</v>
      </c>
      <c r="X67" s="37">
        <f>VLOOKUP(B67,Ireland!$A:$B,2,)</f>
        <v>50.7</v>
      </c>
      <c r="Y67" s="37">
        <f>VLOOKUP(B67,Turkey!$A:$B,2,)</f>
        <v>49</v>
      </c>
      <c r="Z67" s="37">
        <f>VLOOKUP(B67,CzechRepublic!$A:$B,2,)</f>
        <v>45</v>
      </c>
      <c r="AA67" s="37">
        <f>VLOOKUP(B67,Poland!$A:$B,2,)</f>
        <v>45.6</v>
      </c>
      <c r="AB67" s="37">
        <f>VLOOKUP(B67,Denmark!$A:$B,2,)</f>
        <v>49.5</v>
      </c>
    </row>
    <row r="68" spans="2:28" s="10" customFormat="1" x14ac:dyDescent="0.2">
      <c r="B68" s="36">
        <v>43770</v>
      </c>
      <c r="C68" s="37">
        <f>VLOOKUP(B68,Global!$A:$B,2,)</f>
        <v>50.3</v>
      </c>
      <c r="D68" s="37">
        <f>VLOOKUP(B68,US!$A:$D,4,)</f>
        <v>48.1</v>
      </c>
      <c r="E68" s="37">
        <f>VLOOKUP(B68,US!$A:$B,2,)</f>
        <v>52.6</v>
      </c>
      <c r="F68" s="37">
        <f>VLOOKUP(B68,China!$A:$B,2,)</f>
        <v>51.8</v>
      </c>
      <c r="G68" s="37">
        <f>VLOOKUP(B68,'Euro Area'!A:B,2,)</f>
        <v>46.9</v>
      </c>
      <c r="H68" s="37">
        <f>VLOOKUP(B68,Japan!$A:$B,2,)</f>
        <v>48.9</v>
      </c>
      <c r="I68" s="37">
        <f>VLOOKUP(B68,Germany!$A:$B,2,)</f>
        <v>44.1</v>
      </c>
      <c r="J68" s="37">
        <f>VLOOKUP(B68,France!$A:$B,2,)</f>
        <v>51.7</v>
      </c>
      <c r="K68" s="37">
        <f>VLOOKUP(B68,UK!$A:$B,2,)</f>
        <v>48.9</v>
      </c>
      <c r="L68" s="37">
        <f>VLOOKUP(B68,Italy!$A:$B,2,)</f>
        <v>47.6</v>
      </c>
      <c r="M68" s="37">
        <f>VLOOKUP(B68,Spain!$A:$B,2,)</f>
        <v>47.5</v>
      </c>
      <c r="N68" s="37">
        <f>VLOOKUP(B68,Brazil!$A:$B,2,)</f>
        <v>52.9</v>
      </c>
      <c r="O68" s="37">
        <f>VLOOKUP(B68,Mexico!$A:$B,2,)</f>
        <v>48</v>
      </c>
      <c r="P68" s="37">
        <f>VLOOKUP(B68,Russia!$A:$B,2,)</f>
        <v>45.6</v>
      </c>
      <c r="Q68" s="37">
        <f>VLOOKUP(B68,India!$A:$B,2,)</f>
        <v>51.2</v>
      </c>
      <c r="R68" s="37">
        <f>VLOOKUP(B68,Canada!$A:$B,2,)</f>
        <v>51.4</v>
      </c>
      <c r="S68" s="37">
        <f>VLOOKUP(B68,Australia!$A:$B,2,)</f>
        <v>48.1</v>
      </c>
      <c r="T68" s="37">
        <f>VLOOKUP(B68,Indonesia!$A:$B,2,)</f>
        <v>48.2</v>
      </c>
      <c r="U68" s="37">
        <f>VLOOKUP(B68,SouthKorea!$A:$B,2,)</f>
        <v>49.4</v>
      </c>
      <c r="V68" s="37">
        <f>VLOOKUP(B68,Taiwan!$A:$B,2,)</f>
        <v>49.8</v>
      </c>
      <c r="W68" s="37">
        <f>VLOOKUP(B68,Greece!$A:$B,2,)</f>
        <v>54.1</v>
      </c>
      <c r="X68" s="37">
        <f>VLOOKUP(B68,Ireland!$A:$B,2,)</f>
        <v>49.7</v>
      </c>
      <c r="Y68" s="37">
        <f>VLOOKUP(B68,Turkey!$A:$B,2,)</f>
        <v>49.5</v>
      </c>
      <c r="Z68" s="37">
        <f>VLOOKUP(B68,CzechRepublic!$A:$B,2,)</f>
        <v>43.5</v>
      </c>
      <c r="AA68" s="37">
        <f>VLOOKUP(B68,Poland!$A:$B,2,)</f>
        <v>46.7</v>
      </c>
      <c r="AB68" s="37">
        <f>VLOOKUP(B68,Denmark!$A:$B,2,)</f>
        <v>53</v>
      </c>
    </row>
    <row r="69" spans="2:28" s="10" customFormat="1" x14ac:dyDescent="0.2">
      <c r="B69" s="36">
        <v>43800</v>
      </c>
      <c r="C69" s="37">
        <f>VLOOKUP(B69,Global!$A:$B,2,)</f>
        <v>50.1</v>
      </c>
      <c r="D69" s="37">
        <f>VLOOKUP(B69,US!$A:$D,4,)</f>
        <v>47.8</v>
      </c>
      <c r="E69" s="37">
        <f>VLOOKUP(B69,US!$A:$B,2,)</f>
        <v>52.4</v>
      </c>
      <c r="F69" s="37">
        <f>VLOOKUP(B69,China!$A:$B,2,)</f>
        <v>51.5</v>
      </c>
      <c r="G69" s="37">
        <f>VLOOKUP(B69,'Euro Area'!A:B,2,)</f>
        <v>46.3</v>
      </c>
      <c r="H69" s="37">
        <f>VLOOKUP(B69,Japan!$A:$B,2,)</f>
        <v>48.4</v>
      </c>
      <c r="I69" s="37">
        <f>VLOOKUP(B69,Germany!$A:$B,2,)</f>
        <v>43.7</v>
      </c>
      <c r="J69" s="37">
        <f>VLOOKUP(B69,France!$A:$B,2,)</f>
        <v>50.4</v>
      </c>
      <c r="K69" s="37">
        <f>VLOOKUP(B69,UK!$A:$B,2,)</f>
        <v>47.5</v>
      </c>
      <c r="L69" s="37">
        <f>VLOOKUP(B69,Italy!$A:$B,2,)</f>
        <v>46.2</v>
      </c>
      <c r="M69" s="37">
        <f>VLOOKUP(B69,Spain!$A:$B,2,)</f>
        <v>47.4</v>
      </c>
      <c r="N69" s="37">
        <f>VLOOKUP(B69,Brazil!$A:$B,2,)</f>
        <v>50.2</v>
      </c>
      <c r="O69" s="37">
        <f>VLOOKUP(B69,Mexico!$A:$B,2,)</f>
        <v>47.1</v>
      </c>
      <c r="P69" s="37">
        <f>VLOOKUP(B69,Russia!$A:$B,2,)</f>
        <v>47.5</v>
      </c>
      <c r="Q69" s="37">
        <f>VLOOKUP(B69,India!$A:$B,2,)</f>
        <v>52.7</v>
      </c>
      <c r="R69" s="37">
        <f>VLOOKUP(B69,Canada!$A:$B,2,)</f>
        <v>50.4</v>
      </c>
      <c r="S69" s="37">
        <f>VLOOKUP(B69,Australia!$A:$B,2,)</f>
        <v>48.3</v>
      </c>
      <c r="T69" s="37">
        <f>VLOOKUP(B69,Indonesia!$A:$B,2,)</f>
        <v>49.5</v>
      </c>
      <c r="U69" s="37">
        <f>VLOOKUP(B69,SouthKorea!$A:$B,2,)</f>
        <v>50.1</v>
      </c>
      <c r="V69" s="37">
        <f>VLOOKUP(B69,Taiwan!$A:$B,2,)</f>
        <v>50.8</v>
      </c>
      <c r="W69" s="37">
        <f>VLOOKUP(B69,Greece!$A:$B,2,)</f>
        <v>53.9</v>
      </c>
      <c r="X69" s="37">
        <f>VLOOKUP(B69,Ireland!$A:$B,2,)</f>
        <v>49.5</v>
      </c>
      <c r="Y69" s="37">
        <f>VLOOKUP(B69,Turkey!$A:$B,2,)</f>
        <v>49.5</v>
      </c>
      <c r="Z69" s="37">
        <f>VLOOKUP(B69,CzechRepublic!$A:$B,2,)</f>
        <v>43.6</v>
      </c>
      <c r="AA69" s="37">
        <f>VLOOKUP(B69,Poland!$A:$B,2,)</f>
        <v>48</v>
      </c>
      <c r="AB69" s="37">
        <f>VLOOKUP(B69,Denmark!$A:$B,2,)</f>
        <v>50.7</v>
      </c>
    </row>
    <row r="70" spans="2:28" s="10" customFormat="1" x14ac:dyDescent="0.2">
      <c r="B70" s="36">
        <v>43831</v>
      </c>
      <c r="C70" s="37">
        <f>VLOOKUP(B70,Global!$A:$B,2,)</f>
        <v>50.4</v>
      </c>
      <c r="D70" s="37">
        <f>VLOOKUP(B70,US!$A:$D,4,)</f>
        <v>50.9</v>
      </c>
      <c r="E70" s="37">
        <f>VLOOKUP(B70,US!$A:$B,2,)</f>
        <v>51.9</v>
      </c>
      <c r="F70" s="37">
        <f>VLOOKUP(B70,China!$A:$B,2,)</f>
        <v>51.1</v>
      </c>
      <c r="G70" s="37">
        <f>VLOOKUP(B70,'Euro Area'!A:B,2,)</f>
        <v>47.9</v>
      </c>
      <c r="H70" s="37">
        <f>VLOOKUP(B70,Japan!$A:$B,2,)</f>
        <v>48.8</v>
      </c>
      <c r="I70" s="37">
        <f>VLOOKUP(B70,Germany!$A:$B,2,)</f>
        <v>45.3</v>
      </c>
      <c r="J70" s="37">
        <f>VLOOKUP(B70,France!$A:$B,2,)</f>
        <v>51.1</v>
      </c>
      <c r="K70" s="37">
        <f>VLOOKUP(B70,UK!$A:$B,2,)</f>
        <v>50</v>
      </c>
      <c r="L70" s="37">
        <f>VLOOKUP(B70,Italy!$A:$B,2,)</f>
        <v>48.9</v>
      </c>
      <c r="M70" s="37">
        <f>VLOOKUP(B70,Spain!$A:$B,2,)</f>
        <v>48.5</v>
      </c>
      <c r="N70" s="37">
        <f>VLOOKUP(B70,Brazil!$A:$B,2,)</f>
        <v>51</v>
      </c>
      <c r="O70" s="37">
        <f>VLOOKUP(B70,Mexico!$A:$B,2,)</f>
        <v>49</v>
      </c>
      <c r="P70" s="37">
        <f>VLOOKUP(B70,Russia!$A:$B,2,)</f>
        <v>47.9</v>
      </c>
      <c r="Q70" s="37">
        <f>VLOOKUP(B70,India!$A:$B,2,)</f>
        <v>55.3</v>
      </c>
      <c r="R70" s="37">
        <f>VLOOKUP(B70,Canada!$A:$B,2,)</f>
        <v>50.6</v>
      </c>
      <c r="S70" s="37">
        <f>VLOOKUP(B70,Australia!$A:$B,2,)</f>
        <v>45.4</v>
      </c>
      <c r="T70" s="37">
        <f>VLOOKUP(B70,Indonesia!$A:$B,2,)</f>
        <v>49.3</v>
      </c>
      <c r="U70" s="37">
        <f>VLOOKUP(B70,SouthKorea!$A:$B,2,)</f>
        <v>49.8</v>
      </c>
      <c r="V70" s="37">
        <f>VLOOKUP(B70,Taiwan!$A:$B,2,)</f>
        <v>51.8</v>
      </c>
      <c r="W70" s="37">
        <f>VLOOKUP(B70,Greece!$A:$B,2,)</f>
        <v>54.4</v>
      </c>
      <c r="X70" s="37">
        <f>VLOOKUP(B70,Ireland!$A:$B,2,)</f>
        <v>51.4</v>
      </c>
      <c r="Y70" s="37">
        <f>VLOOKUP(B70,Turkey!$A:$B,2,)</f>
        <v>51.3</v>
      </c>
      <c r="Z70" s="37">
        <f>VLOOKUP(B70,CzechRepublic!$A:$B,2,)</f>
        <v>45.2</v>
      </c>
      <c r="AA70" s="37">
        <f>VLOOKUP(B70,Poland!$A:$B,2,)</f>
        <v>47.4</v>
      </c>
      <c r="AB70" s="37">
        <f>VLOOKUP(B70,Denmark!$A:$B,2,)</f>
        <v>53.2</v>
      </c>
    </row>
    <row r="71" spans="2:28" s="10" customFormat="1" x14ac:dyDescent="0.2">
      <c r="B71" s="36">
        <v>43862</v>
      </c>
      <c r="C71" s="37">
        <f>VLOOKUP(B71,Global!$A:$B,2,)</f>
        <v>47.1</v>
      </c>
      <c r="D71" s="37">
        <f>VLOOKUP(B71,US!$A:$D,4,)</f>
        <v>50.1</v>
      </c>
      <c r="E71" s="37">
        <f>VLOOKUP(B71,US!$A:$B,2,)</f>
        <v>50.7</v>
      </c>
      <c r="F71" s="37">
        <f>VLOOKUP(B71,China!$A:$B,2,)</f>
        <v>40.299999999999997</v>
      </c>
      <c r="G71" s="37">
        <f>VLOOKUP(B71,'Euro Area'!A:B,2,)</f>
        <v>49.2</v>
      </c>
      <c r="H71" s="37">
        <f>VLOOKUP(B71,Japan!$A:$B,2,)</f>
        <v>47.8</v>
      </c>
      <c r="I71" s="37">
        <f>VLOOKUP(B71,Germany!$A:$B,2,)</f>
        <v>48</v>
      </c>
      <c r="J71" s="37">
        <f>VLOOKUP(B71,France!$A:$B,2,)</f>
        <v>49.8</v>
      </c>
      <c r="K71" s="37">
        <f>VLOOKUP(B71,UK!$A:$B,2,)</f>
        <v>51.7</v>
      </c>
      <c r="L71" s="37">
        <f>VLOOKUP(B71,Italy!$A:$B,2,)</f>
        <v>48.7</v>
      </c>
      <c r="M71" s="37">
        <f>VLOOKUP(B71,Spain!$A:$B,2,)</f>
        <v>50.4</v>
      </c>
      <c r="N71" s="37">
        <f>VLOOKUP(B71,Brazil!$A:$B,2,)</f>
        <v>52.3</v>
      </c>
      <c r="O71" s="37">
        <f>VLOOKUP(B71,Mexico!$A:$B,2,)</f>
        <v>50</v>
      </c>
      <c r="P71" s="37">
        <f>VLOOKUP(B71,Russia!$A:$B,2,)</f>
        <v>48.2</v>
      </c>
      <c r="Q71" s="37">
        <f>VLOOKUP(B71,India!$A:$B,2,)</f>
        <v>54.5</v>
      </c>
      <c r="R71" s="37">
        <f>VLOOKUP(B71,Canada!$A:$B,2,)</f>
        <v>51.8</v>
      </c>
      <c r="S71" s="37">
        <f>VLOOKUP(B71,Australia!$A:$B,2,)</f>
        <v>44.3</v>
      </c>
      <c r="T71" s="37">
        <f>VLOOKUP(B71,Indonesia!$A:$B,2,)</f>
        <v>51.9</v>
      </c>
      <c r="U71" s="37">
        <f>VLOOKUP(B71,SouthKorea!$A:$B,2,)</f>
        <v>48.7</v>
      </c>
      <c r="V71" s="37">
        <f>VLOOKUP(B71,Taiwan!$A:$B,2,)</f>
        <v>49.9</v>
      </c>
      <c r="W71" s="37">
        <f>VLOOKUP(B71,Greece!$A:$B,2,)</f>
        <v>56.2</v>
      </c>
      <c r="X71" s="37">
        <f>VLOOKUP(B71,Ireland!$A:$B,2,)</f>
        <v>51.2</v>
      </c>
      <c r="Y71" s="37">
        <f>VLOOKUP(B71,Turkey!$A:$B,2,)</f>
        <v>52.4</v>
      </c>
      <c r="Z71" s="37">
        <f>VLOOKUP(B71,CzechRepublic!$A:$B,2,)</f>
        <v>46.5</v>
      </c>
      <c r="AA71" s="37">
        <f>VLOOKUP(B71,Poland!$A:$B,2,)</f>
        <v>48.2</v>
      </c>
      <c r="AB71" s="37">
        <f>VLOOKUP(B71,Denmark!$A:$B,2,)</f>
        <v>49.2</v>
      </c>
    </row>
    <row r="72" spans="2:28" s="10" customFormat="1" x14ac:dyDescent="0.2">
      <c r="B72" s="36">
        <v>43891</v>
      </c>
      <c r="C72" s="37">
        <f>VLOOKUP(B72,Global!$A:$B,2,)</f>
        <v>47.3</v>
      </c>
      <c r="D72" s="37">
        <f>VLOOKUP(B72,US!$A:$D,4,)</f>
        <v>49.1</v>
      </c>
      <c r="E72" s="37">
        <f>VLOOKUP(B72,US!$A:$B,2,)</f>
        <v>48.5</v>
      </c>
      <c r="F72" s="37">
        <f>VLOOKUP(B72,China!$A:$B,2,)</f>
        <v>50.1</v>
      </c>
      <c r="G72" s="37">
        <f>VLOOKUP(B72,'Euro Area'!A:B,2,)</f>
        <v>44.5</v>
      </c>
      <c r="H72" s="37">
        <f>VLOOKUP(B72,Japan!$A:$B,2,)</f>
        <v>44.2</v>
      </c>
      <c r="I72" s="37">
        <f>VLOOKUP(B72,Germany!$A:$B,2,)</f>
        <v>45.4</v>
      </c>
      <c r="J72" s="37">
        <f>VLOOKUP(B72,France!$A:$B,2,)</f>
        <v>43.2</v>
      </c>
      <c r="K72" s="37">
        <f>VLOOKUP(B72,UK!$A:$B,2,)</f>
        <v>47.8</v>
      </c>
      <c r="L72" s="37">
        <f>VLOOKUP(B72,Italy!$A:$B,2,)</f>
        <v>40.299999999999997</v>
      </c>
      <c r="M72" s="37">
        <f>VLOOKUP(B72,Spain!$A:$B,2,)</f>
        <v>45.7</v>
      </c>
      <c r="N72" s="37">
        <f>VLOOKUP(B72,Brazil!$A:$B,2,)</f>
        <v>48.4</v>
      </c>
      <c r="O72" s="37">
        <f>VLOOKUP(B72,Mexico!$A:$B,2,)</f>
        <v>46.9</v>
      </c>
      <c r="P72" s="37">
        <f>VLOOKUP(B72,Russia!$A:$B,2,)</f>
        <v>47.5</v>
      </c>
      <c r="Q72" s="37">
        <f>VLOOKUP(B72,India!$A:$B,2,)</f>
        <v>51.8</v>
      </c>
      <c r="R72" s="37">
        <f>VLOOKUP(B72,Canada!$A:$B,2,)</f>
        <v>46.1</v>
      </c>
      <c r="S72" s="37">
        <f>VLOOKUP(B72,Australia!$A:$B,2,)</f>
        <v>53.7</v>
      </c>
      <c r="T72" s="37">
        <f>VLOOKUP(B72,Indonesia!$A:$B,2,)</f>
        <v>45.3</v>
      </c>
      <c r="U72" s="37">
        <f>VLOOKUP(B72,SouthKorea!$A:$B,2,)</f>
        <v>44.2</v>
      </c>
      <c r="V72" s="37">
        <f>VLOOKUP(B72,Taiwan!$A:$B,2,)</f>
        <v>50.4</v>
      </c>
      <c r="W72" s="37">
        <f>VLOOKUP(B72,Greece!$A:$B,2,)</f>
        <v>42.5</v>
      </c>
      <c r="X72" s="37">
        <f>VLOOKUP(B72,Ireland!$A:$B,2,)</f>
        <v>45.1</v>
      </c>
      <c r="Y72" s="37">
        <f>VLOOKUP(B72,Turkey!$A:$B,2,)</f>
        <v>48.1</v>
      </c>
      <c r="Z72" s="37">
        <f>VLOOKUP(B72,CzechRepublic!$A:$B,2,)</f>
        <v>41.3</v>
      </c>
      <c r="AA72" s="37">
        <f>VLOOKUP(B72,Poland!$A:$B,2,)</f>
        <v>42.4</v>
      </c>
      <c r="AB72" s="37">
        <f>VLOOKUP(B72,Denmark!$A:$B,2,)</f>
        <v>46.8</v>
      </c>
    </row>
    <row r="73" spans="2:28" s="10" customFormat="1" x14ac:dyDescent="0.2">
      <c r="B73" s="36">
        <v>43922</v>
      </c>
      <c r="C73" s="37">
        <f>VLOOKUP(B73,Global!$A:$B,2,)</f>
        <v>39.6</v>
      </c>
      <c r="D73" s="37">
        <f>VLOOKUP(B73,US!$A:$D,4,)</f>
        <v>41.5</v>
      </c>
      <c r="E73" s="37">
        <f>VLOOKUP(B73,US!$A:$B,2,)</f>
        <v>36.1</v>
      </c>
      <c r="F73" s="37">
        <f>VLOOKUP(B73,China!$A:$B,2,)</f>
        <v>49.4</v>
      </c>
      <c r="G73" s="37">
        <f>VLOOKUP(B73,'Euro Area'!A:B,2,)</f>
        <v>33.4</v>
      </c>
      <c r="H73" s="37">
        <f>VLOOKUP(B73,Japan!$A:$B,2,)</f>
        <v>41.9</v>
      </c>
      <c r="I73" s="37">
        <f>VLOOKUP(B73,Germany!$A:$B,2,)</f>
        <v>34.5</v>
      </c>
      <c r="J73" s="37">
        <f>VLOOKUP(B73,France!$A:$B,2,)</f>
        <v>31.5</v>
      </c>
      <c r="K73" s="37">
        <f>VLOOKUP(B73,UK!$A:$B,2,)</f>
        <v>32.6</v>
      </c>
      <c r="L73" s="37">
        <f>VLOOKUP(B73,Italy!$A:$B,2,)</f>
        <v>31.1</v>
      </c>
      <c r="M73" s="37">
        <f>VLOOKUP(B73,Spain!$A:$B,2,)</f>
        <v>30.8</v>
      </c>
      <c r="N73" s="37">
        <f>VLOOKUP(B73,Brazil!$A:$B,2,)</f>
        <v>36</v>
      </c>
      <c r="O73" s="37">
        <f>VLOOKUP(B73,Mexico!$A:$B,2,)</f>
        <v>35</v>
      </c>
      <c r="P73" s="37">
        <f>VLOOKUP(B73,Russia!$A:$B,2,)</f>
        <v>31.3</v>
      </c>
      <c r="Q73" s="37">
        <f>VLOOKUP(B73,India!$A:$B,2,)</f>
        <v>27.4</v>
      </c>
      <c r="R73" s="37">
        <f>VLOOKUP(B73,Canada!$A:$B,2,)</f>
        <v>33</v>
      </c>
      <c r="S73" s="37">
        <f>VLOOKUP(B73,Australia!$A:$B,2,)</f>
        <v>35.799999999999997</v>
      </c>
      <c r="T73" s="37">
        <f>VLOOKUP(B73,Indonesia!$A:$B,2,)</f>
        <v>27.5</v>
      </c>
      <c r="U73" s="37">
        <f>VLOOKUP(B73,SouthKorea!$A:$B,2,)</f>
        <v>41.6</v>
      </c>
      <c r="V73" s="37">
        <f>VLOOKUP(B73,Taiwan!$A:$B,2,)</f>
        <v>42.2</v>
      </c>
      <c r="W73" s="37">
        <f>VLOOKUP(B73,Greece!$A:$B,2,)</f>
        <v>29.5</v>
      </c>
      <c r="X73" s="37">
        <f>VLOOKUP(B73,Ireland!$A:$B,2,)</f>
        <v>36</v>
      </c>
      <c r="Y73" s="37">
        <f>VLOOKUP(B73,Turkey!$A:$B,2,)</f>
        <v>33.4</v>
      </c>
      <c r="Z73" s="37">
        <f>VLOOKUP(B73,CzechRepublic!$A:$B,2,)</f>
        <v>35.1</v>
      </c>
      <c r="AA73" s="37">
        <f>VLOOKUP(B73,Poland!$A:$B,2,)</f>
        <v>31.9</v>
      </c>
      <c r="AB73" s="37">
        <f>VLOOKUP(B73,Denmark!$A:$B,2,)</f>
        <v>38.6</v>
      </c>
    </row>
    <row r="74" spans="2:28" s="10" customFormat="1" x14ac:dyDescent="0.2">
      <c r="B74" s="36">
        <v>43952</v>
      </c>
      <c r="C74" s="37">
        <f>VLOOKUP(B74,Global!$A:$B,2,)</f>
        <v>42.4</v>
      </c>
      <c r="D74" s="37">
        <f>VLOOKUP(B74,US!$A:$D,4,)</f>
        <v>43.1</v>
      </c>
      <c r="E74" s="37">
        <f>VLOOKUP(B74,US!$A:$B,2,)</f>
        <v>39.799999999999997</v>
      </c>
      <c r="F74" s="37">
        <f>VLOOKUP(B74,China!$A:$B,2,)</f>
        <v>50.7</v>
      </c>
      <c r="G74" s="37">
        <f>VLOOKUP(B74,'Euro Area'!A:B,2,)</f>
        <v>39.4</v>
      </c>
      <c r="H74" s="37">
        <f>VLOOKUP(B74,Japan!$A:$B,2,)</f>
        <v>38.4</v>
      </c>
      <c r="I74" s="37">
        <f>VLOOKUP(B74,Germany!$A:$B,2,)</f>
        <v>36.6</v>
      </c>
      <c r="J74" s="37">
        <f>VLOOKUP(B74,France!$A:$B,2,)</f>
        <v>40.6</v>
      </c>
      <c r="K74" s="37">
        <f>VLOOKUP(B74,UK!$A:$B,2,)</f>
        <v>40.700000000000003</v>
      </c>
      <c r="L74" s="37">
        <f>VLOOKUP(B74,Italy!$A:$B,2,)</f>
        <v>45.4</v>
      </c>
      <c r="M74" s="37">
        <f>VLOOKUP(B74,Spain!$A:$B,2,)</f>
        <v>38.299999999999997</v>
      </c>
      <c r="N74" s="37">
        <f>VLOOKUP(B74,Brazil!$A:$B,2,)</f>
        <v>38.299999999999997</v>
      </c>
      <c r="O74" s="37">
        <f>VLOOKUP(B74,Mexico!$A:$B,2,)</f>
        <v>38.299999999999997</v>
      </c>
      <c r="P74" s="37">
        <f>VLOOKUP(B74,Russia!$A:$B,2,)</f>
        <v>36.200000000000003</v>
      </c>
      <c r="Q74" s="37">
        <f>VLOOKUP(B74,India!$A:$B,2,)</f>
        <v>30.8</v>
      </c>
      <c r="R74" s="37">
        <f>VLOOKUP(B74,Canada!$A:$B,2,)</f>
        <v>40.6</v>
      </c>
      <c r="S74" s="37">
        <f>VLOOKUP(B74,Australia!$A:$B,2,)</f>
        <v>41.6</v>
      </c>
      <c r="T74" s="37">
        <f>VLOOKUP(B74,Indonesia!$A:$B,2,)</f>
        <v>28.6</v>
      </c>
      <c r="U74" s="37">
        <f>VLOOKUP(B74,SouthKorea!$A:$B,2,)</f>
        <v>41.3</v>
      </c>
      <c r="V74" s="37">
        <f>VLOOKUP(B74,Taiwan!$A:$B,2,)</f>
        <v>41.9</v>
      </c>
      <c r="W74" s="37">
        <f>VLOOKUP(B74,Greece!$A:$B,2,)</f>
        <v>41.1</v>
      </c>
      <c r="X74" s="37">
        <f>VLOOKUP(B74,Ireland!$A:$B,2,)</f>
        <v>39.200000000000003</v>
      </c>
      <c r="Y74" s="37">
        <f>VLOOKUP(B74,Turkey!$A:$B,2,)</f>
        <v>40.9</v>
      </c>
      <c r="Z74" s="37">
        <f>VLOOKUP(B74,CzechRepublic!$A:$B,2,)</f>
        <v>39.6</v>
      </c>
      <c r="AA74" s="37">
        <f>VLOOKUP(B74,Poland!$A:$B,2,)</f>
        <v>40.6</v>
      </c>
      <c r="AB74" s="37">
        <f>VLOOKUP(B74,Denmark!$A:$B,2,)</f>
        <v>54</v>
      </c>
    </row>
    <row r="75" spans="2:28" s="10" customFormat="1" x14ac:dyDescent="0.2">
      <c r="B75" s="36">
        <v>43983</v>
      </c>
      <c r="C75" s="37">
        <f>VLOOKUP(B75,Global!$A:$B,2,)</f>
        <v>47.8</v>
      </c>
      <c r="D75" s="37">
        <f>VLOOKUP(B75,US!$A:$D,4,)</f>
        <v>52.6</v>
      </c>
      <c r="E75" s="37">
        <f>VLOOKUP(B75,US!$A:$B,2,)</f>
        <v>49.8</v>
      </c>
      <c r="F75" s="37">
        <f>VLOOKUP(B75,China!$A:$B,2,)</f>
        <v>51.2</v>
      </c>
      <c r="G75" s="37">
        <f>VLOOKUP(B75,'Euro Area'!A:B,2,)</f>
        <v>47.4</v>
      </c>
      <c r="H75" s="37">
        <f>VLOOKUP(B75,Japan!$A:$B,2,)</f>
        <v>40.1</v>
      </c>
      <c r="I75" s="37">
        <f>VLOOKUP(B75,Germany!$A:$B,2,)</f>
        <v>45.2</v>
      </c>
      <c r="J75" s="37">
        <f>VLOOKUP(B75,France!$A:$B,2,)</f>
        <v>52.3</v>
      </c>
      <c r="K75" s="37">
        <f>VLOOKUP(B75,UK!$A:$B,2,)</f>
        <v>50.1</v>
      </c>
      <c r="L75" s="37">
        <f>VLOOKUP(B75,Italy!$A:$B,2,)</f>
        <v>47.5</v>
      </c>
      <c r="M75" s="37">
        <f>VLOOKUP(B75,Spain!$A:$B,2,)</f>
        <v>49</v>
      </c>
      <c r="N75" s="37">
        <f>VLOOKUP(B75,Brazil!$A:$B,2,)</f>
        <v>51.6</v>
      </c>
      <c r="O75" s="37">
        <f>VLOOKUP(B75,Mexico!$A:$B,2,)</f>
        <v>38.6</v>
      </c>
      <c r="P75" s="37">
        <f>VLOOKUP(B75,Russia!$A:$B,2,)</f>
        <v>49.4</v>
      </c>
      <c r="Q75" s="37">
        <f>VLOOKUP(B75,India!$A:$B,2,)</f>
        <v>47.2</v>
      </c>
      <c r="R75" s="37">
        <f>VLOOKUP(B75,Canada!$A:$B,2,)</f>
        <v>47.8</v>
      </c>
      <c r="S75" s="37">
        <f>VLOOKUP(B75,Australia!$A:$B,2,)</f>
        <v>51.5</v>
      </c>
      <c r="T75" s="37">
        <f>VLOOKUP(B75,Indonesia!$A:$B,2,)</f>
        <v>39.1</v>
      </c>
      <c r="U75" s="37">
        <f>VLOOKUP(B75,SouthKorea!$A:$B,2,)</f>
        <v>43.4</v>
      </c>
      <c r="V75" s="37">
        <f>VLOOKUP(B75,Taiwan!$A:$B,2,)</f>
        <v>46.2</v>
      </c>
      <c r="W75" s="37">
        <f>VLOOKUP(B75,Greece!$A:$B,2,)</f>
        <v>49.4</v>
      </c>
      <c r="X75" s="37">
        <f>VLOOKUP(B75,Ireland!$A:$B,2,)</f>
        <v>51</v>
      </c>
      <c r="Y75" s="37">
        <f>VLOOKUP(B75,Turkey!$A:$B,2,)</f>
        <v>53.9</v>
      </c>
      <c r="Z75" s="37">
        <f>VLOOKUP(B75,CzechRepublic!$A:$B,2,)</f>
        <v>44.9</v>
      </c>
      <c r="AA75" s="37">
        <f>VLOOKUP(B75,Poland!$A:$B,2,)</f>
        <v>47.2</v>
      </c>
      <c r="AB75" s="37">
        <f>VLOOKUP(B75,Denmark!$A:$B,2,)</f>
        <v>52.2</v>
      </c>
    </row>
    <row r="76" spans="2:28" s="10" customFormat="1" x14ac:dyDescent="0.2">
      <c r="B76" s="36">
        <v>44013</v>
      </c>
      <c r="C76" s="37">
        <f>VLOOKUP(B76,Global!$A:$B,2,)</f>
        <v>50.6</v>
      </c>
      <c r="D76" s="37">
        <f>VLOOKUP(B76,US!$A:$D,4,)</f>
        <v>54.2</v>
      </c>
      <c r="E76" s="37">
        <f>VLOOKUP(B76,US!$A:$B,2,)</f>
        <v>50.9</v>
      </c>
      <c r="F76" s="37">
        <f>VLOOKUP(B76,China!$A:$B,2,)</f>
        <v>52.8</v>
      </c>
      <c r="G76" s="37">
        <f>VLOOKUP(B76,'Euro Area'!A:B,2,)</f>
        <v>51.8</v>
      </c>
      <c r="H76" s="37">
        <f>VLOOKUP(B76,Japan!$A:$B,2,)</f>
        <v>45.2</v>
      </c>
      <c r="I76" s="37">
        <f>VLOOKUP(B76,Germany!$A:$B,2,)</f>
        <v>51</v>
      </c>
      <c r="J76" s="37">
        <f>VLOOKUP(B76,France!$A:$B,2,)</f>
        <v>52.4</v>
      </c>
      <c r="K76" s="37">
        <f>VLOOKUP(B76,UK!$A:$B,2,)</f>
        <v>53.3</v>
      </c>
      <c r="L76" s="37">
        <f>VLOOKUP(B76,Italy!$A:$B,2,)</f>
        <v>51.9</v>
      </c>
      <c r="M76" s="37">
        <f>VLOOKUP(B76,Spain!$A:$B,2,)</f>
        <v>53.5</v>
      </c>
      <c r="N76" s="37">
        <f>VLOOKUP(B76,Brazil!$A:$B,2,)</f>
        <v>58.2</v>
      </c>
      <c r="O76" s="37">
        <f>VLOOKUP(B76,Mexico!$A:$B,2,)</f>
        <v>40.4</v>
      </c>
      <c r="P76" s="37">
        <f>VLOOKUP(B76,Russia!$A:$B,2,)</f>
        <v>48.4</v>
      </c>
      <c r="Q76" s="37">
        <f>VLOOKUP(B76,India!$A:$B,2,)</f>
        <v>46</v>
      </c>
      <c r="R76" s="37">
        <f>VLOOKUP(B76,Canada!$A:$B,2,)</f>
        <v>52.9</v>
      </c>
      <c r="S76" s="37">
        <f>VLOOKUP(B76,Australia!$A:$B,2,)</f>
        <v>53.5</v>
      </c>
      <c r="T76" s="37">
        <f>VLOOKUP(B76,Indonesia!$A:$B,2,)</f>
        <v>46.9</v>
      </c>
      <c r="U76" s="37">
        <f>VLOOKUP(B76,SouthKorea!$A:$B,2,)</f>
        <v>46.9</v>
      </c>
      <c r="V76" s="37">
        <f>VLOOKUP(B76,Taiwan!$A:$B,2,)</f>
        <v>50.6</v>
      </c>
      <c r="W76" s="37">
        <f>VLOOKUP(B76,Greece!$A:$B,2,)</f>
        <v>48.6</v>
      </c>
      <c r="X76" s="37">
        <f>VLOOKUP(B76,Ireland!$A:$B,2,)</f>
        <v>57.3</v>
      </c>
      <c r="Y76" s="37">
        <f>VLOOKUP(B76,Turkey!$A:$B,2,)</f>
        <v>56.9</v>
      </c>
      <c r="Z76" s="37">
        <f>VLOOKUP(B76,CzechRepublic!$A:$B,2,)</f>
        <v>47</v>
      </c>
      <c r="AA76" s="37">
        <f>VLOOKUP(B76,Poland!$A:$B,2,)</f>
        <v>52.8</v>
      </c>
      <c r="AB76" s="37">
        <f>VLOOKUP(B76,Denmark!$A:$B,2,)</f>
        <v>57.4</v>
      </c>
    </row>
    <row r="77" spans="2:28" s="10" customFormat="1" x14ac:dyDescent="0.2">
      <c r="B77" s="36">
        <v>44044</v>
      </c>
      <c r="C77" s="37">
        <f>VLOOKUP(B77,Global!$A:$B,2,)</f>
        <v>51.8</v>
      </c>
      <c r="D77" s="37">
        <f>VLOOKUP(B77,US!$A:$D,4,)</f>
        <v>56</v>
      </c>
      <c r="E77" s="37">
        <f>VLOOKUP(B77,US!$A:$B,2,)</f>
        <v>53.1</v>
      </c>
      <c r="F77" s="37">
        <f>VLOOKUP(B77,China!$A:$B,2,)</f>
        <v>53.1</v>
      </c>
      <c r="G77" s="37">
        <f>VLOOKUP(B77,'Euro Area'!A:B,2,)</f>
        <v>51.7</v>
      </c>
      <c r="H77" s="37">
        <f>VLOOKUP(B77,Japan!$A:$B,2,)</f>
        <v>47.2</v>
      </c>
      <c r="I77" s="37">
        <f>VLOOKUP(B77,Germany!$A:$B,2,)</f>
        <v>52.2</v>
      </c>
      <c r="J77" s="37">
        <f>VLOOKUP(B77,France!$A:$B,2,)</f>
        <v>49.8</v>
      </c>
      <c r="K77" s="37">
        <f>VLOOKUP(B77,UK!$A:$B,2,)</f>
        <v>55.2</v>
      </c>
      <c r="L77" s="37">
        <f>VLOOKUP(B77,Italy!$A:$B,2,)</f>
        <v>53.1</v>
      </c>
      <c r="M77" s="37">
        <f>VLOOKUP(B77,Spain!$A:$B,2,)</f>
        <v>49.9</v>
      </c>
      <c r="N77" s="37">
        <f>VLOOKUP(B77,Brazil!$A:$B,2,)</f>
        <v>64.7</v>
      </c>
      <c r="O77" s="37">
        <f>VLOOKUP(B77,Mexico!$A:$B,2,)</f>
        <v>41.3</v>
      </c>
      <c r="P77" s="37">
        <f>VLOOKUP(B77,Russia!$A:$B,2,)</f>
        <v>51.1</v>
      </c>
      <c r="Q77" s="37">
        <f>VLOOKUP(B77,India!$A:$B,2,)</f>
        <v>52</v>
      </c>
      <c r="R77" s="37">
        <f>VLOOKUP(B77,Canada!$A:$B,2,)</f>
        <v>55.1</v>
      </c>
      <c r="S77" s="37">
        <f>VLOOKUP(B77,Australia!$A:$B,2,)</f>
        <v>49.3</v>
      </c>
      <c r="T77" s="37">
        <f>VLOOKUP(B77,Indonesia!$A:$B,2,)</f>
        <v>50.8</v>
      </c>
      <c r="U77" s="37">
        <f>VLOOKUP(B77,SouthKorea!$A:$B,2,)</f>
        <v>48.5</v>
      </c>
      <c r="V77" s="37">
        <f>VLOOKUP(B77,Taiwan!$A:$B,2,)</f>
        <v>52.2</v>
      </c>
      <c r="W77" s="37">
        <f>VLOOKUP(B77,Greece!$A:$B,2,)</f>
        <v>49.4</v>
      </c>
      <c r="X77" s="37">
        <f>VLOOKUP(B77,Ireland!$A:$B,2,)</f>
        <v>52.3</v>
      </c>
      <c r="Y77" s="37">
        <f>VLOOKUP(B77,Turkey!$A:$B,2,)</f>
        <v>54.3</v>
      </c>
      <c r="Z77" s="37">
        <f>VLOOKUP(B77,CzechRepublic!$A:$B,2,)</f>
        <v>49.1</v>
      </c>
      <c r="AA77" s="37">
        <f>VLOOKUP(B77,Poland!$A:$B,2,)</f>
        <v>50.6</v>
      </c>
      <c r="AB77" s="37">
        <f>VLOOKUP(B77,Denmark!$A:$B,2,)</f>
        <v>52.3</v>
      </c>
    </row>
    <row r="78" spans="2:28" s="10" customFormat="1" x14ac:dyDescent="0.2">
      <c r="B78" s="36">
        <v>44075</v>
      </c>
      <c r="C78" s="37">
        <f>VLOOKUP(B78,Global!$A:$B,2,)</f>
        <v>52.4</v>
      </c>
      <c r="D78" s="37">
        <f>VLOOKUP(B78,US!$A:$D,4,)</f>
        <v>57.8</v>
      </c>
      <c r="E78" s="37">
        <f>VLOOKUP(B78,US!$A:$B,2,)</f>
        <v>53.2</v>
      </c>
      <c r="F78" s="37">
        <f>VLOOKUP(B78,China!$A:$B,2,)</f>
        <v>53</v>
      </c>
      <c r="G78" s="37">
        <f>VLOOKUP(B78,'Euro Area'!A:B,2,)</f>
        <v>53.7</v>
      </c>
      <c r="H78" s="37">
        <f>VLOOKUP(B78,Japan!$A:$B,2,)</f>
        <v>47.7</v>
      </c>
      <c r="I78" s="37">
        <f>VLOOKUP(B78,Germany!$A:$B,2,)</f>
        <v>56.4</v>
      </c>
      <c r="J78" s="37">
        <f>VLOOKUP(B78,France!$A:$B,2,)</f>
        <v>51.2</v>
      </c>
      <c r="K78" s="37">
        <f>VLOOKUP(B78,UK!$A:$B,2,)</f>
        <v>54.1</v>
      </c>
      <c r="L78" s="37">
        <f>VLOOKUP(B78,Italy!$A:$B,2,)</f>
        <v>53.2</v>
      </c>
      <c r="M78" s="37">
        <f>VLOOKUP(B78,Spain!$A:$B,2,)</f>
        <v>50.8</v>
      </c>
      <c r="N78" s="37">
        <f>VLOOKUP(B78,Brazil!$A:$B,2,)</f>
        <v>64.900000000000006</v>
      </c>
      <c r="O78" s="37">
        <f>VLOOKUP(B78,Mexico!$A:$B,2,)</f>
        <v>42.1</v>
      </c>
      <c r="P78" s="37">
        <f>VLOOKUP(B78,Russia!$A:$B,2,)</f>
        <v>48.9</v>
      </c>
      <c r="Q78" s="37">
        <f>VLOOKUP(B78,India!$A:$B,2,)</f>
        <v>56.8</v>
      </c>
      <c r="R78" s="37">
        <f>VLOOKUP(B78,Canada!$A:$B,2,)</f>
        <v>56</v>
      </c>
      <c r="S78" s="37">
        <f>VLOOKUP(B78,Australia!$A:$B,2,)</f>
        <v>46.7</v>
      </c>
      <c r="T78" s="37">
        <f>VLOOKUP(B78,Indonesia!$A:$B,2,)</f>
        <v>47.2</v>
      </c>
      <c r="U78" s="37">
        <f>VLOOKUP(B78,SouthKorea!$A:$B,2,)</f>
        <v>49.8</v>
      </c>
      <c r="V78" s="37">
        <f>VLOOKUP(B78,Taiwan!$A:$B,2,)</f>
        <v>55.2</v>
      </c>
      <c r="W78" s="37">
        <f>VLOOKUP(B78,Greece!$A:$B,2,)</f>
        <v>50</v>
      </c>
      <c r="X78" s="37">
        <f>VLOOKUP(B78,Ireland!$A:$B,2,)</f>
        <v>50</v>
      </c>
      <c r="Y78" s="37">
        <f>VLOOKUP(B78,Turkey!$A:$B,2,)</f>
        <v>52.8</v>
      </c>
      <c r="Z78" s="37">
        <f>VLOOKUP(B78,CzechRepublic!$A:$B,2,)</f>
        <v>50.7</v>
      </c>
      <c r="AA78" s="37">
        <f>VLOOKUP(B78,Poland!$A:$B,2,)</f>
        <v>50.8</v>
      </c>
      <c r="AB78" s="37">
        <f>VLOOKUP(B78,Denmark!$A:$B,2,)</f>
        <v>54.4</v>
      </c>
    </row>
    <row r="79" spans="2:28" s="10" customFormat="1" x14ac:dyDescent="0.2">
      <c r="B79" s="36">
        <v>44105</v>
      </c>
      <c r="C79" s="37">
        <f>VLOOKUP(B79,Global!$A:$B,2,)</f>
        <v>53</v>
      </c>
      <c r="D79" s="37">
        <f>VLOOKUP(B79,US!$A:$D,4,)</f>
        <v>59.3</v>
      </c>
      <c r="E79" s="37">
        <f>VLOOKUP(B79,US!$A:$B,2,)</f>
        <v>53.4</v>
      </c>
      <c r="F79" s="37">
        <f>VLOOKUP(B79,China!$A:$B,2,)</f>
        <v>53.6</v>
      </c>
      <c r="G79" s="37">
        <f>VLOOKUP(B79,'Euro Area'!A:B,2,)</f>
        <v>54.8</v>
      </c>
      <c r="H79" s="37">
        <f>VLOOKUP(B79,Japan!$A:$B,2,)</f>
        <v>48.7</v>
      </c>
      <c r="I79" s="37">
        <f>VLOOKUP(B79,Germany!$A:$B,2,)</f>
        <v>58.2</v>
      </c>
      <c r="J79" s="37">
        <f>VLOOKUP(B79,France!$A:$B,2,)</f>
        <v>51.3</v>
      </c>
      <c r="K79" s="37">
        <f>VLOOKUP(B79,UK!$A:$B,2,)</f>
        <v>53.7</v>
      </c>
      <c r="L79" s="37">
        <f>VLOOKUP(B79,Italy!$A:$B,2,)</f>
        <v>53.8</v>
      </c>
      <c r="M79" s="37">
        <f>VLOOKUP(B79,Spain!$A:$B,2,)</f>
        <v>52.5</v>
      </c>
      <c r="N79" s="37">
        <f>VLOOKUP(B79,Brazil!$A:$B,2,)</f>
        <v>66.7</v>
      </c>
      <c r="O79" s="37">
        <f>VLOOKUP(B79,Mexico!$A:$B,2,)</f>
        <v>43.6</v>
      </c>
      <c r="P79" s="37">
        <f>VLOOKUP(B79,Russia!$A:$B,2,)</f>
        <v>46.9</v>
      </c>
      <c r="Q79" s="37">
        <f>VLOOKUP(B79,India!$A:$B,2,)</f>
        <v>58.9</v>
      </c>
      <c r="R79" s="37">
        <f>VLOOKUP(B79,Canada!$A:$B,2,)</f>
        <v>55.5</v>
      </c>
      <c r="S79" s="37">
        <f>VLOOKUP(B79,Australia!$A:$B,2,)</f>
        <v>56.3</v>
      </c>
      <c r="T79" s="37">
        <f>VLOOKUP(B79,Indonesia!$A:$B,2,)</f>
        <v>47.8</v>
      </c>
      <c r="U79" s="37">
        <f>VLOOKUP(B79,SouthKorea!$A:$B,2,)</f>
        <v>51.2</v>
      </c>
      <c r="V79" s="37">
        <f>VLOOKUP(B79,Taiwan!$A:$B,2,)</f>
        <v>55.1</v>
      </c>
      <c r="W79" s="37">
        <f>VLOOKUP(B79,Greece!$A:$B,2,)</f>
        <v>48.7</v>
      </c>
      <c r="X79" s="37">
        <f>VLOOKUP(B79,Ireland!$A:$B,2,)</f>
        <v>50.3</v>
      </c>
      <c r="Y79" s="37">
        <f>VLOOKUP(B79,Turkey!$A:$B,2,)</f>
        <v>53.9</v>
      </c>
      <c r="Z79" s="37">
        <f>VLOOKUP(B79,CzechRepublic!$A:$B,2,)</f>
        <v>51.9</v>
      </c>
      <c r="AA79" s="37">
        <f>VLOOKUP(B79,Poland!$A:$B,2,)</f>
        <v>50.8</v>
      </c>
      <c r="AB79" s="37">
        <f>VLOOKUP(B79,Denmark!$A:$B,2,)</f>
        <v>61.8</v>
      </c>
    </row>
    <row r="80" spans="2:28" s="10" customFormat="1" x14ac:dyDescent="0.2">
      <c r="B80" s="36">
        <v>44136</v>
      </c>
      <c r="C80" s="37">
        <f>VLOOKUP(B80,Global!$A:$B,2,)</f>
        <v>53.8</v>
      </c>
      <c r="D80" s="37">
        <f>VLOOKUP(B80,US!$A:$D,4,)</f>
        <v>57.5</v>
      </c>
      <c r="E80" s="37">
        <f>VLOOKUP(B80,US!$A:$B,2,)</f>
        <v>56.7</v>
      </c>
      <c r="F80" s="37">
        <f>VLOOKUP(B80,China!$A:$B,2,)</f>
        <v>54.9</v>
      </c>
      <c r="G80" s="37">
        <f>VLOOKUP(B80,'Euro Area'!A:B,2,)</f>
        <v>53.8</v>
      </c>
      <c r="H80" s="37">
        <f>VLOOKUP(B80,Japan!$A:$B,2,)</f>
        <v>49</v>
      </c>
      <c r="I80" s="37">
        <f>VLOOKUP(B80,Germany!$A:$B,2,)</f>
        <v>57.8</v>
      </c>
      <c r="J80" s="37">
        <f>VLOOKUP(B80,France!$A:$B,2,)</f>
        <v>49.6</v>
      </c>
      <c r="K80" s="37">
        <f>VLOOKUP(B80,UK!$A:$B,2,)</f>
        <v>55.6</v>
      </c>
      <c r="L80" s="37">
        <f>VLOOKUP(B80,Italy!$A:$B,2,)</f>
        <v>51.5</v>
      </c>
      <c r="M80" s="37">
        <f>VLOOKUP(B80,Spain!$A:$B,2,)</f>
        <v>49.8</v>
      </c>
      <c r="N80" s="37">
        <f>VLOOKUP(B80,Brazil!$A:$B,2,)</f>
        <v>64</v>
      </c>
      <c r="O80" s="37">
        <f>VLOOKUP(B80,Mexico!$A:$B,2,)</f>
        <v>43.7</v>
      </c>
      <c r="P80" s="37">
        <f>VLOOKUP(B80,Russia!$A:$B,2,)</f>
        <v>46.3</v>
      </c>
      <c r="Q80" s="37">
        <f>VLOOKUP(B80,India!$A:$B,2,)</f>
        <v>56.3</v>
      </c>
      <c r="R80" s="37">
        <f>VLOOKUP(B80,Canada!$A:$B,2,)</f>
        <v>55.8</v>
      </c>
      <c r="S80" s="37">
        <f>VLOOKUP(B80,Australia!$A:$B,2,)</f>
        <v>52.1</v>
      </c>
      <c r="T80" s="37">
        <f>VLOOKUP(B80,Indonesia!$A:$B,2,)</f>
        <v>50.6</v>
      </c>
      <c r="U80" s="37">
        <f>VLOOKUP(B80,SouthKorea!$A:$B,2,)</f>
        <v>52.9</v>
      </c>
      <c r="V80" s="37">
        <f>VLOOKUP(B80,Taiwan!$A:$B,2,)</f>
        <v>56.9</v>
      </c>
      <c r="W80" s="37">
        <f>VLOOKUP(B80,Greece!$A:$B,2,)</f>
        <v>42.3</v>
      </c>
      <c r="X80" s="37">
        <f>VLOOKUP(B80,Ireland!$A:$B,2,)</f>
        <v>52.2</v>
      </c>
      <c r="Y80" s="37">
        <f>VLOOKUP(B80,Turkey!$A:$B,2,)</f>
        <v>51.4</v>
      </c>
      <c r="Z80" s="37">
        <f>VLOOKUP(B80,CzechRepublic!$A:$B,2,)</f>
        <v>53.9</v>
      </c>
      <c r="AA80" s="37">
        <f>VLOOKUP(B80,Poland!$A:$B,2,)</f>
        <v>50.8</v>
      </c>
      <c r="AB80" s="37">
        <f>VLOOKUP(B80,Denmark!$A:$B,2,)</f>
        <v>47.7</v>
      </c>
    </row>
    <row r="81" spans="2:28" s="10" customFormat="1" x14ac:dyDescent="0.2">
      <c r="B81" s="36">
        <v>44166</v>
      </c>
      <c r="C81" s="37">
        <f>VLOOKUP(B81,Global!$A:$B,2,)</f>
        <v>53.8</v>
      </c>
      <c r="D81" s="37">
        <f>VLOOKUP(B81,US!$A:$D,4,)</f>
        <v>60.5</v>
      </c>
      <c r="E81" s="37">
        <f>VLOOKUP(B81,US!$A:$B,2,)</f>
        <v>57.1</v>
      </c>
      <c r="F81" s="37">
        <f>VLOOKUP(B81,China!$A:$B,2,)</f>
        <v>53</v>
      </c>
      <c r="G81" s="37">
        <f>VLOOKUP(B81,'Euro Area'!A:B,2,)</f>
        <v>55.2</v>
      </c>
      <c r="H81" s="37">
        <f>VLOOKUP(B81,Japan!$A:$B,2,)</f>
        <v>50</v>
      </c>
      <c r="I81" s="37">
        <f>VLOOKUP(B81,Germany!$A:$B,2,)</f>
        <v>58.3</v>
      </c>
      <c r="J81" s="37">
        <f>VLOOKUP(B81,France!$A:$B,2,)</f>
        <v>51.1</v>
      </c>
      <c r="K81" s="37">
        <f>VLOOKUP(B81,UK!$A:$B,2,)</f>
        <v>57.5</v>
      </c>
      <c r="L81" s="37">
        <f>VLOOKUP(B81,Italy!$A:$B,2,)</f>
        <v>52.8</v>
      </c>
      <c r="M81" s="37">
        <f>VLOOKUP(B81,Spain!$A:$B,2,)</f>
        <v>51</v>
      </c>
      <c r="N81" s="37">
        <f>VLOOKUP(B81,Brazil!$A:$B,2,)</f>
        <v>61.5</v>
      </c>
      <c r="O81" s="37">
        <f>VLOOKUP(B81,Mexico!$A:$B,2,)</f>
        <v>42.4</v>
      </c>
      <c r="P81" s="37">
        <f>VLOOKUP(B81,Russia!$A:$B,2,)</f>
        <v>49.7</v>
      </c>
      <c r="Q81" s="37">
        <f>VLOOKUP(B81,India!$A:$B,2,)</f>
        <v>56.4</v>
      </c>
      <c r="R81" s="37">
        <f>VLOOKUP(B81,Canada!$A:$B,2,)</f>
        <v>57.9</v>
      </c>
      <c r="S81" s="37">
        <f>VLOOKUP(B81,Australia!$A:$B,2,)</f>
        <v>55.3</v>
      </c>
      <c r="T81" s="37">
        <f>VLOOKUP(B81,Indonesia!$A:$B,2,)</f>
        <v>51.3</v>
      </c>
      <c r="U81" s="37">
        <f>VLOOKUP(B81,SouthKorea!$A:$B,2,)</f>
        <v>52.9</v>
      </c>
      <c r="V81" s="37">
        <f>VLOOKUP(B81,Taiwan!$A:$B,2,)</f>
        <v>59.4</v>
      </c>
      <c r="W81" s="37">
        <f>VLOOKUP(B81,Greece!$A:$B,2,)</f>
        <v>46.9</v>
      </c>
      <c r="X81" s="37">
        <f>VLOOKUP(B81,Ireland!$A:$B,2,)</f>
        <v>57.2</v>
      </c>
      <c r="Y81" s="37">
        <f>VLOOKUP(B81,Turkey!$A:$B,2,)</f>
        <v>50.8</v>
      </c>
      <c r="Z81" s="37">
        <f>VLOOKUP(B81,CzechRepublic!$A:$B,2,)</f>
        <v>57</v>
      </c>
      <c r="AA81" s="37">
        <f>VLOOKUP(B81,Poland!$A:$B,2,)</f>
        <v>51.7</v>
      </c>
      <c r="AB81" s="37">
        <f>VLOOKUP(B81,Denmark!$A:$B,2,)</f>
        <v>41.9</v>
      </c>
    </row>
    <row r="82" spans="2:28" s="10" customFormat="1" x14ac:dyDescent="0.2">
      <c r="B82" s="36">
        <v>44197</v>
      </c>
      <c r="C82" s="37">
        <f>VLOOKUP(B82,Global!$A:$B,2,)</f>
        <v>53.6</v>
      </c>
      <c r="D82" s="37">
        <f>VLOOKUP(B82,US!$A:$D,4,)</f>
        <v>58.7</v>
      </c>
      <c r="E82" s="37">
        <f>VLOOKUP(B82,US!$A:$B,2,)</f>
        <v>59.2</v>
      </c>
      <c r="F82" s="37">
        <f>VLOOKUP(B82,China!$A:$B,2,)</f>
        <v>51.5</v>
      </c>
      <c r="G82" s="37">
        <f>VLOOKUP(B82,'Euro Area'!A:B,2,)</f>
        <v>54.8</v>
      </c>
      <c r="H82" s="37">
        <f>VLOOKUP(B82,Japan!$A:$B,2,)</f>
        <v>49.8</v>
      </c>
      <c r="I82" s="37">
        <f>VLOOKUP(B82,Germany!$A:$B,2,)</f>
        <v>57.1</v>
      </c>
      <c r="J82" s="37">
        <f>VLOOKUP(B82,France!$A:$B,2,)</f>
        <v>51.6</v>
      </c>
      <c r="K82" s="37">
        <f>VLOOKUP(B82,UK!$A:$B,2,)</f>
        <v>54.1</v>
      </c>
      <c r="L82" s="37">
        <f>VLOOKUP(B82,Italy!$A:$B,2,)</f>
        <v>55.1</v>
      </c>
      <c r="M82" s="37">
        <f>VLOOKUP(B82,Spain!$A:$B,2,)</f>
        <v>49.3</v>
      </c>
      <c r="N82" s="37">
        <f>VLOOKUP(B82,Brazil!$A:$B,2,)</f>
        <v>56.5</v>
      </c>
      <c r="O82" s="37">
        <f>VLOOKUP(B82,Mexico!$A:$B,2,)</f>
        <v>43</v>
      </c>
      <c r="P82" s="37">
        <f>VLOOKUP(B82,Russia!$A:$B,2,)</f>
        <v>50.9</v>
      </c>
      <c r="Q82" s="37">
        <f>VLOOKUP(B82,India!$A:$B,2,)</f>
        <v>57.7</v>
      </c>
      <c r="R82" s="37">
        <f>VLOOKUP(B82,Canada!$A:$B,2,)</f>
        <v>54.4</v>
      </c>
      <c r="S82" s="37">
        <f>VLOOKUP(B82,Australia!$A:$B,2,)</f>
        <v>55.3</v>
      </c>
      <c r="T82" s="37">
        <f>VLOOKUP(B82,Indonesia!$A:$B,2,)</f>
        <v>52.2</v>
      </c>
      <c r="U82" s="37">
        <f>VLOOKUP(B82,SouthKorea!$A:$B,2,)</f>
        <v>53.2</v>
      </c>
      <c r="V82" s="37">
        <f>VLOOKUP(B82,Taiwan!$A:$B,2,)</f>
        <v>60.2</v>
      </c>
      <c r="W82" s="37">
        <f>VLOOKUP(B82,Greece!$A:$B,2,)</f>
        <v>50</v>
      </c>
      <c r="X82" s="37">
        <f>VLOOKUP(B82,Ireland!$A:$B,2,)</f>
        <v>51.8</v>
      </c>
      <c r="Y82" s="37">
        <f>VLOOKUP(B82,Turkey!$A:$B,2,)</f>
        <v>54.4</v>
      </c>
      <c r="Z82" s="37">
        <f>VLOOKUP(B82,CzechRepublic!$A:$B,2,)</f>
        <v>57</v>
      </c>
      <c r="AA82" s="37">
        <f>VLOOKUP(B82,Poland!$A:$B,2,)</f>
        <v>51.9</v>
      </c>
      <c r="AB82" s="37">
        <f>VLOOKUP(B82,Denmark!$A:$B,2,)</f>
        <v>42.1</v>
      </c>
    </row>
    <row r="83" spans="2:28" s="10" customFormat="1" x14ac:dyDescent="0.2">
      <c r="B83" s="36">
        <v>44228</v>
      </c>
      <c r="C83" s="37">
        <f>VLOOKUP(B83,Global!$A:$B,2,)</f>
        <v>53.9</v>
      </c>
      <c r="D83" s="37">
        <f>VLOOKUP(B83,US!$A:$D,4,)</f>
        <v>60.8</v>
      </c>
      <c r="E83" s="37">
        <f>VLOOKUP(B83,US!$A:$B,2,)</f>
        <v>58.6</v>
      </c>
      <c r="F83" s="37">
        <f>VLOOKUP(B83,China!$A:$B,2,)</f>
        <v>50.9</v>
      </c>
      <c r="G83" s="37">
        <f>VLOOKUP(B83,'Euro Area'!A:B,2,)</f>
        <v>57.9</v>
      </c>
      <c r="H83" s="37">
        <f>VLOOKUP(B83,Japan!$A:$B,2,)</f>
        <v>51.4</v>
      </c>
      <c r="I83" s="37">
        <f>VLOOKUP(B83,Germany!$A:$B,2,)</f>
        <v>60.7</v>
      </c>
      <c r="J83" s="37">
        <f>VLOOKUP(B83,France!$A:$B,2,)</f>
        <v>56.1</v>
      </c>
      <c r="K83" s="37">
        <f>VLOOKUP(B83,UK!$A:$B,2,)</f>
        <v>55.1</v>
      </c>
      <c r="L83" s="37">
        <f>VLOOKUP(B83,Italy!$A:$B,2,)</f>
        <v>56.9</v>
      </c>
      <c r="M83" s="37">
        <f>VLOOKUP(B83,Spain!$A:$B,2,)</f>
        <v>52.9</v>
      </c>
      <c r="N83" s="37">
        <f>VLOOKUP(B83,Brazil!$A:$B,2,)</f>
        <v>58.4</v>
      </c>
      <c r="O83" s="37">
        <f>VLOOKUP(B83,Mexico!$A:$B,2,)</f>
        <v>44.2</v>
      </c>
      <c r="P83" s="37">
        <f>VLOOKUP(B83,Russia!$A:$B,2,)</f>
        <v>51.5</v>
      </c>
      <c r="Q83" s="37">
        <f>VLOOKUP(B83,India!$A:$B,2,)</f>
        <v>57.5</v>
      </c>
      <c r="R83" s="37">
        <f>VLOOKUP(B83,Canada!$A:$B,2,)</f>
        <v>54.8</v>
      </c>
      <c r="S83" s="37">
        <f>VLOOKUP(B83,Australia!$A:$B,2,)</f>
        <v>58.8</v>
      </c>
      <c r="T83" s="37">
        <f>VLOOKUP(B83,Indonesia!$A:$B,2,)</f>
        <v>50.9</v>
      </c>
      <c r="U83" s="37">
        <f>VLOOKUP(B83,SouthKorea!$A:$B,2,)</f>
        <v>55.3</v>
      </c>
      <c r="V83" s="37">
        <f>VLOOKUP(B83,Taiwan!$A:$B,2,)</f>
        <v>60.4</v>
      </c>
      <c r="W83" s="37">
        <f>VLOOKUP(B83,Greece!$A:$B,2,)</f>
        <v>49.4</v>
      </c>
      <c r="X83" s="37">
        <f>VLOOKUP(B83,Ireland!$A:$B,2,)</f>
        <v>52</v>
      </c>
      <c r="Y83" s="37">
        <f>VLOOKUP(B83,Turkey!$A:$B,2,)</f>
        <v>51.7</v>
      </c>
      <c r="Z83" s="37">
        <f>VLOOKUP(B83,CzechRepublic!$A:$B,2,)</f>
        <v>56.5</v>
      </c>
      <c r="AA83" s="37">
        <f>VLOOKUP(B83,Poland!$A:$B,2,)</f>
        <v>53.4</v>
      </c>
      <c r="AB83" s="37">
        <f>VLOOKUP(B83,Denmark!$A:$B,2,)</f>
        <v>40.799999999999997</v>
      </c>
    </row>
    <row r="84" spans="2:28" s="10" customFormat="1" x14ac:dyDescent="0.2">
      <c r="B84" s="36">
        <v>44256</v>
      </c>
      <c r="C84" s="37">
        <f>VLOOKUP(B84,Global!$A:$B,2,)</f>
        <v>55</v>
      </c>
      <c r="D84" s="37">
        <f>VLOOKUP(B84,US!$A:$D,4,)</f>
        <v>64.7</v>
      </c>
      <c r="E84" s="37">
        <f>VLOOKUP(B84,US!$A:$B,2,)</f>
        <v>59.1</v>
      </c>
      <c r="F84" s="37">
        <f>VLOOKUP(B84,China!$A:$B,2,)</f>
        <v>50.6</v>
      </c>
      <c r="G84" s="37">
        <f>VLOOKUP(B84,'Euro Area'!A:B,2,)</f>
        <v>62.5</v>
      </c>
      <c r="H84" s="37">
        <f>VLOOKUP(B84,Japan!$A:$B,2,)</f>
        <v>52.7</v>
      </c>
      <c r="I84" s="37">
        <f>VLOOKUP(B84,Germany!$A:$B,2,)</f>
        <v>66.599999999999994</v>
      </c>
      <c r="J84" s="37">
        <f>VLOOKUP(B84,France!$A:$B,2,)</f>
        <v>59.3</v>
      </c>
      <c r="K84" s="37">
        <f>VLOOKUP(B84,UK!$A:$B,2,)</f>
        <v>58.9</v>
      </c>
      <c r="L84" s="37">
        <f>VLOOKUP(B84,Italy!$A:$B,2,)</f>
        <v>59.8</v>
      </c>
      <c r="M84" s="37">
        <f>VLOOKUP(B84,Spain!$A:$B,2,)</f>
        <v>56.9</v>
      </c>
      <c r="N84" s="37">
        <f>VLOOKUP(B84,Brazil!$A:$B,2,)</f>
        <v>52.8</v>
      </c>
      <c r="O84" s="37">
        <f>VLOOKUP(B84,Mexico!$A:$B,2,)</f>
        <v>45.6</v>
      </c>
      <c r="P84" s="37">
        <f>VLOOKUP(B84,Russia!$A:$B,2,)</f>
        <v>51.1</v>
      </c>
      <c r="Q84" s="37">
        <f>VLOOKUP(B84,India!$A:$B,2,)</f>
        <v>55.4</v>
      </c>
      <c r="R84" s="37">
        <f>VLOOKUP(B84,Canada!$A:$B,2,)</f>
        <v>58.5</v>
      </c>
      <c r="S84" s="37">
        <f>VLOOKUP(B84,Australia!$A:$B,2,)</f>
        <v>59.9</v>
      </c>
      <c r="T84" s="37">
        <f>VLOOKUP(B84,Indonesia!$A:$B,2,)</f>
        <v>53.2</v>
      </c>
      <c r="U84" s="37">
        <f>VLOOKUP(B84,SouthKorea!$A:$B,2,)</f>
        <v>55.3</v>
      </c>
      <c r="V84" s="37">
        <f>VLOOKUP(B84,Taiwan!$A:$B,2,)</f>
        <v>60.8</v>
      </c>
      <c r="W84" s="37">
        <f>VLOOKUP(B84,Greece!$A:$B,2,)</f>
        <v>51.8</v>
      </c>
      <c r="X84" s="37">
        <f>VLOOKUP(B84,Ireland!$A:$B,2,)</f>
        <v>57.1</v>
      </c>
      <c r="Y84" s="37">
        <f>VLOOKUP(B84,Turkey!$A:$B,2,)</f>
        <v>52.6</v>
      </c>
      <c r="Z84" s="37">
        <f>VLOOKUP(B84,CzechRepublic!$A:$B,2,)</f>
        <v>58</v>
      </c>
      <c r="AA84" s="37">
        <f>VLOOKUP(B84,Poland!$A:$B,2,)</f>
        <v>54.3</v>
      </c>
      <c r="AB84" s="37">
        <f>VLOOKUP(B84,Denmark!$A:$B,2,)</f>
        <v>67.599999999999994</v>
      </c>
    </row>
    <row r="85" spans="2:28" s="10" customFormat="1" x14ac:dyDescent="0.2">
      <c r="B85" s="36">
        <v>44287</v>
      </c>
      <c r="C85" s="37">
        <f>VLOOKUP(B85,Global!$A:$B,2,)</f>
        <v>55.9</v>
      </c>
      <c r="D85" s="37">
        <f>VLOOKUP(B85,US!$A:$D,4,)</f>
        <v>60.7</v>
      </c>
      <c r="E85" s="37">
        <f>VLOOKUP(B85,US!$A:$B,2,)</f>
        <v>60.5</v>
      </c>
      <c r="F85" s="37">
        <f>VLOOKUP(B85,China!$A:$B,2,)</f>
        <v>51.9</v>
      </c>
      <c r="G85" s="37">
        <f>VLOOKUP(B85,'Euro Area'!A:B,2,)</f>
        <v>62.9</v>
      </c>
      <c r="H85" s="37">
        <f>VLOOKUP(B85,Japan!$A:$B,2,)</f>
        <v>53.6</v>
      </c>
      <c r="I85" s="37">
        <f>VLOOKUP(B85,Germany!$A:$B,2,)</f>
        <v>66.2</v>
      </c>
      <c r="J85" s="37">
        <f>VLOOKUP(B85,France!$A:$B,2,)</f>
        <v>58.9</v>
      </c>
      <c r="K85" s="37">
        <f>VLOOKUP(B85,UK!$A:$B,2,)</f>
        <v>60.9</v>
      </c>
      <c r="L85" s="37">
        <f>VLOOKUP(B85,Italy!$A:$B,2,)</f>
        <v>60.7</v>
      </c>
      <c r="M85" s="37">
        <f>VLOOKUP(B85,Spain!$A:$B,2,)</f>
        <v>57.7</v>
      </c>
      <c r="N85" s="37">
        <f>VLOOKUP(B85,Brazil!$A:$B,2,)</f>
        <v>52.3</v>
      </c>
      <c r="O85" s="37">
        <f>VLOOKUP(B85,Mexico!$A:$B,2,)</f>
        <v>48.4</v>
      </c>
      <c r="P85" s="37">
        <f>VLOOKUP(B85,Russia!$A:$B,2,)</f>
        <v>50.4</v>
      </c>
      <c r="Q85" s="37">
        <f>VLOOKUP(B85,India!$A:$B,2,)</f>
        <v>55.5</v>
      </c>
      <c r="R85" s="37">
        <f>VLOOKUP(B85,Canada!$A:$B,2,)</f>
        <v>57.2</v>
      </c>
      <c r="S85" s="37">
        <f>VLOOKUP(B85,Australia!$A:$B,2,)</f>
        <v>61.7</v>
      </c>
      <c r="T85" s="37">
        <f>VLOOKUP(B85,Indonesia!$A:$B,2,)</f>
        <v>54.6</v>
      </c>
      <c r="U85" s="37">
        <f>VLOOKUP(B85,SouthKorea!$A:$B,2,)</f>
        <v>54.6</v>
      </c>
      <c r="V85" s="37">
        <f>VLOOKUP(B85,Taiwan!$A:$B,2,)</f>
        <v>62.4</v>
      </c>
      <c r="W85" s="37">
        <f>VLOOKUP(B85,Greece!$A:$B,2,)</f>
        <v>54.4</v>
      </c>
      <c r="X85" s="37">
        <f>VLOOKUP(B85,Ireland!$A:$B,2,)</f>
        <v>60.8</v>
      </c>
      <c r="Y85" s="37">
        <f>VLOOKUP(B85,Turkey!$A:$B,2,)</f>
        <v>50.4</v>
      </c>
      <c r="Z85" s="37">
        <f>VLOOKUP(B85,CzechRepublic!$A:$B,2,)</f>
        <v>58.9</v>
      </c>
      <c r="AA85" s="37">
        <f>VLOOKUP(B85,Poland!$A:$B,2,)</f>
        <v>53.7</v>
      </c>
      <c r="AB85" s="37">
        <f>VLOOKUP(B85,Denmark!$A:$B,2,)</f>
        <v>72</v>
      </c>
    </row>
    <row r="86" spans="2:28" s="10" customFormat="1" x14ac:dyDescent="0.2">
      <c r="B86" s="36">
        <v>44317</v>
      </c>
      <c r="C86" s="37">
        <f>VLOOKUP(B86,Global!$A:$B,2,)</f>
        <v>56</v>
      </c>
      <c r="D86" s="37">
        <f>VLOOKUP(B86,US!$A:$D,4,)</f>
        <v>61.2</v>
      </c>
      <c r="E86" s="37">
        <f>VLOOKUP(B86,US!$A:$B,2,)</f>
        <v>62.6</v>
      </c>
      <c r="F86" s="37">
        <f>VLOOKUP(B86,China!$A:$B,2,)</f>
        <v>52</v>
      </c>
      <c r="G86" s="37">
        <f>VLOOKUP(B86,'Euro Area'!A:B,2,)</f>
        <v>63.1</v>
      </c>
      <c r="H86" s="37">
        <f>VLOOKUP(B86,Japan!$A:$B,2,)</f>
        <v>53</v>
      </c>
      <c r="I86" s="37">
        <f>VLOOKUP(B86,Germany!$A:$B,2,)</f>
        <v>64.400000000000006</v>
      </c>
      <c r="J86" s="37">
        <f>VLOOKUP(B86,France!$A:$B,2,)</f>
        <v>59.4</v>
      </c>
      <c r="K86" s="37">
        <f>VLOOKUP(B86,UK!$A:$B,2,)</f>
        <v>65.599999999999994</v>
      </c>
      <c r="L86" s="37">
        <f>VLOOKUP(B86,Italy!$A:$B,2,)</f>
        <v>62.3</v>
      </c>
      <c r="M86" s="37">
        <f>VLOOKUP(B86,Spain!$A:$B,2,)</f>
        <v>59.4</v>
      </c>
      <c r="N86" s="37">
        <f>VLOOKUP(B86,Brazil!$A:$B,2,)</f>
        <v>53.7</v>
      </c>
      <c r="O86" s="37">
        <f>VLOOKUP(B86,Mexico!$A:$B,2,)</f>
        <v>47.6</v>
      </c>
      <c r="P86" s="37">
        <f>VLOOKUP(B86,Russia!$A:$B,2,)</f>
        <v>51.9</v>
      </c>
      <c r="Q86" s="37">
        <f>VLOOKUP(B86,India!$A:$B,2,)</f>
        <v>50.8</v>
      </c>
      <c r="R86" s="37">
        <f>VLOOKUP(B86,Canada!$A:$B,2,)</f>
        <v>57</v>
      </c>
      <c r="S86" s="37">
        <f>VLOOKUP(B86,Australia!$A:$B,2,)</f>
        <v>61.8</v>
      </c>
      <c r="T86" s="37">
        <f>VLOOKUP(B86,Indonesia!$A:$B,2,)</f>
        <v>55.3</v>
      </c>
      <c r="U86" s="37">
        <f>VLOOKUP(B86,SouthKorea!$A:$B,2,)</f>
        <v>53.7</v>
      </c>
      <c r="V86" s="37">
        <f>VLOOKUP(B86,Taiwan!$A:$B,2,)</f>
        <v>62</v>
      </c>
      <c r="W86" s="37">
        <f>VLOOKUP(B86,Greece!$A:$B,2,)</f>
        <v>58</v>
      </c>
      <c r="X86" s="37">
        <f>VLOOKUP(B86,Ireland!$A:$B,2,)</f>
        <v>64.099999999999994</v>
      </c>
      <c r="Y86" s="37">
        <f>VLOOKUP(B86,Turkey!$A:$B,2,)</f>
        <v>49.3</v>
      </c>
      <c r="Z86" s="37">
        <f>VLOOKUP(B86,CzechRepublic!$A:$B,2,)</f>
        <v>61.8</v>
      </c>
      <c r="AA86" s="37">
        <f>VLOOKUP(B86,Poland!$A:$B,2,)</f>
        <v>57.2</v>
      </c>
      <c r="AB86" s="37">
        <f>VLOOKUP(B86,Denmark!$A:$B,2,)</f>
        <v>67.7</v>
      </c>
    </row>
    <row r="87" spans="2:28" s="10" customFormat="1" x14ac:dyDescent="0.2">
      <c r="B87" s="36">
        <v>44348</v>
      </c>
      <c r="C87" s="37">
        <f>VLOOKUP(B87,Global!$A:$B,2,)</f>
        <v>55.5</v>
      </c>
      <c r="D87" s="37">
        <f>VLOOKUP(B87,US!$A:$D,4,)</f>
        <v>60.6</v>
      </c>
      <c r="E87" s="37">
        <f>VLOOKUP(B87,US!$A:$B,2,)</f>
        <v>62.1</v>
      </c>
      <c r="F87" s="37">
        <f>VLOOKUP(B87,China!$A:$B,2,)</f>
        <v>51.3</v>
      </c>
      <c r="G87" s="37">
        <f>VLOOKUP(B87,'Euro Area'!A:B,2,)</f>
        <v>63.4</v>
      </c>
      <c r="H87" s="37">
        <f>VLOOKUP(B87,Japan!$A:$B,2,)</f>
        <v>52.4</v>
      </c>
      <c r="I87" s="37">
        <f>VLOOKUP(B87,Germany!$A:$B,2,)</f>
        <v>65.099999999999994</v>
      </c>
      <c r="J87" s="37">
        <f>VLOOKUP(B87,France!$A:$B,2,)</f>
        <v>59</v>
      </c>
      <c r="K87" s="37">
        <f>VLOOKUP(B87,UK!$A:$B,2,)</f>
        <v>63.9</v>
      </c>
      <c r="L87" s="37">
        <f>VLOOKUP(B87,Italy!$A:$B,2,)</f>
        <v>62.2</v>
      </c>
      <c r="M87" s="37">
        <f>VLOOKUP(B87,Spain!$A:$B,2,)</f>
        <v>60.4</v>
      </c>
      <c r="N87" s="37">
        <f>VLOOKUP(B87,Brazil!$A:$B,2,)</f>
        <v>56.4</v>
      </c>
      <c r="O87" s="37">
        <f>VLOOKUP(B87,Mexico!$A:$B,2,)</f>
        <v>48.8</v>
      </c>
      <c r="P87" s="37">
        <f>VLOOKUP(B87,Russia!$A:$B,2,)</f>
        <v>49.2</v>
      </c>
      <c r="Q87" s="37">
        <f>VLOOKUP(B87,India!$A:$B,2,)</f>
        <v>48.1</v>
      </c>
      <c r="R87" s="37">
        <f>VLOOKUP(B87,Canada!$A:$B,2,)</f>
        <v>56.5</v>
      </c>
      <c r="S87" s="37">
        <f>VLOOKUP(B87,Australia!$A:$B,2,)</f>
        <v>63.2</v>
      </c>
      <c r="T87" s="37">
        <f>VLOOKUP(B87,Indonesia!$A:$B,2,)</f>
        <v>53.5</v>
      </c>
      <c r="U87" s="37">
        <f>VLOOKUP(B87,SouthKorea!$A:$B,2,)</f>
        <v>53.9</v>
      </c>
      <c r="V87" s="37">
        <f>VLOOKUP(B87,Taiwan!$A:$B,2,)</f>
        <v>57.6</v>
      </c>
      <c r="W87" s="37">
        <f>VLOOKUP(B87,Greece!$A:$B,2,)</f>
        <v>58.6</v>
      </c>
      <c r="X87" s="37">
        <f>VLOOKUP(B87,Ireland!$A:$B,2,)</f>
        <v>64</v>
      </c>
      <c r="Y87" s="37">
        <f>VLOOKUP(B87,Turkey!$A:$B,2,)</f>
        <v>51.3</v>
      </c>
      <c r="Z87" s="37">
        <f>VLOOKUP(B87,CzechRepublic!$A:$B,2,)</f>
        <v>62.7</v>
      </c>
      <c r="AA87" s="37">
        <f>VLOOKUP(B87,Poland!$A:$B,2,)</f>
        <v>59.4</v>
      </c>
      <c r="AB87" s="37">
        <f>VLOOKUP(B87,Denmark!$A:$B,2,)</f>
        <v>62.1</v>
      </c>
    </row>
    <row r="88" spans="2:28" s="10" customFormat="1" x14ac:dyDescent="0.2">
      <c r="B88" s="36">
        <v>44378</v>
      </c>
      <c r="C88" s="37">
        <f>VLOOKUP(B88,Global!$A:$B,2,)</f>
        <v>55.4</v>
      </c>
      <c r="D88" s="37">
        <f>VLOOKUP(B88,US!$A:$D,4,)</f>
        <v>59.5</v>
      </c>
      <c r="E88" s="37">
        <f>VLOOKUP(B88,US!$A:$B,2,)</f>
        <v>63.4</v>
      </c>
      <c r="F88" s="37">
        <f>VLOOKUP(B88,China!$A:$B,2,)</f>
        <v>50.3</v>
      </c>
      <c r="G88" s="37">
        <f>VLOOKUP(B88,'Euro Area'!A:B,2,)</f>
        <v>62.8</v>
      </c>
      <c r="H88" s="37">
        <f>VLOOKUP(B88,Japan!$A:$B,2,)</f>
        <v>53</v>
      </c>
      <c r="I88" s="37">
        <f>VLOOKUP(B88,Germany!$A:$B,2,)</f>
        <v>65.900000000000006</v>
      </c>
      <c r="J88" s="37">
        <f>VLOOKUP(B88,France!$A:$B,2,)</f>
        <v>58</v>
      </c>
      <c r="K88" s="37">
        <f>VLOOKUP(B88,UK!$A:$B,2,)</f>
        <v>60.4</v>
      </c>
      <c r="L88" s="37">
        <f>VLOOKUP(B88,Italy!$A:$B,2,)</f>
        <v>60.3</v>
      </c>
      <c r="M88" s="37">
        <f>VLOOKUP(B88,Spain!$A:$B,2,)</f>
        <v>59</v>
      </c>
      <c r="N88" s="37">
        <f>VLOOKUP(B88,Brazil!$A:$B,2,)</f>
        <v>56.7</v>
      </c>
      <c r="O88" s="37">
        <f>VLOOKUP(B88,Mexico!$A:$B,2,)</f>
        <v>49.6</v>
      </c>
      <c r="P88" s="37">
        <f>VLOOKUP(B88,Russia!$A:$B,2,)</f>
        <v>47.5</v>
      </c>
      <c r="Q88" s="37">
        <f>VLOOKUP(B88,India!$A:$B,2,)</f>
        <v>55.3</v>
      </c>
      <c r="R88" s="37">
        <f>VLOOKUP(B88,Canada!$A:$B,2,)</f>
        <v>56.2</v>
      </c>
      <c r="S88" s="37">
        <f>VLOOKUP(B88,Australia!$A:$B,2,)</f>
        <v>60.8</v>
      </c>
      <c r="T88" s="37">
        <f>VLOOKUP(B88,Indonesia!$A:$B,2,)</f>
        <v>40.1</v>
      </c>
      <c r="U88" s="37">
        <f>VLOOKUP(B88,SouthKorea!$A:$B,2,)</f>
        <v>53</v>
      </c>
      <c r="V88" s="37">
        <f>VLOOKUP(B88,Taiwan!$A:$B,2,)</f>
        <v>59.7</v>
      </c>
      <c r="W88" s="37">
        <f>VLOOKUP(B88,Greece!$A:$B,2,)</f>
        <v>57.4</v>
      </c>
      <c r="X88" s="37">
        <f>VLOOKUP(B88,Ireland!$A:$B,2,)</f>
        <v>63.3</v>
      </c>
      <c r="Y88" s="37">
        <f>VLOOKUP(B88,Turkey!$A:$B,2,)</f>
        <v>54</v>
      </c>
      <c r="Z88" s="37">
        <f>VLOOKUP(B88,CzechRepublic!$A:$B,2,)</f>
        <v>62</v>
      </c>
      <c r="AA88" s="37">
        <f>VLOOKUP(B88,Poland!$A:$B,2,)</f>
        <v>57.6</v>
      </c>
      <c r="AB88" s="37">
        <f>VLOOKUP(B88,Denmark!$A:$B,2,)</f>
        <v>69.8</v>
      </c>
    </row>
    <row r="89" spans="2:28" s="10" customFormat="1" x14ac:dyDescent="0.2">
      <c r="B89" s="36">
        <v>44409</v>
      </c>
      <c r="C89" s="37">
        <f>VLOOKUP(B89,Global!$A:$B,2,)</f>
        <v>54.1</v>
      </c>
      <c r="D89" s="37">
        <f>VLOOKUP(B89,US!$A:$D,4,)</f>
        <v>59.9</v>
      </c>
      <c r="E89" s="37">
        <f>VLOOKUP(B89,US!$A:$B,2,)</f>
        <v>61.1</v>
      </c>
      <c r="F89" s="37">
        <f>VLOOKUP(B89,China!$A:$B,2,)</f>
        <v>49.2</v>
      </c>
      <c r="G89" s="37">
        <f>VLOOKUP(B89,'Euro Area'!A:B,2,)</f>
        <v>61.4</v>
      </c>
      <c r="H89" s="37">
        <f>VLOOKUP(B89,Japan!$A:$B,2,)</f>
        <v>52.7</v>
      </c>
      <c r="I89" s="37">
        <f>VLOOKUP(B89,Germany!$A:$B,2,)</f>
        <v>62.6</v>
      </c>
      <c r="J89" s="37">
        <f>VLOOKUP(B89,France!$A:$B,2,)</f>
        <v>57.5</v>
      </c>
      <c r="K89" s="37">
        <f>VLOOKUP(B89,UK!$A:$B,2,)</f>
        <v>60.3</v>
      </c>
      <c r="L89" s="37">
        <f>VLOOKUP(B89,Italy!$A:$B,2,)</f>
        <v>60.9</v>
      </c>
      <c r="M89" s="37">
        <f>VLOOKUP(B89,Spain!$A:$B,2,)</f>
        <v>59.5</v>
      </c>
      <c r="N89" s="37">
        <f>VLOOKUP(B89,Brazil!$A:$B,2,)</f>
        <v>53.6</v>
      </c>
      <c r="O89" s="37">
        <f>VLOOKUP(B89,Mexico!$A:$B,2,)</f>
        <v>47.1</v>
      </c>
      <c r="P89" s="37">
        <f>VLOOKUP(B89,Russia!$A:$B,2,)</f>
        <v>46.5</v>
      </c>
      <c r="Q89" s="37">
        <f>VLOOKUP(B89,India!$A:$B,2,)</f>
        <v>52.3</v>
      </c>
      <c r="R89" s="37">
        <f>VLOOKUP(B89,Canada!$A:$B,2,)</f>
        <v>57.2</v>
      </c>
      <c r="S89" s="37">
        <f>VLOOKUP(B89,Australia!$A:$B,2,)</f>
        <v>51.6</v>
      </c>
      <c r="T89" s="37">
        <f>VLOOKUP(B89,Indonesia!$A:$B,2,)</f>
        <v>43.7</v>
      </c>
      <c r="U89" s="37">
        <f>VLOOKUP(B89,SouthKorea!$A:$B,2,)</f>
        <v>51.2</v>
      </c>
      <c r="V89" s="37">
        <f>VLOOKUP(B89,Taiwan!$A:$B,2,)</f>
        <v>58.5</v>
      </c>
      <c r="W89" s="37">
        <f>VLOOKUP(B89,Greece!$A:$B,2,)</f>
        <v>59.3</v>
      </c>
      <c r="X89" s="37">
        <f>VLOOKUP(B89,Ireland!$A:$B,2,)</f>
        <v>62.8</v>
      </c>
      <c r="Y89" s="37">
        <f>VLOOKUP(B89,Turkey!$A:$B,2,)</f>
        <v>54.1</v>
      </c>
      <c r="Z89" s="37">
        <f>VLOOKUP(B89,CzechRepublic!$A:$B,2,)</f>
        <v>61</v>
      </c>
      <c r="AA89" s="37">
        <f>VLOOKUP(B89,Poland!$A:$B,2,)</f>
        <v>56</v>
      </c>
      <c r="AB89" s="37">
        <f>VLOOKUP(B89,Denmark!$A:$B,2,)</f>
        <v>67.3</v>
      </c>
    </row>
    <row r="90" spans="2:28" s="10" customFormat="1" x14ac:dyDescent="0.2">
      <c r="B90" s="36">
        <v>44440</v>
      </c>
      <c r="C90" s="37">
        <f>VLOOKUP(B90,Global!$A:$B,2,)</f>
        <v>54.1</v>
      </c>
      <c r="D90" s="37">
        <f>VLOOKUP(B90,US!$A:$D,4,)</f>
        <v>60.3</v>
      </c>
      <c r="E90" s="37">
        <f>VLOOKUP(B90,US!$A:$B,2,)</f>
        <v>60.7</v>
      </c>
      <c r="F90" s="37">
        <f>VLOOKUP(B90,China!$A:$B,2,)</f>
        <v>50</v>
      </c>
      <c r="G90" s="37">
        <f>VLOOKUP(B90,'Euro Area'!A:B,2,)</f>
        <v>58.6</v>
      </c>
      <c r="H90" s="37">
        <f>VLOOKUP(B90,Japan!$A:$B,2,)</f>
        <v>51.5</v>
      </c>
      <c r="I90" s="37">
        <f>VLOOKUP(B90,Germany!$A:$B,2,)</f>
        <v>58.4</v>
      </c>
      <c r="J90" s="37">
        <f>VLOOKUP(B90,France!$A:$B,2,)</f>
        <v>55</v>
      </c>
      <c r="K90" s="37">
        <f>VLOOKUP(B90,UK!$A:$B,2,)</f>
        <v>57.1</v>
      </c>
      <c r="L90" s="37">
        <f>VLOOKUP(B90,Italy!$A:$B,2,)</f>
        <v>59.7</v>
      </c>
      <c r="M90" s="37">
        <f>VLOOKUP(B90,Spain!$A:$B,2,)</f>
        <v>58.1</v>
      </c>
      <c r="N90" s="37">
        <f>VLOOKUP(B90,Brazil!$A:$B,2,)</f>
        <v>54.4</v>
      </c>
      <c r="O90" s="37">
        <f>VLOOKUP(B90,Mexico!$A:$B,2,)</f>
        <v>48.6</v>
      </c>
      <c r="P90" s="37">
        <f>VLOOKUP(B90,Russia!$A:$B,2,)</f>
        <v>49.8</v>
      </c>
      <c r="Q90" s="37">
        <f>VLOOKUP(B90,India!$A:$B,2,)</f>
        <v>53.7</v>
      </c>
      <c r="R90" s="37">
        <f>VLOOKUP(B90,Canada!$A:$B,2,)</f>
        <v>57</v>
      </c>
      <c r="S90" s="37">
        <f>VLOOKUP(B90,Australia!$A:$B,2,)</f>
        <v>51.2</v>
      </c>
      <c r="T90" s="37">
        <f>VLOOKUP(B90,Indonesia!$A:$B,2,)</f>
        <v>52.2</v>
      </c>
      <c r="U90" s="37">
        <f>VLOOKUP(B90,SouthKorea!$A:$B,2,)</f>
        <v>52.4</v>
      </c>
      <c r="V90" s="37">
        <f>VLOOKUP(B90,Taiwan!$A:$B,2,)</f>
        <v>54.7</v>
      </c>
      <c r="W90" s="37">
        <f>VLOOKUP(B90,Greece!$A:$B,2,)</f>
        <v>58.4</v>
      </c>
      <c r="X90" s="37">
        <f>VLOOKUP(B90,Ireland!$A:$B,2,)</f>
        <v>60.3</v>
      </c>
      <c r="Y90" s="37">
        <f>VLOOKUP(B90,Turkey!$A:$B,2,)</f>
        <v>52.5</v>
      </c>
      <c r="Z90" s="37">
        <f>VLOOKUP(B90,CzechRepublic!$A:$B,2,)</f>
        <v>58</v>
      </c>
      <c r="AA90" s="37">
        <f>VLOOKUP(B90,Poland!$A:$B,2,)</f>
        <v>53.4</v>
      </c>
      <c r="AB90" s="37">
        <f>VLOOKUP(B90,Denmark!$A:$B,2,)</f>
        <v>65.2</v>
      </c>
    </row>
    <row r="91" spans="2:28" s="10" customFormat="1" x14ac:dyDescent="0.2">
      <c r="B91" s="36">
        <v>44470</v>
      </c>
      <c r="C91" s="37">
        <f>VLOOKUP(B91,Global!$A:$B,2,)</f>
        <v>54.2</v>
      </c>
      <c r="D91" s="37">
        <f>VLOOKUP(B91,US!$A:$D,4,)</f>
        <v>60.7</v>
      </c>
      <c r="E91" s="37">
        <f>VLOOKUP(B91,US!$A:$B,2,)</f>
        <v>58.4</v>
      </c>
      <c r="F91" s="37">
        <f>VLOOKUP(B91,China!$A:$B,2,)</f>
        <v>50.6</v>
      </c>
      <c r="G91" s="37">
        <f>VLOOKUP(B91,'Euro Area'!A:B,2,)</f>
        <v>58.3</v>
      </c>
      <c r="H91" s="37">
        <f>VLOOKUP(B91,Japan!$A:$B,2,)</f>
        <v>53.2</v>
      </c>
      <c r="I91" s="37">
        <f>VLOOKUP(B91,Germany!$A:$B,2,)</f>
        <v>57.8</v>
      </c>
      <c r="J91" s="37">
        <f>VLOOKUP(B91,France!$A:$B,2,)</f>
        <v>53.6</v>
      </c>
      <c r="K91" s="37">
        <f>VLOOKUP(B91,UK!$A:$B,2,)</f>
        <v>57.8</v>
      </c>
      <c r="L91" s="37">
        <f>VLOOKUP(B91,Italy!$A:$B,2,)</f>
        <v>61.1</v>
      </c>
      <c r="M91" s="37">
        <f>VLOOKUP(B91,Spain!$A:$B,2,)</f>
        <v>57.4</v>
      </c>
      <c r="N91" s="37">
        <f>VLOOKUP(B91,Brazil!$A:$B,2,)</f>
        <v>51.7</v>
      </c>
      <c r="O91" s="37">
        <f>VLOOKUP(B91,Mexico!$A:$B,2,)</f>
        <v>49.3</v>
      </c>
      <c r="P91" s="37">
        <f>VLOOKUP(B91,Russia!$A:$B,2,)</f>
        <v>51.6</v>
      </c>
      <c r="Q91" s="37">
        <f>VLOOKUP(B91,India!$A:$B,2,)</f>
        <v>55.9</v>
      </c>
      <c r="R91" s="37">
        <f>VLOOKUP(B91,Canada!$A:$B,2,)</f>
        <v>57.7</v>
      </c>
      <c r="S91" s="37">
        <f>VLOOKUP(B91,Australia!$A:$B,2,)</f>
        <v>50.4</v>
      </c>
      <c r="T91" s="37">
        <f>VLOOKUP(B91,Indonesia!$A:$B,2,)</f>
        <v>57.2</v>
      </c>
      <c r="U91" s="37">
        <f>VLOOKUP(B91,SouthKorea!$A:$B,2,)</f>
        <v>50.2</v>
      </c>
      <c r="V91" s="37">
        <f>VLOOKUP(B91,Taiwan!$A:$B,2,)</f>
        <v>55.2</v>
      </c>
      <c r="W91" s="37">
        <f>VLOOKUP(B91,Greece!$A:$B,2,)</f>
        <v>58.9</v>
      </c>
      <c r="X91" s="37">
        <f>VLOOKUP(B91,Ireland!$A:$B,2,)</f>
        <v>62.1</v>
      </c>
      <c r="Y91" s="37">
        <f>VLOOKUP(B91,Turkey!$A:$B,2,)</f>
        <v>51.2</v>
      </c>
      <c r="Z91" s="37">
        <f>VLOOKUP(B91,CzechRepublic!$A:$B,2,)</f>
        <v>55.1</v>
      </c>
      <c r="AA91" s="37">
        <f>VLOOKUP(B91,Poland!$A:$B,2,)</f>
        <v>53.8</v>
      </c>
      <c r="AB91" s="37">
        <f>VLOOKUP(B91,Denmark!$A:$B,2,)</f>
        <v>71.900000000000006</v>
      </c>
    </row>
    <row r="92" spans="2:28" s="10" customFormat="1" x14ac:dyDescent="0.2">
      <c r="B92" s="36">
        <v>44501</v>
      </c>
      <c r="C92" s="37">
        <f>VLOOKUP(B92,Global!$A:$B,2,)</f>
        <v>54.2</v>
      </c>
      <c r="D92" s="37">
        <f>VLOOKUP(B92,US!$A:$D,4,)</f>
        <v>61.1</v>
      </c>
      <c r="E92" s="37">
        <f>VLOOKUP(B92,US!$A:$B,2,)</f>
        <v>58.3</v>
      </c>
      <c r="F92" s="37">
        <f>VLOOKUP(B92,China!$A:$B,2,)</f>
        <v>49.9</v>
      </c>
      <c r="G92" s="37">
        <f>VLOOKUP(B92,'Euro Area'!A:B,2,)</f>
        <v>58.4</v>
      </c>
      <c r="H92" s="37">
        <f>VLOOKUP(B92,Japan!$A:$B,2,)</f>
        <v>54.5</v>
      </c>
      <c r="I92" s="37">
        <f>VLOOKUP(B92,Germany!$A:$B,2,)</f>
        <v>57.4</v>
      </c>
      <c r="J92" s="37">
        <f>VLOOKUP(B92,France!$A:$B,2,)</f>
        <v>55.9</v>
      </c>
      <c r="K92" s="37">
        <f>VLOOKUP(B92,UK!$A:$B,2,)</f>
        <v>58.1</v>
      </c>
      <c r="L92" s="37">
        <f>VLOOKUP(B92,Italy!$A:$B,2,)</f>
        <v>62.8</v>
      </c>
      <c r="M92" s="37">
        <f>VLOOKUP(B92,Spain!$A:$B,2,)</f>
        <v>57.1</v>
      </c>
      <c r="N92" s="37">
        <f>VLOOKUP(B92,Brazil!$A:$B,2,)</f>
        <v>49.8</v>
      </c>
      <c r="O92" s="37">
        <f>VLOOKUP(B92,Mexico!$A:$B,2,)</f>
        <v>49.4</v>
      </c>
      <c r="P92" s="37">
        <f>VLOOKUP(B92,Russia!$A:$B,2,)</f>
        <v>51.7</v>
      </c>
      <c r="Q92" s="37">
        <f>VLOOKUP(B92,India!$A:$B,2,)</f>
        <v>57.6</v>
      </c>
      <c r="R92" s="37">
        <f>VLOOKUP(B92,Canada!$A:$B,2,)</f>
        <v>57.2</v>
      </c>
      <c r="S92" s="37">
        <f>VLOOKUP(B92,Australia!$A:$B,2,)</f>
        <v>54.8</v>
      </c>
      <c r="T92" s="37">
        <f>VLOOKUP(B92,Indonesia!$A:$B,2,)</f>
        <v>53.9</v>
      </c>
      <c r="U92" s="37">
        <f>VLOOKUP(B92,SouthKorea!$A:$B,2,)</f>
        <v>50.9</v>
      </c>
      <c r="V92" s="37">
        <f>VLOOKUP(B92,Taiwan!$A:$B,2,)</f>
        <v>54.9</v>
      </c>
      <c r="W92" s="37">
        <f>VLOOKUP(B92,Greece!$A:$B,2,)</f>
        <v>58.8</v>
      </c>
      <c r="X92" s="37">
        <f>VLOOKUP(B92,Ireland!$A:$B,2,)</f>
        <v>59.9</v>
      </c>
      <c r="Y92" s="37">
        <f>VLOOKUP(B92,Turkey!$A:$B,2,)</f>
        <v>52</v>
      </c>
      <c r="Z92" s="37">
        <f>VLOOKUP(B92,CzechRepublic!$A:$B,2,)</f>
        <v>57.1</v>
      </c>
      <c r="AA92" s="37">
        <f>VLOOKUP(B92,Poland!$A:$B,2,)</f>
        <v>54.4</v>
      </c>
      <c r="AB92" s="37">
        <f>VLOOKUP(B92,Denmark!$A:$B,2,)</f>
        <v>68.2</v>
      </c>
    </row>
    <row r="93" spans="2:28" s="10" customFormat="1" x14ac:dyDescent="0.2">
      <c r="B93" s="36">
        <v>44531</v>
      </c>
      <c r="C93" s="37">
        <f>VLOOKUP(B93,Global!$A:$B,2,)</f>
        <v>54.2</v>
      </c>
      <c r="D93" s="37">
        <f>VLOOKUP(B93,US!$A:$D,4,)</f>
        <v>61.5</v>
      </c>
      <c r="E93" s="37">
        <f>VLOOKUP(B93,US!$A:$B,2,)</f>
        <v>57.7</v>
      </c>
      <c r="F93" s="37">
        <f>VLOOKUP(B93,China!$A:$B,2,)</f>
        <v>50.9</v>
      </c>
      <c r="G93" s="37">
        <f>VLOOKUP(B93,'Euro Area'!A:B,2,)</f>
        <v>58</v>
      </c>
      <c r="H93" s="37">
        <f>VLOOKUP(B93,Japan!$A:$B,2,)</f>
        <v>54.3</v>
      </c>
      <c r="I93" s="37">
        <f>VLOOKUP(B93,Germany!$A:$B,2,)</f>
        <v>57.4</v>
      </c>
      <c r="J93" s="37">
        <f>VLOOKUP(B93,France!$A:$B,2,)</f>
        <v>55.6</v>
      </c>
      <c r="K93" s="37">
        <f>VLOOKUP(B93,UK!$A:$B,2,)</f>
        <v>57.9</v>
      </c>
      <c r="L93" s="37">
        <f>VLOOKUP(B93,Italy!$A:$B,2,)</f>
        <v>62</v>
      </c>
      <c r="M93" s="37">
        <f>VLOOKUP(B93,Spain!$A:$B,2,)</f>
        <v>56.2</v>
      </c>
      <c r="N93" s="37">
        <f>VLOOKUP(B93,Brazil!$A:$B,2,)</f>
        <v>49.8</v>
      </c>
      <c r="O93" s="37">
        <f>VLOOKUP(B93,Mexico!$A:$B,2,)</f>
        <v>49.4</v>
      </c>
      <c r="P93" s="37">
        <f>VLOOKUP(B93,Russia!$A:$B,2,)</f>
        <v>51.6</v>
      </c>
      <c r="Q93" s="37">
        <f>VLOOKUP(B93,India!$A:$B,2,)</f>
        <v>55.5</v>
      </c>
      <c r="R93" s="37">
        <f>VLOOKUP(B93,Canada!$A:$B,2,)</f>
        <v>55.5</v>
      </c>
      <c r="S93" s="37" t="e">
        <f>VLOOKUP(B93,Australia!$A:$B,2,)</f>
        <v>#N/A</v>
      </c>
      <c r="T93" s="37">
        <f>VLOOKUP(B93,Indonesia!$A:$B,2,)</f>
        <v>53.5</v>
      </c>
      <c r="U93" s="37">
        <f>VLOOKUP(B93,SouthKorea!$A:$B,2,)</f>
        <v>51.9</v>
      </c>
      <c r="V93" s="37">
        <f>VLOOKUP(B93,Taiwan!$A:$B,2,)</f>
        <v>55.5</v>
      </c>
      <c r="W93" s="37">
        <f>VLOOKUP(B93,Greece!$A:$B,2,)</f>
        <v>59</v>
      </c>
      <c r="X93" s="37">
        <f>VLOOKUP(B93,Ireland!$A:$B,2,)</f>
        <v>58.3</v>
      </c>
      <c r="Y93" s="37">
        <f>VLOOKUP(B93,Turkey!$A:$B,2,)</f>
        <v>52.1</v>
      </c>
      <c r="Z93" s="37">
        <f>VLOOKUP(B93,CzechRepublic!$A:$B,2,)</f>
        <v>59.1</v>
      </c>
      <c r="AA93" s="37">
        <f>VLOOKUP(B93,Poland!$A:$B,2,)</f>
        <v>56.1</v>
      </c>
      <c r="AB93" s="37">
        <f>VLOOKUP(B93,Denmark!$A:$B,2,)</f>
        <v>64.400000000000006</v>
      </c>
    </row>
    <row r="94" spans="2:28" s="10" customFormat="1" x14ac:dyDescent="0.2"/>
    <row r="95" spans="2:28" s="10" customFormat="1" x14ac:dyDescent="0.2"/>
    <row r="96" spans="2:28" s="10" customFormat="1" x14ac:dyDescent="0.2"/>
    <row r="97" s="10" customFormat="1" x14ac:dyDescent="0.2"/>
    <row r="98" s="10" customFormat="1" x14ac:dyDescent="0.2"/>
    <row r="99" s="10" customFormat="1" x14ac:dyDescent="0.2"/>
    <row r="100" s="10" customFormat="1" x14ac:dyDescent="0.2"/>
    <row r="101" s="10" customFormat="1" x14ac:dyDescent="0.2"/>
    <row r="102" s="10" customFormat="1" x14ac:dyDescent="0.2"/>
    <row r="103" s="10" customFormat="1" x14ac:dyDescent="0.2"/>
    <row r="104" s="10" customFormat="1" x14ac:dyDescent="0.2"/>
    <row r="105" s="10" customFormat="1" x14ac:dyDescent="0.2"/>
    <row r="106" s="10" customFormat="1" x14ac:dyDescent="0.2"/>
    <row r="107" s="10" customFormat="1" x14ac:dyDescent="0.2"/>
    <row r="108" s="10" customFormat="1" x14ac:dyDescent="0.2"/>
    <row r="109" s="10" customFormat="1" x14ac:dyDescent="0.2"/>
    <row r="110" s="10" customFormat="1" x14ac:dyDescent="0.2"/>
    <row r="111" s="10" customFormat="1" x14ac:dyDescent="0.2"/>
    <row r="112" s="10" customFormat="1" x14ac:dyDescent="0.2"/>
    <row r="113" s="10" customFormat="1" x14ac:dyDescent="0.2"/>
    <row r="114" s="10" customFormat="1" x14ac:dyDescent="0.2"/>
    <row r="115" s="10" customFormat="1" x14ac:dyDescent="0.2"/>
    <row r="116" s="10" customFormat="1" x14ac:dyDescent="0.2"/>
    <row r="117" s="10" customFormat="1" x14ac:dyDescent="0.2"/>
    <row r="118" s="10" customFormat="1" x14ac:dyDescent="0.2"/>
    <row r="119" s="10" customFormat="1" x14ac:dyDescent="0.2"/>
    <row r="120" s="10" customFormat="1" x14ac:dyDescent="0.2"/>
    <row r="121" s="10" customFormat="1" x14ac:dyDescent="0.2"/>
    <row r="122" s="10" customFormat="1" x14ac:dyDescent="0.2"/>
    <row r="123" s="10" customFormat="1" x14ac:dyDescent="0.2"/>
    <row r="124" s="10" customFormat="1" x14ac:dyDescent="0.2"/>
    <row r="125" s="10" customFormat="1" x14ac:dyDescent="0.2"/>
    <row r="126" s="10" customFormat="1" x14ac:dyDescent="0.2"/>
    <row r="127" s="10" customFormat="1" x14ac:dyDescent="0.2"/>
    <row r="128" s="10" customFormat="1" x14ac:dyDescent="0.2"/>
    <row r="129" s="10" customFormat="1" x14ac:dyDescent="0.2"/>
    <row r="130" s="10" customFormat="1" x14ac:dyDescent="0.2"/>
    <row r="131" s="10" customFormat="1" x14ac:dyDescent="0.2"/>
    <row r="132" s="10" customFormat="1" x14ac:dyDescent="0.2"/>
    <row r="133" s="10" customFormat="1" x14ac:dyDescent="0.2"/>
    <row r="134" s="10" customFormat="1" x14ac:dyDescent="0.2"/>
    <row r="135" s="10" customFormat="1" x14ac:dyDescent="0.2"/>
    <row r="136" s="10" customFormat="1" x14ac:dyDescent="0.2"/>
    <row r="137" s="10" customFormat="1" x14ac:dyDescent="0.2"/>
    <row r="138" s="10" customFormat="1" x14ac:dyDescent="0.2"/>
    <row r="139" s="10" customFormat="1" x14ac:dyDescent="0.2"/>
    <row r="140" s="10" customFormat="1" x14ac:dyDescent="0.2"/>
    <row r="141" s="10" customFormat="1" x14ac:dyDescent="0.2"/>
    <row r="142" s="10" customFormat="1" x14ac:dyDescent="0.2"/>
    <row r="143" s="10" customFormat="1" x14ac:dyDescent="0.2"/>
    <row r="144" s="10" customFormat="1" x14ac:dyDescent="0.2"/>
    <row r="145" s="10" customFormat="1" x14ac:dyDescent="0.2"/>
    <row r="146" s="10" customFormat="1" x14ac:dyDescent="0.2"/>
    <row r="147" s="10" customFormat="1" x14ac:dyDescent="0.2"/>
    <row r="148" s="10" customFormat="1" x14ac:dyDescent="0.2"/>
    <row r="149" s="10" customFormat="1" x14ac:dyDescent="0.2"/>
    <row r="150" s="10" customFormat="1" x14ac:dyDescent="0.2"/>
    <row r="151" s="10" customFormat="1" x14ac:dyDescent="0.2"/>
    <row r="152" s="10" customFormat="1" x14ac:dyDescent="0.2"/>
    <row r="153" s="10" customFormat="1" x14ac:dyDescent="0.2"/>
    <row r="154" s="10" customFormat="1" x14ac:dyDescent="0.2"/>
    <row r="155" s="10" customFormat="1" x14ac:dyDescent="0.2"/>
    <row r="156" s="10" customFormat="1" x14ac:dyDescent="0.2"/>
    <row r="157" s="10" customFormat="1" x14ac:dyDescent="0.2"/>
    <row r="158" s="10" customFormat="1" x14ac:dyDescent="0.2"/>
    <row r="159" s="10" customFormat="1" x14ac:dyDescent="0.2"/>
    <row r="160" s="10" customFormat="1" x14ac:dyDescent="0.2"/>
    <row r="161" s="10" customFormat="1" x14ac:dyDescent="0.2"/>
    <row r="162" s="10" customFormat="1" x14ac:dyDescent="0.2"/>
    <row r="163" s="10" customFormat="1" x14ac:dyDescent="0.2"/>
    <row r="164" s="10" customFormat="1" x14ac:dyDescent="0.2"/>
    <row r="165" s="10" customFormat="1" x14ac:dyDescent="0.2"/>
    <row r="166" s="10" customFormat="1" x14ac:dyDescent="0.2"/>
    <row r="167" s="10" customFormat="1" x14ac:dyDescent="0.2"/>
    <row r="168" s="10" customFormat="1" x14ac:dyDescent="0.2"/>
    <row r="169" s="10" customFormat="1" x14ac:dyDescent="0.2"/>
    <row r="170" s="10" customFormat="1" x14ac:dyDescent="0.2"/>
    <row r="171" s="10" customFormat="1" x14ac:dyDescent="0.2"/>
    <row r="172" s="10" customFormat="1" x14ac:dyDescent="0.2"/>
    <row r="173" s="10" customFormat="1" x14ac:dyDescent="0.2"/>
    <row r="174" s="10" customFormat="1" x14ac:dyDescent="0.2"/>
    <row r="175" s="10" customFormat="1" x14ac:dyDescent="0.2"/>
    <row r="176" s="10" customFormat="1" x14ac:dyDescent="0.2"/>
    <row r="177" s="10" customFormat="1" x14ac:dyDescent="0.2"/>
    <row r="178" s="10" customFormat="1" x14ac:dyDescent="0.2"/>
    <row r="179" s="10" customFormat="1" x14ac:dyDescent="0.2"/>
    <row r="180" s="10" customFormat="1" x14ac:dyDescent="0.2"/>
    <row r="181" s="10" customFormat="1" x14ac:dyDescent="0.2"/>
    <row r="182" s="10" customFormat="1" x14ac:dyDescent="0.2"/>
    <row r="183" s="10" customFormat="1" x14ac:dyDescent="0.2"/>
    <row r="184" s="10" customFormat="1" x14ac:dyDescent="0.2"/>
    <row r="185" s="10" customFormat="1" x14ac:dyDescent="0.2"/>
    <row r="186" s="10" customFormat="1" x14ac:dyDescent="0.2"/>
    <row r="187" s="10" customFormat="1" x14ac:dyDescent="0.2"/>
    <row r="188" s="10" customFormat="1" x14ac:dyDescent="0.2"/>
    <row r="189" s="10" customFormat="1" x14ac:dyDescent="0.2"/>
    <row r="190" s="10" customFormat="1" x14ac:dyDescent="0.2"/>
    <row r="191" s="10" customFormat="1" x14ac:dyDescent="0.2"/>
    <row r="192" s="10" customFormat="1" x14ac:dyDescent="0.2"/>
    <row r="193" s="10" customFormat="1" x14ac:dyDescent="0.2"/>
    <row r="194" s="10" customFormat="1" x14ac:dyDescent="0.2"/>
    <row r="195" s="10" customFormat="1" x14ac:dyDescent="0.2"/>
    <row r="196" s="10" customFormat="1" x14ac:dyDescent="0.2"/>
    <row r="197" s="10" customFormat="1" x14ac:dyDescent="0.2"/>
    <row r="198" s="10" customFormat="1" x14ac:dyDescent="0.2"/>
    <row r="199" s="10" customFormat="1" x14ac:dyDescent="0.2"/>
    <row r="200" s="10" customFormat="1" x14ac:dyDescent="0.2"/>
    <row r="201" s="10" customFormat="1" x14ac:dyDescent="0.2"/>
    <row r="202" s="10" customFormat="1" x14ac:dyDescent="0.2"/>
    <row r="203" s="10" customFormat="1" x14ac:dyDescent="0.2"/>
    <row r="204" s="10" customFormat="1" x14ac:dyDescent="0.2"/>
    <row r="205" s="10" customFormat="1" x14ac:dyDescent="0.2"/>
    <row r="206" s="10" customFormat="1" x14ac:dyDescent="0.2"/>
    <row r="207" s="10" customFormat="1" x14ac:dyDescent="0.2"/>
    <row r="208" s="10" customFormat="1" x14ac:dyDescent="0.2"/>
    <row r="209" s="10" customFormat="1" x14ac:dyDescent="0.2"/>
    <row r="210" s="10" customFormat="1" x14ac:dyDescent="0.2"/>
    <row r="211" s="10" customFormat="1" x14ac:dyDescent="0.2"/>
    <row r="212" s="10" customFormat="1" x14ac:dyDescent="0.2"/>
    <row r="213" s="10" customFormat="1" x14ac:dyDescent="0.2"/>
    <row r="214" s="10" customFormat="1" x14ac:dyDescent="0.2"/>
    <row r="215" s="10" customFormat="1" x14ac:dyDescent="0.2"/>
    <row r="216" s="10" customFormat="1" x14ac:dyDescent="0.2"/>
    <row r="217" s="10" customFormat="1" x14ac:dyDescent="0.2"/>
    <row r="218" s="10" customFormat="1" x14ac:dyDescent="0.2"/>
    <row r="219" s="10" customFormat="1" x14ac:dyDescent="0.2"/>
    <row r="220" s="10" customFormat="1" x14ac:dyDescent="0.2"/>
    <row r="221" s="10" customFormat="1" x14ac:dyDescent="0.2"/>
    <row r="222" s="10" customFormat="1" x14ac:dyDescent="0.2"/>
    <row r="223" s="10" customFormat="1" x14ac:dyDescent="0.2"/>
    <row r="224" s="10" customFormat="1" x14ac:dyDescent="0.2"/>
    <row r="225" s="10" customFormat="1" x14ac:dyDescent="0.2"/>
    <row r="226" s="10" customFormat="1" x14ac:dyDescent="0.2"/>
    <row r="227" s="10" customFormat="1" x14ac:dyDescent="0.2"/>
    <row r="228" s="10" customFormat="1" x14ac:dyDescent="0.2"/>
    <row r="229" s="10" customFormat="1" x14ac:dyDescent="0.2"/>
    <row r="230" s="10" customFormat="1" x14ac:dyDescent="0.2"/>
    <row r="231" s="10" customFormat="1" x14ac:dyDescent="0.2"/>
    <row r="232" s="10" customFormat="1" x14ac:dyDescent="0.2"/>
    <row r="233" s="10" customFormat="1" x14ac:dyDescent="0.2"/>
    <row r="234" s="10" customFormat="1" x14ac:dyDescent="0.2"/>
    <row r="235" s="10" customFormat="1" x14ac:dyDescent="0.2"/>
    <row r="236" s="10" customFormat="1" x14ac:dyDescent="0.2"/>
    <row r="237" s="10" customFormat="1" x14ac:dyDescent="0.2"/>
    <row r="238" s="10" customFormat="1" x14ac:dyDescent="0.2"/>
    <row r="239" s="10" customFormat="1" x14ac:dyDescent="0.2"/>
    <row r="240" s="10" customFormat="1" x14ac:dyDescent="0.2"/>
    <row r="241" s="10" customFormat="1" x14ac:dyDescent="0.2"/>
    <row r="242" s="10" customFormat="1" x14ac:dyDescent="0.2"/>
    <row r="243" s="10" customFormat="1" x14ac:dyDescent="0.2"/>
    <row r="244" s="10" customFormat="1" x14ac:dyDescent="0.2"/>
    <row r="245" s="10" customFormat="1" x14ac:dyDescent="0.2"/>
    <row r="246" s="10" customFormat="1" x14ac:dyDescent="0.2"/>
    <row r="247" s="10" customFormat="1" x14ac:dyDescent="0.2"/>
    <row r="248" s="10" customFormat="1" x14ac:dyDescent="0.2"/>
    <row r="249" s="10" customFormat="1" x14ac:dyDescent="0.2"/>
    <row r="250" s="10" customFormat="1" x14ac:dyDescent="0.2"/>
    <row r="251" s="10" customFormat="1" x14ac:dyDescent="0.2"/>
    <row r="252" s="10" customFormat="1" x14ac:dyDescent="0.2"/>
    <row r="253" s="10" customFormat="1" x14ac:dyDescent="0.2"/>
    <row r="254" s="10" customFormat="1" x14ac:dyDescent="0.2"/>
    <row r="255" s="10" customFormat="1" x14ac:dyDescent="0.2"/>
    <row r="256" s="10" customFormat="1" x14ac:dyDescent="0.2"/>
    <row r="257" s="10" customFormat="1" x14ac:dyDescent="0.2"/>
    <row r="258" s="10" customFormat="1" x14ac:dyDescent="0.2"/>
    <row r="259" s="10" customFormat="1" x14ac:dyDescent="0.2"/>
    <row r="260" s="10" customFormat="1" x14ac:dyDescent="0.2"/>
    <row r="261" s="10" customFormat="1" x14ac:dyDescent="0.2"/>
    <row r="262" s="10" customFormat="1" x14ac:dyDescent="0.2"/>
    <row r="263" s="10" customFormat="1" x14ac:dyDescent="0.2"/>
    <row r="264" s="10" customFormat="1" x14ac:dyDescent="0.2"/>
    <row r="265" s="10" customFormat="1" x14ac:dyDescent="0.2"/>
    <row r="266" s="10" customFormat="1" x14ac:dyDescent="0.2"/>
    <row r="267" s="10" customFormat="1" x14ac:dyDescent="0.2"/>
    <row r="268" s="10" customFormat="1" x14ac:dyDescent="0.2"/>
    <row r="269" s="10" customFormat="1" x14ac:dyDescent="0.2"/>
    <row r="270" s="10" customFormat="1" x14ac:dyDescent="0.2"/>
    <row r="271" s="10" customFormat="1" x14ac:dyDescent="0.2"/>
    <row r="272" s="10" customFormat="1" x14ac:dyDescent="0.2"/>
    <row r="273" s="10" customFormat="1" x14ac:dyDescent="0.2"/>
    <row r="274" s="10" customFormat="1" x14ac:dyDescent="0.2"/>
    <row r="275" s="10" customFormat="1" x14ac:dyDescent="0.2"/>
    <row r="276" s="10" customFormat="1" x14ac:dyDescent="0.2"/>
    <row r="277" s="10" customFormat="1" x14ac:dyDescent="0.2"/>
    <row r="278" s="10" customFormat="1" x14ac:dyDescent="0.2"/>
    <row r="279" s="10" customFormat="1" x14ac:dyDescent="0.2"/>
    <row r="280" s="10" customFormat="1" x14ac:dyDescent="0.2"/>
    <row r="281" s="10" customFormat="1" x14ac:dyDescent="0.2"/>
    <row r="282" s="10" customFormat="1" x14ac:dyDescent="0.2"/>
    <row r="283" s="10" customFormat="1" x14ac:dyDescent="0.2"/>
    <row r="284" s="10" customFormat="1" x14ac:dyDescent="0.2"/>
    <row r="285" s="10" customFormat="1" x14ac:dyDescent="0.2"/>
    <row r="286" s="10" customFormat="1" x14ac:dyDescent="0.2"/>
    <row r="287" s="10" customFormat="1" x14ac:dyDescent="0.2"/>
    <row r="288" s="10" customFormat="1" x14ac:dyDescent="0.2"/>
    <row r="289" s="10" customFormat="1" x14ac:dyDescent="0.2"/>
    <row r="290" s="10" customFormat="1" x14ac:dyDescent="0.2"/>
    <row r="291" s="10" customFormat="1" x14ac:dyDescent="0.2"/>
    <row r="292" s="10" customFormat="1" x14ac:dyDescent="0.2"/>
    <row r="293" s="10" customFormat="1" x14ac:dyDescent="0.2"/>
    <row r="294" s="10" customFormat="1" x14ac:dyDescent="0.2"/>
    <row r="295" s="10" customFormat="1" x14ac:dyDescent="0.2"/>
    <row r="296" s="10" customFormat="1" x14ac:dyDescent="0.2"/>
    <row r="297" s="10" customFormat="1" x14ac:dyDescent="0.2"/>
    <row r="298" s="10" customFormat="1" x14ac:dyDescent="0.2"/>
    <row r="299" s="10" customFormat="1" x14ac:dyDescent="0.2"/>
    <row r="300" s="10" customFormat="1" x14ac:dyDescent="0.2"/>
    <row r="301" s="10" customFormat="1" x14ac:dyDescent="0.2"/>
    <row r="302" s="10" customFormat="1" x14ac:dyDescent="0.2"/>
    <row r="303" s="10" customFormat="1" x14ac:dyDescent="0.2"/>
    <row r="304" s="10" customFormat="1" x14ac:dyDescent="0.2"/>
    <row r="305" s="10" customFormat="1" x14ac:dyDescent="0.2"/>
    <row r="306" s="10" customFormat="1" x14ac:dyDescent="0.2"/>
    <row r="307" s="10" customFormat="1" x14ac:dyDescent="0.2"/>
    <row r="308" s="10" customFormat="1" x14ac:dyDescent="0.2"/>
    <row r="309" s="10" customFormat="1" x14ac:dyDescent="0.2"/>
    <row r="310" s="10" customFormat="1" x14ac:dyDescent="0.2"/>
    <row r="311" s="10" customFormat="1" x14ac:dyDescent="0.2"/>
    <row r="312" s="10" customFormat="1" x14ac:dyDescent="0.2"/>
    <row r="313" s="10" customFormat="1" x14ac:dyDescent="0.2"/>
    <row r="314" s="10" customFormat="1" x14ac:dyDescent="0.2"/>
    <row r="315" s="10" customFormat="1" x14ac:dyDescent="0.2"/>
    <row r="316" s="10" customFormat="1" x14ac:dyDescent="0.2"/>
    <row r="317" s="10" customFormat="1" x14ac:dyDescent="0.2"/>
    <row r="318" s="10" customFormat="1" x14ac:dyDescent="0.2"/>
    <row r="319" s="10" customFormat="1" x14ac:dyDescent="0.2"/>
    <row r="320" s="10" customFormat="1" x14ac:dyDescent="0.2"/>
    <row r="321" s="10" customFormat="1" x14ac:dyDescent="0.2"/>
    <row r="322" s="10" customFormat="1" x14ac:dyDescent="0.2"/>
    <row r="323" s="10" customFormat="1" x14ac:dyDescent="0.2"/>
    <row r="324" s="10" customFormat="1" x14ac:dyDescent="0.2"/>
    <row r="325" s="10" customFormat="1" x14ac:dyDescent="0.2"/>
    <row r="326" s="10" customFormat="1" x14ac:dyDescent="0.2"/>
    <row r="327" s="10" customFormat="1" x14ac:dyDescent="0.2"/>
    <row r="328" s="10" customFormat="1" x14ac:dyDescent="0.2"/>
    <row r="329" s="10" customFormat="1" x14ac:dyDescent="0.2"/>
    <row r="330" s="10" customFormat="1" x14ac:dyDescent="0.2"/>
    <row r="331" s="10" customFormat="1" x14ac:dyDescent="0.2"/>
    <row r="332" s="10" customFormat="1" x14ac:dyDescent="0.2"/>
    <row r="333" s="10" customFormat="1" x14ac:dyDescent="0.2"/>
    <row r="334" s="10" customFormat="1" x14ac:dyDescent="0.2"/>
    <row r="335" s="10" customFormat="1" x14ac:dyDescent="0.2"/>
    <row r="336" s="10" customFormat="1" x14ac:dyDescent="0.2"/>
    <row r="337" s="10" customFormat="1" x14ac:dyDescent="0.2"/>
    <row r="338" s="10" customFormat="1" x14ac:dyDescent="0.2"/>
    <row r="339" s="10" customFormat="1" x14ac:dyDescent="0.2"/>
    <row r="340" s="10" customFormat="1" x14ac:dyDescent="0.2"/>
    <row r="341" s="10" customFormat="1" x14ac:dyDescent="0.2"/>
    <row r="342" s="10" customFormat="1" x14ac:dyDescent="0.2"/>
    <row r="343" s="10" customFormat="1" x14ac:dyDescent="0.2"/>
    <row r="344" s="10" customFormat="1" x14ac:dyDescent="0.2"/>
    <row r="345" s="10" customFormat="1" x14ac:dyDescent="0.2"/>
    <row r="346" s="10" customFormat="1" x14ac:dyDescent="0.2"/>
    <row r="347" s="10" customFormat="1" x14ac:dyDescent="0.2"/>
  </sheetData>
  <conditionalFormatting sqref="C12:AB93">
    <cfRule type="colorScale" priority="17">
      <colorScale>
        <cfvo type="num" val="45"/>
        <cfvo type="num" val="50"/>
        <cfvo type="num" val="58"/>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conditionalFormatting sqref="C12:AB93">
    <cfRule type="colorScale" priority="4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4C1FA-E11C-405E-9A95-01CA0C5AE334}">
  <dimension ref="A1:K140"/>
  <sheetViews>
    <sheetView zoomScale="160" zoomScaleNormal="160" workbookViewId="0">
      <pane ySplit="5" topLeftCell="A99" activePane="bottomLeft" state="frozen"/>
      <selection pane="bottomLeft" activeCell="R125" sqref="R125"/>
    </sheetView>
  </sheetViews>
  <sheetFormatPr baseColWidth="10" defaultColWidth="9.1640625" defaultRowHeight="15" x14ac:dyDescent="0.2"/>
  <cols>
    <col min="1" max="1" width="13.5" style="1" customWidth="1"/>
    <col min="2" max="2" width="11.33203125" style="1" customWidth="1"/>
    <col min="3" max="3" width="9.1640625" style="1"/>
    <col min="4" max="4" width="13" style="1" customWidth="1"/>
    <col min="5" max="16384" width="9.1640625" style="1"/>
  </cols>
  <sheetData>
    <row r="1" spans="1:11" x14ac:dyDescent="0.2">
      <c r="A1" s="1" t="s">
        <v>12</v>
      </c>
    </row>
    <row r="2" spans="1:11" x14ac:dyDescent="0.2">
      <c r="K2" s="1" t="str">
        <f>A1</f>
        <v>Global Manufacturing PMI</v>
      </c>
    </row>
    <row r="4" spans="1:11" ht="16" thickBot="1" x14ac:dyDescent="0.25"/>
    <row r="5" spans="1:11" ht="16" thickBot="1" x14ac:dyDescent="0.25">
      <c r="A5" s="27" t="s">
        <v>10</v>
      </c>
      <c r="B5" s="28" t="s">
        <v>11</v>
      </c>
      <c r="C5" s="28" t="s">
        <v>14</v>
      </c>
      <c r="D5" s="28" t="s">
        <v>13</v>
      </c>
      <c r="E5" s="28" t="s">
        <v>15</v>
      </c>
      <c r="F5" s="29" t="s">
        <v>16</v>
      </c>
    </row>
    <row r="6" spans="1:11" x14ac:dyDescent="0.2">
      <c r="A6" s="23">
        <v>40452</v>
      </c>
      <c r="B6" s="24">
        <v>53.7</v>
      </c>
      <c r="C6" s="24"/>
      <c r="D6" s="25">
        <v>35.053406000000003</v>
      </c>
      <c r="E6" s="24"/>
      <c r="F6" s="26"/>
    </row>
    <row r="7" spans="1:11" x14ac:dyDescent="0.2">
      <c r="A7" s="15">
        <v>40483</v>
      </c>
      <c r="B7" s="14">
        <v>54</v>
      </c>
      <c r="C7" s="14">
        <f>Table1[[#This Row],[PMI]]-B6</f>
        <v>0.29999999999999716</v>
      </c>
      <c r="D7" s="16">
        <v>34.287117000000002</v>
      </c>
      <c r="E7" s="14"/>
      <c r="F7" s="17"/>
    </row>
    <row r="8" spans="1:11" x14ac:dyDescent="0.2">
      <c r="A8" s="15">
        <v>40513</v>
      </c>
      <c r="B8" s="14">
        <v>54.9</v>
      </c>
      <c r="C8" s="14">
        <f>Table1[[#This Row],[PMI]]-B7</f>
        <v>0.89999999999999858</v>
      </c>
      <c r="D8" s="16">
        <v>36.601612000000003</v>
      </c>
      <c r="E8" s="14"/>
      <c r="F8" s="17"/>
    </row>
    <row r="9" spans="1:11" x14ac:dyDescent="0.2">
      <c r="A9" s="15">
        <v>40544</v>
      </c>
      <c r="B9" s="14">
        <v>57.2</v>
      </c>
      <c r="C9" s="14">
        <f>Table1[[#This Row],[PMI]]-B8</f>
        <v>2.3000000000000043</v>
      </c>
      <c r="D9" s="16">
        <v>37.353606999999997</v>
      </c>
      <c r="E9" s="14"/>
      <c r="F9" s="17"/>
    </row>
    <row r="10" spans="1:11" x14ac:dyDescent="0.2">
      <c r="A10" s="15">
        <v>40575</v>
      </c>
      <c r="B10" s="14">
        <v>58.2</v>
      </c>
      <c r="C10" s="14">
        <f>Table1[[#This Row],[PMI]]-B9</f>
        <v>1</v>
      </c>
      <c r="D10" s="16">
        <v>38.514243999999998</v>
      </c>
      <c r="E10" s="14"/>
      <c r="F10" s="17"/>
    </row>
    <row r="11" spans="1:11" x14ac:dyDescent="0.2">
      <c r="A11" s="15">
        <v>40603</v>
      </c>
      <c r="B11" s="14">
        <v>56</v>
      </c>
      <c r="C11" s="14">
        <f>Table1[[#This Row],[PMI]]-B10</f>
        <v>-2.2000000000000028</v>
      </c>
      <c r="D11" s="16">
        <v>38.182636000000002</v>
      </c>
      <c r="E11" s="14"/>
      <c r="F11" s="17"/>
    </row>
    <row r="12" spans="1:11" x14ac:dyDescent="0.2">
      <c r="A12" s="15">
        <v>40634</v>
      </c>
      <c r="B12" s="14">
        <v>55.5</v>
      </c>
      <c r="C12" s="14">
        <f>Table1[[#This Row],[PMI]]-B11</f>
        <v>-0.5</v>
      </c>
      <c r="D12" s="16">
        <v>40.022289000000001</v>
      </c>
      <c r="E12" s="14"/>
      <c r="F12" s="17"/>
    </row>
    <row r="13" spans="1:11" x14ac:dyDescent="0.2">
      <c r="A13" s="15">
        <v>40664</v>
      </c>
      <c r="B13" s="14">
        <v>53.1</v>
      </c>
      <c r="C13" s="14">
        <f>Table1[[#This Row],[PMI]]-B12</f>
        <v>-2.3999999999999986</v>
      </c>
      <c r="D13" s="16">
        <v>39.240631</v>
      </c>
      <c r="E13" s="14"/>
      <c r="F13" s="17"/>
    </row>
    <row r="14" spans="1:11" x14ac:dyDescent="0.2">
      <c r="A14" s="15">
        <v>40695</v>
      </c>
      <c r="B14" s="14">
        <v>52.8</v>
      </c>
      <c r="C14" s="14">
        <f>Table1[[#This Row],[PMI]]-B13</f>
        <v>-0.30000000000000426</v>
      </c>
      <c r="D14" s="16">
        <v>38.095787000000001</v>
      </c>
      <c r="E14" s="14"/>
      <c r="F14" s="17"/>
    </row>
    <row r="15" spans="1:11" x14ac:dyDescent="0.2">
      <c r="A15" s="15">
        <v>40725</v>
      </c>
      <c r="B15" s="14">
        <v>50.9</v>
      </c>
      <c r="C15" s="14">
        <f>Table1[[#This Row],[PMI]]-B14</f>
        <v>-1.8999999999999986</v>
      </c>
      <c r="D15" s="16">
        <v>37.670749999999998</v>
      </c>
      <c r="E15" s="14"/>
      <c r="F15" s="17"/>
    </row>
    <row r="16" spans="1:11" x14ac:dyDescent="0.2">
      <c r="A16" s="15">
        <v>40756</v>
      </c>
      <c r="B16" s="14">
        <v>50.4</v>
      </c>
      <c r="C16" s="14">
        <f>Table1[[#This Row],[PMI]]-B15</f>
        <v>-0.5</v>
      </c>
      <c r="D16" s="16">
        <v>34.898369000000002</v>
      </c>
      <c r="E16" s="14"/>
      <c r="F16" s="17"/>
    </row>
    <row r="17" spans="1:6" x14ac:dyDescent="0.2">
      <c r="A17" s="15">
        <v>40787</v>
      </c>
      <c r="B17" s="14">
        <v>50.1</v>
      </c>
      <c r="C17" s="14">
        <f>Table1[[#This Row],[PMI]]-B16</f>
        <v>-0.29999999999999716</v>
      </c>
      <c r="D17" s="16">
        <v>31.255133000000001</v>
      </c>
      <c r="E17" s="14"/>
      <c r="F17" s="17"/>
    </row>
    <row r="18" spans="1:6" x14ac:dyDescent="0.2">
      <c r="A18" s="15">
        <v>40817</v>
      </c>
      <c r="B18" s="14">
        <v>49.5</v>
      </c>
      <c r="C18" s="14">
        <f>Table1[[#This Row],[PMI]]-B17</f>
        <v>-0.60000000000000142</v>
      </c>
      <c r="D18" s="16">
        <v>34.794513999999999</v>
      </c>
      <c r="E18" s="14">
        <f>Table1[[#This Row],[PMI]]-B6</f>
        <v>-4.2000000000000028</v>
      </c>
      <c r="F18" s="18">
        <f>(Table1[[#This Row],[ACWI]]-D6)/D6</f>
        <v>-7.3856446360733956E-3</v>
      </c>
    </row>
    <row r="19" spans="1:6" x14ac:dyDescent="0.2">
      <c r="A19" s="15">
        <v>40848</v>
      </c>
      <c r="B19" s="14">
        <v>49.6</v>
      </c>
      <c r="C19" s="14">
        <f>Table1[[#This Row],[PMI]]-B18</f>
        <v>0.10000000000000142</v>
      </c>
      <c r="D19" s="16">
        <v>34.395026999999999</v>
      </c>
      <c r="E19" s="14">
        <f>Table1[[#This Row],[PMI]]-B7</f>
        <v>-4.3999999999999986</v>
      </c>
      <c r="F19" s="18">
        <f>(Table1[[#This Row],[ACWI]]-D7)/D7</f>
        <v>3.1472462382881837E-3</v>
      </c>
    </row>
    <row r="20" spans="1:6" x14ac:dyDescent="0.2">
      <c r="A20" s="15">
        <v>40878</v>
      </c>
      <c r="B20" s="14">
        <v>50.4</v>
      </c>
      <c r="C20" s="14">
        <f>Table1[[#This Row],[PMI]]-B19</f>
        <v>0.79999999999999716</v>
      </c>
      <c r="D20" s="16">
        <v>33.691943999999999</v>
      </c>
      <c r="E20" s="14">
        <f>Table1[[#This Row],[PMI]]-B8</f>
        <v>-4.5</v>
      </c>
      <c r="F20" s="18">
        <f>(Table1[[#This Row],[ACWI]]-D8)/D8</f>
        <v>-7.9495624400368031E-2</v>
      </c>
    </row>
    <row r="21" spans="1:6" x14ac:dyDescent="0.2">
      <c r="A21" s="15">
        <v>40909</v>
      </c>
      <c r="B21" s="14">
        <v>51</v>
      </c>
      <c r="C21" s="14">
        <f>Table1[[#This Row],[PMI]]-B20</f>
        <v>0.60000000000000142</v>
      </c>
      <c r="D21" s="16">
        <v>35.934361000000003</v>
      </c>
      <c r="E21" s="14">
        <f>Table1[[#This Row],[PMI]]-B9</f>
        <v>-6.2000000000000028</v>
      </c>
      <c r="F21" s="18">
        <f>(Table1[[#This Row],[ACWI]]-D9)/D9</f>
        <v>-3.7994884938420917E-2</v>
      </c>
    </row>
    <row r="22" spans="1:6" x14ac:dyDescent="0.2">
      <c r="A22" s="15">
        <v>40940</v>
      </c>
      <c r="B22" s="14">
        <v>51.2</v>
      </c>
      <c r="C22" s="14">
        <f>Table1[[#This Row],[PMI]]-B21</f>
        <v>0.20000000000000284</v>
      </c>
      <c r="D22" s="16">
        <v>37.711680999999999</v>
      </c>
      <c r="E22" s="14">
        <f>Table1[[#This Row],[PMI]]-B10</f>
        <v>-7</v>
      </c>
      <c r="F22" s="18">
        <f>(Table1[[#This Row],[ACWI]]-D10)/D10</f>
        <v>-2.083808265845746E-2</v>
      </c>
    </row>
    <row r="23" spans="1:6" x14ac:dyDescent="0.2">
      <c r="A23" s="15">
        <v>40969</v>
      </c>
      <c r="B23" s="14">
        <v>51.6</v>
      </c>
      <c r="C23" s="14">
        <f>Table1[[#This Row],[PMI]]-B22</f>
        <v>0.39999999999999858</v>
      </c>
      <c r="D23" s="16">
        <v>38.131782999999999</v>
      </c>
      <c r="E23" s="14">
        <f>Table1[[#This Row],[PMI]]-B11</f>
        <v>-4.3999999999999986</v>
      </c>
      <c r="F23" s="18">
        <f>(Table1[[#This Row],[ACWI]]-D11)/D11</f>
        <v>-1.3318357590608356E-3</v>
      </c>
    </row>
    <row r="24" spans="1:6" x14ac:dyDescent="0.2">
      <c r="A24" s="15">
        <v>41000</v>
      </c>
      <c r="B24" s="14">
        <v>51.3</v>
      </c>
      <c r="C24" s="14">
        <f>Table1[[#This Row],[PMI]]-B23</f>
        <v>-0.30000000000000426</v>
      </c>
      <c r="D24" s="16">
        <v>37.695529999999998</v>
      </c>
      <c r="E24" s="14">
        <f>Table1[[#This Row],[PMI]]-B12</f>
        <v>-4.2000000000000028</v>
      </c>
      <c r="F24" s="18">
        <f>(Table1[[#This Row],[ACWI]]-D12)/D12</f>
        <v>-5.8136579844296328E-2</v>
      </c>
    </row>
    <row r="25" spans="1:6" x14ac:dyDescent="0.2">
      <c r="A25" s="15">
        <v>41030</v>
      </c>
      <c r="B25" s="14">
        <v>50.3</v>
      </c>
      <c r="C25" s="14">
        <f>Table1[[#This Row],[PMI]]-B24</f>
        <v>-1</v>
      </c>
      <c r="D25" s="16">
        <v>34.197429999999997</v>
      </c>
      <c r="E25" s="14">
        <f>Table1[[#This Row],[PMI]]-B13</f>
        <v>-2.8000000000000043</v>
      </c>
      <c r="F25" s="18">
        <f>(Table1[[#This Row],[ACWI]]-D13)/D13</f>
        <v>-0.12851987522830619</v>
      </c>
    </row>
    <row r="26" spans="1:6" x14ac:dyDescent="0.2">
      <c r="A26" s="15">
        <v>41061</v>
      </c>
      <c r="B26" s="14">
        <v>49.7</v>
      </c>
      <c r="C26" s="14">
        <f>Table1[[#This Row],[PMI]]-B25</f>
        <v>-0.59999999999999432</v>
      </c>
      <c r="D26" s="16">
        <v>35.441555000000001</v>
      </c>
      <c r="E26" s="14">
        <f>Table1[[#This Row],[PMI]]-B14</f>
        <v>-3.0999999999999943</v>
      </c>
      <c r="F26" s="18">
        <f>(Table1[[#This Row],[ACWI]]-D14)/D14</f>
        <v>-6.9672586105124959E-2</v>
      </c>
    </row>
    <row r="27" spans="1:6" x14ac:dyDescent="0.2">
      <c r="A27" s="15">
        <v>41091</v>
      </c>
      <c r="B27" s="14">
        <v>48.8</v>
      </c>
      <c r="C27" s="14">
        <f>Table1[[#This Row],[PMI]]-B26</f>
        <v>-0.90000000000000568</v>
      </c>
      <c r="D27" s="16">
        <v>36.226878999999997</v>
      </c>
      <c r="E27" s="14">
        <f>Table1[[#This Row],[PMI]]-B15</f>
        <v>-2.1000000000000014</v>
      </c>
      <c r="F27" s="18">
        <f>(Table1[[#This Row],[ACWI]]-D15)/D15</f>
        <v>-3.8328703304287851E-2</v>
      </c>
    </row>
    <row r="28" spans="1:6" x14ac:dyDescent="0.2">
      <c r="A28" s="15">
        <v>41122</v>
      </c>
      <c r="B28" s="14">
        <v>48.7</v>
      </c>
      <c r="C28" s="14">
        <f>Table1[[#This Row],[PMI]]-B27</f>
        <v>-9.9999999999994316E-2</v>
      </c>
      <c r="D28" s="16">
        <v>37.234305999999997</v>
      </c>
      <c r="E28" s="14">
        <f>Table1[[#This Row],[PMI]]-B16</f>
        <v>-1.6999999999999957</v>
      </c>
      <c r="F28" s="18">
        <f>(Table1[[#This Row],[ACWI]]-D16)/D16</f>
        <v>6.6935420391709258E-2</v>
      </c>
    </row>
    <row r="29" spans="1:6" x14ac:dyDescent="0.2">
      <c r="A29" s="15">
        <v>41153</v>
      </c>
      <c r="B29" s="14">
        <v>48.7</v>
      </c>
      <c r="C29" s="14">
        <f>Table1[[#This Row],[PMI]]-B28</f>
        <v>0</v>
      </c>
      <c r="D29" s="16">
        <v>38.241756000000002</v>
      </c>
      <c r="E29" s="14">
        <f>Table1[[#This Row],[PMI]]-B17</f>
        <v>-1.3999999999999986</v>
      </c>
      <c r="F29" s="18">
        <f>(Table1[[#This Row],[ACWI]]-D17)/D17</f>
        <v>0.22353521899906814</v>
      </c>
    </row>
    <row r="30" spans="1:6" x14ac:dyDescent="0.2">
      <c r="A30" s="15">
        <v>41183</v>
      </c>
      <c r="B30" s="14">
        <v>48.9</v>
      </c>
      <c r="C30" s="14">
        <f>Table1[[#This Row],[PMI]]-B29</f>
        <v>0.19999999999999574</v>
      </c>
      <c r="D30" s="16">
        <v>38.045189000000001</v>
      </c>
      <c r="E30" s="14">
        <f>Table1[[#This Row],[PMI]]-B18</f>
        <v>-0.60000000000000142</v>
      </c>
      <c r="F30" s="18">
        <f>(Table1[[#This Row],[ACWI]]-D18)/D18</f>
        <v>9.342492899886462E-2</v>
      </c>
    </row>
    <row r="31" spans="1:6" x14ac:dyDescent="0.2">
      <c r="A31" s="15">
        <v>41214</v>
      </c>
      <c r="B31" s="14">
        <v>49.6</v>
      </c>
      <c r="C31" s="14">
        <f>Table1[[#This Row],[PMI]]-B30</f>
        <v>0.70000000000000284</v>
      </c>
      <c r="D31" s="16">
        <v>38.651287000000004</v>
      </c>
      <c r="E31" s="14">
        <f>Table1[[#This Row],[PMI]]-B19</f>
        <v>0</v>
      </c>
      <c r="F31" s="18">
        <f>(Table1[[#This Row],[ACWI]]-D19)/D19</f>
        <v>0.12374637763767433</v>
      </c>
    </row>
    <row r="32" spans="1:6" x14ac:dyDescent="0.2">
      <c r="A32" s="15">
        <v>41244</v>
      </c>
      <c r="B32" s="14">
        <v>50</v>
      </c>
      <c r="C32" s="14">
        <f>Table1[[#This Row],[PMI]]-B31</f>
        <v>0.39999999999999858</v>
      </c>
      <c r="D32" s="16">
        <v>39.380248999999999</v>
      </c>
      <c r="E32" s="14">
        <f>Table1[[#This Row],[PMI]]-B20</f>
        <v>-0.39999999999999858</v>
      </c>
      <c r="F32" s="18">
        <f>(Table1[[#This Row],[ACWI]]-D20)/D20</f>
        <v>0.16883279278868563</v>
      </c>
    </row>
    <row r="33" spans="1:6" x14ac:dyDescent="0.2">
      <c r="A33" s="15">
        <v>41275</v>
      </c>
      <c r="B33" s="14">
        <v>51.5</v>
      </c>
      <c r="C33" s="14">
        <f>Table1[[#This Row],[PMI]]-B32</f>
        <v>1.5</v>
      </c>
      <c r="D33" s="16">
        <v>41.271071999999997</v>
      </c>
      <c r="E33" s="14">
        <f>Table1[[#This Row],[PMI]]-B21</f>
        <v>0.5</v>
      </c>
      <c r="F33" s="18">
        <f>(Table1[[#This Row],[ACWI]]-D21)/D21</f>
        <v>0.14851275635595673</v>
      </c>
    </row>
    <row r="34" spans="1:6" x14ac:dyDescent="0.2">
      <c r="A34" s="15">
        <v>41306</v>
      </c>
      <c r="B34" s="14">
        <v>50.9</v>
      </c>
      <c r="C34" s="14">
        <f>Table1[[#This Row],[PMI]]-B33</f>
        <v>-0.60000000000000142</v>
      </c>
      <c r="D34" s="16">
        <v>41.229702000000003</v>
      </c>
      <c r="E34" s="14">
        <f>Table1[[#This Row],[PMI]]-B22</f>
        <v>-0.30000000000000426</v>
      </c>
      <c r="F34" s="18">
        <f>(Table1[[#This Row],[ACWI]]-D22)/D22</f>
        <v>9.3287302679506773E-2</v>
      </c>
    </row>
    <row r="35" spans="1:6" x14ac:dyDescent="0.2">
      <c r="A35" s="15">
        <v>41334</v>
      </c>
      <c r="B35" s="14">
        <v>51.2</v>
      </c>
      <c r="C35" s="14">
        <f>Table1[[#This Row],[PMI]]-B34</f>
        <v>0.30000000000000426</v>
      </c>
      <c r="D35" s="16">
        <v>41.982501999999997</v>
      </c>
      <c r="E35" s="14">
        <f>Table1[[#This Row],[PMI]]-B23</f>
        <v>-0.39999999999999858</v>
      </c>
      <c r="F35" s="18">
        <f>(Table1[[#This Row],[ACWI]]-D23)/D23</f>
        <v>0.10098449894147353</v>
      </c>
    </row>
    <row r="36" spans="1:6" x14ac:dyDescent="0.2">
      <c r="A36" s="15">
        <v>41365</v>
      </c>
      <c r="B36" s="14">
        <v>50.4</v>
      </c>
      <c r="C36" s="14">
        <f>Table1[[#This Row],[PMI]]-B35</f>
        <v>-0.80000000000000426</v>
      </c>
      <c r="D36" s="16">
        <v>43.173724999999997</v>
      </c>
      <c r="E36" s="14">
        <f>Table1[[#This Row],[PMI]]-B24</f>
        <v>-0.89999999999999858</v>
      </c>
      <c r="F36" s="18">
        <f>(Table1[[#This Row],[ACWI]]-D24)/D24</f>
        <v>0.14532744333346687</v>
      </c>
    </row>
    <row r="37" spans="1:6" x14ac:dyDescent="0.2">
      <c r="A37" s="15">
        <v>41395</v>
      </c>
      <c r="B37" s="14">
        <v>50.6</v>
      </c>
      <c r="C37" s="14">
        <f>Table1[[#This Row],[PMI]]-B36</f>
        <v>0.20000000000000284</v>
      </c>
      <c r="D37" s="16">
        <v>43.008277999999997</v>
      </c>
      <c r="E37" s="14">
        <f>Table1[[#This Row],[PMI]]-B25</f>
        <v>0.30000000000000426</v>
      </c>
      <c r="F37" s="18">
        <f>(Table1[[#This Row],[ACWI]]-D25)/D25</f>
        <v>0.25764649565771464</v>
      </c>
    </row>
    <row r="38" spans="1:6" x14ac:dyDescent="0.2">
      <c r="A38" s="15">
        <v>41426</v>
      </c>
      <c r="B38" s="14">
        <v>50.6</v>
      </c>
      <c r="C38" s="14">
        <f>Table1[[#This Row],[PMI]]-B37</f>
        <v>0</v>
      </c>
      <c r="D38" s="16">
        <v>41.362071999999998</v>
      </c>
      <c r="E38" s="14">
        <f>Table1[[#This Row],[PMI]]-B26</f>
        <v>0.89999999999999858</v>
      </c>
      <c r="F38" s="18">
        <f>(Table1[[#This Row],[ACWI]]-D26)/D26</f>
        <v>0.16705014777145066</v>
      </c>
    </row>
    <row r="39" spans="1:6" x14ac:dyDescent="0.2">
      <c r="A39" s="15">
        <v>41456</v>
      </c>
      <c r="B39" s="14">
        <v>50.8</v>
      </c>
      <c r="C39" s="14">
        <f>Table1[[#This Row],[PMI]]-B38</f>
        <v>0.19999999999999574</v>
      </c>
      <c r="D39" s="16">
        <v>43.807865</v>
      </c>
      <c r="E39" s="14">
        <f>Table1[[#This Row],[PMI]]-B27</f>
        <v>2</v>
      </c>
      <c r="F39" s="18">
        <f>(Table1[[#This Row],[ACWI]]-D27)/D27</f>
        <v>0.20926412126200558</v>
      </c>
    </row>
    <row r="40" spans="1:6" x14ac:dyDescent="0.2">
      <c r="A40" s="15">
        <v>41487</v>
      </c>
      <c r="B40" s="14">
        <v>51.6</v>
      </c>
      <c r="C40" s="14">
        <f>Table1[[#This Row],[PMI]]-B39</f>
        <v>0.80000000000000426</v>
      </c>
      <c r="D40" s="16">
        <v>42.802520999999999</v>
      </c>
      <c r="E40" s="14">
        <f>Table1[[#This Row],[PMI]]-B28</f>
        <v>2.8999999999999986</v>
      </c>
      <c r="F40" s="18">
        <f>(Table1[[#This Row],[ACWI]]-D28)/D28</f>
        <v>0.14954528761728506</v>
      </c>
    </row>
    <row r="41" spans="1:6" x14ac:dyDescent="0.2">
      <c r="A41" s="15">
        <v>41518</v>
      </c>
      <c r="B41" s="14">
        <v>51.8</v>
      </c>
      <c r="C41" s="14">
        <f>Table1[[#This Row],[PMI]]-B40</f>
        <v>0.19999999999999574</v>
      </c>
      <c r="D41" s="16">
        <v>45.173457999999997</v>
      </c>
      <c r="E41" s="14">
        <f>Table1[[#This Row],[PMI]]-B29</f>
        <v>3.0999999999999943</v>
      </c>
      <c r="F41" s="18">
        <f>(Table1[[#This Row],[ACWI]]-D29)/D29</f>
        <v>0.18126003418880643</v>
      </c>
    </row>
    <row r="42" spans="1:6" x14ac:dyDescent="0.2">
      <c r="A42" s="15">
        <v>41548</v>
      </c>
      <c r="B42" s="14">
        <v>52.1</v>
      </c>
      <c r="C42" s="14">
        <f>Table1[[#This Row],[PMI]]-B41</f>
        <v>0.30000000000000426</v>
      </c>
      <c r="D42" s="16">
        <v>46.957939000000003</v>
      </c>
      <c r="E42" s="14">
        <f>Table1[[#This Row],[PMI]]-B30</f>
        <v>3.2000000000000028</v>
      </c>
      <c r="F42" s="18">
        <f>(Table1[[#This Row],[ACWI]]-D30)/D30</f>
        <v>0.23426746546061322</v>
      </c>
    </row>
    <row r="43" spans="1:6" x14ac:dyDescent="0.2">
      <c r="A43" s="15">
        <v>41579</v>
      </c>
      <c r="B43" s="14">
        <v>53.1</v>
      </c>
      <c r="C43" s="14">
        <f>Table1[[#This Row],[PMI]]-B42</f>
        <v>1</v>
      </c>
      <c r="D43" s="16">
        <v>47.686810000000001</v>
      </c>
      <c r="E43" s="14">
        <f>Table1[[#This Row],[PMI]]-B31</f>
        <v>3.5</v>
      </c>
      <c r="F43" s="18">
        <f>(Table1[[#This Row],[ACWI]]-D31)/D31</f>
        <v>0.2337703011027808</v>
      </c>
    </row>
    <row r="44" spans="1:6" x14ac:dyDescent="0.2">
      <c r="A44" s="15">
        <v>41609</v>
      </c>
      <c r="B44" s="14">
        <v>53.3</v>
      </c>
      <c r="C44" s="14">
        <f>Table1[[#This Row],[PMI]]-B43</f>
        <v>0.19999999999999574</v>
      </c>
      <c r="D44" s="16">
        <v>48.273266</v>
      </c>
      <c r="E44" s="14">
        <f>Table1[[#This Row],[PMI]]-B32</f>
        <v>3.2999999999999972</v>
      </c>
      <c r="F44" s="18">
        <f>(Table1[[#This Row],[ACWI]]-D32)/D32</f>
        <v>0.22582429582910968</v>
      </c>
    </row>
    <row r="45" spans="1:6" x14ac:dyDescent="0.2">
      <c r="A45" s="15">
        <v>41640</v>
      </c>
      <c r="B45" s="14">
        <v>52.9</v>
      </c>
      <c r="C45" s="14">
        <f>Table1[[#This Row],[PMI]]-B44</f>
        <v>-0.39999999999999858</v>
      </c>
      <c r="D45" s="16">
        <v>46.418129</v>
      </c>
      <c r="E45" s="14">
        <f>Table1[[#This Row],[PMI]]-B33</f>
        <v>1.3999999999999986</v>
      </c>
      <c r="F45" s="18">
        <f>(Table1[[#This Row],[ACWI]]-D33)/D33</f>
        <v>0.12471343123822914</v>
      </c>
    </row>
    <row r="46" spans="1:6" x14ac:dyDescent="0.2">
      <c r="A46" s="15">
        <v>41671</v>
      </c>
      <c r="B46" s="14">
        <v>53.3</v>
      </c>
      <c r="C46" s="14">
        <f>Table1[[#This Row],[PMI]]-B45</f>
        <v>0.39999999999999858</v>
      </c>
      <c r="D46" s="16">
        <v>48.834057000000001</v>
      </c>
      <c r="E46" s="14">
        <f>Table1[[#This Row],[PMI]]-B34</f>
        <v>2.3999999999999986</v>
      </c>
      <c r="F46" s="18">
        <f>(Table1[[#This Row],[ACWI]]-D34)/D34</f>
        <v>0.18443875728231063</v>
      </c>
    </row>
    <row r="47" spans="1:6" x14ac:dyDescent="0.2">
      <c r="A47" s="15">
        <v>41699</v>
      </c>
      <c r="B47" s="14">
        <v>52.4</v>
      </c>
      <c r="C47" s="14">
        <f>Table1[[#This Row],[PMI]]-B46</f>
        <v>-0.89999999999999858</v>
      </c>
      <c r="D47" s="16">
        <v>49.112822999999999</v>
      </c>
      <c r="E47" s="14">
        <f>Table1[[#This Row],[PMI]]-B35</f>
        <v>1.1999999999999957</v>
      </c>
      <c r="F47" s="18">
        <f>(Table1[[#This Row],[ACWI]]-D35)/D35</f>
        <v>0.16984030632571642</v>
      </c>
    </row>
    <row r="48" spans="1:6" x14ac:dyDescent="0.2">
      <c r="A48" s="15">
        <v>41730</v>
      </c>
      <c r="B48" s="14">
        <v>51.9</v>
      </c>
      <c r="C48" s="14">
        <f>Table1[[#This Row],[PMI]]-B47</f>
        <v>-0.5</v>
      </c>
      <c r="D48" s="16">
        <v>49.695686000000002</v>
      </c>
      <c r="E48" s="14">
        <f>Table1[[#This Row],[PMI]]-B36</f>
        <v>1.5</v>
      </c>
      <c r="F48" s="18">
        <f>(Table1[[#This Row],[ACWI]]-D36)/D36</f>
        <v>0.15106319873951124</v>
      </c>
    </row>
    <row r="49" spans="1:6" x14ac:dyDescent="0.2">
      <c r="A49" s="15">
        <v>41760</v>
      </c>
      <c r="B49" s="14">
        <v>52.2</v>
      </c>
      <c r="C49" s="14">
        <f>Table1[[#This Row],[PMI]]-B48</f>
        <v>0.30000000000000426</v>
      </c>
      <c r="D49" s="16">
        <v>50.692473999999997</v>
      </c>
      <c r="E49" s="14">
        <f>Table1[[#This Row],[PMI]]-B37</f>
        <v>1.6000000000000014</v>
      </c>
      <c r="F49" s="18">
        <f>(Table1[[#This Row],[ACWI]]-D37)/D37</f>
        <v>0.17866783692199908</v>
      </c>
    </row>
    <row r="50" spans="1:6" x14ac:dyDescent="0.2">
      <c r="A50" s="15">
        <v>41791</v>
      </c>
      <c r="B50" s="14">
        <v>52.6</v>
      </c>
      <c r="C50" s="14">
        <f>Table1[[#This Row],[PMI]]-B49</f>
        <v>0.39999999999999858</v>
      </c>
      <c r="D50" s="16">
        <v>50.903660000000002</v>
      </c>
      <c r="E50" s="14">
        <f>Table1[[#This Row],[PMI]]-B38</f>
        <v>2</v>
      </c>
      <c r="F50" s="18">
        <f>(Table1[[#This Row],[ACWI]]-D38)/D38</f>
        <v>0.23068447828242272</v>
      </c>
    </row>
    <row r="51" spans="1:6" x14ac:dyDescent="0.2">
      <c r="A51" s="15">
        <v>41821</v>
      </c>
      <c r="B51" s="14">
        <v>52.5</v>
      </c>
      <c r="C51" s="14">
        <f>Table1[[#This Row],[PMI]]-B50</f>
        <v>-0.10000000000000142</v>
      </c>
      <c r="D51" s="16">
        <v>50.868991999999999</v>
      </c>
      <c r="E51" s="14">
        <f>Table1[[#This Row],[PMI]]-B39</f>
        <v>1.7000000000000028</v>
      </c>
      <c r="F51" s="18">
        <f>(Table1[[#This Row],[ACWI]]-D39)/D39</f>
        <v>0.16118400200511937</v>
      </c>
    </row>
    <row r="52" spans="1:6" x14ac:dyDescent="0.2">
      <c r="A52" s="15">
        <v>41852</v>
      </c>
      <c r="B52" s="14">
        <v>52.6</v>
      </c>
      <c r="C52" s="14">
        <f>Table1[[#This Row],[PMI]]-B51</f>
        <v>0.10000000000000142</v>
      </c>
      <c r="D52" s="16">
        <v>52.179473999999999</v>
      </c>
      <c r="E52" s="14">
        <f>Table1[[#This Row],[PMI]]-B40</f>
        <v>1</v>
      </c>
      <c r="F52" s="18">
        <f>(Table1[[#This Row],[ACWI]]-D40)/D40</f>
        <v>0.21907478300168348</v>
      </c>
    </row>
    <row r="53" spans="1:6" x14ac:dyDescent="0.2">
      <c r="A53" s="15">
        <v>41883</v>
      </c>
      <c r="B53" s="14">
        <v>52.2</v>
      </c>
      <c r="C53" s="14">
        <f>Table1[[#This Row],[PMI]]-B52</f>
        <v>-0.39999999999999858</v>
      </c>
      <c r="D53" s="16">
        <v>50.449291000000002</v>
      </c>
      <c r="E53" s="14">
        <f>Table1[[#This Row],[PMI]]-B41</f>
        <v>0.40000000000000568</v>
      </c>
      <c r="F53" s="18">
        <f>(Table1[[#This Row],[ACWI]]-D41)/D41</f>
        <v>0.1167905498844035</v>
      </c>
    </row>
    <row r="54" spans="1:6" x14ac:dyDescent="0.2">
      <c r="A54" s="15">
        <v>41913</v>
      </c>
      <c r="B54" s="14">
        <v>52.2</v>
      </c>
      <c r="C54" s="14">
        <f>Table1[[#This Row],[PMI]]-B53</f>
        <v>0</v>
      </c>
      <c r="D54" s="16">
        <v>51.057429999999997</v>
      </c>
      <c r="E54" s="14">
        <f>Table1[[#This Row],[PMI]]-B42</f>
        <v>0.10000000000000142</v>
      </c>
      <c r="F54" s="18">
        <f>(Table1[[#This Row],[ACWI]]-D42)/D42</f>
        <v>8.7301340035387698E-2</v>
      </c>
    </row>
    <row r="55" spans="1:6" x14ac:dyDescent="0.2">
      <c r="A55" s="15">
        <v>41944</v>
      </c>
      <c r="B55" s="14">
        <v>51.8</v>
      </c>
      <c r="C55" s="14">
        <f>Table1[[#This Row],[PMI]]-B54</f>
        <v>-0.40000000000000568</v>
      </c>
      <c r="D55" s="16">
        <v>51.759780999999997</v>
      </c>
      <c r="E55" s="14">
        <f>Table1[[#This Row],[PMI]]-B43</f>
        <v>-1.3000000000000043</v>
      </c>
      <c r="F55" s="18">
        <f>(Table1[[#This Row],[ACWI]]-D43)/D43</f>
        <v>8.5410850505621902E-2</v>
      </c>
    </row>
    <row r="56" spans="1:6" x14ac:dyDescent="0.2">
      <c r="A56" s="15">
        <v>41974</v>
      </c>
      <c r="B56" s="14">
        <v>51.6</v>
      </c>
      <c r="C56" s="14">
        <f>Table1[[#This Row],[PMI]]-B55</f>
        <v>-0.19999999999999574</v>
      </c>
      <c r="D56" s="16">
        <v>50.106681999999999</v>
      </c>
      <c r="E56" s="14">
        <f>Table1[[#This Row],[PMI]]-B44</f>
        <v>-1.6999999999999957</v>
      </c>
      <c r="F56" s="18">
        <f>(Table1[[#This Row],[ACWI]]-D44)/D44</f>
        <v>3.7979945255827513E-2</v>
      </c>
    </row>
    <row r="57" spans="1:6" x14ac:dyDescent="0.2">
      <c r="A57" s="15">
        <v>42005</v>
      </c>
      <c r="B57" s="14">
        <v>51.7</v>
      </c>
      <c r="C57" s="14">
        <f>Table1[[#This Row],[PMI]]-B56</f>
        <v>0.10000000000000142</v>
      </c>
      <c r="D57" s="16">
        <v>49.874240999999998</v>
      </c>
      <c r="E57" s="14">
        <f>Table1[[#This Row],[PMI]]-B45</f>
        <v>-1.1999999999999957</v>
      </c>
      <c r="F57" s="18">
        <f>(Table1[[#This Row],[ACWI]]-D45)/D45</f>
        <v>7.4456081588294892E-2</v>
      </c>
    </row>
    <row r="58" spans="1:6" x14ac:dyDescent="0.2">
      <c r="A58" s="15">
        <v>42036</v>
      </c>
      <c r="B58" s="14">
        <v>52</v>
      </c>
      <c r="C58" s="14">
        <f>Table1[[#This Row],[PMI]]-B57</f>
        <v>0.29999999999999716</v>
      </c>
      <c r="D58" s="16">
        <v>52.621510000000001</v>
      </c>
      <c r="E58" s="14">
        <f>Table1[[#This Row],[PMI]]-B46</f>
        <v>-1.2999999999999972</v>
      </c>
      <c r="F58" s="18">
        <f>(Table1[[#This Row],[ACWI]]-D46)/D46</f>
        <v>7.7557615170085067E-2</v>
      </c>
    </row>
    <row r="59" spans="1:6" x14ac:dyDescent="0.2">
      <c r="A59" s="15">
        <v>42064</v>
      </c>
      <c r="B59" s="14">
        <v>51.8</v>
      </c>
      <c r="C59" s="14">
        <f>Table1[[#This Row],[PMI]]-B58</f>
        <v>-0.20000000000000284</v>
      </c>
      <c r="D59" s="16">
        <v>51.852631000000002</v>
      </c>
      <c r="E59" s="14">
        <f>Table1[[#This Row],[PMI]]-B47</f>
        <v>-0.60000000000000142</v>
      </c>
      <c r="F59" s="18">
        <f>(Table1[[#This Row],[ACWI]]-D47)/D47</f>
        <v>5.5786001142715896E-2</v>
      </c>
    </row>
    <row r="60" spans="1:6" x14ac:dyDescent="0.2">
      <c r="A60" s="15">
        <v>42095</v>
      </c>
      <c r="B60" s="14">
        <v>51</v>
      </c>
      <c r="C60" s="14">
        <f>Table1[[#This Row],[PMI]]-B59</f>
        <v>-0.79999999999999716</v>
      </c>
      <c r="D60" s="16">
        <v>53.338569999999997</v>
      </c>
      <c r="E60" s="14">
        <f>Table1[[#This Row],[PMI]]-B48</f>
        <v>-0.89999999999999858</v>
      </c>
      <c r="F60" s="18">
        <f>(Table1[[#This Row],[ACWI]]-D48)/D48</f>
        <v>7.3303827619966747E-2</v>
      </c>
    </row>
    <row r="61" spans="1:6" x14ac:dyDescent="0.2">
      <c r="A61" s="15">
        <v>42125</v>
      </c>
      <c r="B61" s="14">
        <v>51.2</v>
      </c>
      <c r="C61" s="14">
        <f>Table1[[#This Row],[PMI]]-B60</f>
        <v>0.20000000000000284</v>
      </c>
      <c r="D61" s="16">
        <v>53.338569999999997</v>
      </c>
      <c r="E61" s="14">
        <f>Table1[[#This Row],[PMI]]-B49</f>
        <v>-1</v>
      </c>
      <c r="F61" s="18">
        <f>(Table1[[#This Row],[ACWI]]-D49)/D49</f>
        <v>5.2198991116511696E-2</v>
      </c>
    </row>
    <row r="62" spans="1:6" x14ac:dyDescent="0.2">
      <c r="A62" s="15">
        <v>42156</v>
      </c>
      <c r="B62" s="14">
        <v>51</v>
      </c>
      <c r="C62" s="14">
        <f>Table1[[#This Row],[PMI]]-B61</f>
        <v>-0.20000000000000284</v>
      </c>
      <c r="D62" s="16">
        <v>51.360176000000003</v>
      </c>
      <c r="E62" s="14">
        <f>Table1[[#This Row],[PMI]]-B50</f>
        <v>-1.6000000000000014</v>
      </c>
      <c r="F62" s="18">
        <f>(Table1[[#This Row],[ACWI]]-D50)/D50</f>
        <v>8.9682352899575508E-3</v>
      </c>
    </row>
    <row r="63" spans="1:6" x14ac:dyDescent="0.2">
      <c r="A63" s="15">
        <v>42186</v>
      </c>
      <c r="B63" s="14">
        <v>51</v>
      </c>
      <c r="C63" s="14">
        <f>Table1[[#This Row],[PMI]]-B62</f>
        <v>0</v>
      </c>
      <c r="D63" s="16">
        <v>52.391601999999999</v>
      </c>
      <c r="E63" s="14">
        <f>Table1[[#This Row],[PMI]]-B51</f>
        <v>-1.5</v>
      </c>
      <c r="F63" s="18">
        <f>(Table1[[#This Row],[ACWI]]-D51)/D51</f>
        <v>2.9931986857533961E-2</v>
      </c>
    </row>
    <row r="64" spans="1:6" x14ac:dyDescent="0.2">
      <c r="A64" s="15">
        <v>42217</v>
      </c>
      <c r="B64" s="14">
        <v>50.7</v>
      </c>
      <c r="C64" s="14">
        <f>Table1[[#This Row],[PMI]]-B63</f>
        <v>-0.29999999999999716</v>
      </c>
      <c r="D64" s="16">
        <v>48.825409000000001</v>
      </c>
      <c r="E64" s="14">
        <f>Table1[[#This Row],[PMI]]-B52</f>
        <v>-1.8999999999999986</v>
      </c>
      <c r="F64" s="18">
        <f>(Table1[[#This Row],[ACWI]]-D52)/D52</f>
        <v>-6.4279394614058363E-2</v>
      </c>
    </row>
    <row r="65" spans="1:6" x14ac:dyDescent="0.2">
      <c r="A65" s="15">
        <v>42248</v>
      </c>
      <c r="B65" s="14">
        <v>50.6</v>
      </c>
      <c r="C65" s="14">
        <f>Table1[[#This Row],[PMI]]-B64</f>
        <v>-0.10000000000000142</v>
      </c>
      <c r="D65" s="16">
        <v>47.147213000000001</v>
      </c>
      <c r="E65" s="14">
        <f>Table1[[#This Row],[PMI]]-B53</f>
        <v>-1.6000000000000014</v>
      </c>
      <c r="F65" s="18">
        <f>(Table1[[#This Row],[ACWI]]-D53)/D53</f>
        <v>-6.5453407462158414E-2</v>
      </c>
    </row>
    <row r="66" spans="1:6" x14ac:dyDescent="0.2">
      <c r="A66" s="15">
        <v>42278</v>
      </c>
      <c r="B66" s="14">
        <v>51.4</v>
      </c>
      <c r="C66" s="14">
        <f>Table1[[#This Row],[PMI]]-B65</f>
        <v>0.79999999999999716</v>
      </c>
      <c r="D66" s="16">
        <v>50.757095</v>
      </c>
      <c r="E66" s="14">
        <f>Table1[[#This Row],[PMI]]-B54</f>
        <v>-0.80000000000000426</v>
      </c>
      <c r="F66" s="18">
        <f>(Table1[[#This Row],[ACWI]]-D54)/D54</f>
        <v>-5.8822976401279288E-3</v>
      </c>
    </row>
    <row r="67" spans="1:6" x14ac:dyDescent="0.2">
      <c r="A67" s="15">
        <v>42309</v>
      </c>
      <c r="B67" s="14">
        <v>51.2</v>
      </c>
      <c r="C67" s="14">
        <f>Table1[[#This Row],[PMI]]-B66</f>
        <v>-0.19999999999999574</v>
      </c>
      <c r="D67" s="16">
        <v>50.486141000000003</v>
      </c>
      <c r="E67" s="14">
        <f>Table1[[#This Row],[PMI]]-B55</f>
        <v>-0.59999999999999432</v>
      </c>
      <c r="F67" s="18">
        <f>(Table1[[#This Row],[ACWI]]-D55)/D55</f>
        <v>-2.4606750171527837E-2</v>
      </c>
    </row>
    <row r="68" spans="1:6" x14ac:dyDescent="0.2">
      <c r="A68" s="15">
        <v>42339</v>
      </c>
      <c r="B68" s="14">
        <v>50.9</v>
      </c>
      <c r="C68" s="14">
        <f>Table1[[#This Row],[PMI]]-B67</f>
        <v>-0.30000000000000426</v>
      </c>
      <c r="D68" s="16">
        <v>48.790447</v>
      </c>
      <c r="E68" s="14">
        <f>Table1[[#This Row],[PMI]]-B56</f>
        <v>-0.70000000000000284</v>
      </c>
      <c r="F68" s="18">
        <f>(Table1[[#This Row],[ACWI]]-D56)/D56</f>
        <v>-2.6268652153020208E-2</v>
      </c>
    </row>
    <row r="69" spans="1:6" x14ac:dyDescent="0.2">
      <c r="A69" s="15">
        <v>42370</v>
      </c>
      <c r="B69" s="14">
        <v>50.9</v>
      </c>
      <c r="C69" s="14">
        <f>Table1[[#This Row],[PMI]]-B68</f>
        <v>0</v>
      </c>
      <c r="D69" s="16">
        <v>46.802235000000003</v>
      </c>
      <c r="E69" s="14">
        <f>Table1[[#This Row],[PMI]]-B57</f>
        <v>-0.80000000000000426</v>
      </c>
      <c r="F69" s="18">
        <f>(Table1[[#This Row],[ACWI]]-D57)/D57</f>
        <v>-6.1595042619295097E-2</v>
      </c>
    </row>
    <row r="70" spans="1:6" x14ac:dyDescent="0.2">
      <c r="A70" s="15">
        <v>42401</v>
      </c>
      <c r="B70" s="14">
        <v>50</v>
      </c>
      <c r="C70" s="14">
        <f>Table1[[#This Row],[PMI]]-B69</f>
        <v>-0.89999999999999858</v>
      </c>
      <c r="D70" s="16">
        <v>46.217875999999997</v>
      </c>
      <c r="E70" s="14">
        <f>Table1[[#This Row],[PMI]]-B58</f>
        <v>-2</v>
      </c>
      <c r="F70" s="18">
        <f>(Table1[[#This Row],[ACWI]]-D58)/D58</f>
        <v>-0.1216923269590706</v>
      </c>
    </row>
    <row r="71" spans="1:6" x14ac:dyDescent="0.2">
      <c r="A71" s="15">
        <v>42430</v>
      </c>
      <c r="B71" s="14">
        <v>50.5</v>
      </c>
      <c r="C71" s="14">
        <f>Table1[[#This Row],[PMI]]-B70</f>
        <v>0.5</v>
      </c>
      <c r="D71" s="16">
        <v>49.635517</v>
      </c>
      <c r="E71" s="14">
        <f>Table1[[#This Row],[PMI]]-B59</f>
        <v>-1.2999999999999972</v>
      </c>
      <c r="F71" s="18">
        <f>(Table1[[#This Row],[ACWI]]-D59)/D59</f>
        <v>-4.2757984643055087E-2</v>
      </c>
    </row>
    <row r="72" spans="1:6" x14ac:dyDescent="0.2">
      <c r="A72" s="15">
        <v>42461</v>
      </c>
      <c r="B72" s="14">
        <v>50.1</v>
      </c>
      <c r="C72" s="14">
        <f>Table1[[#This Row],[PMI]]-B71</f>
        <v>-0.39999999999999858</v>
      </c>
      <c r="D72" s="16">
        <v>50.299568000000001</v>
      </c>
      <c r="E72" s="14">
        <f>Table1[[#This Row],[PMI]]-B60</f>
        <v>-0.89999999999999858</v>
      </c>
      <c r="F72" s="18">
        <f>(Table1[[#This Row],[ACWI]]-D60)/D60</f>
        <v>-5.6975693199123947E-2</v>
      </c>
    </row>
    <row r="73" spans="1:6" x14ac:dyDescent="0.2">
      <c r="A73" s="15">
        <v>42491</v>
      </c>
      <c r="B73" s="14">
        <v>50</v>
      </c>
      <c r="C73" s="14">
        <f>Table1[[#This Row],[PMI]]-B72</f>
        <v>-0.10000000000000142</v>
      </c>
      <c r="D73" s="16">
        <v>50.467789000000003</v>
      </c>
      <c r="E73" s="14">
        <f>Table1[[#This Row],[PMI]]-B61</f>
        <v>-1.2000000000000028</v>
      </c>
      <c r="F73" s="18">
        <f>(Table1[[#This Row],[ACWI]]-D61)/D61</f>
        <v>-5.3821859116207911E-2</v>
      </c>
    </row>
    <row r="74" spans="1:6" x14ac:dyDescent="0.2">
      <c r="A74" s="15">
        <v>42522</v>
      </c>
      <c r="B74" s="14">
        <v>50.9</v>
      </c>
      <c r="C74" s="14">
        <f>Table1[[#This Row],[PMI]]-B73</f>
        <v>0.89999999999999858</v>
      </c>
      <c r="D74" s="16">
        <v>49.786034000000001</v>
      </c>
      <c r="E74" s="14">
        <f>Table1[[#This Row],[PMI]]-B62</f>
        <v>-0.10000000000000142</v>
      </c>
      <c r="F74" s="18">
        <f>(Table1[[#This Row],[ACWI]]-D62)/D62</f>
        <v>-3.0649077215000233E-2</v>
      </c>
    </row>
    <row r="75" spans="1:6" x14ac:dyDescent="0.2">
      <c r="A75" s="15">
        <v>42552</v>
      </c>
      <c r="B75" s="14">
        <v>51</v>
      </c>
      <c r="C75" s="14">
        <f>Table1[[#This Row],[PMI]]-B74</f>
        <v>0.10000000000000142</v>
      </c>
      <c r="D75" s="16">
        <v>52.344524</v>
      </c>
      <c r="E75" s="14">
        <f>Table1[[#This Row],[PMI]]-B63</f>
        <v>0</v>
      </c>
      <c r="F75" s="18">
        <f>(Table1[[#This Row],[ACWI]]-D63)/D63</f>
        <v>-8.9857912724255052E-4</v>
      </c>
    </row>
    <row r="76" spans="1:6" x14ac:dyDescent="0.2">
      <c r="A76" s="15">
        <v>42583</v>
      </c>
      <c r="B76" s="14">
        <v>50.9</v>
      </c>
      <c r="C76" s="14">
        <f>Table1[[#This Row],[PMI]]-B75</f>
        <v>-0.10000000000000142</v>
      </c>
      <c r="D76" s="16">
        <v>52.523933</v>
      </c>
      <c r="E76" s="14">
        <f>Table1[[#This Row],[PMI]]-B64</f>
        <v>0.19999999999999574</v>
      </c>
      <c r="F76" s="18">
        <f>(Table1[[#This Row],[ACWI]]-D64)/D64</f>
        <v>7.5749985012926346E-2</v>
      </c>
    </row>
    <row r="77" spans="1:6" x14ac:dyDescent="0.2">
      <c r="A77" s="15">
        <v>42614</v>
      </c>
      <c r="B77" s="14">
        <v>51</v>
      </c>
      <c r="C77" s="14">
        <f>Table1[[#This Row],[PMI]]-B76</f>
        <v>0.10000000000000142</v>
      </c>
      <c r="D77" s="16">
        <v>53.017330000000001</v>
      </c>
      <c r="E77" s="14">
        <f>Table1[[#This Row],[PMI]]-B65</f>
        <v>0.39999999999999858</v>
      </c>
      <c r="F77" s="18">
        <f>(Table1[[#This Row],[ACWI]]-D65)/D65</f>
        <v>0.12450612934427323</v>
      </c>
    </row>
    <row r="78" spans="1:6" x14ac:dyDescent="0.2">
      <c r="A78" s="15">
        <v>42644</v>
      </c>
      <c r="B78" s="14">
        <v>52</v>
      </c>
      <c r="C78" s="14">
        <f>Table1[[#This Row],[PMI]]-B77</f>
        <v>1</v>
      </c>
      <c r="D78" s="16">
        <v>52.003635000000003</v>
      </c>
      <c r="E78" s="14">
        <f>Table1[[#This Row],[PMI]]-B66</f>
        <v>0.60000000000000142</v>
      </c>
      <c r="F78" s="18">
        <f>(Table1[[#This Row],[ACWI]]-D66)/D66</f>
        <v>2.4558931120861095E-2</v>
      </c>
    </row>
    <row r="79" spans="1:6" x14ac:dyDescent="0.2">
      <c r="A79" s="15">
        <v>42675</v>
      </c>
      <c r="B79" s="14">
        <v>52.1</v>
      </c>
      <c r="C79" s="14">
        <f>Table1[[#This Row],[PMI]]-B78</f>
        <v>0.10000000000000142</v>
      </c>
      <c r="D79" s="16">
        <v>52.541885000000001</v>
      </c>
      <c r="E79" s="14">
        <f>Table1[[#This Row],[PMI]]-B67</f>
        <v>0.89999999999999858</v>
      </c>
      <c r="F79" s="18">
        <f>(Table1[[#This Row],[ACWI]]-D67)/D67</f>
        <v>4.0718976718779061E-2</v>
      </c>
    </row>
    <row r="80" spans="1:6" x14ac:dyDescent="0.2">
      <c r="A80" s="15">
        <v>42705</v>
      </c>
      <c r="B80" s="14">
        <v>52.7</v>
      </c>
      <c r="C80" s="14">
        <f>Table1[[#This Row],[PMI]]-B79</f>
        <v>0.60000000000000142</v>
      </c>
      <c r="D80" s="16">
        <v>53.080128000000002</v>
      </c>
      <c r="E80" s="14">
        <f>Table1[[#This Row],[PMI]]-B68</f>
        <v>1.8000000000000043</v>
      </c>
      <c r="F80" s="18">
        <f>(Table1[[#This Row],[ACWI]]-D68)/D68</f>
        <v>8.7920510340887048E-2</v>
      </c>
    </row>
    <row r="81" spans="1:6" x14ac:dyDescent="0.2">
      <c r="A81" s="15">
        <v>42736</v>
      </c>
      <c r="B81" s="14">
        <v>52.7</v>
      </c>
      <c r="C81" s="14">
        <f>Table1[[#This Row],[PMI]]-B80</f>
        <v>0</v>
      </c>
      <c r="D81" s="16">
        <v>55.130198999999998</v>
      </c>
      <c r="E81" s="14">
        <f>Table1[[#This Row],[PMI]]-B69</f>
        <v>1.8000000000000043</v>
      </c>
      <c r="F81" s="18">
        <f>(Table1[[#This Row],[ACWI]]-D69)/D69</f>
        <v>0.17793945096852734</v>
      </c>
    </row>
    <row r="82" spans="1:6" x14ac:dyDescent="0.2">
      <c r="A82" s="15">
        <v>42767</v>
      </c>
      <c r="B82" s="14">
        <v>53</v>
      </c>
      <c r="C82" s="14">
        <f>Table1[[#This Row],[PMI]]-B81</f>
        <v>0.29999999999999716</v>
      </c>
      <c r="D82" s="16">
        <v>56.515476</v>
      </c>
      <c r="E82" s="14">
        <f>Table1[[#This Row],[PMI]]-B70</f>
        <v>3</v>
      </c>
      <c r="F82" s="18">
        <f>(Table1[[#This Row],[ACWI]]-D70)/D70</f>
        <v>0.22280556553485936</v>
      </c>
    </row>
    <row r="83" spans="1:6" x14ac:dyDescent="0.2">
      <c r="A83" s="15">
        <v>42795</v>
      </c>
      <c r="B83" s="14">
        <v>53</v>
      </c>
      <c r="C83" s="14">
        <f>Table1[[#This Row],[PMI]]-B82</f>
        <v>0</v>
      </c>
      <c r="D83" s="16">
        <v>57.276012000000001</v>
      </c>
      <c r="E83" s="14">
        <f>Table1[[#This Row],[PMI]]-B71</f>
        <v>2.5</v>
      </c>
      <c r="F83" s="18">
        <f>(Table1[[#This Row],[ACWI]]-D71)/D71</f>
        <v>0.15393201203082063</v>
      </c>
    </row>
    <row r="84" spans="1:6" x14ac:dyDescent="0.2">
      <c r="A84" s="15">
        <v>42826</v>
      </c>
      <c r="B84" s="14">
        <v>52.7</v>
      </c>
      <c r="C84" s="14">
        <f>Table1[[#This Row],[PMI]]-B83</f>
        <v>-0.29999999999999716</v>
      </c>
      <c r="D84" s="16">
        <v>58.199528000000001</v>
      </c>
      <c r="E84" s="14">
        <f>Table1[[#This Row],[PMI]]-B72</f>
        <v>2.6000000000000014</v>
      </c>
      <c r="F84" s="18">
        <f>(Table1[[#This Row],[ACWI]]-D72)/D72</f>
        <v>0.15705820773649587</v>
      </c>
    </row>
    <row r="85" spans="1:6" x14ac:dyDescent="0.2">
      <c r="A85" s="15">
        <v>42856</v>
      </c>
      <c r="B85" s="14">
        <v>52.6</v>
      </c>
      <c r="C85" s="14">
        <f>Table1[[#This Row],[PMI]]-B84</f>
        <v>-0.10000000000000142</v>
      </c>
      <c r="D85" s="16">
        <v>59.485202999999998</v>
      </c>
      <c r="E85" s="14">
        <f>Table1[[#This Row],[PMI]]-B73</f>
        <v>2.6000000000000014</v>
      </c>
      <c r="F85" s="18">
        <f>(Table1[[#This Row],[ACWI]]-D73)/D73</f>
        <v>0.1786766208442378</v>
      </c>
    </row>
    <row r="86" spans="1:6" x14ac:dyDescent="0.2">
      <c r="A86" s="15">
        <v>42887</v>
      </c>
      <c r="B86" s="14">
        <v>52.6</v>
      </c>
      <c r="C86" s="14">
        <f>Table1[[#This Row],[PMI]]-B85</f>
        <v>0</v>
      </c>
      <c r="D86" s="16">
        <v>59.295071</v>
      </c>
      <c r="E86" s="14">
        <f>Table1[[#This Row],[PMI]]-B74</f>
        <v>1.7000000000000028</v>
      </c>
      <c r="F86" s="18">
        <f>(Table1[[#This Row],[ACWI]]-D74)/D74</f>
        <v>0.19099808191188716</v>
      </c>
    </row>
    <row r="87" spans="1:6" x14ac:dyDescent="0.2">
      <c r="A87" s="15">
        <v>42917</v>
      </c>
      <c r="B87" s="14">
        <v>52.8</v>
      </c>
      <c r="C87" s="14">
        <f>Table1[[#This Row],[PMI]]-B86</f>
        <v>0.19999999999999574</v>
      </c>
      <c r="D87" s="16">
        <v>61.592101999999997</v>
      </c>
      <c r="E87" s="14">
        <f>Table1[[#This Row],[PMI]]-B75</f>
        <v>1.7999999999999972</v>
      </c>
      <c r="F87" s="18">
        <f>(Table1[[#This Row],[ACWI]]-D75)/D75</f>
        <v>0.1766675345065703</v>
      </c>
    </row>
    <row r="88" spans="1:6" x14ac:dyDescent="0.2">
      <c r="A88" s="15">
        <v>42948</v>
      </c>
      <c r="B88" s="14">
        <v>53.2</v>
      </c>
      <c r="C88" s="14">
        <f>Table1[[#This Row],[PMI]]-B87</f>
        <v>0.40000000000000568</v>
      </c>
      <c r="D88" s="16">
        <v>61.839278999999998</v>
      </c>
      <c r="E88" s="14">
        <f>Table1[[#This Row],[PMI]]-B76</f>
        <v>2.3000000000000043</v>
      </c>
      <c r="F88" s="18">
        <f>(Table1[[#This Row],[ACWI]]-D76)/D76</f>
        <v>0.17735431198573798</v>
      </c>
    </row>
    <row r="89" spans="1:6" x14ac:dyDescent="0.2">
      <c r="A89" s="15">
        <v>42979</v>
      </c>
      <c r="B89" s="14">
        <v>53.3</v>
      </c>
      <c r="C89" s="14">
        <f>Table1[[#This Row],[PMI]]-B88</f>
        <v>9.9999999999994316E-2</v>
      </c>
      <c r="D89" s="16">
        <v>63.001911</v>
      </c>
      <c r="E89" s="14">
        <f>Table1[[#This Row],[PMI]]-B77</f>
        <v>2.2999999999999972</v>
      </c>
      <c r="F89" s="18">
        <f>(Table1[[#This Row],[ACWI]]-D77)/D77</f>
        <v>0.1883267414635931</v>
      </c>
    </row>
    <row r="90" spans="1:6" x14ac:dyDescent="0.2">
      <c r="A90" s="15">
        <v>43009</v>
      </c>
      <c r="B90" s="14">
        <v>53.5</v>
      </c>
      <c r="C90" s="14">
        <f>Table1[[#This Row],[PMI]]-B89</f>
        <v>0.20000000000000284</v>
      </c>
      <c r="D90" s="16">
        <v>64.356780999999998</v>
      </c>
      <c r="E90" s="14">
        <f>Table1[[#This Row],[PMI]]-B78</f>
        <v>1.5</v>
      </c>
      <c r="F90" s="18">
        <f>(Table1[[#This Row],[ACWI]]-D78)/D78</f>
        <v>0.23754389476812524</v>
      </c>
    </row>
    <row r="91" spans="1:6" x14ac:dyDescent="0.2">
      <c r="A91" s="15">
        <v>43040</v>
      </c>
      <c r="B91" s="14">
        <v>54.1</v>
      </c>
      <c r="C91" s="14">
        <f>Table1[[#This Row],[PMI]]-B90</f>
        <v>0.60000000000000142</v>
      </c>
      <c r="D91" s="16">
        <v>65.656745999999998</v>
      </c>
      <c r="E91" s="14">
        <f>Table1[[#This Row],[PMI]]-B79</f>
        <v>2</v>
      </c>
      <c r="F91" s="18">
        <f>(Table1[[#This Row],[ACWI]]-D79)/D79</f>
        <v>0.24960773676087178</v>
      </c>
    </row>
    <row r="92" spans="1:6" x14ac:dyDescent="0.2">
      <c r="A92" s="15">
        <v>43070</v>
      </c>
      <c r="B92" s="14">
        <v>54.5</v>
      </c>
      <c r="C92" s="14">
        <f>Table1[[#This Row],[PMI]]-B91</f>
        <v>0.39999999999999858</v>
      </c>
      <c r="D92" s="16">
        <v>65.995452999999998</v>
      </c>
      <c r="E92" s="14">
        <f>Table1[[#This Row],[PMI]]-B80</f>
        <v>1.7999999999999972</v>
      </c>
      <c r="F92" s="18">
        <f>(Table1[[#This Row],[ACWI]]-D80)/D80</f>
        <v>0.24331751799844936</v>
      </c>
    </row>
    <row r="93" spans="1:6" x14ac:dyDescent="0.2">
      <c r="A93" s="15">
        <v>43101</v>
      </c>
      <c r="B93" s="14">
        <v>54.4</v>
      </c>
      <c r="C93" s="14">
        <f>Table1[[#This Row],[PMI]]-B92</f>
        <v>-0.10000000000000142</v>
      </c>
      <c r="D93" s="16">
        <v>70.406509</v>
      </c>
      <c r="E93" s="14">
        <f>Table1[[#This Row],[PMI]]-B81</f>
        <v>1.6999999999999957</v>
      </c>
      <c r="F93" s="18">
        <f>(Table1[[#This Row],[ACWI]]-D81)/D81</f>
        <v>0.27709513618842557</v>
      </c>
    </row>
    <row r="94" spans="1:6" x14ac:dyDescent="0.2">
      <c r="A94" s="15">
        <v>43132</v>
      </c>
      <c r="B94" s="14">
        <v>54.1</v>
      </c>
      <c r="C94" s="14">
        <f>Table1[[#This Row],[PMI]]-B93</f>
        <v>-0.29999999999999716</v>
      </c>
      <c r="D94" s="16">
        <v>67.255775</v>
      </c>
      <c r="E94" s="14">
        <f>Table1[[#This Row],[PMI]]-B82</f>
        <v>1.1000000000000014</v>
      </c>
      <c r="F94" s="18">
        <f>(Table1[[#This Row],[ACWI]]-D82)/D82</f>
        <v>0.1900417329936317</v>
      </c>
    </row>
    <row r="95" spans="1:6" x14ac:dyDescent="0.2">
      <c r="A95" s="15">
        <v>43160</v>
      </c>
      <c r="B95" s="14">
        <v>53.3</v>
      </c>
      <c r="C95" s="14">
        <f>Table1[[#This Row],[PMI]]-B94</f>
        <v>-0.80000000000000426</v>
      </c>
      <c r="D95" s="16">
        <v>66.248656999999994</v>
      </c>
      <c r="E95" s="14">
        <f>Table1[[#This Row],[PMI]]-B83</f>
        <v>0.29999999999999716</v>
      </c>
      <c r="F95" s="18">
        <f>(Table1[[#This Row],[ACWI]]-D83)/D83</f>
        <v>0.15665624555005667</v>
      </c>
    </row>
    <row r="96" spans="1:6" x14ac:dyDescent="0.2">
      <c r="A96" s="15">
        <v>43191</v>
      </c>
      <c r="B96" s="14">
        <v>53.5</v>
      </c>
      <c r="C96" s="14">
        <f>Table1[[#This Row],[PMI]]-B95</f>
        <v>0.20000000000000284</v>
      </c>
      <c r="D96" s="16">
        <v>66.516602000000006</v>
      </c>
      <c r="E96" s="14">
        <f>Table1[[#This Row],[PMI]]-B84</f>
        <v>0.79999999999999716</v>
      </c>
      <c r="F96" s="18">
        <f>(Table1[[#This Row],[ACWI]]-D84)/D84</f>
        <v>0.1429062105108482</v>
      </c>
    </row>
    <row r="97" spans="1:6" x14ac:dyDescent="0.2">
      <c r="A97" s="15">
        <v>43221</v>
      </c>
      <c r="B97" s="14">
        <v>53.1</v>
      </c>
      <c r="C97" s="14">
        <f>Table1[[#This Row],[PMI]]-B96</f>
        <v>-0.39999999999999858</v>
      </c>
      <c r="D97" s="16">
        <v>66.830757000000006</v>
      </c>
      <c r="E97" s="14">
        <f>Table1[[#This Row],[PMI]]-B85</f>
        <v>0.5</v>
      </c>
      <c r="F97" s="18">
        <f>(Table1[[#This Row],[ACWI]]-D85)/D85</f>
        <v>0.12348539854524843</v>
      </c>
    </row>
    <row r="98" spans="1:6" x14ac:dyDescent="0.2">
      <c r="A98" s="15">
        <v>43252</v>
      </c>
      <c r="B98" s="14">
        <v>53</v>
      </c>
      <c r="C98" s="14">
        <f>Table1[[#This Row],[PMI]]-B97</f>
        <v>-0.10000000000000142</v>
      </c>
      <c r="D98" s="16">
        <v>65.712761</v>
      </c>
      <c r="E98" s="14">
        <f>Table1[[#This Row],[PMI]]-B86</f>
        <v>0.39999999999999858</v>
      </c>
      <c r="F98" s="18">
        <f>(Table1[[#This Row],[ACWI]]-D86)/D86</f>
        <v>0.10823311097814522</v>
      </c>
    </row>
    <row r="99" spans="1:6" x14ac:dyDescent="0.2">
      <c r="A99" s="15">
        <v>43282</v>
      </c>
      <c r="B99" s="14">
        <v>52.8</v>
      </c>
      <c r="C99" s="14">
        <f>Table1[[#This Row],[PMI]]-B98</f>
        <v>-0.20000000000000284</v>
      </c>
      <c r="D99" s="16">
        <v>68.476119999999995</v>
      </c>
      <c r="E99" s="14">
        <f>Table1[[#This Row],[PMI]]-B87</f>
        <v>0</v>
      </c>
      <c r="F99" s="18">
        <f>(Table1[[#This Row],[ACWI]]-D87)/D87</f>
        <v>0.11176786919855403</v>
      </c>
    </row>
    <row r="100" spans="1:6" x14ac:dyDescent="0.2">
      <c r="A100" s="15">
        <v>43313</v>
      </c>
      <c r="B100" s="14">
        <v>52.6</v>
      </c>
      <c r="C100" s="14">
        <f>Table1[[#This Row],[PMI]]-B99</f>
        <v>-0.19999999999999574</v>
      </c>
      <c r="D100" s="16">
        <v>68.952552999999995</v>
      </c>
      <c r="E100" s="14">
        <f>Table1[[#This Row],[PMI]]-B88</f>
        <v>-0.60000000000000142</v>
      </c>
      <c r="F100" s="18">
        <f>(Table1[[#This Row],[ACWI]]-D88)/D88</f>
        <v>0.11502841098778006</v>
      </c>
    </row>
    <row r="101" spans="1:6" x14ac:dyDescent="0.2">
      <c r="A101" s="15">
        <v>43344</v>
      </c>
      <c r="B101" s="14">
        <v>52.2</v>
      </c>
      <c r="C101" s="14">
        <f>Table1[[#This Row],[PMI]]-B100</f>
        <v>-0.39999999999999858</v>
      </c>
      <c r="D101" s="16">
        <v>69.372955000000005</v>
      </c>
      <c r="E101" s="14">
        <f>Table1[[#This Row],[PMI]]-B89</f>
        <v>-1.0999999999999943</v>
      </c>
      <c r="F101" s="18">
        <f>(Table1[[#This Row],[ACWI]]-D89)/D89</f>
        <v>0.1011246150930248</v>
      </c>
    </row>
    <row r="102" spans="1:6" x14ac:dyDescent="0.2">
      <c r="A102" s="15">
        <v>43374</v>
      </c>
      <c r="B102" s="14">
        <v>52</v>
      </c>
      <c r="C102" s="14">
        <f>Table1[[#This Row],[PMI]]-B101</f>
        <v>-0.20000000000000284</v>
      </c>
      <c r="D102" s="16">
        <v>64.216201999999996</v>
      </c>
      <c r="E102" s="14">
        <f>Table1[[#This Row],[PMI]]-B90</f>
        <v>-1.5</v>
      </c>
      <c r="F102" s="18">
        <f>(Table1[[#This Row],[ACWI]]-D90)/D90</f>
        <v>-2.1843696626156995E-3</v>
      </c>
    </row>
    <row r="103" spans="1:6" x14ac:dyDescent="0.2">
      <c r="A103" s="15">
        <v>43405</v>
      </c>
      <c r="B103" s="14">
        <v>52</v>
      </c>
      <c r="C103" s="14">
        <f>Table1[[#This Row],[PMI]]-B102</f>
        <v>0</v>
      </c>
      <c r="D103" s="16">
        <v>65.234482</v>
      </c>
      <c r="E103" s="14">
        <f>Table1[[#This Row],[PMI]]-B91</f>
        <v>-2.1000000000000014</v>
      </c>
      <c r="F103" s="18">
        <f>(Table1[[#This Row],[ACWI]]-D91)/D91</f>
        <v>-6.431387872923194E-3</v>
      </c>
    </row>
    <row r="104" spans="1:6" x14ac:dyDescent="0.2">
      <c r="A104" s="15">
        <v>43435</v>
      </c>
      <c r="B104" s="14">
        <v>51.5</v>
      </c>
      <c r="C104" s="14">
        <f>Table1[[#This Row],[PMI]]-B103</f>
        <v>-0.5</v>
      </c>
      <c r="D104" s="16">
        <v>59.937621999999998</v>
      </c>
      <c r="E104" s="14">
        <f>Table1[[#This Row],[PMI]]-B92</f>
        <v>-3</v>
      </c>
      <c r="F104" s="18">
        <f>(Table1[[#This Row],[ACWI]]-D92)/D92</f>
        <v>-9.1791642069643797E-2</v>
      </c>
    </row>
    <row r="105" spans="1:6" x14ac:dyDescent="0.2">
      <c r="A105" s="15">
        <v>43466</v>
      </c>
      <c r="B105" s="14">
        <v>50.7</v>
      </c>
      <c r="C105" s="14">
        <f>Table1[[#This Row],[PMI]]-B104</f>
        <v>-0.79999999999999716</v>
      </c>
      <c r="D105" s="16">
        <v>65.399124</v>
      </c>
      <c r="E105" s="14">
        <f>Table1[[#This Row],[PMI]]-B93</f>
        <v>-3.6999999999999957</v>
      </c>
      <c r="F105" s="18">
        <f>(Table1[[#This Row],[ACWI]]-D93)/D93</f>
        <v>-7.1121052174309612E-2</v>
      </c>
    </row>
    <row r="106" spans="1:6" x14ac:dyDescent="0.2">
      <c r="A106" s="15">
        <v>43497</v>
      </c>
      <c r="B106" s="14">
        <v>50.6</v>
      </c>
      <c r="C106" s="14">
        <f>Table1[[#This Row],[PMI]]-B105</f>
        <v>-0.10000000000000142</v>
      </c>
      <c r="D106" s="16">
        <v>67.012398000000005</v>
      </c>
      <c r="E106" s="14">
        <f>Table1[[#This Row],[PMI]]-B94</f>
        <v>-3.5</v>
      </c>
      <c r="F106" s="18">
        <f>(Table1[[#This Row],[ACWI]]-D94)/D94</f>
        <v>-3.6186780986464774E-3</v>
      </c>
    </row>
    <row r="107" spans="1:6" x14ac:dyDescent="0.2">
      <c r="A107" s="15">
        <v>43525</v>
      </c>
      <c r="B107" s="14">
        <v>50.5</v>
      </c>
      <c r="C107" s="14">
        <f>Table1[[#This Row],[PMI]]-B106</f>
        <v>-0.10000000000000142</v>
      </c>
      <c r="D107" s="16">
        <v>68.069061000000005</v>
      </c>
      <c r="E107" s="14">
        <f>Table1[[#This Row],[PMI]]-B95</f>
        <v>-2.7999999999999972</v>
      </c>
      <c r="F107" s="18">
        <f>(Table1[[#This Row],[ACWI]]-D95)/D95</f>
        <v>2.7478353259297178E-2</v>
      </c>
    </row>
    <row r="108" spans="1:6" x14ac:dyDescent="0.2">
      <c r="A108" s="15">
        <v>43556</v>
      </c>
      <c r="B108" s="14">
        <v>50.4</v>
      </c>
      <c r="C108" s="14">
        <f>Table1[[#This Row],[PMI]]-B107</f>
        <v>-0.10000000000000142</v>
      </c>
      <c r="D108" s="16">
        <v>70.399344999999997</v>
      </c>
      <c r="E108" s="14">
        <f>Table1[[#This Row],[PMI]]-B96</f>
        <v>-3.1000000000000014</v>
      </c>
      <c r="F108" s="18">
        <f>(Table1[[#This Row],[ACWI]]-D96)/D96</f>
        <v>5.8372539835994483E-2</v>
      </c>
    </row>
    <row r="109" spans="1:6" x14ac:dyDescent="0.2">
      <c r="A109" s="15">
        <v>43586</v>
      </c>
      <c r="B109" s="14">
        <v>49.8</v>
      </c>
      <c r="C109" s="14">
        <f>Table1[[#This Row],[PMI]]-B108</f>
        <v>-0.60000000000000142</v>
      </c>
      <c r="D109" s="16">
        <v>66.125572000000005</v>
      </c>
      <c r="E109" s="14">
        <f>Table1[[#This Row],[PMI]]-B97</f>
        <v>-3.3000000000000043</v>
      </c>
      <c r="F109" s="18">
        <f>(Table1[[#This Row],[ACWI]]-D97)/D97</f>
        <v>-1.0551803266271548E-2</v>
      </c>
    </row>
    <row r="110" spans="1:6" x14ac:dyDescent="0.2">
      <c r="A110" s="15">
        <v>43617</v>
      </c>
      <c r="B110" s="14">
        <v>49.4</v>
      </c>
      <c r="C110" s="14">
        <f>Table1[[#This Row],[PMI]]-B109</f>
        <v>-0.39999999999999858</v>
      </c>
      <c r="D110" s="16">
        <v>69.540817000000004</v>
      </c>
      <c r="E110" s="14">
        <f>Table1[[#This Row],[PMI]]-B98</f>
        <v>-3.6000000000000014</v>
      </c>
      <c r="F110" s="18">
        <f>(Table1[[#This Row],[ACWI]]-D98)/D98</f>
        <v>5.8254377715159518E-2</v>
      </c>
    </row>
    <row r="111" spans="1:6" x14ac:dyDescent="0.2">
      <c r="A111" s="15">
        <v>43647</v>
      </c>
      <c r="B111" s="14">
        <v>49.3</v>
      </c>
      <c r="C111" s="14">
        <f>Table1[[#This Row],[PMI]]-B110</f>
        <v>-0.10000000000000142</v>
      </c>
      <c r="D111" s="16">
        <v>70.465179000000006</v>
      </c>
      <c r="E111" s="14">
        <f>Table1[[#This Row],[PMI]]-B99</f>
        <v>-3.5</v>
      </c>
      <c r="F111" s="18">
        <f>(Table1[[#This Row],[ACWI]]-D99)/D99</f>
        <v>2.9047483998801506E-2</v>
      </c>
    </row>
    <row r="112" spans="1:6" x14ac:dyDescent="0.2">
      <c r="A112" s="19">
        <v>43678</v>
      </c>
      <c r="B112" s="20">
        <v>49.5</v>
      </c>
      <c r="C112" s="20">
        <f>Table1[[#This Row],[PMI]]-B111</f>
        <v>0.20000000000000284</v>
      </c>
      <c r="D112" s="21">
        <v>68.907973999999996</v>
      </c>
      <c r="E112" s="20">
        <f>Table1[[#This Row],[PMI]]-B100</f>
        <v>-3.1000000000000014</v>
      </c>
      <c r="F112" s="22">
        <f>(Table1[[#This Row],[ACWI]]-D100)/D100</f>
        <v>-6.4651703324166722E-4</v>
      </c>
    </row>
    <row r="113" spans="1:6" x14ac:dyDescent="0.2">
      <c r="A113" s="15">
        <v>43709</v>
      </c>
      <c r="B113" s="14">
        <v>49.7</v>
      </c>
      <c r="C113" s="14">
        <f>Table1[[#This Row],[PMI]]-B112</f>
        <v>0.20000000000000284</v>
      </c>
      <c r="D113" s="16">
        <v>70.455619999999996</v>
      </c>
      <c r="E113" s="14">
        <f>Table1[[#This Row],[PMI]]-B101</f>
        <v>-2.5</v>
      </c>
      <c r="F113" s="18">
        <f>(Table1[[#This Row],[ACWI]]-D101)/D101</f>
        <v>1.5606442020525023E-2</v>
      </c>
    </row>
    <row r="114" spans="1:6" x14ac:dyDescent="0.2">
      <c r="A114" s="19">
        <v>43739</v>
      </c>
      <c r="B114" s="20">
        <v>49.8</v>
      </c>
      <c r="C114" s="20">
        <f>Table1[[#This Row],[PMI]]-B113</f>
        <v>9.9999999999994316E-2</v>
      </c>
      <c r="D114" s="21">
        <v>72.385390999999998</v>
      </c>
      <c r="E114" s="20">
        <f>Table1[[#This Row],[PMI]]-B102</f>
        <v>-2.2000000000000028</v>
      </c>
      <c r="F114" s="22">
        <f>(Table1[[#This Row],[ACWI]]-D102)/D102</f>
        <v>0.12721382993033445</v>
      </c>
    </row>
    <row r="115" spans="1:6" x14ac:dyDescent="0.2">
      <c r="A115" s="15">
        <v>43770</v>
      </c>
      <c r="B115" s="14">
        <v>50.3</v>
      </c>
      <c r="C115" s="14">
        <f>Table1[[#This Row],[PMI]]-B114</f>
        <v>0.5</v>
      </c>
      <c r="D115" s="16">
        <v>74.076324</v>
      </c>
      <c r="E115" s="14">
        <f>Table1[[#This Row],[PMI]]-B103</f>
        <v>-1.7000000000000028</v>
      </c>
      <c r="F115" s="18">
        <f>(Table1[[#This Row],[ACWI]]-D103)/D103</f>
        <v>0.13553939157514885</v>
      </c>
    </row>
    <row r="116" spans="1:6" x14ac:dyDescent="0.2">
      <c r="A116" s="19">
        <v>43800</v>
      </c>
      <c r="B116" s="20">
        <v>50.1</v>
      </c>
      <c r="C116" s="20">
        <f>Table1[[#This Row],[PMI]]-B115</f>
        <v>-0.19999999999999574</v>
      </c>
      <c r="D116" s="21">
        <v>75.709937999999994</v>
      </c>
      <c r="E116" s="20">
        <f>Table1[[#This Row],[PMI]]-B104</f>
        <v>-1.3999999999999986</v>
      </c>
      <c r="F116" s="22">
        <f>(Table1[[#This Row],[ACWI]]-D104)/D104</f>
        <v>0.26314550817514909</v>
      </c>
    </row>
    <row r="117" spans="1:6" x14ac:dyDescent="0.2">
      <c r="A117" s="15">
        <v>43831</v>
      </c>
      <c r="B117" s="14">
        <v>50.4</v>
      </c>
      <c r="C117" s="14">
        <f>Table1[[#This Row],[PMI]]-B116</f>
        <v>0.29999999999999716</v>
      </c>
      <c r="D117" s="16">
        <v>75.523735000000002</v>
      </c>
      <c r="E117" s="14">
        <f>Table1[[#This Row],[PMI]]-B105</f>
        <v>-0.30000000000000426</v>
      </c>
      <c r="F117" s="18">
        <f>(Table1[[#This Row],[ACWI]]-D105)/D105</f>
        <v>0.15481263938642362</v>
      </c>
    </row>
    <row r="118" spans="1:6" x14ac:dyDescent="0.2">
      <c r="A118" s="19">
        <v>43862</v>
      </c>
      <c r="B118" s="20">
        <v>47.1</v>
      </c>
      <c r="C118" s="20">
        <f>Table1[[#This Row],[PMI]]-B117</f>
        <v>-3.2999999999999972</v>
      </c>
      <c r="D118" s="21">
        <v>69.867424</v>
      </c>
      <c r="E118" s="20">
        <f>Table1[[#This Row],[PMI]]-B106</f>
        <v>-3.5</v>
      </c>
      <c r="F118" s="22">
        <f>(Table1[[#This Row],[ACWI]]-D106)/D106</f>
        <v>4.2604444628290945E-2</v>
      </c>
    </row>
    <row r="119" spans="1:6" x14ac:dyDescent="0.2">
      <c r="A119" s="15">
        <v>43891</v>
      </c>
      <c r="B119" s="14">
        <v>47.3</v>
      </c>
      <c r="C119" s="14">
        <f>Table1[[#This Row],[PMI]]-B118</f>
        <v>0.19999999999999574</v>
      </c>
      <c r="D119" s="16">
        <v>60.498275999999997</v>
      </c>
      <c r="E119" s="14">
        <f>Table1[[#This Row],[PMI]]-B107</f>
        <v>-3.2000000000000028</v>
      </c>
      <c r="F119" s="18">
        <f>(Table1[[#This Row],[ACWI]]-D107)/D107</f>
        <v>-0.11122211602125681</v>
      </c>
    </row>
    <row r="120" spans="1:6" x14ac:dyDescent="0.2">
      <c r="A120" s="19">
        <v>43922</v>
      </c>
      <c r="B120" s="20">
        <v>39.6</v>
      </c>
      <c r="C120" s="20">
        <f>Table1[[#This Row],[PMI]]-B119</f>
        <v>-7.6999999999999957</v>
      </c>
      <c r="D120" s="21">
        <v>66.444641000000004</v>
      </c>
      <c r="E120" s="20">
        <f>Table1[[#This Row],[PMI]]-B108</f>
        <v>-10.799999999999997</v>
      </c>
      <c r="F120" s="22">
        <f>(Table1[[#This Row],[ACWI]]-D108)/D108</f>
        <v>-5.6175295380944137E-2</v>
      </c>
    </row>
    <row r="121" spans="1:6" x14ac:dyDescent="0.2">
      <c r="A121" s="15">
        <v>43952</v>
      </c>
      <c r="B121" s="14">
        <v>42.4</v>
      </c>
      <c r="C121" s="14">
        <f>Table1[[#This Row],[PMI]]-B120</f>
        <v>2.7999999999999972</v>
      </c>
      <c r="D121" s="16">
        <v>69.828750999999997</v>
      </c>
      <c r="E121" s="14">
        <f>Table1[[#This Row],[PMI]]-B109</f>
        <v>-7.3999999999999986</v>
      </c>
      <c r="F121" s="18">
        <f>(Table1[[#This Row],[ACWI]]-D109)/D109</f>
        <v>5.6002222559224005E-2</v>
      </c>
    </row>
    <row r="122" spans="1:6" x14ac:dyDescent="0.2">
      <c r="A122" s="19">
        <v>43983</v>
      </c>
      <c r="B122" s="20">
        <v>47.8</v>
      </c>
      <c r="C122" s="20">
        <f>Table1[[#This Row],[PMI]]-B121</f>
        <v>5.3999999999999986</v>
      </c>
      <c r="D122" s="21">
        <v>71.279099000000002</v>
      </c>
      <c r="E122" s="20">
        <f>Table1[[#This Row],[PMI]]-B110</f>
        <v>-1.6000000000000014</v>
      </c>
      <c r="F122" s="22">
        <f>(Table1[[#This Row],[ACWI]]-D110)/D110</f>
        <v>2.4996571438037577E-2</v>
      </c>
    </row>
    <row r="123" spans="1:6" x14ac:dyDescent="0.2">
      <c r="A123" s="15">
        <v>44013</v>
      </c>
      <c r="B123" s="14">
        <v>50.6</v>
      </c>
      <c r="C123" s="14">
        <f>Table1[[#This Row],[PMI]]-B122</f>
        <v>2.8000000000000043</v>
      </c>
      <c r="D123" s="16">
        <v>75.733643000000001</v>
      </c>
      <c r="E123" s="14">
        <f>Table1[[#This Row],[PMI]]-B111</f>
        <v>1.3000000000000043</v>
      </c>
      <c r="F123" s="18">
        <f>(Table1[[#This Row],[ACWI]]-D111)/D111</f>
        <v>7.4766914308129331E-2</v>
      </c>
    </row>
    <row r="124" spans="1:6" x14ac:dyDescent="0.2">
      <c r="A124" s="19">
        <v>44044</v>
      </c>
      <c r="B124" s="20">
        <v>51.8</v>
      </c>
      <c r="C124" s="20">
        <f>Table1[[#This Row],[PMI]]-B123</f>
        <v>1.1999999999999957</v>
      </c>
      <c r="D124" s="21">
        <v>80.296966999999995</v>
      </c>
      <c r="E124" s="20">
        <f>Table1[[#This Row],[PMI]]-B112</f>
        <v>2.2999999999999972</v>
      </c>
      <c r="F124" s="22">
        <f>(Table1[[#This Row],[ACWI]]-D112)/D112</f>
        <v>0.16527830291455092</v>
      </c>
    </row>
    <row r="125" spans="1:6" x14ac:dyDescent="0.2">
      <c r="A125" s="15">
        <v>44075</v>
      </c>
      <c r="B125" s="14">
        <v>52.4</v>
      </c>
      <c r="C125" s="14">
        <f>Table1[[#This Row],[PMI]]-B124</f>
        <v>0.60000000000000142</v>
      </c>
      <c r="D125" s="16">
        <v>77.927543999999997</v>
      </c>
      <c r="E125" s="14">
        <f>Table1[[#This Row],[PMI]]-B113</f>
        <v>2.6999999999999957</v>
      </c>
      <c r="F125" s="18">
        <f>(Table1[[#This Row],[ACWI]]-D113)/D113</f>
        <v>0.10605149738232382</v>
      </c>
    </row>
    <row r="126" spans="1:6" x14ac:dyDescent="0.2">
      <c r="A126" s="19">
        <v>44105</v>
      </c>
      <c r="B126" s="20">
        <v>53</v>
      </c>
      <c r="C126" s="20">
        <f>Table1[[#This Row],[PMI]]-B125</f>
        <v>0.60000000000000142</v>
      </c>
      <c r="D126" s="21">
        <v>76.191924999999998</v>
      </c>
      <c r="E126" s="20">
        <f>Table1[[#This Row],[PMI]]-B114</f>
        <v>3.2000000000000028</v>
      </c>
      <c r="F126" s="22">
        <f>(Table1[[#This Row],[ACWI]]-D114)/D114</f>
        <v>5.2587047571518948E-2</v>
      </c>
    </row>
    <row r="127" spans="1:6" x14ac:dyDescent="0.2">
      <c r="A127" s="15">
        <v>44136</v>
      </c>
      <c r="B127" s="14">
        <v>53.8</v>
      </c>
      <c r="C127" s="14">
        <f>Table1[[#This Row],[PMI]]-B126</f>
        <v>0.79999999999999716</v>
      </c>
      <c r="D127" s="16">
        <v>85.152809000000005</v>
      </c>
      <c r="E127" s="14">
        <f>Table1[[#This Row],[PMI]]-B115</f>
        <v>3.5</v>
      </c>
      <c r="F127" s="18">
        <f>(Table1[[#This Row],[ACWI]]-D115)/D115</f>
        <v>0.14952800573635383</v>
      </c>
    </row>
    <row r="128" spans="1:6" x14ac:dyDescent="0.2">
      <c r="A128" s="19">
        <v>44166</v>
      </c>
      <c r="B128" s="20">
        <v>53.8</v>
      </c>
      <c r="C128" s="20">
        <f>Table1[[#This Row],[PMI]]-B127</f>
        <v>0</v>
      </c>
      <c r="D128" s="21">
        <v>88.458297999999999</v>
      </c>
      <c r="E128" s="20">
        <f>Table1[[#This Row],[PMI]]-B116</f>
        <v>3.6999999999999957</v>
      </c>
      <c r="F128" s="22">
        <f>(Table1[[#This Row],[ACWI]]-D116)/D116</f>
        <v>0.16838423510530423</v>
      </c>
    </row>
    <row r="129" spans="1:6" x14ac:dyDescent="0.2">
      <c r="A129" s="15">
        <v>44197</v>
      </c>
      <c r="B129" s="14">
        <v>53.6</v>
      </c>
      <c r="C129" s="14">
        <f>Table1[[#This Row],[PMI]]-B128</f>
        <v>-0.19999999999999574</v>
      </c>
      <c r="D129" s="16">
        <v>88.869040999999996</v>
      </c>
      <c r="E129" s="14">
        <f>Table1[[#This Row],[PMI]]-B117</f>
        <v>3.2000000000000028</v>
      </c>
      <c r="F129" s="18">
        <f>(Table1[[#This Row],[ACWI]]-D117)/D117</f>
        <v>0.17670346944573112</v>
      </c>
    </row>
    <row r="130" spans="1:6" x14ac:dyDescent="0.2">
      <c r="A130" s="19">
        <v>44228</v>
      </c>
      <c r="B130" s="20">
        <v>53.9</v>
      </c>
      <c r="C130" s="20">
        <f>Table1[[#This Row],[PMI]]-B129</f>
        <v>0.29999999999999716</v>
      </c>
      <c r="D130" s="21">
        <v>90.903075999999999</v>
      </c>
      <c r="E130" s="20">
        <f>Table1[[#This Row],[PMI]]-B118</f>
        <v>6.7999999999999972</v>
      </c>
      <c r="F130" s="22">
        <f>(Table1[[#This Row],[ACWI]]-D118)/D118</f>
        <v>0.30107954173321172</v>
      </c>
    </row>
    <row r="131" spans="1:6" x14ac:dyDescent="0.2">
      <c r="A131" s="15">
        <v>44256</v>
      </c>
      <c r="B131" s="14">
        <v>55</v>
      </c>
      <c r="C131" s="14">
        <f>Table1[[#This Row],[PMI]]-B130</f>
        <v>1.1000000000000014</v>
      </c>
      <c r="D131" s="16">
        <v>93.497230999999999</v>
      </c>
      <c r="E131" s="14">
        <f>Table1[[#This Row],[PMI]]-B119</f>
        <v>7.7000000000000028</v>
      </c>
      <c r="F131" s="18">
        <f>(Table1[[#This Row],[ACWI]]-D119)/D119</f>
        <v>0.54545281587858807</v>
      </c>
    </row>
    <row r="132" spans="1:6" x14ac:dyDescent="0.2">
      <c r="A132" s="19">
        <v>44287</v>
      </c>
      <c r="B132" s="20">
        <v>55.9</v>
      </c>
      <c r="C132" s="20">
        <f>Table1[[#This Row],[PMI]]-B131</f>
        <v>0.89999999999999858</v>
      </c>
      <c r="D132" s="21">
        <v>97.467049000000003</v>
      </c>
      <c r="E132" s="20">
        <f>Table1[[#This Row],[PMI]]-B120</f>
        <v>16.299999999999997</v>
      </c>
      <c r="F132" s="22">
        <f>(Table1[[#This Row],[ACWI]]-D120)/D120</f>
        <v>0.46689104693936112</v>
      </c>
    </row>
    <row r="133" spans="1:6" x14ac:dyDescent="0.2">
      <c r="A133" s="15">
        <v>44317</v>
      </c>
      <c r="B133" s="14">
        <v>56</v>
      </c>
      <c r="C133" s="14">
        <f>Table1[[#This Row],[PMI]]-B132</f>
        <v>0.10000000000000142</v>
      </c>
      <c r="D133" s="16">
        <v>98.901687999999993</v>
      </c>
      <c r="E133" s="14">
        <f>Table1[[#This Row],[PMI]]-B121</f>
        <v>13.600000000000001</v>
      </c>
      <c r="F133" s="18">
        <f>(Table1[[#This Row],[ACWI]]-D121)/D121</f>
        <v>0.41634622678558286</v>
      </c>
    </row>
    <row r="134" spans="1:6" x14ac:dyDescent="0.2">
      <c r="A134" s="19">
        <v>44348</v>
      </c>
      <c r="B134" s="20">
        <v>55.5</v>
      </c>
      <c r="C134" s="20">
        <f>Table1[[#This Row],[PMI]]-B133</f>
        <v>-0.5</v>
      </c>
      <c r="D134" s="21">
        <v>99.432311999999996</v>
      </c>
      <c r="E134" s="20">
        <f>Table1[[#This Row],[PMI]]-B122</f>
        <v>7.7000000000000028</v>
      </c>
      <c r="F134" s="22">
        <f>(Table1[[#This Row],[ACWI]]-D122)/D122</f>
        <v>0.39497150490075628</v>
      </c>
    </row>
    <row r="135" spans="1:6" x14ac:dyDescent="0.2">
      <c r="A135" s="15">
        <v>44378</v>
      </c>
      <c r="B135" s="14">
        <v>55.4</v>
      </c>
      <c r="C135" s="14">
        <f>Table1[[#This Row],[PMI]]-B134</f>
        <v>-0.10000000000000142</v>
      </c>
      <c r="D135" s="16">
        <v>101.05925000000001</v>
      </c>
      <c r="E135" s="14">
        <f>Table1[[#This Row],[PMI]]-B123</f>
        <v>4.7999999999999972</v>
      </c>
      <c r="F135" s="18">
        <f>(Table1[[#This Row],[ACWI]]-D123)/D123</f>
        <v>0.33440365466111283</v>
      </c>
    </row>
    <row r="136" spans="1:6" x14ac:dyDescent="0.2">
      <c r="A136" s="19">
        <v>44409</v>
      </c>
      <c r="B136" s="20">
        <v>54.1</v>
      </c>
      <c r="C136" s="20">
        <f>Table1[[#This Row],[PMI]]-B135</f>
        <v>-1.2999999999999972</v>
      </c>
      <c r="D136" s="21">
        <v>103.256401</v>
      </c>
      <c r="E136" s="20">
        <f>Table1[[#This Row],[PMI]]-B124</f>
        <v>2.3000000000000043</v>
      </c>
      <c r="F136" s="22">
        <f>(Table1[[#This Row],[ACWI]]-D124)/D124</f>
        <v>0.28593152217069423</v>
      </c>
    </row>
    <row r="137" spans="1:6" x14ac:dyDescent="0.2">
      <c r="A137" s="15">
        <v>44440</v>
      </c>
      <c r="B137" s="14">
        <v>54.1</v>
      </c>
      <c r="C137" s="14">
        <f>Table1[[#This Row],[PMI]]-B136</f>
        <v>0</v>
      </c>
      <c r="D137" s="16">
        <v>98.891784999999999</v>
      </c>
      <c r="E137" s="14">
        <f>Table1[[#This Row],[PMI]]-B125</f>
        <v>1.7000000000000028</v>
      </c>
      <c r="F137" s="18">
        <f>(Table1[[#This Row],[ACWI]]-D125)/D125</f>
        <v>0.26902222146254218</v>
      </c>
    </row>
    <row r="138" spans="1:6" x14ac:dyDescent="0.2">
      <c r="A138" s="19">
        <v>44470</v>
      </c>
      <c r="B138" s="20">
        <v>54.2</v>
      </c>
      <c r="C138" s="20">
        <f>Table1[[#This Row],[PMI]]-B137</f>
        <v>0.10000000000000142</v>
      </c>
      <c r="D138" s="21">
        <v>104.22631800000001</v>
      </c>
      <c r="E138" s="20">
        <f>Table1[[#This Row],[PMI]]-B126</f>
        <v>1.2000000000000028</v>
      </c>
      <c r="F138" s="22">
        <f>(Table1[[#This Row],[ACWI]]-D126)/D126</f>
        <v>0.36794441143205148</v>
      </c>
    </row>
    <row r="139" spans="1:6" x14ac:dyDescent="0.2">
      <c r="A139" s="15">
        <v>44501</v>
      </c>
      <c r="B139" s="14">
        <v>54.2</v>
      </c>
      <c r="C139" s="14">
        <f>Table1[[#This Row],[PMI]]-B138</f>
        <v>0</v>
      </c>
      <c r="D139" s="16">
        <v>101.82132</v>
      </c>
      <c r="E139" s="14">
        <f>Table1[[#This Row],[PMI]]-B127</f>
        <v>0.40000000000000568</v>
      </c>
      <c r="F139" s="18">
        <f>(Table1[[#This Row],[ACWI]]-D127)/D127</f>
        <v>0.19574822246909077</v>
      </c>
    </row>
    <row r="140" spans="1:6" x14ac:dyDescent="0.2">
      <c r="A140" s="19">
        <v>44531</v>
      </c>
      <c r="B140" s="20">
        <v>54.2</v>
      </c>
      <c r="C140" s="20">
        <f>Table1[[#This Row],[PMI]]-B139</f>
        <v>0</v>
      </c>
      <c r="D140" s="21">
        <v>104.69148300000001</v>
      </c>
      <c r="E140" s="20">
        <f>Table1[[#This Row],[PMI]]-B128</f>
        <v>0.40000000000000568</v>
      </c>
      <c r="F140" s="22">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DA31-9BA6-4727-8A23-153986CABD41}">
  <dimension ref="A1:K140"/>
  <sheetViews>
    <sheetView zoomScale="160" zoomScaleNormal="160" workbookViewId="0">
      <selection activeCell="I35" sqref="I35"/>
    </sheetView>
  </sheetViews>
  <sheetFormatPr baseColWidth="10" defaultColWidth="9.1640625" defaultRowHeight="15" x14ac:dyDescent="0.2"/>
  <cols>
    <col min="1" max="1" width="13.5" style="10" customWidth="1"/>
    <col min="2" max="2" width="11.33203125" style="10" customWidth="1"/>
    <col min="3" max="3" width="9.1640625" style="10"/>
    <col min="4" max="4" width="19" style="10" customWidth="1"/>
    <col min="5" max="16384" width="9.1640625" style="10"/>
  </cols>
  <sheetData>
    <row r="1" spans="1:11" x14ac:dyDescent="0.2">
      <c r="A1" s="10" t="s">
        <v>28</v>
      </c>
      <c r="K1" s="10" t="s">
        <v>21</v>
      </c>
    </row>
    <row r="2" spans="1:11" x14ac:dyDescent="0.2">
      <c r="K2" s="10" t="str">
        <f>A1&amp;K1</f>
        <v>U.S. Manufacturing PMI</v>
      </c>
    </row>
    <row r="4" spans="1:11" ht="16" thickBot="1" x14ac:dyDescent="0.25"/>
    <row r="5" spans="1:11" ht="16" thickBot="1" x14ac:dyDescent="0.25">
      <c r="A5" s="27" t="s">
        <v>10</v>
      </c>
      <c r="B5" s="28" t="s">
        <v>11</v>
      </c>
      <c r="C5" s="28" t="s">
        <v>14</v>
      </c>
      <c r="D5" s="32" t="s">
        <v>0</v>
      </c>
    </row>
    <row r="6" spans="1:11" x14ac:dyDescent="0.2">
      <c r="A6" s="23">
        <v>40452</v>
      </c>
      <c r="B6" s="24">
        <v>56.9</v>
      </c>
      <c r="C6" s="24"/>
      <c r="D6" s="14">
        <v>56.9</v>
      </c>
    </row>
    <row r="7" spans="1:11" x14ac:dyDescent="0.2">
      <c r="A7" s="15">
        <v>40483</v>
      </c>
      <c r="B7" s="14">
        <v>56.6</v>
      </c>
      <c r="C7" s="14">
        <f>Table1346811[[#This Row],[PMI]]-B6</f>
        <v>-0.29999999999999716</v>
      </c>
      <c r="D7" s="14">
        <v>57.3</v>
      </c>
    </row>
    <row r="8" spans="1:11" x14ac:dyDescent="0.2">
      <c r="A8" s="15">
        <v>40513</v>
      </c>
      <c r="B8" s="14">
        <v>57</v>
      </c>
      <c r="C8" s="14">
        <f>Table1346811[[#This Row],[PMI]]-B7</f>
        <v>0.39999999999999858</v>
      </c>
      <c r="D8" s="14">
        <v>56.6</v>
      </c>
    </row>
    <row r="9" spans="1:11" x14ac:dyDescent="0.2">
      <c r="A9" s="15">
        <v>40544</v>
      </c>
      <c r="B9" s="14">
        <v>60.8</v>
      </c>
      <c r="C9" s="14">
        <f>Table1346811[[#This Row],[PMI]]-B8</f>
        <v>3.7999999999999972</v>
      </c>
      <c r="D9" s="14">
        <v>59.1</v>
      </c>
    </row>
    <row r="10" spans="1:11" x14ac:dyDescent="0.2">
      <c r="A10" s="15">
        <v>40575</v>
      </c>
      <c r="B10" s="14">
        <v>61.4</v>
      </c>
      <c r="C10" s="14">
        <f>Table1346811[[#This Row],[PMI]]-B9</f>
        <v>0.60000000000000142</v>
      </c>
      <c r="D10" s="14">
        <v>59.2</v>
      </c>
    </row>
    <row r="11" spans="1:11" x14ac:dyDescent="0.2">
      <c r="A11" s="15">
        <v>40603</v>
      </c>
      <c r="B11" s="14">
        <v>61.2</v>
      </c>
      <c r="C11" s="14">
        <f>Table1346811[[#This Row],[PMI]]-B10</f>
        <v>-0.19999999999999574</v>
      </c>
      <c r="D11" s="14">
        <v>58.4</v>
      </c>
    </row>
    <row r="12" spans="1:11" x14ac:dyDescent="0.2">
      <c r="A12" s="15">
        <v>40634</v>
      </c>
      <c r="B12" s="14">
        <v>60.4</v>
      </c>
      <c r="C12" s="14">
        <f>Table1346811[[#This Row],[PMI]]-B11</f>
        <v>-0.80000000000000426</v>
      </c>
      <c r="D12" s="14">
        <v>57.9</v>
      </c>
    </row>
    <row r="13" spans="1:11" x14ac:dyDescent="0.2">
      <c r="A13" s="15">
        <v>40664</v>
      </c>
      <c r="B13" s="14">
        <v>53.5</v>
      </c>
      <c r="C13" s="14">
        <f>Table1346811[[#This Row],[PMI]]-B12</f>
        <v>-6.8999999999999986</v>
      </c>
      <c r="D13" s="14">
        <v>54.8</v>
      </c>
    </row>
    <row r="14" spans="1:11" x14ac:dyDescent="0.2">
      <c r="A14" s="15">
        <v>40695</v>
      </c>
      <c r="B14" s="14">
        <v>55.3</v>
      </c>
      <c r="C14" s="14">
        <f>Table1346811[[#This Row],[PMI]]-B13</f>
        <v>1.7999999999999972</v>
      </c>
      <c r="D14" s="14">
        <v>55.8</v>
      </c>
    </row>
    <row r="15" spans="1:11" x14ac:dyDescent="0.2">
      <c r="A15" s="15">
        <v>40725</v>
      </c>
      <c r="B15" s="14">
        <v>50.9</v>
      </c>
      <c r="C15" s="14">
        <f>Table1346811[[#This Row],[PMI]]-B14</f>
        <v>-4.3999999999999986</v>
      </c>
      <c r="D15" s="14">
        <v>52.9</v>
      </c>
    </row>
    <row r="16" spans="1:11" x14ac:dyDescent="0.2">
      <c r="A16" s="15">
        <v>40756</v>
      </c>
      <c r="B16" s="14">
        <v>50.6</v>
      </c>
      <c r="C16" s="14">
        <f>Table1346811[[#This Row],[PMI]]-B15</f>
        <v>-0.29999999999999716</v>
      </c>
      <c r="D16" s="14">
        <v>52.6</v>
      </c>
    </row>
    <row r="17" spans="1:4" x14ac:dyDescent="0.2">
      <c r="A17" s="15">
        <v>40787</v>
      </c>
      <c r="B17" s="14">
        <v>51.6</v>
      </c>
      <c r="C17" s="14">
        <f>Table1346811[[#This Row],[PMI]]-B16</f>
        <v>1</v>
      </c>
      <c r="D17" s="14">
        <v>53.7</v>
      </c>
    </row>
    <row r="18" spans="1:4" x14ac:dyDescent="0.2">
      <c r="A18" s="15">
        <v>40817</v>
      </c>
      <c r="B18" s="14">
        <v>50.8</v>
      </c>
      <c r="C18" s="14">
        <f>Table1346811[[#This Row],[PMI]]-B17</f>
        <v>-0.80000000000000426</v>
      </c>
      <c r="D18" s="14">
        <v>51.4</v>
      </c>
    </row>
    <row r="19" spans="1:4" x14ac:dyDescent="0.2">
      <c r="A19" s="15">
        <v>40848</v>
      </c>
      <c r="B19" s="14">
        <v>52.7</v>
      </c>
      <c r="C19" s="14">
        <f>Table1346811[[#This Row],[PMI]]-B18</f>
        <v>1.9000000000000057</v>
      </c>
      <c r="D19" s="14">
        <v>51.8</v>
      </c>
    </row>
    <row r="20" spans="1:4" x14ac:dyDescent="0.2">
      <c r="A20" s="15">
        <v>40878</v>
      </c>
      <c r="B20" s="14">
        <v>53.2</v>
      </c>
      <c r="C20" s="14">
        <f>Table1346811[[#This Row],[PMI]]-B19</f>
        <v>0.5</v>
      </c>
      <c r="D20" s="14">
        <v>53</v>
      </c>
    </row>
    <row r="21" spans="1:4" x14ac:dyDescent="0.2">
      <c r="A21" s="15">
        <v>40909</v>
      </c>
      <c r="B21" s="14">
        <v>54.3</v>
      </c>
      <c r="C21" s="14">
        <f>Table1346811[[#This Row],[PMI]]-B20</f>
        <v>1.0999999999999943</v>
      </c>
      <c r="D21" s="14">
        <v>52.6</v>
      </c>
    </row>
    <row r="22" spans="1:4" x14ac:dyDescent="0.2">
      <c r="A22" s="15">
        <v>40940</v>
      </c>
      <c r="B22" s="14">
        <v>53.6</v>
      </c>
      <c r="C22" s="14">
        <f>Table1346811[[#This Row],[PMI]]-B21</f>
        <v>-0.69999999999999574</v>
      </c>
      <c r="D22" s="14">
        <v>53.1</v>
      </c>
    </row>
    <row r="23" spans="1:4" x14ac:dyDescent="0.2">
      <c r="A23" s="15">
        <v>40969</v>
      </c>
      <c r="B23" s="14">
        <v>56</v>
      </c>
      <c r="C23" s="14">
        <f>Table1346811[[#This Row],[PMI]]-B22</f>
        <v>2.3999999999999986</v>
      </c>
      <c r="D23" s="14">
        <v>53.5</v>
      </c>
    </row>
    <row r="24" spans="1:4" x14ac:dyDescent="0.2">
      <c r="A24" s="15">
        <v>41000</v>
      </c>
      <c r="B24" s="14">
        <v>56</v>
      </c>
      <c r="C24" s="14">
        <f>Table1346811[[#This Row],[PMI]]-B23</f>
        <v>0</v>
      </c>
      <c r="D24" s="14">
        <v>53.5</v>
      </c>
    </row>
    <row r="25" spans="1:4" x14ac:dyDescent="0.2">
      <c r="A25" s="15">
        <v>41030</v>
      </c>
      <c r="B25" s="14">
        <v>54</v>
      </c>
      <c r="C25" s="14">
        <f>Table1346811[[#This Row],[PMI]]-B24</f>
        <v>-2</v>
      </c>
      <c r="D25" s="14">
        <v>52.6</v>
      </c>
    </row>
    <row r="26" spans="1:4" x14ac:dyDescent="0.2">
      <c r="A26" s="15">
        <v>41061</v>
      </c>
      <c r="B26" s="14">
        <v>52.5</v>
      </c>
      <c r="C26" s="14">
        <f>Table1346811[[#This Row],[PMI]]-B25</f>
        <v>-1.5</v>
      </c>
      <c r="D26" s="14">
        <v>49.7</v>
      </c>
    </row>
    <row r="27" spans="1:4" x14ac:dyDescent="0.2">
      <c r="A27" s="15">
        <v>41091</v>
      </c>
      <c r="B27" s="14">
        <v>51.4</v>
      </c>
      <c r="C27" s="14">
        <f>Table1346811[[#This Row],[PMI]]-B26</f>
        <v>-1.1000000000000014</v>
      </c>
      <c r="D27" s="14">
        <v>50</v>
      </c>
    </row>
    <row r="28" spans="1:4" x14ac:dyDescent="0.2">
      <c r="A28" s="15">
        <v>41122</v>
      </c>
      <c r="B28" s="14">
        <v>51.5</v>
      </c>
      <c r="C28" s="14">
        <f>Table1346811[[#This Row],[PMI]]-B27</f>
        <v>0.10000000000000142</v>
      </c>
      <c r="D28" s="14">
        <v>50.2</v>
      </c>
    </row>
    <row r="29" spans="1:4" x14ac:dyDescent="0.2">
      <c r="A29" s="15">
        <v>41153</v>
      </c>
      <c r="B29" s="14">
        <v>51.1</v>
      </c>
      <c r="C29" s="14">
        <f>Table1346811[[#This Row],[PMI]]-B28</f>
        <v>-0.39999999999999858</v>
      </c>
      <c r="D29" s="14">
        <v>51.8</v>
      </c>
    </row>
    <row r="30" spans="1:4" x14ac:dyDescent="0.2">
      <c r="A30" s="15">
        <v>41183</v>
      </c>
      <c r="B30" s="14">
        <v>51</v>
      </c>
      <c r="C30" s="14">
        <f>Table1346811[[#This Row],[PMI]]-B29</f>
        <v>-0.10000000000000142</v>
      </c>
      <c r="D30" s="14">
        <v>50.7</v>
      </c>
    </row>
    <row r="31" spans="1:4" x14ac:dyDescent="0.2">
      <c r="A31" s="15">
        <v>41214</v>
      </c>
      <c r="B31" s="14">
        <v>52.8</v>
      </c>
      <c r="C31" s="14">
        <f>Table1346811[[#This Row],[PMI]]-B30</f>
        <v>1.7999999999999972</v>
      </c>
      <c r="D31" s="14">
        <v>48.9</v>
      </c>
    </row>
    <row r="32" spans="1:4" x14ac:dyDescent="0.2">
      <c r="A32" s="15">
        <v>41244</v>
      </c>
      <c r="B32" s="14">
        <v>54</v>
      </c>
      <c r="C32" s="14">
        <f>Table1346811[[#This Row],[PMI]]-B31</f>
        <v>1.2000000000000028</v>
      </c>
      <c r="D32" s="14">
        <v>49.8</v>
      </c>
    </row>
    <row r="33" spans="1:4" x14ac:dyDescent="0.2">
      <c r="A33" s="15">
        <v>41275</v>
      </c>
      <c r="B33" s="14">
        <v>55.8</v>
      </c>
      <c r="C33" s="14">
        <f>Table1346811[[#This Row],[PMI]]-B32</f>
        <v>1.7999999999999972</v>
      </c>
      <c r="D33" s="14">
        <v>52</v>
      </c>
    </row>
    <row r="34" spans="1:4" x14ac:dyDescent="0.2">
      <c r="A34" s="15">
        <v>41306</v>
      </c>
      <c r="B34" s="14">
        <v>54.3</v>
      </c>
      <c r="C34" s="14">
        <f>Table1346811[[#This Row],[PMI]]-B33</f>
        <v>-1.5</v>
      </c>
      <c r="D34" s="14">
        <v>53.6</v>
      </c>
    </row>
    <row r="35" spans="1:4" x14ac:dyDescent="0.2">
      <c r="A35" s="15">
        <v>41334</v>
      </c>
      <c r="B35" s="14">
        <v>54.6</v>
      </c>
      <c r="C35" s="14">
        <f>Table1346811[[#This Row],[PMI]]-B34</f>
        <v>0.30000000000000426</v>
      </c>
      <c r="D35" s="14">
        <v>52</v>
      </c>
    </row>
    <row r="36" spans="1:4" x14ac:dyDescent="0.2">
      <c r="A36" s="15">
        <v>41365</v>
      </c>
      <c r="B36" s="14">
        <v>52.1</v>
      </c>
      <c r="C36" s="14">
        <f>Table1346811[[#This Row],[PMI]]-B35</f>
        <v>-2.5</v>
      </c>
      <c r="D36" s="14">
        <v>49.7</v>
      </c>
    </row>
    <row r="37" spans="1:4" x14ac:dyDescent="0.2">
      <c r="A37" s="15">
        <v>41395</v>
      </c>
      <c r="B37" s="14">
        <v>52.3</v>
      </c>
      <c r="C37" s="14">
        <f>Table1346811[[#This Row],[PMI]]-B36</f>
        <v>0.19999999999999574</v>
      </c>
      <c r="D37" s="14">
        <v>50.5</v>
      </c>
    </row>
    <row r="38" spans="1:4" x14ac:dyDescent="0.2">
      <c r="A38" s="15">
        <v>41426</v>
      </c>
      <c r="B38" s="14">
        <v>51.9</v>
      </c>
      <c r="C38" s="14">
        <f>Table1346811[[#This Row],[PMI]]-B37</f>
        <v>-0.39999999999999858</v>
      </c>
      <c r="D38" s="14">
        <v>51.5</v>
      </c>
    </row>
    <row r="39" spans="1:4" x14ac:dyDescent="0.2">
      <c r="A39" s="15">
        <v>41456</v>
      </c>
      <c r="B39" s="14">
        <v>53.7</v>
      </c>
      <c r="C39" s="14">
        <f>Table1346811[[#This Row],[PMI]]-B38</f>
        <v>1.8000000000000043</v>
      </c>
      <c r="D39" s="14">
        <v>53.5</v>
      </c>
    </row>
    <row r="40" spans="1:4" x14ac:dyDescent="0.2">
      <c r="A40" s="15">
        <v>41487</v>
      </c>
      <c r="B40" s="14">
        <v>53.7</v>
      </c>
      <c r="C40" s="14">
        <f>Table1346811[[#This Row],[PMI]]-B39</f>
        <v>0</v>
      </c>
      <c r="D40" s="14">
        <v>55.9</v>
      </c>
    </row>
    <row r="41" spans="1:4" x14ac:dyDescent="0.2">
      <c r="A41" s="15">
        <v>41518</v>
      </c>
      <c r="B41" s="14">
        <v>52.8</v>
      </c>
      <c r="C41" s="14">
        <f>Table1346811[[#This Row],[PMI]]-B40</f>
        <v>-0.90000000000000568</v>
      </c>
      <c r="D41" s="14">
        <v>54.8</v>
      </c>
    </row>
    <row r="42" spans="1:4" x14ac:dyDescent="0.2">
      <c r="A42" s="15">
        <v>41548</v>
      </c>
      <c r="B42" s="14">
        <v>51.8</v>
      </c>
      <c r="C42" s="14">
        <f>Table1346811[[#This Row],[PMI]]-B41</f>
        <v>-1</v>
      </c>
      <c r="D42" s="14">
        <v>55.3</v>
      </c>
    </row>
    <row r="43" spans="1:4" x14ac:dyDescent="0.2">
      <c r="A43" s="15">
        <v>41579</v>
      </c>
      <c r="B43" s="14">
        <v>54.7</v>
      </c>
      <c r="C43" s="14">
        <f>Table1346811[[#This Row],[PMI]]-B42</f>
        <v>2.9000000000000057</v>
      </c>
      <c r="D43" s="14">
        <v>56.3</v>
      </c>
    </row>
    <row r="44" spans="1:4" x14ac:dyDescent="0.2">
      <c r="A44" s="15">
        <v>41609</v>
      </c>
      <c r="B44" s="14">
        <v>55</v>
      </c>
      <c r="C44" s="14">
        <f>Table1346811[[#This Row],[PMI]]-B43</f>
        <v>0.29999999999999716</v>
      </c>
      <c r="D44" s="14">
        <v>55.9</v>
      </c>
    </row>
    <row r="45" spans="1:4" x14ac:dyDescent="0.2">
      <c r="A45" s="15">
        <v>41640</v>
      </c>
      <c r="B45" s="14">
        <v>53.7</v>
      </c>
      <c r="C45" s="14">
        <f>Table1346811[[#This Row],[PMI]]-B44</f>
        <v>-1.2999999999999972</v>
      </c>
      <c r="D45" s="14">
        <v>51.7</v>
      </c>
    </row>
    <row r="46" spans="1:4" x14ac:dyDescent="0.2">
      <c r="A46" s="15">
        <v>41671</v>
      </c>
      <c r="B46" s="14">
        <v>57.1</v>
      </c>
      <c r="C46" s="14">
        <f>Table1346811[[#This Row],[PMI]]-B45</f>
        <v>3.3999999999999986</v>
      </c>
      <c r="D46" s="14">
        <v>54.6</v>
      </c>
    </row>
    <row r="47" spans="1:4" x14ac:dyDescent="0.2">
      <c r="A47" s="15">
        <v>41699</v>
      </c>
      <c r="B47" s="14">
        <v>55.5</v>
      </c>
      <c r="C47" s="14">
        <f>Table1346811[[#This Row],[PMI]]-B46</f>
        <v>-1.6000000000000014</v>
      </c>
      <c r="D47" s="14">
        <v>55.3</v>
      </c>
    </row>
    <row r="48" spans="1:4" x14ac:dyDescent="0.2">
      <c r="A48" s="15">
        <v>41730</v>
      </c>
      <c r="B48" s="14">
        <v>55.4</v>
      </c>
      <c r="C48" s="14">
        <f>Table1346811[[#This Row],[PMI]]-B47</f>
        <v>-0.10000000000000142</v>
      </c>
      <c r="D48" s="14">
        <v>55.7</v>
      </c>
    </row>
    <row r="49" spans="1:4" x14ac:dyDescent="0.2">
      <c r="A49" s="15">
        <v>41760</v>
      </c>
      <c r="B49" s="14">
        <v>56.4</v>
      </c>
      <c r="C49" s="14">
        <f>Table1346811[[#This Row],[PMI]]-B48</f>
        <v>1</v>
      </c>
      <c r="D49" s="14">
        <v>55.8</v>
      </c>
    </row>
    <row r="50" spans="1:4" x14ac:dyDescent="0.2">
      <c r="A50" s="15">
        <v>41791</v>
      </c>
      <c r="B50" s="14">
        <v>57.3</v>
      </c>
      <c r="C50" s="14">
        <f>Table1346811[[#This Row],[PMI]]-B49</f>
        <v>0.89999999999999858</v>
      </c>
      <c r="D50" s="14">
        <v>54.9</v>
      </c>
    </row>
    <row r="51" spans="1:4" x14ac:dyDescent="0.2">
      <c r="A51" s="15">
        <v>41821</v>
      </c>
      <c r="B51" s="14">
        <v>55.8</v>
      </c>
      <c r="C51" s="14">
        <f>Table1346811[[#This Row],[PMI]]-B50</f>
        <v>-1.5</v>
      </c>
      <c r="D51" s="14">
        <v>55.3</v>
      </c>
    </row>
    <row r="52" spans="1:4" x14ac:dyDescent="0.2">
      <c r="A52" s="15">
        <v>41852</v>
      </c>
      <c r="B52" s="14">
        <v>57.9</v>
      </c>
      <c r="C52" s="14">
        <f>Table1346811[[#This Row],[PMI]]-B51</f>
        <v>2.1000000000000014</v>
      </c>
      <c r="D52" s="14">
        <v>58.2</v>
      </c>
    </row>
    <row r="53" spans="1:4" x14ac:dyDescent="0.2">
      <c r="A53" s="15">
        <v>41883</v>
      </c>
      <c r="B53" s="14">
        <v>57.5</v>
      </c>
      <c r="C53" s="14">
        <f>Table1346811[[#This Row],[PMI]]-B52</f>
        <v>-0.39999999999999858</v>
      </c>
      <c r="D53" s="14">
        <v>55.5</v>
      </c>
    </row>
    <row r="54" spans="1:4" x14ac:dyDescent="0.2">
      <c r="A54" s="15">
        <v>41913</v>
      </c>
      <c r="B54" s="14">
        <v>55.9</v>
      </c>
      <c r="C54" s="14">
        <f>Table1346811[[#This Row],[PMI]]-B53</f>
        <v>-1.6000000000000014</v>
      </c>
      <c r="D54" s="14">
        <v>56.8</v>
      </c>
    </row>
    <row r="55" spans="1:4" x14ac:dyDescent="0.2">
      <c r="A55" s="15">
        <v>41944</v>
      </c>
      <c r="B55" s="14">
        <v>54.8</v>
      </c>
      <c r="C55" s="14">
        <f>Table1346811[[#This Row],[PMI]]-B54</f>
        <v>-1.1000000000000014</v>
      </c>
      <c r="D55" s="14">
        <v>57</v>
      </c>
    </row>
    <row r="56" spans="1:4" x14ac:dyDescent="0.2">
      <c r="A56" s="15">
        <v>41974</v>
      </c>
      <c r="B56" s="14">
        <v>53.9</v>
      </c>
      <c r="C56" s="14">
        <f>Table1346811[[#This Row],[PMI]]-B55</f>
        <v>-0.89999999999999858</v>
      </c>
      <c r="D56" s="14">
        <v>54.7</v>
      </c>
    </row>
    <row r="57" spans="1:4" x14ac:dyDescent="0.2">
      <c r="A57" s="15">
        <v>42005</v>
      </c>
      <c r="B57" s="14">
        <v>53.7</v>
      </c>
      <c r="C57" s="14">
        <f>Table1346811[[#This Row],[PMI]]-B56</f>
        <v>-0.19999999999999574</v>
      </c>
      <c r="D57" s="14">
        <v>53.9</v>
      </c>
    </row>
    <row r="58" spans="1:4" x14ac:dyDescent="0.2">
      <c r="A58" s="15">
        <v>42036</v>
      </c>
      <c r="B58" s="14">
        <v>54.3</v>
      </c>
      <c r="C58" s="14">
        <f>Table1346811[[#This Row],[PMI]]-B57</f>
        <v>0.59999999999999432</v>
      </c>
      <c r="D58" s="14">
        <v>53</v>
      </c>
    </row>
    <row r="59" spans="1:4" x14ac:dyDescent="0.2">
      <c r="A59" s="15">
        <v>42064</v>
      </c>
      <c r="B59" s="14">
        <v>55.3</v>
      </c>
      <c r="C59" s="14">
        <f>Table1346811[[#This Row],[PMI]]-B58</f>
        <v>1</v>
      </c>
      <c r="D59" s="14">
        <v>51.8</v>
      </c>
    </row>
    <row r="60" spans="1:4" x14ac:dyDescent="0.2">
      <c r="A60" s="15">
        <v>42095</v>
      </c>
      <c r="B60" s="14">
        <v>54.1</v>
      </c>
      <c r="C60" s="14">
        <f>Table1346811[[#This Row],[PMI]]-B59</f>
        <v>-1.1999999999999957</v>
      </c>
      <c r="D60" s="14">
        <v>51.6</v>
      </c>
    </row>
    <row r="61" spans="1:4" x14ac:dyDescent="0.2">
      <c r="A61" s="15">
        <v>42125</v>
      </c>
      <c r="B61" s="14">
        <v>53.8</v>
      </c>
      <c r="C61" s="14">
        <f>Table1346811[[#This Row],[PMI]]-B60</f>
        <v>-0.30000000000000426</v>
      </c>
      <c r="D61" s="14">
        <v>52.9</v>
      </c>
    </row>
    <row r="62" spans="1:4" x14ac:dyDescent="0.2">
      <c r="A62" s="15">
        <v>42156</v>
      </c>
      <c r="B62" s="14">
        <v>53.6</v>
      </c>
      <c r="C62" s="14">
        <f>Table1346811[[#This Row],[PMI]]-B61</f>
        <v>-0.19999999999999574</v>
      </c>
      <c r="D62" s="14">
        <v>52.3</v>
      </c>
    </row>
    <row r="63" spans="1:4" x14ac:dyDescent="0.2">
      <c r="A63" s="15">
        <v>42186</v>
      </c>
      <c r="B63" s="14">
        <v>53.8</v>
      </c>
      <c r="C63" s="14">
        <f>Table1346811[[#This Row],[PMI]]-B62</f>
        <v>0.19999999999999574</v>
      </c>
      <c r="D63" s="14">
        <v>51.9</v>
      </c>
    </row>
    <row r="64" spans="1:4" x14ac:dyDescent="0.2">
      <c r="A64" s="15">
        <v>42217</v>
      </c>
      <c r="B64" s="14">
        <v>53</v>
      </c>
      <c r="C64" s="14">
        <f>Table1346811[[#This Row],[PMI]]-B63</f>
        <v>-0.79999999999999716</v>
      </c>
      <c r="D64" s="14">
        <v>50.8</v>
      </c>
    </row>
    <row r="65" spans="1:4" x14ac:dyDescent="0.2">
      <c r="A65" s="15">
        <v>42248</v>
      </c>
      <c r="B65" s="14">
        <v>53.1</v>
      </c>
      <c r="C65" s="14">
        <f>Table1346811[[#This Row],[PMI]]-B64</f>
        <v>0.10000000000000142</v>
      </c>
      <c r="D65" s="14">
        <v>50.1</v>
      </c>
    </row>
    <row r="66" spans="1:4" x14ac:dyDescent="0.2">
      <c r="A66" s="15">
        <v>42278</v>
      </c>
      <c r="B66" s="14">
        <v>54.1</v>
      </c>
      <c r="C66" s="14">
        <f>Table1346811[[#This Row],[PMI]]-B65</f>
        <v>1</v>
      </c>
      <c r="D66" s="14">
        <v>49.6</v>
      </c>
    </row>
    <row r="67" spans="1:4" x14ac:dyDescent="0.2">
      <c r="A67" s="15">
        <v>42309</v>
      </c>
      <c r="B67" s="14">
        <v>52.8</v>
      </c>
      <c r="C67" s="14">
        <f>Table1346811[[#This Row],[PMI]]-B66</f>
        <v>-1.3000000000000043</v>
      </c>
      <c r="D67" s="14">
        <v>49.1</v>
      </c>
    </row>
    <row r="68" spans="1:4" x14ac:dyDescent="0.2">
      <c r="A68" s="15">
        <v>42339</v>
      </c>
      <c r="B68" s="14">
        <v>51.2</v>
      </c>
      <c r="C68" s="14">
        <f>Table1346811[[#This Row],[PMI]]-B67</f>
        <v>-1.5999999999999943</v>
      </c>
      <c r="D68" s="14">
        <v>48.4</v>
      </c>
    </row>
    <row r="69" spans="1:4" x14ac:dyDescent="0.2">
      <c r="A69" s="15">
        <v>42370</v>
      </c>
      <c r="B69" s="14">
        <v>52.4</v>
      </c>
      <c r="C69" s="14">
        <f>Table1346811[[#This Row],[PMI]]-B68</f>
        <v>1.1999999999999957</v>
      </c>
      <c r="D69" s="14">
        <v>47.8</v>
      </c>
    </row>
    <row r="70" spans="1:4" x14ac:dyDescent="0.2">
      <c r="A70" s="15">
        <v>42401</v>
      </c>
      <c r="B70" s="14">
        <v>51.3</v>
      </c>
      <c r="C70" s="14">
        <f>Table1346811[[#This Row],[PMI]]-B69</f>
        <v>-1.1000000000000014</v>
      </c>
      <c r="D70" s="14">
        <v>49.4</v>
      </c>
    </row>
    <row r="71" spans="1:4" x14ac:dyDescent="0.2">
      <c r="A71" s="15">
        <v>42430</v>
      </c>
      <c r="B71" s="14">
        <v>51.5</v>
      </c>
      <c r="C71" s="14">
        <f>Table1346811[[#This Row],[PMI]]-B70</f>
        <v>0.20000000000000284</v>
      </c>
      <c r="D71" s="14">
        <v>51.2</v>
      </c>
    </row>
    <row r="72" spans="1:4" x14ac:dyDescent="0.2">
      <c r="A72" s="15">
        <v>42461</v>
      </c>
      <c r="B72" s="14">
        <v>50.8</v>
      </c>
      <c r="C72" s="14">
        <f>Table1346811[[#This Row],[PMI]]-B71</f>
        <v>-0.70000000000000284</v>
      </c>
      <c r="D72" s="14">
        <v>50.8</v>
      </c>
    </row>
    <row r="73" spans="1:4" x14ac:dyDescent="0.2">
      <c r="A73" s="15">
        <v>42491</v>
      </c>
      <c r="B73" s="14">
        <v>50.7</v>
      </c>
      <c r="C73" s="14">
        <f>Table1346811[[#This Row],[PMI]]-B72</f>
        <v>-9.9999999999994316E-2</v>
      </c>
      <c r="D73" s="14">
        <v>50.9</v>
      </c>
    </row>
    <row r="74" spans="1:4" x14ac:dyDescent="0.2">
      <c r="A74" s="15">
        <v>42522</v>
      </c>
      <c r="B74" s="14">
        <v>51.3</v>
      </c>
      <c r="C74" s="14">
        <f>Table1346811[[#This Row],[PMI]]-B73</f>
        <v>0.59999999999999432</v>
      </c>
      <c r="D74" s="14">
        <v>52.5</v>
      </c>
    </row>
    <row r="75" spans="1:4" x14ac:dyDescent="0.2">
      <c r="A75" s="15">
        <v>42552</v>
      </c>
      <c r="B75" s="14">
        <v>52.9</v>
      </c>
      <c r="C75" s="14">
        <f>Table1346811[[#This Row],[PMI]]-B74</f>
        <v>1.6000000000000014</v>
      </c>
      <c r="D75" s="14">
        <v>52.9</v>
      </c>
    </row>
    <row r="76" spans="1:4" x14ac:dyDescent="0.2">
      <c r="A76" s="15">
        <v>42583</v>
      </c>
      <c r="B76" s="14">
        <v>52</v>
      </c>
      <c r="C76" s="14">
        <f>Table1346811[[#This Row],[PMI]]-B75</f>
        <v>-0.89999999999999858</v>
      </c>
      <c r="D76" s="14">
        <v>49.9</v>
      </c>
    </row>
    <row r="77" spans="1:4" x14ac:dyDescent="0.2">
      <c r="A77" s="15">
        <v>42614</v>
      </c>
      <c r="B77" s="14">
        <v>51.5</v>
      </c>
      <c r="C77" s="14">
        <f>Table1346811[[#This Row],[PMI]]-B76</f>
        <v>-0.5</v>
      </c>
      <c r="D77" s="14">
        <v>51.4</v>
      </c>
    </row>
    <row r="78" spans="1:4" x14ac:dyDescent="0.2">
      <c r="A78" s="15">
        <v>42644</v>
      </c>
      <c r="B78" s="14">
        <v>53.4</v>
      </c>
      <c r="C78" s="14">
        <f>Table1346811[[#This Row],[PMI]]-B77</f>
        <v>1.8999999999999986</v>
      </c>
      <c r="D78" s="14">
        <v>51.8</v>
      </c>
    </row>
    <row r="79" spans="1:4" x14ac:dyDescent="0.2">
      <c r="A79" s="15">
        <v>42675</v>
      </c>
      <c r="B79" s="14">
        <v>54.1</v>
      </c>
      <c r="C79" s="14">
        <f>Table1346811[[#This Row],[PMI]]-B78</f>
        <v>0.70000000000000284</v>
      </c>
      <c r="D79" s="14">
        <v>53.4</v>
      </c>
    </row>
    <row r="80" spans="1:4" x14ac:dyDescent="0.2">
      <c r="A80" s="15">
        <v>42705</v>
      </c>
      <c r="B80" s="14">
        <v>54.3</v>
      </c>
      <c r="C80" s="14">
        <f>Table1346811[[#This Row],[PMI]]-B79</f>
        <v>0.19999999999999574</v>
      </c>
      <c r="D80" s="14">
        <v>54.3</v>
      </c>
    </row>
    <row r="81" spans="1:4" x14ac:dyDescent="0.2">
      <c r="A81" s="15">
        <v>42736</v>
      </c>
      <c r="B81" s="14">
        <v>55</v>
      </c>
      <c r="C81" s="14">
        <f>Table1346811[[#This Row],[PMI]]-B80</f>
        <v>0.70000000000000284</v>
      </c>
      <c r="D81" s="14">
        <v>55.6</v>
      </c>
    </row>
    <row r="82" spans="1:4" x14ac:dyDescent="0.2">
      <c r="A82" s="15">
        <v>42767</v>
      </c>
      <c r="B82" s="14">
        <v>54.2</v>
      </c>
      <c r="C82" s="14">
        <f>Table1346811[[#This Row],[PMI]]-B81</f>
        <v>-0.79999999999999716</v>
      </c>
      <c r="D82" s="14">
        <v>57.6</v>
      </c>
    </row>
    <row r="83" spans="1:4" x14ac:dyDescent="0.2">
      <c r="A83" s="15">
        <v>42795</v>
      </c>
      <c r="B83" s="14">
        <v>53.3</v>
      </c>
      <c r="C83" s="14">
        <f>Table1346811[[#This Row],[PMI]]-B82</f>
        <v>-0.90000000000000568</v>
      </c>
      <c r="D83" s="14">
        <v>56.6</v>
      </c>
    </row>
    <row r="84" spans="1:4" x14ac:dyDescent="0.2">
      <c r="A84" s="15">
        <v>42826</v>
      </c>
      <c r="B84" s="14">
        <v>52.8</v>
      </c>
      <c r="C84" s="14">
        <f>Table1346811[[#This Row],[PMI]]-B83</f>
        <v>-0.5</v>
      </c>
      <c r="D84" s="14">
        <v>55.3</v>
      </c>
    </row>
    <row r="85" spans="1:4" x14ac:dyDescent="0.2">
      <c r="A85" s="15">
        <v>42856</v>
      </c>
      <c r="B85" s="14">
        <v>52.7</v>
      </c>
      <c r="C85" s="14">
        <f>Table1346811[[#This Row],[PMI]]-B84</f>
        <v>-9.9999999999994316E-2</v>
      </c>
      <c r="D85" s="14">
        <v>55.5</v>
      </c>
    </row>
    <row r="86" spans="1:4" x14ac:dyDescent="0.2">
      <c r="A86" s="15">
        <v>42887</v>
      </c>
      <c r="B86" s="14">
        <v>52</v>
      </c>
      <c r="C86" s="14">
        <f>Table1346811[[#This Row],[PMI]]-B85</f>
        <v>-0.70000000000000284</v>
      </c>
      <c r="D86" s="14">
        <v>56.7</v>
      </c>
    </row>
    <row r="87" spans="1:4" x14ac:dyDescent="0.2">
      <c r="A87" s="15">
        <v>42917</v>
      </c>
      <c r="B87" s="14">
        <v>53.3</v>
      </c>
      <c r="C87" s="14">
        <f>Table1346811[[#This Row],[PMI]]-B86</f>
        <v>1.2999999999999972</v>
      </c>
      <c r="D87" s="14">
        <v>56.5</v>
      </c>
    </row>
    <row r="88" spans="1:4" x14ac:dyDescent="0.2">
      <c r="A88" s="15">
        <v>42948</v>
      </c>
      <c r="B88" s="14">
        <v>52.8</v>
      </c>
      <c r="C88" s="14">
        <f>Table1346811[[#This Row],[PMI]]-B87</f>
        <v>-0.5</v>
      </c>
      <c r="D88" s="14">
        <v>59.3</v>
      </c>
    </row>
    <row r="89" spans="1:4" x14ac:dyDescent="0.2">
      <c r="A89" s="15">
        <v>42979</v>
      </c>
      <c r="B89" s="14">
        <v>53.1</v>
      </c>
      <c r="C89" s="14">
        <f>Table1346811[[#This Row],[PMI]]-B88</f>
        <v>0.30000000000000426</v>
      </c>
      <c r="D89" s="14">
        <v>60.2</v>
      </c>
    </row>
    <row r="90" spans="1:4" x14ac:dyDescent="0.2">
      <c r="A90" s="15">
        <v>43009</v>
      </c>
      <c r="B90" s="14">
        <v>54.6</v>
      </c>
      <c r="C90" s="14">
        <f>Table1346811[[#This Row],[PMI]]-B89</f>
        <v>1.5</v>
      </c>
      <c r="D90" s="14">
        <v>58.5</v>
      </c>
    </row>
    <row r="91" spans="1:4" x14ac:dyDescent="0.2">
      <c r="A91" s="15">
        <v>43040</v>
      </c>
      <c r="B91" s="14">
        <v>53.9</v>
      </c>
      <c r="C91" s="14">
        <f>Table1346811[[#This Row],[PMI]]-B90</f>
        <v>-0.70000000000000284</v>
      </c>
      <c r="D91" s="14">
        <v>58.2</v>
      </c>
    </row>
    <row r="92" spans="1:4" x14ac:dyDescent="0.2">
      <c r="A92" s="15">
        <v>43070</v>
      </c>
      <c r="B92" s="14">
        <v>55.1</v>
      </c>
      <c r="C92" s="14">
        <f>Table1346811[[#This Row],[PMI]]-B91</f>
        <v>1.2000000000000028</v>
      </c>
      <c r="D92" s="14">
        <v>59.3</v>
      </c>
    </row>
    <row r="93" spans="1:4" x14ac:dyDescent="0.2">
      <c r="A93" s="15">
        <v>43101</v>
      </c>
      <c r="B93" s="14">
        <v>55.5</v>
      </c>
      <c r="C93" s="14">
        <f>Table1346811[[#This Row],[PMI]]-B92</f>
        <v>0.39999999999999858</v>
      </c>
      <c r="D93" s="14">
        <v>59.1</v>
      </c>
    </row>
    <row r="94" spans="1:4" x14ac:dyDescent="0.2">
      <c r="A94" s="15">
        <v>43132</v>
      </c>
      <c r="B94" s="14">
        <v>55.3</v>
      </c>
      <c r="C94" s="14">
        <f>Table1346811[[#This Row],[PMI]]-B93</f>
        <v>-0.20000000000000284</v>
      </c>
      <c r="D94" s="14">
        <v>60.8</v>
      </c>
    </row>
    <row r="95" spans="1:4" x14ac:dyDescent="0.2">
      <c r="A95" s="15">
        <v>43160</v>
      </c>
      <c r="B95" s="14">
        <v>55.6</v>
      </c>
      <c r="C95" s="14">
        <f>Table1346811[[#This Row],[PMI]]-B94</f>
        <v>0.30000000000000426</v>
      </c>
      <c r="D95" s="14">
        <v>59.3</v>
      </c>
    </row>
    <row r="96" spans="1:4" x14ac:dyDescent="0.2">
      <c r="A96" s="15">
        <v>43191</v>
      </c>
      <c r="B96" s="14">
        <v>56.5</v>
      </c>
      <c r="C96" s="14">
        <f>Table1346811[[#This Row],[PMI]]-B95</f>
        <v>0.89999999999999858</v>
      </c>
      <c r="D96" s="14">
        <v>57.3</v>
      </c>
    </row>
    <row r="97" spans="1:4" x14ac:dyDescent="0.2">
      <c r="A97" s="15">
        <v>43221</v>
      </c>
      <c r="B97" s="14">
        <v>56.4</v>
      </c>
      <c r="C97" s="14">
        <f>Table1346811[[#This Row],[PMI]]-B96</f>
        <v>-0.10000000000000142</v>
      </c>
      <c r="D97" s="14">
        <v>58.7</v>
      </c>
    </row>
    <row r="98" spans="1:4" x14ac:dyDescent="0.2">
      <c r="A98" s="15">
        <v>43252</v>
      </c>
      <c r="B98" s="14">
        <v>55.4</v>
      </c>
      <c r="C98" s="14">
        <f>Table1346811[[#This Row],[PMI]]-B97</f>
        <v>-1</v>
      </c>
      <c r="D98" s="14">
        <v>60.2</v>
      </c>
    </row>
    <row r="99" spans="1:4" x14ac:dyDescent="0.2">
      <c r="A99" s="15">
        <v>43282</v>
      </c>
      <c r="B99" s="14">
        <v>55.3</v>
      </c>
      <c r="C99" s="14">
        <f>Table1346811[[#This Row],[PMI]]-B98</f>
        <v>-0.10000000000000142</v>
      </c>
      <c r="D99" s="14">
        <v>58.1</v>
      </c>
    </row>
    <row r="100" spans="1:4" x14ac:dyDescent="0.2">
      <c r="A100" s="15">
        <v>43313</v>
      </c>
      <c r="B100" s="14">
        <v>54.5</v>
      </c>
      <c r="C100" s="14">
        <f>Table1346811[[#This Row],[PMI]]-B99</f>
        <v>-0.79999999999999716</v>
      </c>
      <c r="D100" s="14">
        <v>61.3</v>
      </c>
    </row>
    <row r="101" spans="1:4" x14ac:dyDescent="0.2">
      <c r="A101" s="15">
        <v>43344</v>
      </c>
      <c r="B101" s="14">
        <v>55.6</v>
      </c>
      <c r="C101" s="14">
        <f>Table1346811[[#This Row],[PMI]]-B100</f>
        <v>1.1000000000000014</v>
      </c>
      <c r="D101" s="14">
        <v>59.8</v>
      </c>
    </row>
    <row r="102" spans="1:4" x14ac:dyDescent="0.2">
      <c r="A102" s="15">
        <v>43374</v>
      </c>
      <c r="B102" s="14">
        <v>55.7</v>
      </c>
      <c r="C102" s="14">
        <f>Table1346811[[#This Row],[PMI]]-B101</f>
        <v>0.10000000000000142</v>
      </c>
      <c r="D102" s="14">
        <v>57.7</v>
      </c>
    </row>
    <row r="103" spans="1:4" x14ac:dyDescent="0.2">
      <c r="A103" s="15">
        <v>43405</v>
      </c>
      <c r="B103" s="14">
        <v>55.3</v>
      </c>
      <c r="C103" s="14">
        <f>Table1346811[[#This Row],[PMI]]-B102</f>
        <v>-0.40000000000000568</v>
      </c>
      <c r="D103" s="14">
        <v>59.3</v>
      </c>
    </row>
    <row r="104" spans="1:4" x14ac:dyDescent="0.2">
      <c r="A104" s="15">
        <v>43435</v>
      </c>
      <c r="B104" s="14">
        <v>53.8</v>
      </c>
      <c r="C104" s="14">
        <f>Table1346811[[#This Row],[PMI]]-B103</f>
        <v>-1.5</v>
      </c>
      <c r="D104" s="14">
        <v>54.3</v>
      </c>
    </row>
    <row r="105" spans="1:4" x14ac:dyDescent="0.2">
      <c r="A105" s="15">
        <v>43466</v>
      </c>
      <c r="B105" s="14">
        <v>54.9</v>
      </c>
      <c r="C105" s="14">
        <f>Table1346811[[#This Row],[PMI]]-B104</f>
        <v>1.1000000000000014</v>
      </c>
      <c r="D105" s="14">
        <v>56.6</v>
      </c>
    </row>
    <row r="106" spans="1:4" x14ac:dyDescent="0.2">
      <c r="A106" s="15">
        <v>43497</v>
      </c>
      <c r="B106" s="14">
        <v>53</v>
      </c>
      <c r="C106" s="14">
        <f>Table1346811[[#This Row],[PMI]]-B105</f>
        <v>-1.8999999999999986</v>
      </c>
      <c r="D106" s="14">
        <v>54.3</v>
      </c>
    </row>
    <row r="107" spans="1:4" x14ac:dyDescent="0.2">
      <c r="A107" s="15">
        <v>43525</v>
      </c>
      <c r="B107" s="14">
        <v>52.4</v>
      </c>
      <c r="C107" s="30">
        <f>Table1346811[[#This Row],[PMI]]-B106</f>
        <v>-0.60000000000000142</v>
      </c>
      <c r="D107" s="14">
        <v>54.3</v>
      </c>
    </row>
    <row r="108" spans="1:4" x14ac:dyDescent="0.2">
      <c r="A108" s="15">
        <v>43556</v>
      </c>
      <c r="B108" s="14">
        <v>52.6</v>
      </c>
      <c r="C108" s="30">
        <f>Table1346811[[#This Row],[PMI]]-B107</f>
        <v>0.20000000000000284</v>
      </c>
      <c r="D108" s="14">
        <v>52.8</v>
      </c>
    </row>
    <row r="109" spans="1:4" x14ac:dyDescent="0.2">
      <c r="A109" s="15">
        <v>43586</v>
      </c>
      <c r="B109" s="14">
        <v>50.5</v>
      </c>
      <c r="C109" s="30">
        <f>Table1346811[[#This Row],[PMI]]-B108</f>
        <v>-2.1000000000000014</v>
      </c>
      <c r="D109" s="14">
        <v>52.1</v>
      </c>
    </row>
    <row r="110" spans="1:4" x14ac:dyDescent="0.2">
      <c r="A110" s="15">
        <v>43617</v>
      </c>
      <c r="B110" s="14">
        <v>50.6</v>
      </c>
      <c r="C110" s="30">
        <f>Table1346811[[#This Row],[PMI]]-B109</f>
        <v>0.10000000000000142</v>
      </c>
      <c r="D110" s="14">
        <v>51.7</v>
      </c>
    </row>
    <row r="111" spans="1:4" x14ac:dyDescent="0.2">
      <c r="A111" s="15">
        <v>43647</v>
      </c>
      <c r="B111" s="14">
        <v>50</v>
      </c>
      <c r="C111" s="30">
        <f>Table1346811[[#This Row],[PMI]]-B110</f>
        <v>-0.60000000000000142</v>
      </c>
      <c r="D111" s="14">
        <v>51.2</v>
      </c>
    </row>
    <row r="112" spans="1:4" x14ac:dyDescent="0.2">
      <c r="A112" s="15">
        <v>43678</v>
      </c>
      <c r="B112" s="14">
        <v>50.3</v>
      </c>
      <c r="C112" s="30">
        <f>Table1346811[[#This Row],[PMI]]-B111</f>
        <v>0.29999999999999716</v>
      </c>
      <c r="D112" s="14">
        <v>49.1</v>
      </c>
    </row>
    <row r="113" spans="1:4" x14ac:dyDescent="0.2">
      <c r="A113" s="15">
        <v>43709</v>
      </c>
      <c r="B113" s="14">
        <v>51.1</v>
      </c>
      <c r="C113" s="30">
        <f>Table1346811[[#This Row],[PMI]]-B112</f>
        <v>0.80000000000000426</v>
      </c>
      <c r="D113" s="14">
        <v>47.8</v>
      </c>
    </row>
    <row r="114" spans="1:4" x14ac:dyDescent="0.2">
      <c r="A114" s="15">
        <v>43739</v>
      </c>
      <c r="B114" s="14">
        <v>51.3</v>
      </c>
      <c r="C114" s="30">
        <f>Table1346811[[#This Row],[PMI]]-B113</f>
        <v>0.19999999999999574</v>
      </c>
      <c r="D114" s="14">
        <v>48.3</v>
      </c>
    </row>
    <row r="115" spans="1:4" x14ac:dyDescent="0.2">
      <c r="A115" s="15">
        <v>43770</v>
      </c>
      <c r="B115" s="14">
        <v>52.6</v>
      </c>
      <c r="C115" s="30">
        <f>Table1346811[[#This Row],[PMI]]-B114</f>
        <v>1.3000000000000043</v>
      </c>
      <c r="D115" s="14">
        <v>48.1</v>
      </c>
    </row>
    <row r="116" spans="1:4" x14ac:dyDescent="0.2">
      <c r="A116" s="15">
        <v>43800</v>
      </c>
      <c r="B116" s="14">
        <v>52.4</v>
      </c>
      <c r="C116" s="30">
        <f>Table1346811[[#This Row],[PMI]]-B115</f>
        <v>-0.20000000000000284</v>
      </c>
      <c r="D116" s="14">
        <v>47.8</v>
      </c>
    </row>
    <row r="117" spans="1:4" x14ac:dyDescent="0.2">
      <c r="A117" s="15">
        <v>43831</v>
      </c>
      <c r="B117" s="14">
        <v>51.9</v>
      </c>
      <c r="C117" s="30">
        <f>Table1346811[[#This Row],[PMI]]-B116</f>
        <v>-0.5</v>
      </c>
      <c r="D117" s="14">
        <v>50.9</v>
      </c>
    </row>
    <row r="118" spans="1:4" x14ac:dyDescent="0.2">
      <c r="A118" s="15">
        <v>43862</v>
      </c>
      <c r="B118" s="14">
        <v>50.7</v>
      </c>
      <c r="C118" s="30">
        <f>Table1346811[[#This Row],[PMI]]-B117</f>
        <v>-1.1999999999999957</v>
      </c>
      <c r="D118" s="14">
        <v>50.1</v>
      </c>
    </row>
    <row r="119" spans="1:4" x14ac:dyDescent="0.2">
      <c r="A119" s="15">
        <v>43891</v>
      </c>
      <c r="B119" s="14">
        <v>48.5</v>
      </c>
      <c r="C119" s="30">
        <f>Table1346811[[#This Row],[PMI]]-B118</f>
        <v>-2.2000000000000028</v>
      </c>
      <c r="D119" s="14">
        <v>49.1</v>
      </c>
    </row>
    <row r="120" spans="1:4" x14ac:dyDescent="0.2">
      <c r="A120" s="15">
        <v>43922</v>
      </c>
      <c r="B120" s="14">
        <v>36.1</v>
      </c>
      <c r="C120" s="30">
        <f>Table1346811[[#This Row],[PMI]]-B119</f>
        <v>-12.399999999999999</v>
      </c>
      <c r="D120" s="14">
        <v>41.5</v>
      </c>
    </row>
    <row r="121" spans="1:4" x14ac:dyDescent="0.2">
      <c r="A121" s="15">
        <v>43952</v>
      </c>
      <c r="B121" s="14">
        <v>39.799999999999997</v>
      </c>
      <c r="C121" s="30">
        <f>Table1346811[[#This Row],[PMI]]-B120</f>
        <v>3.6999999999999957</v>
      </c>
      <c r="D121" s="14">
        <v>43.1</v>
      </c>
    </row>
    <row r="122" spans="1:4" x14ac:dyDescent="0.2">
      <c r="A122" s="15">
        <v>43983</v>
      </c>
      <c r="B122" s="14">
        <v>49.8</v>
      </c>
      <c r="C122" s="30">
        <f>Table1346811[[#This Row],[PMI]]-B121</f>
        <v>10</v>
      </c>
      <c r="D122" s="14">
        <v>52.6</v>
      </c>
    </row>
    <row r="123" spans="1:4" x14ac:dyDescent="0.2">
      <c r="A123" s="15">
        <v>44013</v>
      </c>
      <c r="B123" s="14">
        <v>50.9</v>
      </c>
      <c r="C123" s="30">
        <f>Table1346811[[#This Row],[PMI]]-B122</f>
        <v>1.1000000000000014</v>
      </c>
      <c r="D123" s="14">
        <v>54.2</v>
      </c>
    </row>
    <row r="124" spans="1:4" x14ac:dyDescent="0.2">
      <c r="A124" s="15">
        <v>44044</v>
      </c>
      <c r="B124" s="14">
        <v>53.1</v>
      </c>
      <c r="C124" s="30">
        <f>Table1346811[[#This Row],[PMI]]-B123</f>
        <v>2.2000000000000028</v>
      </c>
      <c r="D124" s="14">
        <v>56</v>
      </c>
    </row>
    <row r="125" spans="1:4" x14ac:dyDescent="0.2">
      <c r="A125" s="15">
        <v>44075</v>
      </c>
      <c r="B125" s="14">
        <v>53.2</v>
      </c>
      <c r="C125" s="30">
        <f>Table1346811[[#This Row],[PMI]]-B124</f>
        <v>0.10000000000000142</v>
      </c>
      <c r="D125" s="14">
        <v>57.8</v>
      </c>
    </row>
    <row r="126" spans="1:4" x14ac:dyDescent="0.2">
      <c r="A126" s="15">
        <v>44105</v>
      </c>
      <c r="B126" s="14">
        <v>53.4</v>
      </c>
      <c r="C126" s="30">
        <f>Table1346811[[#This Row],[PMI]]-B125</f>
        <v>0.19999999999999574</v>
      </c>
      <c r="D126" s="14">
        <v>59.3</v>
      </c>
    </row>
    <row r="127" spans="1:4" x14ac:dyDescent="0.2">
      <c r="A127" s="15">
        <v>44136</v>
      </c>
      <c r="B127" s="14">
        <v>56.7</v>
      </c>
      <c r="C127" s="30">
        <f>Table1346811[[#This Row],[PMI]]-B126</f>
        <v>3.3000000000000043</v>
      </c>
      <c r="D127" s="14">
        <v>57.5</v>
      </c>
    </row>
    <row r="128" spans="1:4" x14ac:dyDescent="0.2">
      <c r="A128" s="15">
        <v>44166</v>
      </c>
      <c r="B128" s="14">
        <v>57.1</v>
      </c>
      <c r="C128" s="30">
        <f>Table1346811[[#This Row],[PMI]]-B127</f>
        <v>0.39999999999999858</v>
      </c>
      <c r="D128" s="14">
        <v>60.5</v>
      </c>
    </row>
    <row r="129" spans="1:4" x14ac:dyDescent="0.2">
      <c r="A129" s="15">
        <v>44197</v>
      </c>
      <c r="B129" s="14">
        <v>59.2</v>
      </c>
      <c r="C129" s="30">
        <f>Table1346811[[#This Row],[PMI]]-B128</f>
        <v>2.1000000000000014</v>
      </c>
      <c r="D129" s="14">
        <v>58.7</v>
      </c>
    </row>
    <row r="130" spans="1:4" x14ac:dyDescent="0.2">
      <c r="A130" s="15">
        <v>44228</v>
      </c>
      <c r="B130" s="14">
        <v>58.6</v>
      </c>
      <c r="C130" s="30">
        <f>Table1346811[[#This Row],[PMI]]-B129</f>
        <v>-0.60000000000000142</v>
      </c>
      <c r="D130" s="14">
        <v>60.8</v>
      </c>
    </row>
    <row r="131" spans="1:4" x14ac:dyDescent="0.2">
      <c r="A131" s="15">
        <v>44256</v>
      </c>
      <c r="B131" s="14">
        <v>59.1</v>
      </c>
      <c r="C131" s="30">
        <f>Table1346811[[#This Row],[PMI]]-B130</f>
        <v>0.5</v>
      </c>
      <c r="D131" s="14">
        <v>64.7</v>
      </c>
    </row>
    <row r="132" spans="1:4" x14ac:dyDescent="0.2">
      <c r="A132" s="15">
        <v>44287</v>
      </c>
      <c r="B132" s="14">
        <v>60.5</v>
      </c>
      <c r="C132" s="30">
        <f>Table1346811[[#This Row],[PMI]]-B131</f>
        <v>1.3999999999999986</v>
      </c>
      <c r="D132" s="14">
        <v>60.7</v>
      </c>
    </row>
    <row r="133" spans="1:4" x14ac:dyDescent="0.2">
      <c r="A133" s="15">
        <v>44317</v>
      </c>
      <c r="B133" s="14">
        <v>62.6</v>
      </c>
      <c r="C133" s="30">
        <f>Table1346811[[#This Row],[PMI]]-B132</f>
        <v>2.1000000000000014</v>
      </c>
      <c r="D133" s="14">
        <v>61.2</v>
      </c>
    </row>
    <row r="134" spans="1:4" x14ac:dyDescent="0.2">
      <c r="A134" s="15">
        <v>44348</v>
      </c>
      <c r="B134" s="14">
        <v>62.1</v>
      </c>
      <c r="C134" s="30">
        <f>Table1346811[[#This Row],[PMI]]-B133</f>
        <v>-0.5</v>
      </c>
      <c r="D134" s="14">
        <v>60.6</v>
      </c>
    </row>
    <row r="135" spans="1:4" x14ac:dyDescent="0.2">
      <c r="A135" s="15">
        <v>44378</v>
      </c>
      <c r="B135" s="14">
        <v>63.4</v>
      </c>
      <c r="C135" s="30">
        <f>Table1346811[[#This Row],[PMI]]-B134</f>
        <v>1.2999999999999972</v>
      </c>
      <c r="D135" s="14">
        <v>59.5</v>
      </c>
    </row>
    <row r="136" spans="1:4" x14ac:dyDescent="0.2">
      <c r="A136" s="15">
        <v>44409</v>
      </c>
      <c r="B136" s="14">
        <v>61.1</v>
      </c>
      <c r="C136" s="30">
        <f>Table1346811[[#This Row],[PMI]]-B135</f>
        <v>-2.2999999999999972</v>
      </c>
      <c r="D136" s="14">
        <v>59.9</v>
      </c>
    </row>
    <row r="137" spans="1:4" x14ac:dyDescent="0.2">
      <c r="A137" s="15">
        <v>44440</v>
      </c>
      <c r="B137" s="14">
        <v>60.7</v>
      </c>
      <c r="C137" s="30">
        <f>Table1346811[[#This Row],[PMI]]-B136</f>
        <v>-0.39999999999999858</v>
      </c>
      <c r="D137" s="14">
        <v>60.3</v>
      </c>
    </row>
    <row r="138" spans="1:4" x14ac:dyDescent="0.2">
      <c r="A138" s="15">
        <v>44470</v>
      </c>
      <c r="B138" s="14">
        <v>58.4</v>
      </c>
      <c r="C138" s="30">
        <f>Table1346811[[#This Row],[PMI]]-B137</f>
        <v>-2.3000000000000043</v>
      </c>
      <c r="D138" s="14">
        <v>60.7</v>
      </c>
    </row>
    <row r="139" spans="1:4" x14ac:dyDescent="0.2">
      <c r="A139" s="15">
        <v>44501</v>
      </c>
      <c r="B139" s="14">
        <v>58.3</v>
      </c>
      <c r="C139" s="30">
        <f>Table1346811[[#This Row],[PMI]]-B138</f>
        <v>-0.10000000000000142</v>
      </c>
      <c r="D139" s="14">
        <v>61.1</v>
      </c>
    </row>
    <row r="140" spans="1:4" x14ac:dyDescent="0.2">
      <c r="A140" s="15">
        <v>44531</v>
      </c>
      <c r="B140" s="14">
        <v>57.7</v>
      </c>
      <c r="C140" s="30">
        <f>Table1346811[[#This Row],[PMI]]-B139</f>
        <v>-0.59999999999999432</v>
      </c>
      <c r="D140" s="14">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57A51-060E-4AE1-9381-61D7A81E21B5}">
  <dimension ref="A1:K209"/>
  <sheetViews>
    <sheetView zoomScale="150" zoomScaleNormal="150" workbookViewId="0">
      <pane ySplit="5" topLeftCell="A169" activePane="bottomLeft" state="frozen"/>
      <selection pane="bottomLeft" activeCell="B182" sqref="B182"/>
    </sheetView>
  </sheetViews>
  <sheetFormatPr baseColWidth="10" defaultColWidth="9.1640625" defaultRowHeight="15" x14ac:dyDescent="0.2"/>
  <cols>
    <col min="1" max="1" width="13.5" style="10" customWidth="1"/>
    <col min="2" max="2" width="11.33203125" style="10" customWidth="1"/>
    <col min="3" max="3" width="9.1640625" style="10"/>
    <col min="4" max="4" width="18.33203125" style="10" customWidth="1"/>
    <col min="5" max="16384" width="9.1640625" style="10"/>
  </cols>
  <sheetData>
    <row r="1" spans="1:11" x14ac:dyDescent="0.2">
      <c r="A1" s="10" t="s">
        <v>37</v>
      </c>
      <c r="K1" s="10" t="s">
        <v>21</v>
      </c>
    </row>
    <row r="2" spans="1:11" x14ac:dyDescent="0.2">
      <c r="K2" s="10" t="str">
        <f>A1&amp;K1</f>
        <v>Caixin China Manufacturing PMI</v>
      </c>
    </row>
    <row r="3" spans="1:11" x14ac:dyDescent="0.2">
      <c r="A3" s="2" t="s">
        <v>40</v>
      </c>
    </row>
    <row r="4" spans="1:11" ht="16" thickBot="1" x14ac:dyDescent="0.25"/>
    <row r="5" spans="1:11" ht="16" thickBot="1" x14ac:dyDescent="0.25">
      <c r="A5" s="27" t="s">
        <v>10</v>
      </c>
      <c r="B5" s="28" t="s">
        <v>41</v>
      </c>
      <c r="C5" s="28" t="s">
        <v>14</v>
      </c>
      <c r="D5" s="32" t="s">
        <v>38</v>
      </c>
      <c r="E5" s="32" t="s">
        <v>39</v>
      </c>
      <c r="F5" s="32" t="s">
        <v>91</v>
      </c>
    </row>
    <row r="6" spans="1:11" x14ac:dyDescent="0.2">
      <c r="A6" s="23">
        <v>38353</v>
      </c>
      <c r="B6" s="24">
        <v>52.1</v>
      </c>
      <c r="C6" s="24"/>
      <c r="D6" s="14">
        <v>55.7</v>
      </c>
      <c r="E6" s="14"/>
      <c r="F6" s="61"/>
    </row>
    <row r="7" spans="1:11" x14ac:dyDescent="0.2">
      <c r="A7" s="15">
        <v>38384</v>
      </c>
      <c r="B7" s="14">
        <v>52.9</v>
      </c>
      <c r="C7" s="14">
        <f>Table1346811121415161718192021[[#This Row],[Caixin PMI]]-B6</f>
        <v>0.79999999999999716</v>
      </c>
      <c r="D7" s="14">
        <v>54.4</v>
      </c>
      <c r="E7" s="14">
        <f>Table1346811121415161718192021[[#This Row],[Official PMI]]-D6</f>
        <v>-1.3000000000000043</v>
      </c>
      <c r="F7" s="61"/>
    </row>
    <row r="8" spans="1:11" x14ac:dyDescent="0.2">
      <c r="A8" s="15">
        <v>38412</v>
      </c>
      <c r="B8" s="14">
        <v>55.2</v>
      </c>
      <c r="C8" s="14">
        <f>Table1346811121415161718192021[[#This Row],[Caixin PMI]]-B7</f>
        <v>2.3000000000000043</v>
      </c>
      <c r="D8" s="14">
        <v>63.4</v>
      </c>
      <c r="E8" s="14">
        <f>Table1346811121415161718192021[[#This Row],[Official PMI]]-D7</f>
        <v>9</v>
      </c>
      <c r="F8" s="61">
        <v>0.105</v>
      </c>
    </row>
    <row r="9" spans="1:11" x14ac:dyDescent="0.2">
      <c r="A9" s="15">
        <v>38443</v>
      </c>
      <c r="B9" s="14">
        <v>54.4</v>
      </c>
      <c r="C9" s="14">
        <f>Table1346811121415161718192021[[#This Row],[Caixin PMI]]-B8</f>
        <v>-0.80000000000000426</v>
      </c>
      <c r="D9" s="14">
        <v>56.9</v>
      </c>
      <c r="E9" s="14">
        <f>Table1346811121415161718192021[[#This Row],[Official PMI]]-D8</f>
        <v>-6.5</v>
      </c>
      <c r="F9" s="61"/>
    </row>
    <row r="10" spans="1:11" x14ac:dyDescent="0.2">
      <c r="A10" s="15">
        <v>38473</v>
      </c>
      <c r="B10" s="14">
        <v>53.3</v>
      </c>
      <c r="C10" s="14">
        <f>Table1346811121415161718192021[[#This Row],[Caixin PMI]]-B9</f>
        <v>-1.1000000000000014</v>
      </c>
      <c r="D10" s="14">
        <v>52.1</v>
      </c>
      <c r="E10" s="14">
        <f>Table1346811121415161718192021[[#This Row],[Official PMI]]-D9</f>
        <v>-4.7999999999999972</v>
      </c>
      <c r="F10" s="61"/>
    </row>
    <row r="11" spans="1:11" x14ac:dyDescent="0.2">
      <c r="A11" s="15">
        <v>38504</v>
      </c>
      <c r="B11" s="14">
        <v>51</v>
      </c>
      <c r="C11" s="14">
        <f>Table1346811121415161718192021[[#This Row],[Caixin PMI]]-B10</f>
        <v>-2.2999999999999972</v>
      </c>
      <c r="D11" s="14">
        <v>52.1</v>
      </c>
      <c r="E11" s="14">
        <f>Table1346811121415161718192021[[#This Row],[Official PMI]]-D10</f>
        <v>0</v>
      </c>
      <c r="F11" s="61">
        <v>0.10100000000000001</v>
      </c>
    </row>
    <row r="12" spans="1:11" x14ac:dyDescent="0.2">
      <c r="A12" s="15">
        <v>38534</v>
      </c>
      <c r="B12" s="14">
        <v>51.5</v>
      </c>
      <c r="C12" s="14">
        <f>Table1346811121415161718192021[[#This Row],[Caixin PMI]]-B11</f>
        <v>0.5</v>
      </c>
      <c r="D12" s="14">
        <v>51.2</v>
      </c>
      <c r="E12" s="14">
        <f>Table1346811121415161718192021[[#This Row],[Official PMI]]-D11</f>
        <v>-0.89999999999999858</v>
      </c>
      <c r="F12" s="61"/>
    </row>
    <row r="13" spans="1:11" x14ac:dyDescent="0.2">
      <c r="A13" s="15">
        <v>38565</v>
      </c>
      <c r="B13" s="14">
        <v>50.6</v>
      </c>
      <c r="C13" s="14">
        <f>Table1346811121415161718192021[[#This Row],[Caixin PMI]]-B12</f>
        <v>-0.89999999999999858</v>
      </c>
      <c r="D13" s="14">
        <v>54.1</v>
      </c>
      <c r="E13" s="14">
        <f>Table1346811121415161718192021[[#This Row],[Official PMI]]-D12</f>
        <v>2.8999999999999986</v>
      </c>
      <c r="F13" s="61"/>
    </row>
    <row r="14" spans="1:11" x14ac:dyDescent="0.2">
      <c r="A14" s="15">
        <v>38596</v>
      </c>
      <c r="B14" s="14">
        <v>50.9</v>
      </c>
      <c r="C14" s="14">
        <f>Table1346811121415161718192021[[#This Row],[Caixin PMI]]-B13</f>
        <v>0.29999999999999716</v>
      </c>
      <c r="D14" s="14">
        <v>56.9</v>
      </c>
      <c r="E14" s="14">
        <f>Table1346811121415161718192021[[#This Row],[Official PMI]]-D13</f>
        <v>2.7999999999999972</v>
      </c>
      <c r="F14" s="61">
        <v>9.98E-2</v>
      </c>
    </row>
    <row r="15" spans="1:11" x14ac:dyDescent="0.2">
      <c r="A15" s="15">
        <v>38626</v>
      </c>
      <c r="B15" s="14">
        <v>50.1</v>
      </c>
      <c r="C15" s="14">
        <f>Table1346811121415161718192021[[#This Row],[Caixin PMI]]-B14</f>
        <v>-0.79999999999999716</v>
      </c>
      <c r="D15" s="14">
        <v>54.1</v>
      </c>
      <c r="E15" s="14">
        <f>Table1346811121415161718192021[[#This Row],[Official PMI]]-D14</f>
        <v>-2.7999999999999972</v>
      </c>
      <c r="F15" s="61"/>
    </row>
    <row r="16" spans="1:11" x14ac:dyDescent="0.2">
      <c r="A16" s="15">
        <v>38657</v>
      </c>
      <c r="B16" s="14">
        <v>49.8</v>
      </c>
      <c r="C16" s="14">
        <f>Table1346811121415161718192021[[#This Row],[Caixin PMI]]-B15</f>
        <v>-0.30000000000000426</v>
      </c>
      <c r="D16" s="14">
        <v>54.1</v>
      </c>
      <c r="E16" s="14">
        <f>Table1346811121415161718192021[[#This Row],[Official PMI]]-D15</f>
        <v>0</v>
      </c>
      <c r="F16" s="61"/>
    </row>
    <row r="17" spans="1:6" x14ac:dyDescent="0.2">
      <c r="A17" s="15">
        <v>38687</v>
      </c>
      <c r="B17" s="14">
        <v>50.1</v>
      </c>
      <c r="C17" s="14">
        <f>Table1346811121415161718192021[[#This Row],[Caixin PMI]]-B16</f>
        <v>0.30000000000000426</v>
      </c>
      <c r="D17" s="14">
        <v>54.3</v>
      </c>
      <c r="E17" s="14">
        <f>Table1346811121415161718192021[[#This Row],[Official PMI]]-D16</f>
        <v>0.19999999999999574</v>
      </c>
      <c r="F17" s="61">
        <v>9.9000000000000005E-2</v>
      </c>
    </row>
    <row r="18" spans="1:6" x14ac:dyDescent="0.2">
      <c r="A18" s="15">
        <v>38718</v>
      </c>
      <c r="B18" s="14">
        <v>50.2</v>
      </c>
      <c r="C18" s="14">
        <f>Table1346811121415161718192021[[#This Row],[Caixin PMI]]-B17</f>
        <v>0.10000000000000142</v>
      </c>
      <c r="D18" s="14">
        <v>52.1</v>
      </c>
      <c r="E18" s="14">
        <f>Table1346811121415161718192021[[#This Row],[Official PMI]]-D17</f>
        <v>-2.1999999999999957</v>
      </c>
      <c r="F18" s="61"/>
    </row>
    <row r="19" spans="1:6" x14ac:dyDescent="0.2">
      <c r="A19" s="15">
        <v>38749</v>
      </c>
      <c r="B19" s="14">
        <v>50.7</v>
      </c>
      <c r="C19" s="14">
        <f>Table1346811121415161718192021[[#This Row],[Caixin PMI]]-B18</f>
        <v>0.5</v>
      </c>
      <c r="D19" s="14">
        <v>52.1</v>
      </c>
      <c r="E19" s="14">
        <f>Table1346811121415161718192021[[#This Row],[Official PMI]]-D18</f>
        <v>0</v>
      </c>
      <c r="F19" s="61"/>
    </row>
    <row r="20" spans="1:6" x14ac:dyDescent="0.2">
      <c r="A20" s="15">
        <v>38777</v>
      </c>
      <c r="B20" s="14">
        <v>51</v>
      </c>
      <c r="C20" s="14">
        <f>Table1346811121415161718192021[[#This Row],[Caixin PMI]]-B19</f>
        <v>0.29999999999999716</v>
      </c>
      <c r="D20" s="14">
        <v>55.3</v>
      </c>
      <c r="E20" s="14">
        <f>Table1346811121415161718192021[[#This Row],[Official PMI]]-D19</f>
        <v>3.1999999999999957</v>
      </c>
      <c r="F20" s="61">
        <v>0.114</v>
      </c>
    </row>
    <row r="21" spans="1:6" x14ac:dyDescent="0.2">
      <c r="A21" s="15">
        <v>38808</v>
      </c>
      <c r="B21" s="14">
        <v>52.7</v>
      </c>
      <c r="C21" s="14">
        <f>Table1346811121415161718192021[[#This Row],[Caixin PMI]]-B20</f>
        <v>1.7000000000000028</v>
      </c>
      <c r="D21" s="14">
        <v>58.1</v>
      </c>
      <c r="E21" s="14">
        <f>Table1346811121415161718192021[[#This Row],[Official PMI]]-D20</f>
        <v>2.8000000000000043</v>
      </c>
      <c r="F21" s="61"/>
    </row>
    <row r="22" spans="1:6" x14ac:dyDescent="0.2">
      <c r="A22" s="15">
        <v>38838</v>
      </c>
      <c r="B22" s="14">
        <v>52.8</v>
      </c>
      <c r="C22" s="14">
        <f>Table1346811121415161718192021[[#This Row],[Caixin PMI]]-B21</f>
        <v>9.9999999999994316E-2</v>
      </c>
      <c r="D22" s="14">
        <v>54.8</v>
      </c>
      <c r="E22" s="14">
        <f>Table1346811121415161718192021[[#This Row],[Official PMI]]-D21</f>
        <v>-3.3000000000000043</v>
      </c>
      <c r="F22" s="61"/>
    </row>
    <row r="23" spans="1:6" x14ac:dyDescent="0.2">
      <c r="A23" s="15">
        <v>38869</v>
      </c>
      <c r="B23" s="14">
        <v>52.9</v>
      </c>
      <c r="C23" s="14">
        <f>Table1346811121415161718192021[[#This Row],[Caixin PMI]]-B22</f>
        <v>0.10000000000000142</v>
      </c>
      <c r="D23" s="14">
        <v>54.1</v>
      </c>
      <c r="E23" s="14">
        <f>Table1346811121415161718192021[[#This Row],[Official PMI]]-D22</f>
        <v>-0.69999999999999574</v>
      </c>
      <c r="F23" s="61">
        <v>0.115</v>
      </c>
    </row>
    <row r="24" spans="1:6" x14ac:dyDescent="0.2">
      <c r="A24" s="15">
        <v>38899</v>
      </c>
      <c r="B24" s="14">
        <v>53</v>
      </c>
      <c r="C24" s="14">
        <f>Table1346811121415161718192021[[#This Row],[Caixin PMI]]-B23</f>
        <v>0.10000000000000142</v>
      </c>
      <c r="D24" s="14">
        <v>52.4</v>
      </c>
      <c r="E24" s="14">
        <f>Table1346811121415161718192021[[#This Row],[Official PMI]]-D23</f>
        <v>-1.7000000000000028</v>
      </c>
      <c r="F24" s="61"/>
    </row>
    <row r="25" spans="1:6" x14ac:dyDescent="0.2">
      <c r="A25" s="15">
        <v>38930</v>
      </c>
      <c r="B25" s="14">
        <v>52.6</v>
      </c>
      <c r="C25" s="14">
        <f>Table1346811121415161718192021[[#This Row],[Caixin PMI]]-B24</f>
        <v>-0.39999999999999858</v>
      </c>
      <c r="D25" s="14">
        <v>53.1</v>
      </c>
      <c r="E25" s="14">
        <f>Table1346811121415161718192021[[#This Row],[Official PMI]]-D24</f>
        <v>0.70000000000000284</v>
      </c>
      <c r="F25" s="61"/>
    </row>
    <row r="26" spans="1:6" x14ac:dyDescent="0.2">
      <c r="A26" s="15">
        <v>38961</v>
      </c>
      <c r="B26" s="14">
        <v>52.4</v>
      </c>
      <c r="C26" s="14">
        <f>Table1346811121415161718192021[[#This Row],[Caixin PMI]]-B25</f>
        <v>-0.20000000000000284</v>
      </c>
      <c r="D26" s="14">
        <v>57</v>
      </c>
      <c r="E26" s="14">
        <f>Table1346811121415161718192021[[#This Row],[Official PMI]]-D25</f>
        <v>3.8999999999999986</v>
      </c>
      <c r="F26" s="61">
        <v>0.106</v>
      </c>
    </row>
    <row r="27" spans="1:6" x14ac:dyDescent="0.2">
      <c r="A27" s="15">
        <v>38991</v>
      </c>
      <c r="B27" s="14">
        <v>52.1</v>
      </c>
      <c r="C27" s="14">
        <f>Table1346811121415161718192021[[#This Row],[Caixin PMI]]-B26</f>
        <v>-0.29999999999999716</v>
      </c>
      <c r="D27" s="14">
        <v>54.7</v>
      </c>
      <c r="E27" s="14">
        <f>Table1346811121415161718192021[[#This Row],[Official PMI]]-D26</f>
        <v>-2.2999999999999972</v>
      </c>
      <c r="F27" s="61"/>
    </row>
    <row r="28" spans="1:6" x14ac:dyDescent="0.2">
      <c r="A28" s="15">
        <v>39022</v>
      </c>
      <c r="B28" s="14">
        <v>53</v>
      </c>
      <c r="C28" s="14">
        <f>Table1346811121415161718192021[[#This Row],[Caixin PMI]]-B27</f>
        <v>0.89999999999999858</v>
      </c>
      <c r="D28" s="14">
        <v>55.3</v>
      </c>
      <c r="E28" s="14">
        <f>Table1346811121415161718192021[[#This Row],[Official PMI]]-D27</f>
        <v>0.59999999999999432</v>
      </c>
      <c r="F28" s="61"/>
    </row>
    <row r="29" spans="1:6" x14ac:dyDescent="0.2">
      <c r="A29" s="15">
        <v>39052</v>
      </c>
      <c r="B29" s="14">
        <v>52.4</v>
      </c>
      <c r="C29" s="14">
        <f>Table1346811121415161718192021[[#This Row],[Caixin PMI]]-B28</f>
        <v>-0.60000000000000142</v>
      </c>
      <c r="D29" s="14">
        <v>54.8</v>
      </c>
      <c r="E29" s="14">
        <f>Table1346811121415161718192021[[#This Row],[Official PMI]]-D28</f>
        <v>-0.5</v>
      </c>
      <c r="F29" s="61">
        <v>0.10400000000000001</v>
      </c>
    </row>
    <row r="30" spans="1:6" x14ac:dyDescent="0.2">
      <c r="A30" s="15">
        <v>39083</v>
      </c>
      <c r="B30" s="14">
        <v>52</v>
      </c>
      <c r="C30" s="14">
        <f>Table1346811121415161718192021[[#This Row],[Caixin PMI]]-B29</f>
        <v>-0.39999999999999858</v>
      </c>
      <c r="D30" s="14">
        <v>55.1</v>
      </c>
      <c r="E30" s="14">
        <f>Table1346811121415161718192021[[#This Row],[Official PMI]]-D29</f>
        <v>0.30000000000000426</v>
      </c>
      <c r="F30" s="61"/>
    </row>
    <row r="31" spans="1:6" x14ac:dyDescent="0.2">
      <c r="A31" s="15">
        <v>39114</v>
      </c>
      <c r="B31" s="14">
        <v>53</v>
      </c>
      <c r="C31" s="14">
        <f>Table1346811121415161718192021[[#This Row],[Caixin PMI]]-B30</f>
        <v>1</v>
      </c>
      <c r="D31" s="14">
        <v>53.1</v>
      </c>
      <c r="E31" s="14">
        <f>Table1346811121415161718192021[[#This Row],[Official PMI]]-D30</f>
        <v>-2</v>
      </c>
      <c r="F31" s="61"/>
    </row>
    <row r="32" spans="1:6" x14ac:dyDescent="0.2">
      <c r="A32" s="15">
        <v>39142</v>
      </c>
      <c r="B32" s="14">
        <v>52.3</v>
      </c>
      <c r="C32" s="14">
        <f>Table1346811121415161718192021[[#This Row],[Caixin PMI]]-B31</f>
        <v>-0.70000000000000284</v>
      </c>
      <c r="D32" s="14">
        <v>56.1</v>
      </c>
      <c r="E32" s="14">
        <f>Table1346811121415161718192021[[#This Row],[Official PMI]]-D31</f>
        <v>3</v>
      </c>
      <c r="F32" s="61">
        <v>0.13</v>
      </c>
    </row>
    <row r="33" spans="1:6" x14ac:dyDescent="0.2">
      <c r="A33" s="15">
        <v>39173</v>
      </c>
      <c r="B33" s="14">
        <v>53.3</v>
      </c>
      <c r="C33" s="14">
        <f>Table1346811121415161718192021[[#This Row],[Caixin PMI]]-B32</f>
        <v>1</v>
      </c>
      <c r="D33" s="14">
        <v>58.6</v>
      </c>
      <c r="E33" s="14">
        <f>Table1346811121415161718192021[[#This Row],[Official PMI]]-D32</f>
        <v>2.5</v>
      </c>
      <c r="F33" s="61"/>
    </row>
    <row r="34" spans="1:6" x14ac:dyDescent="0.2">
      <c r="A34" s="15">
        <v>39203</v>
      </c>
      <c r="B34" s="14">
        <v>54.1</v>
      </c>
      <c r="C34" s="14">
        <f>Table1346811121415161718192021[[#This Row],[Caixin PMI]]-B33</f>
        <v>0.80000000000000426</v>
      </c>
      <c r="D34" s="14">
        <v>55.7</v>
      </c>
      <c r="E34" s="14">
        <f>Table1346811121415161718192021[[#This Row],[Official PMI]]-D33</f>
        <v>-2.8999999999999986</v>
      </c>
      <c r="F34" s="61"/>
    </row>
    <row r="35" spans="1:6" x14ac:dyDescent="0.2">
      <c r="A35" s="15">
        <v>39234</v>
      </c>
      <c r="B35" s="14">
        <v>55</v>
      </c>
      <c r="C35" s="14">
        <f>Table1346811121415161718192021[[#This Row],[Caixin PMI]]-B34</f>
        <v>0.89999999999999858</v>
      </c>
      <c r="D35" s="14">
        <v>54.5</v>
      </c>
      <c r="E35" s="14">
        <f>Table1346811121415161718192021[[#This Row],[Official PMI]]-D34</f>
        <v>-1.2000000000000028</v>
      </c>
      <c r="F35" s="61">
        <v>0.126</v>
      </c>
    </row>
    <row r="36" spans="1:6" x14ac:dyDescent="0.2">
      <c r="A36" s="15">
        <v>39264</v>
      </c>
      <c r="B36" s="14">
        <v>53.2</v>
      </c>
      <c r="C36" s="14">
        <f>Table1346811121415161718192021[[#This Row],[Caixin PMI]]-B35</f>
        <v>-1.7999999999999972</v>
      </c>
      <c r="D36" s="14">
        <v>53.3</v>
      </c>
      <c r="E36" s="14">
        <f>Table1346811121415161718192021[[#This Row],[Official PMI]]-D35</f>
        <v>-1.2000000000000028</v>
      </c>
      <c r="F36" s="61"/>
    </row>
    <row r="37" spans="1:6" x14ac:dyDescent="0.2">
      <c r="A37" s="15">
        <v>39295</v>
      </c>
      <c r="B37" s="14">
        <v>53.4</v>
      </c>
      <c r="C37" s="14">
        <f>Table1346811121415161718192021[[#This Row],[Caixin PMI]]-B36</f>
        <v>0.19999999999999574</v>
      </c>
      <c r="D37" s="14">
        <v>54</v>
      </c>
      <c r="E37" s="14">
        <f>Table1346811121415161718192021[[#This Row],[Official PMI]]-D36</f>
        <v>0.70000000000000284</v>
      </c>
      <c r="F37" s="61"/>
    </row>
    <row r="38" spans="1:6" x14ac:dyDescent="0.2">
      <c r="A38" s="15">
        <v>39326</v>
      </c>
      <c r="B38" s="14">
        <v>55</v>
      </c>
      <c r="C38" s="14">
        <f>Table1346811121415161718192021[[#This Row],[Caixin PMI]]-B37</f>
        <v>1.6000000000000014</v>
      </c>
      <c r="D38" s="14">
        <v>56.1</v>
      </c>
      <c r="E38" s="14">
        <f>Table1346811121415161718192021[[#This Row],[Official PMI]]-D37</f>
        <v>2.1000000000000014</v>
      </c>
      <c r="F38" s="61">
        <v>0.115</v>
      </c>
    </row>
    <row r="39" spans="1:6" x14ac:dyDescent="0.2">
      <c r="A39" s="15">
        <v>39356</v>
      </c>
      <c r="B39" s="14">
        <v>55.2</v>
      </c>
      <c r="C39" s="14">
        <f>Table1346811121415161718192021[[#This Row],[Caixin PMI]]-B38</f>
        <v>0.20000000000000284</v>
      </c>
      <c r="D39" s="14">
        <v>53.2</v>
      </c>
      <c r="E39" s="14">
        <f>Table1346811121415161718192021[[#This Row],[Official PMI]]-D38</f>
        <v>-2.8999999999999986</v>
      </c>
      <c r="F39" s="61"/>
    </row>
    <row r="40" spans="1:6" x14ac:dyDescent="0.2">
      <c r="A40" s="15">
        <v>39387</v>
      </c>
      <c r="B40" s="14">
        <v>52.8</v>
      </c>
      <c r="C40" s="14">
        <f>Table1346811121415161718192021[[#This Row],[Caixin PMI]]-B39</f>
        <v>-2.4000000000000057</v>
      </c>
      <c r="D40" s="14">
        <v>55.4</v>
      </c>
      <c r="E40" s="14">
        <f>Table1346811121415161718192021[[#This Row],[Official PMI]]-D39</f>
        <v>2.1999999999999957</v>
      </c>
      <c r="F40" s="61"/>
    </row>
    <row r="41" spans="1:6" x14ac:dyDescent="0.2">
      <c r="A41" s="15">
        <v>39417</v>
      </c>
      <c r="B41" s="14">
        <v>53.3</v>
      </c>
      <c r="C41" s="14">
        <f>Table1346811121415161718192021[[#This Row],[Caixin PMI]]-B40</f>
        <v>0.5</v>
      </c>
      <c r="D41" s="14">
        <v>55.3</v>
      </c>
      <c r="E41" s="14">
        <f>Table1346811121415161718192021[[#This Row],[Official PMI]]-D40</f>
        <v>-0.10000000000000142</v>
      </c>
      <c r="F41" s="61">
        <v>0.11199999999999999</v>
      </c>
    </row>
    <row r="42" spans="1:6" x14ac:dyDescent="0.2">
      <c r="A42" s="15">
        <v>39448</v>
      </c>
      <c r="B42" s="14">
        <v>53.2</v>
      </c>
      <c r="C42" s="14">
        <f>Table1346811121415161718192021[[#This Row],[Caixin PMI]]-B41</f>
        <v>-9.9999999999994316E-2</v>
      </c>
      <c r="D42" s="14">
        <v>53</v>
      </c>
      <c r="E42" s="14">
        <f>Table1346811121415161718192021[[#This Row],[Official PMI]]-D41</f>
        <v>-2.2999999999999972</v>
      </c>
      <c r="F42" s="61"/>
    </row>
    <row r="43" spans="1:6" x14ac:dyDescent="0.2">
      <c r="A43" s="15">
        <v>39479</v>
      </c>
      <c r="B43" s="14">
        <v>52.8</v>
      </c>
      <c r="C43" s="14">
        <f>Table1346811121415161718192021[[#This Row],[Caixin PMI]]-B42</f>
        <v>-0.40000000000000568</v>
      </c>
      <c r="D43" s="14">
        <v>53.4</v>
      </c>
      <c r="E43" s="14">
        <f>Table1346811121415161718192021[[#This Row],[Official PMI]]-D42</f>
        <v>0.39999999999999858</v>
      </c>
      <c r="F43" s="61"/>
    </row>
    <row r="44" spans="1:6" x14ac:dyDescent="0.2">
      <c r="A44" s="15">
        <v>39508</v>
      </c>
      <c r="B44" s="14">
        <v>54.4</v>
      </c>
      <c r="C44" s="14">
        <f>Table1346811121415161718192021[[#This Row],[Caixin PMI]]-B43</f>
        <v>1.6000000000000014</v>
      </c>
      <c r="D44" s="14">
        <v>58.4</v>
      </c>
      <c r="E44" s="14">
        <f>Table1346811121415161718192021[[#This Row],[Official PMI]]-D43</f>
        <v>5</v>
      </c>
      <c r="F44" s="61">
        <v>0.106</v>
      </c>
    </row>
    <row r="45" spans="1:6" x14ac:dyDescent="0.2">
      <c r="A45" s="15">
        <v>39539</v>
      </c>
      <c r="B45" s="14">
        <v>55.4</v>
      </c>
      <c r="C45" s="14">
        <f>Table1346811121415161718192021[[#This Row],[Caixin PMI]]-B44</f>
        <v>1</v>
      </c>
      <c r="D45" s="14">
        <v>59.2</v>
      </c>
      <c r="E45" s="14">
        <f>Table1346811121415161718192021[[#This Row],[Official PMI]]-D44</f>
        <v>0.80000000000000426</v>
      </c>
      <c r="F45" s="61"/>
    </row>
    <row r="46" spans="1:6" x14ac:dyDescent="0.2">
      <c r="A46" s="15">
        <v>39569</v>
      </c>
      <c r="B46" s="14">
        <v>54.7</v>
      </c>
      <c r="C46" s="14">
        <f>Table1346811121415161718192021[[#This Row],[Caixin PMI]]-B45</f>
        <v>-0.69999999999999574</v>
      </c>
      <c r="D46" s="14">
        <v>53.3</v>
      </c>
      <c r="E46" s="14">
        <f>Table1346811121415161718192021[[#This Row],[Official PMI]]-D45</f>
        <v>-5.9000000000000057</v>
      </c>
      <c r="F46" s="61"/>
    </row>
    <row r="47" spans="1:6" x14ac:dyDescent="0.2">
      <c r="A47" s="15">
        <v>39600</v>
      </c>
      <c r="B47" s="14">
        <v>53.3</v>
      </c>
      <c r="C47" s="14">
        <f>Table1346811121415161718192021[[#This Row],[Caixin PMI]]-B46</f>
        <v>-1.4000000000000057</v>
      </c>
      <c r="D47" s="14">
        <v>52</v>
      </c>
      <c r="E47" s="14">
        <f>Table1346811121415161718192021[[#This Row],[Official PMI]]-D46</f>
        <v>-1.2999999999999972</v>
      </c>
      <c r="F47" s="61">
        <v>0.10099999999999999</v>
      </c>
    </row>
    <row r="48" spans="1:6" x14ac:dyDescent="0.2">
      <c r="A48" s="15">
        <v>39630</v>
      </c>
      <c r="B48" s="14">
        <v>53.3</v>
      </c>
      <c r="C48" s="14">
        <f>Table1346811121415161718192021[[#This Row],[Caixin PMI]]-B47</f>
        <v>0</v>
      </c>
      <c r="D48" s="14">
        <v>48.4</v>
      </c>
      <c r="E48" s="14">
        <f>Table1346811121415161718192021[[#This Row],[Official PMI]]-D47</f>
        <v>-3.6000000000000014</v>
      </c>
      <c r="F48" s="61"/>
    </row>
    <row r="49" spans="1:6" x14ac:dyDescent="0.2">
      <c r="A49" s="15">
        <v>39661</v>
      </c>
      <c r="B49" s="14">
        <v>49.2</v>
      </c>
      <c r="C49" s="14">
        <f>Table1346811121415161718192021[[#This Row],[Caixin PMI]]-B48</f>
        <v>-4.0999999999999943</v>
      </c>
      <c r="D49" s="14">
        <v>48.4</v>
      </c>
      <c r="E49" s="14">
        <f>Table1346811121415161718192021[[#This Row],[Official PMI]]-D48</f>
        <v>0</v>
      </c>
      <c r="F49" s="61"/>
    </row>
    <row r="50" spans="1:6" x14ac:dyDescent="0.2">
      <c r="A50" s="15">
        <v>39692</v>
      </c>
      <c r="B50" s="14">
        <v>47.7</v>
      </c>
      <c r="C50" s="14">
        <f>Table1346811121415161718192021[[#This Row],[Caixin PMI]]-B49</f>
        <v>-1.5</v>
      </c>
      <c r="D50" s="14">
        <v>51.2</v>
      </c>
      <c r="E50" s="14">
        <f>Table1346811121415161718192021[[#This Row],[Official PMI]]-D49</f>
        <v>2.8000000000000043</v>
      </c>
      <c r="F50" s="61">
        <v>0.09</v>
      </c>
    </row>
    <row r="51" spans="1:6" x14ac:dyDescent="0.2">
      <c r="A51" s="15">
        <v>39722</v>
      </c>
      <c r="B51" s="14">
        <v>45.2</v>
      </c>
      <c r="C51" s="14">
        <f>Table1346811121415161718192021[[#This Row],[Caixin PMI]]-B50</f>
        <v>-2.5</v>
      </c>
      <c r="D51" s="14">
        <v>44.6</v>
      </c>
      <c r="E51" s="14">
        <f>Table1346811121415161718192021[[#This Row],[Official PMI]]-D50</f>
        <v>-6.6000000000000014</v>
      </c>
      <c r="F51" s="61"/>
    </row>
    <row r="52" spans="1:6" x14ac:dyDescent="0.2">
      <c r="A52" s="15">
        <v>39753</v>
      </c>
      <c r="B52" s="14">
        <v>40.9</v>
      </c>
      <c r="C52" s="14">
        <f>Table1346811121415161718192021[[#This Row],[Caixin PMI]]-B51</f>
        <v>-4.3000000000000043</v>
      </c>
      <c r="D52" s="14">
        <v>38.799999999999997</v>
      </c>
      <c r="E52" s="14">
        <f>Table1346811121415161718192021[[#This Row],[Official PMI]]-D51</f>
        <v>-5.8000000000000043</v>
      </c>
      <c r="F52" s="61"/>
    </row>
    <row r="53" spans="1:6" x14ac:dyDescent="0.2">
      <c r="A53" s="15">
        <v>39783</v>
      </c>
      <c r="B53" s="14">
        <v>41.2</v>
      </c>
      <c r="C53" s="14">
        <f>Table1346811121415161718192021[[#This Row],[Caixin PMI]]-B52</f>
        <v>0.30000000000000426</v>
      </c>
      <c r="D53" s="14">
        <v>41.2</v>
      </c>
      <c r="E53" s="14">
        <f>Table1346811121415161718192021[[#This Row],[Official PMI]]-D52</f>
        <v>2.4000000000000057</v>
      </c>
      <c r="F53" s="61">
        <v>6.8000000000000005E-2</v>
      </c>
    </row>
    <row r="54" spans="1:6" x14ac:dyDescent="0.2">
      <c r="A54" s="15">
        <v>39814</v>
      </c>
      <c r="B54" s="14">
        <v>42.2</v>
      </c>
      <c r="C54" s="14">
        <f>Table1346811121415161718192021[[#This Row],[Caixin PMI]]-B53</f>
        <v>1</v>
      </c>
      <c r="D54" s="14">
        <v>45.3</v>
      </c>
      <c r="E54" s="14">
        <f>Table1346811121415161718192021[[#This Row],[Official PMI]]-D53</f>
        <v>4.0999999999999943</v>
      </c>
      <c r="F54" s="61"/>
    </row>
    <row r="55" spans="1:6" x14ac:dyDescent="0.2">
      <c r="A55" s="15">
        <v>39845</v>
      </c>
      <c r="B55" s="14">
        <v>45.1</v>
      </c>
      <c r="C55" s="14">
        <f>Table1346811121415161718192021[[#This Row],[Caixin PMI]]-B54</f>
        <v>2.8999999999999986</v>
      </c>
      <c r="D55" s="14">
        <v>49</v>
      </c>
      <c r="E55" s="14">
        <f>Table1346811121415161718192021[[#This Row],[Official PMI]]-D54</f>
        <v>3.7000000000000028</v>
      </c>
      <c r="F55" s="61"/>
    </row>
    <row r="56" spans="1:6" x14ac:dyDescent="0.2">
      <c r="A56" s="15">
        <v>39873</v>
      </c>
      <c r="B56" s="14">
        <v>44.8</v>
      </c>
      <c r="C56" s="14">
        <f>Table1346811121415161718192021[[#This Row],[Caixin PMI]]-B55</f>
        <v>-0.30000000000000426</v>
      </c>
      <c r="D56" s="14">
        <v>52.4</v>
      </c>
      <c r="E56" s="14">
        <f>Table1346811121415161718192021[[#This Row],[Official PMI]]-D55</f>
        <v>3.3999999999999986</v>
      </c>
      <c r="F56" s="61">
        <v>6.2E-2</v>
      </c>
    </row>
    <row r="57" spans="1:6" x14ac:dyDescent="0.2">
      <c r="A57" s="15">
        <v>39904</v>
      </c>
      <c r="B57" s="14">
        <v>50.1</v>
      </c>
      <c r="C57" s="14">
        <f>Table1346811121415161718192021[[#This Row],[Caixin PMI]]-B56</f>
        <v>5.3000000000000043</v>
      </c>
      <c r="D57" s="14">
        <v>53.5</v>
      </c>
      <c r="E57" s="14">
        <f>Table1346811121415161718192021[[#This Row],[Official PMI]]-D56</f>
        <v>1.1000000000000014</v>
      </c>
      <c r="F57" s="61"/>
    </row>
    <row r="58" spans="1:6" x14ac:dyDescent="0.2">
      <c r="A58" s="15">
        <v>39934</v>
      </c>
      <c r="B58" s="14">
        <v>51.2</v>
      </c>
      <c r="C58" s="14">
        <f>Table1346811121415161718192021[[#This Row],[Caixin PMI]]-B57</f>
        <v>1.1000000000000014</v>
      </c>
      <c r="D58" s="14">
        <v>53.1</v>
      </c>
      <c r="E58" s="14">
        <f>Table1346811121415161718192021[[#This Row],[Official PMI]]-D57</f>
        <v>-0.39999999999999858</v>
      </c>
      <c r="F58" s="61"/>
    </row>
    <row r="59" spans="1:6" x14ac:dyDescent="0.2">
      <c r="A59" s="15">
        <v>39965</v>
      </c>
      <c r="B59" s="14">
        <v>51.8</v>
      </c>
      <c r="C59" s="14">
        <f>Table1346811121415161718192021[[#This Row],[Caixin PMI]]-B58</f>
        <v>0.59999999999999432</v>
      </c>
      <c r="D59" s="14">
        <v>53.2</v>
      </c>
      <c r="E59" s="14">
        <f>Table1346811121415161718192021[[#This Row],[Official PMI]]-D58</f>
        <v>0.10000000000000142</v>
      </c>
      <c r="F59" s="61">
        <v>7.9000000000000001E-2</v>
      </c>
    </row>
    <row r="60" spans="1:6" x14ac:dyDescent="0.2">
      <c r="A60" s="15">
        <v>39995</v>
      </c>
      <c r="B60" s="14">
        <v>52.8</v>
      </c>
      <c r="C60" s="14">
        <f>Table1346811121415161718192021[[#This Row],[Caixin PMI]]-B59</f>
        <v>1</v>
      </c>
      <c r="D60" s="14">
        <v>53.3</v>
      </c>
      <c r="E60" s="14">
        <f>Table1346811121415161718192021[[#This Row],[Official PMI]]-D59</f>
        <v>9.9999999999994316E-2</v>
      </c>
      <c r="F60" s="61"/>
    </row>
    <row r="61" spans="1:6" x14ac:dyDescent="0.2">
      <c r="A61" s="15">
        <v>40026</v>
      </c>
      <c r="B61" s="14">
        <v>55.1</v>
      </c>
      <c r="C61" s="14">
        <f>Table1346811121415161718192021[[#This Row],[Caixin PMI]]-B60</f>
        <v>2.3000000000000043</v>
      </c>
      <c r="D61" s="14">
        <v>54</v>
      </c>
      <c r="E61" s="14">
        <f>Table1346811121415161718192021[[#This Row],[Official PMI]]-D60</f>
        <v>0.70000000000000284</v>
      </c>
      <c r="F61" s="61"/>
    </row>
    <row r="62" spans="1:6" x14ac:dyDescent="0.2">
      <c r="A62" s="15">
        <v>40057</v>
      </c>
      <c r="B62" s="14">
        <v>55</v>
      </c>
      <c r="C62" s="14">
        <f>Table1346811121415161718192021[[#This Row],[Caixin PMI]]-B61</f>
        <v>-0.10000000000000142</v>
      </c>
      <c r="D62" s="14">
        <v>54.3</v>
      </c>
      <c r="E62" s="14">
        <f>Table1346811121415161718192021[[#This Row],[Official PMI]]-D61</f>
        <v>0.29999999999999716</v>
      </c>
      <c r="F62" s="61">
        <v>9.0999999999999998E-2</v>
      </c>
    </row>
    <row r="63" spans="1:6" x14ac:dyDescent="0.2">
      <c r="A63" s="15">
        <v>40087</v>
      </c>
      <c r="B63" s="14">
        <v>55.4</v>
      </c>
      <c r="C63" s="14">
        <f>Table1346811121415161718192021[[#This Row],[Caixin PMI]]-B62</f>
        <v>0.39999999999999858</v>
      </c>
      <c r="D63" s="14">
        <v>55.2</v>
      </c>
      <c r="E63" s="14">
        <f>Table1346811121415161718192021[[#This Row],[Official PMI]]-D62</f>
        <v>0.90000000000000568</v>
      </c>
      <c r="F63" s="61"/>
    </row>
    <row r="64" spans="1:6" x14ac:dyDescent="0.2">
      <c r="A64" s="15">
        <v>40118</v>
      </c>
      <c r="B64" s="14">
        <v>55.7</v>
      </c>
      <c r="C64" s="14">
        <f>Table1346811121415161718192021[[#This Row],[Caixin PMI]]-B63</f>
        <v>0.30000000000000426</v>
      </c>
      <c r="D64" s="14">
        <v>55.2</v>
      </c>
      <c r="E64" s="14">
        <f>Table1346811121415161718192021[[#This Row],[Official PMI]]-D63</f>
        <v>0</v>
      </c>
      <c r="F64" s="61"/>
    </row>
    <row r="65" spans="1:6" x14ac:dyDescent="0.2">
      <c r="A65" s="15">
        <v>40148</v>
      </c>
      <c r="B65" s="14">
        <v>56.1</v>
      </c>
      <c r="C65" s="14">
        <f>Table1346811121415161718192021[[#This Row],[Caixin PMI]]-B64</f>
        <v>0.39999999999999858</v>
      </c>
      <c r="D65" s="14">
        <v>56.6</v>
      </c>
      <c r="E65" s="14">
        <f>Table1346811121415161718192021[[#This Row],[Official PMI]]-D64</f>
        <v>1.3999999999999986</v>
      </c>
      <c r="F65" s="61">
        <v>0.107</v>
      </c>
    </row>
    <row r="66" spans="1:6" x14ac:dyDescent="0.2">
      <c r="A66" s="15">
        <v>40179</v>
      </c>
      <c r="B66" s="14">
        <v>57.4</v>
      </c>
      <c r="C66" s="14">
        <f>Table1346811121415161718192021[[#This Row],[Caixin PMI]]-B65</f>
        <v>1.2999999999999972</v>
      </c>
      <c r="D66" s="14">
        <v>55.8</v>
      </c>
      <c r="E66" s="14">
        <f>Table1346811121415161718192021[[#This Row],[Official PMI]]-D65</f>
        <v>-0.80000000000000426</v>
      </c>
      <c r="F66" s="61"/>
    </row>
    <row r="67" spans="1:6" x14ac:dyDescent="0.2">
      <c r="A67" s="15">
        <v>40210</v>
      </c>
      <c r="B67" s="14">
        <v>55.8</v>
      </c>
      <c r="C67" s="14">
        <f>Table1346811121415161718192021[[#This Row],[Caixin PMI]]-B66</f>
        <v>-1.6000000000000014</v>
      </c>
      <c r="D67" s="14">
        <v>52</v>
      </c>
      <c r="E67" s="14">
        <f>Table1346811121415161718192021[[#This Row],[Official PMI]]-D66</f>
        <v>-3.7999999999999972</v>
      </c>
      <c r="F67" s="61"/>
    </row>
    <row r="68" spans="1:6" x14ac:dyDescent="0.2">
      <c r="A68" s="15">
        <v>40238</v>
      </c>
      <c r="B68" s="14">
        <v>57</v>
      </c>
      <c r="C68" s="14">
        <f>Table1346811121415161718192021[[#This Row],[Caixin PMI]]-B67</f>
        <v>1.2000000000000028</v>
      </c>
      <c r="D68" s="14">
        <v>55.1</v>
      </c>
      <c r="E68" s="14">
        <f>Table1346811121415161718192021[[#This Row],[Official PMI]]-D67</f>
        <v>3.1000000000000014</v>
      </c>
      <c r="F68" s="61">
        <v>0.11899999999999999</v>
      </c>
    </row>
    <row r="69" spans="1:6" x14ac:dyDescent="0.2">
      <c r="A69" s="15">
        <v>40269</v>
      </c>
      <c r="B69" s="14">
        <v>55.4</v>
      </c>
      <c r="C69" s="14">
        <f>Table1346811121415161718192021[[#This Row],[Caixin PMI]]-B68</f>
        <v>-1.6000000000000014</v>
      </c>
      <c r="D69" s="14">
        <v>55.7</v>
      </c>
      <c r="E69" s="14">
        <f>Table1346811121415161718192021[[#This Row],[Official PMI]]-D68</f>
        <v>0.60000000000000142</v>
      </c>
      <c r="F69" s="61"/>
    </row>
    <row r="70" spans="1:6" x14ac:dyDescent="0.2">
      <c r="A70" s="15">
        <v>40299</v>
      </c>
      <c r="B70" s="14">
        <v>52.7</v>
      </c>
      <c r="C70" s="14">
        <f>Table1346811121415161718192021[[#This Row],[Caixin PMI]]-B69</f>
        <v>-2.6999999999999957</v>
      </c>
      <c r="D70" s="14">
        <v>53.9</v>
      </c>
      <c r="E70" s="14">
        <f>Table1346811121415161718192021[[#This Row],[Official PMI]]-D69</f>
        <v>-1.8000000000000043</v>
      </c>
      <c r="F70" s="61"/>
    </row>
    <row r="71" spans="1:6" x14ac:dyDescent="0.2">
      <c r="A71" s="15">
        <v>40330</v>
      </c>
      <c r="B71" s="14">
        <v>50.4</v>
      </c>
      <c r="C71" s="14">
        <f>Table1346811121415161718192021[[#This Row],[Caixin PMI]]-B70</f>
        <v>-2.3000000000000043</v>
      </c>
      <c r="D71" s="14">
        <v>52.1</v>
      </c>
      <c r="E71" s="14">
        <f>Table1346811121415161718192021[[#This Row],[Official PMI]]-D70</f>
        <v>-1.7999999999999972</v>
      </c>
      <c r="F71" s="61">
        <v>0.10299999999999999</v>
      </c>
    </row>
    <row r="72" spans="1:6" x14ac:dyDescent="0.2">
      <c r="A72" s="15">
        <v>40360</v>
      </c>
      <c r="B72" s="14">
        <v>49.4</v>
      </c>
      <c r="C72" s="14">
        <f>Table1346811121415161718192021[[#This Row],[Caixin PMI]]-B71</f>
        <v>-1</v>
      </c>
      <c r="D72" s="14">
        <v>51.2</v>
      </c>
      <c r="E72" s="14">
        <f>Table1346811121415161718192021[[#This Row],[Official PMI]]-D71</f>
        <v>-0.89999999999999858</v>
      </c>
      <c r="F72" s="61"/>
    </row>
    <row r="73" spans="1:6" x14ac:dyDescent="0.2">
      <c r="A73" s="15">
        <v>40391</v>
      </c>
      <c r="B73" s="14">
        <v>51.9</v>
      </c>
      <c r="C73" s="14">
        <f>Table1346811121415161718192021[[#This Row],[Caixin PMI]]-B72</f>
        <v>2.5</v>
      </c>
      <c r="D73" s="14">
        <v>51.7</v>
      </c>
      <c r="E73" s="14">
        <f>Table1346811121415161718192021[[#This Row],[Official PMI]]-D72</f>
        <v>0.5</v>
      </c>
      <c r="F73" s="61"/>
    </row>
    <row r="74" spans="1:6" x14ac:dyDescent="0.2">
      <c r="A74" s="15">
        <v>40422</v>
      </c>
      <c r="B74" s="14">
        <v>52.9</v>
      </c>
      <c r="C74" s="14">
        <f>Table1346811121415161718192021[[#This Row],[Caixin PMI]]-B73</f>
        <v>1</v>
      </c>
      <c r="D74" s="14">
        <v>53.8</v>
      </c>
      <c r="E74" s="14">
        <f>Table1346811121415161718192021[[#This Row],[Official PMI]]-D73</f>
        <v>2.0999999999999943</v>
      </c>
      <c r="F74" s="61">
        <v>9.6000000000000002E-2</v>
      </c>
    </row>
    <row r="75" spans="1:6" x14ac:dyDescent="0.2">
      <c r="A75" s="15">
        <v>40452</v>
      </c>
      <c r="B75" s="14">
        <v>54.8</v>
      </c>
      <c r="C75" s="14">
        <f>Table1346811121415161718192021[[#This Row],[Caixin PMI]]-B74</f>
        <v>1.8999999999999986</v>
      </c>
      <c r="D75" s="14">
        <v>54.7</v>
      </c>
      <c r="E75" s="14">
        <f>Table1346811121415161718192021[[#This Row],[Official PMI]]-D74</f>
        <v>0.90000000000000568</v>
      </c>
      <c r="F75" s="61"/>
    </row>
    <row r="76" spans="1:6" x14ac:dyDescent="0.2">
      <c r="A76" s="15">
        <v>40483</v>
      </c>
      <c r="B76" s="14">
        <v>55.3</v>
      </c>
      <c r="C76" s="14">
        <f>Table1346811121415161718192021[[#This Row],[Caixin PMI]]-B75</f>
        <v>0.5</v>
      </c>
      <c r="D76" s="14">
        <v>55.2</v>
      </c>
      <c r="E76" s="14">
        <f>Table1346811121415161718192021[[#This Row],[Official PMI]]-D75</f>
        <v>0.5</v>
      </c>
      <c r="F76" s="61"/>
    </row>
    <row r="77" spans="1:6" x14ac:dyDescent="0.2">
      <c r="A77" s="15">
        <v>40513</v>
      </c>
      <c r="B77" s="14">
        <v>54.4</v>
      </c>
      <c r="C77" s="14">
        <f>Table1346811121415161718192021[[#This Row],[Caixin PMI]]-B76</f>
        <v>-0.89999999999999858</v>
      </c>
      <c r="D77" s="14">
        <v>53.9</v>
      </c>
      <c r="E77" s="14">
        <f>Table1346811121415161718192021[[#This Row],[Official PMI]]-D76</f>
        <v>-1.3000000000000043</v>
      </c>
      <c r="F77" s="61">
        <v>9.8000000000000004E-2</v>
      </c>
    </row>
    <row r="78" spans="1:6" x14ac:dyDescent="0.2">
      <c r="A78" s="15">
        <v>40544</v>
      </c>
      <c r="B78" s="14">
        <v>54.5</v>
      </c>
      <c r="C78" s="14">
        <f>Table1346811121415161718192021[[#This Row],[Caixin PMI]]-B77</f>
        <v>0.10000000000000142</v>
      </c>
      <c r="D78" s="14">
        <v>52.9</v>
      </c>
      <c r="E78" s="14">
        <f>Table1346811121415161718192021[[#This Row],[Official PMI]]-D77</f>
        <v>-1</v>
      </c>
      <c r="F78" s="61"/>
    </row>
    <row r="79" spans="1:6" x14ac:dyDescent="0.2">
      <c r="A79" s="15">
        <v>40575</v>
      </c>
      <c r="B79" s="14">
        <v>51.7</v>
      </c>
      <c r="C79" s="14">
        <f>Table1346811121415161718192021[[#This Row],[Caixin PMI]]-B78</f>
        <v>-2.7999999999999972</v>
      </c>
      <c r="D79" s="14">
        <v>52.2</v>
      </c>
      <c r="E79" s="14">
        <f>Table1346811121415161718192021[[#This Row],[Official PMI]]-D78</f>
        <v>-0.69999999999999574</v>
      </c>
      <c r="F79" s="61"/>
    </row>
    <row r="80" spans="1:6" x14ac:dyDescent="0.2">
      <c r="A80" s="15">
        <v>40603</v>
      </c>
      <c r="B80" s="14">
        <v>51.8</v>
      </c>
      <c r="C80" s="14">
        <f>Table1346811121415161718192021[[#This Row],[Caixin PMI]]-B79</f>
        <v>9.9999999999994316E-2</v>
      </c>
      <c r="D80" s="14">
        <v>53.4</v>
      </c>
      <c r="E80" s="14">
        <f>Table1346811121415161718192021[[#This Row],[Official PMI]]-D79</f>
        <v>1.1999999999999957</v>
      </c>
      <c r="F80" s="61">
        <v>9.7000000000000003E-2</v>
      </c>
    </row>
    <row r="81" spans="1:6" x14ac:dyDescent="0.2">
      <c r="A81" s="15">
        <v>40634</v>
      </c>
      <c r="B81" s="14">
        <v>51.8</v>
      </c>
      <c r="C81" s="14">
        <f>Table1346811121415161718192021[[#This Row],[Caixin PMI]]-B80</f>
        <v>0</v>
      </c>
      <c r="D81" s="14">
        <v>52.9</v>
      </c>
      <c r="E81" s="14">
        <f>Table1346811121415161718192021[[#This Row],[Official PMI]]-D80</f>
        <v>-0.5</v>
      </c>
      <c r="F81" s="61"/>
    </row>
    <row r="82" spans="1:6" x14ac:dyDescent="0.2">
      <c r="A82" s="15">
        <v>40664</v>
      </c>
      <c r="B82" s="14">
        <v>51.6</v>
      </c>
      <c r="C82" s="14">
        <f>Table1346811121415161718192021[[#This Row],[Caixin PMI]]-B81</f>
        <v>-0.19999999999999574</v>
      </c>
      <c r="D82" s="14">
        <v>52</v>
      </c>
      <c r="E82" s="14">
        <f>Table1346811121415161718192021[[#This Row],[Official PMI]]-D81</f>
        <v>-0.89999999999999858</v>
      </c>
      <c r="F82" s="61"/>
    </row>
    <row r="83" spans="1:6" x14ac:dyDescent="0.2">
      <c r="A83" s="15">
        <v>40695</v>
      </c>
      <c r="B83" s="14">
        <v>50.1</v>
      </c>
      <c r="C83" s="14">
        <f>Table1346811121415161718192021[[#This Row],[Caixin PMI]]-B82</f>
        <v>-1.5</v>
      </c>
      <c r="D83" s="14">
        <v>50.9</v>
      </c>
      <c r="E83" s="14">
        <f>Table1346811121415161718192021[[#This Row],[Official PMI]]-D82</f>
        <v>-1.1000000000000014</v>
      </c>
      <c r="F83" s="61">
        <v>9.5000000000000001E-2</v>
      </c>
    </row>
    <row r="84" spans="1:6" x14ac:dyDescent="0.2">
      <c r="A84" s="15">
        <v>40725</v>
      </c>
      <c r="B84" s="14">
        <v>49.3</v>
      </c>
      <c r="C84" s="14">
        <f>Table1346811121415161718192021[[#This Row],[Caixin PMI]]-B83</f>
        <v>-0.80000000000000426</v>
      </c>
      <c r="D84" s="14">
        <v>50.7</v>
      </c>
      <c r="E84" s="14">
        <f>Table1346811121415161718192021[[#This Row],[Official PMI]]-D83</f>
        <v>-0.19999999999999574</v>
      </c>
      <c r="F84" s="61"/>
    </row>
    <row r="85" spans="1:6" x14ac:dyDescent="0.2">
      <c r="A85" s="15">
        <v>40756</v>
      </c>
      <c r="B85" s="14">
        <v>49.9</v>
      </c>
      <c r="C85" s="14">
        <f>Table1346811121415161718192021[[#This Row],[Caixin PMI]]-B84</f>
        <v>0.60000000000000142</v>
      </c>
      <c r="D85" s="14">
        <v>50.9</v>
      </c>
      <c r="E85" s="14">
        <f>Table1346811121415161718192021[[#This Row],[Official PMI]]-D84</f>
        <v>0.19999999999999574</v>
      </c>
      <c r="F85" s="61"/>
    </row>
    <row r="86" spans="1:6" x14ac:dyDescent="0.2">
      <c r="A86" s="15">
        <v>40787</v>
      </c>
      <c r="B86" s="14">
        <v>49.9</v>
      </c>
      <c r="C86" s="14">
        <f>Table1346811121415161718192021[[#This Row],[Caixin PMI]]-B85</f>
        <v>0</v>
      </c>
      <c r="D86" s="14">
        <v>51.2</v>
      </c>
      <c r="E86" s="14">
        <f>Table1346811121415161718192021[[#This Row],[Official PMI]]-D85</f>
        <v>0.30000000000000426</v>
      </c>
      <c r="F86" s="61">
        <v>9.0999999999999998E-2</v>
      </c>
    </row>
    <row r="87" spans="1:6" x14ac:dyDescent="0.2">
      <c r="A87" s="15">
        <v>40817</v>
      </c>
      <c r="B87" s="14">
        <v>51</v>
      </c>
      <c r="C87" s="14">
        <f>Table1346811121415161718192021[[#This Row],[Caixin PMI]]-B86</f>
        <v>1.1000000000000014</v>
      </c>
      <c r="D87" s="14">
        <v>50.4</v>
      </c>
      <c r="E87" s="14">
        <f>Table1346811121415161718192021[[#This Row],[Official PMI]]-D86</f>
        <v>-0.80000000000000426</v>
      </c>
      <c r="F87" s="61"/>
    </row>
    <row r="88" spans="1:6" x14ac:dyDescent="0.2">
      <c r="A88" s="15">
        <v>40848</v>
      </c>
      <c r="B88" s="14">
        <v>47.7</v>
      </c>
      <c r="C88" s="14">
        <f>Table1346811121415161718192021[[#This Row],[Caixin PMI]]-B87</f>
        <v>-3.2999999999999972</v>
      </c>
      <c r="D88" s="14">
        <v>49</v>
      </c>
      <c r="E88" s="14">
        <f>Table1346811121415161718192021[[#This Row],[Official PMI]]-D87</f>
        <v>-1.3999999999999986</v>
      </c>
      <c r="F88" s="61"/>
    </row>
    <row r="89" spans="1:6" x14ac:dyDescent="0.2">
      <c r="A89" s="15">
        <v>40878</v>
      </c>
      <c r="B89" s="14">
        <v>48.7</v>
      </c>
      <c r="C89" s="14">
        <f>Table1346811121415161718192021[[#This Row],[Caixin PMI]]-B88</f>
        <v>1</v>
      </c>
      <c r="D89" s="14">
        <v>50.3</v>
      </c>
      <c r="E89" s="14">
        <f>Table1346811121415161718192021[[#This Row],[Official PMI]]-D88</f>
        <v>1.2999999999999972</v>
      </c>
      <c r="F89" s="61">
        <v>8.8999999999999996E-2</v>
      </c>
    </row>
    <row r="90" spans="1:6" x14ac:dyDescent="0.2">
      <c r="A90" s="15">
        <v>40909</v>
      </c>
      <c r="B90" s="14">
        <v>48.8</v>
      </c>
      <c r="C90" s="14">
        <f>Table1346811121415161718192021[[#This Row],[Caixin PMI]]-B89</f>
        <v>9.9999999999994316E-2</v>
      </c>
      <c r="D90" s="14">
        <v>50.5</v>
      </c>
      <c r="E90" s="14">
        <f>Table1346811121415161718192021[[#This Row],[Official PMI]]-D89</f>
        <v>0.20000000000000284</v>
      </c>
      <c r="F90" s="61"/>
    </row>
    <row r="91" spans="1:6" x14ac:dyDescent="0.2">
      <c r="A91" s="15">
        <v>40940</v>
      </c>
      <c r="B91" s="14">
        <v>49.6</v>
      </c>
      <c r="C91" s="14">
        <f>Table1346811121415161718192021[[#This Row],[Caixin PMI]]-B90</f>
        <v>0.80000000000000426</v>
      </c>
      <c r="D91" s="14">
        <v>51</v>
      </c>
      <c r="E91" s="14">
        <f>Table1346811121415161718192021[[#This Row],[Official PMI]]-D90</f>
        <v>0.5</v>
      </c>
      <c r="F91" s="61"/>
    </row>
    <row r="92" spans="1:6" x14ac:dyDescent="0.2">
      <c r="A92" s="15">
        <v>40969</v>
      </c>
      <c r="B92" s="14">
        <v>48.3</v>
      </c>
      <c r="C92" s="14">
        <f>Table1346811121415161718192021[[#This Row],[Caixin PMI]]-B91</f>
        <v>-1.3000000000000043</v>
      </c>
      <c r="D92" s="14">
        <v>53.1</v>
      </c>
      <c r="E92" s="14">
        <f>Table1346811121415161718192021[[#This Row],[Official PMI]]-D91</f>
        <v>2.1000000000000014</v>
      </c>
      <c r="F92" s="61">
        <v>8.1000000000000003E-2</v>
      </c>
    </row>
    <row r="93" spans="1:6" x14ac:dyDescent="0.2">
      <c r="A93" s="15">
        <v>41000</v>
      </c>
      <c r="B93" s="14">
        <v>49.3</v>
      </c>
      <c r="C93" s="14">
        <f>Table1346811121415161718192021[[#This Row],[Caixin PMI]]-B92</f>
        <v>1</v>
      </c>
      <c r="D93" s="14">
        <v>53.3</v>
      </c>
      <c r="E93" s="14">
        <f>Table1346811121415161718192021[[#This Row],[Official PMI]]-D92</f>
        <v>0.19999999999999574</v>
      </c>
      <c r="F93" s="61"/>
    </row>
    <row r="94" spans="1:6" x14ac:dyDescent="0.2">
      <c r="A94" s="15">
        <v>41030</v>
      </c>
      <c r="B94" s="14">
        <v>48.4</v>
      </c>
      <c r="C94" s="14">
        <f>Table1346811121415161718192021[[#This Row],[Caixin PMI]]-B93</f>
        <v>-0.89999999999999858</v>
      </c>
      <c r="D94" s="14">
        <v>50.4</v>
      </c>
      <c r="E94" s="14">
        <f>Table1346811121415161718192021[[#This Row],[Official PMI]]-D93</f>
        <v>-2.8999999999999986</v>
      </c>
      <c r="F94" s="61"/>
    </row>
    <row r="95" spans="1:6" x14ac:dyDescent="0.2">
      <c r="A95" s="15">
        <v>41061</v>
      </c>
      <c r="B95" s="14">
        <v>48.2</v>
      </c>
      <c r="C95" s="14">
        <f>Table1346811121415161718192021[[#This Row],[Caixin PMI]]-B94</f>
        <v>-0.19999999999999574</v>
      </c>
      <c r="D95" s="14">
        <v>50.2</v>
      </c>
      <c r="E95" s="14">
        <f>Table1346811121415161718192021[[#This Row],[Official PMI]]-D94</f>
        <v>-0.19999999999999574</v>
      </c>
      <c r="F95" s="61">
        <v>7.5999999999999998E-2</v>
      </c>
    </row>
    <row r="96" spans="1:6" x14ac:dyDescent="0.2">
      <c r="A96" s="15">
        <v>41091</v>
      </c>
      <c r="B96" s="14">
        <v>49.3</v>
      </c>
      <c r="C96" s="14">
        <f>Table1346811121415161718192021[[#This Row],[Caixin PMI]]-B95</f>
        <v>1.0999999999999943</v>
      </c>
      <c r="D96" s="14">
        <v>50.1</v>
      </c>
      <c r="E96" s="14">
        <f>Table1346811121415161718192021[[#This Row],[Official PMI]]-D95</f>
        <v>-0.10000000000000142</v>
      </c>
      <c r="F96" s="61"/>
    </row>
    <row r="97" spans="1:6" x14ac:dyDescent="0.2">
      <c r="A97" s="15">
        <v>41122</v>
      </c>
      <c r="B97" s="14">
        <v>47.7</v>
      </c>
      <c r="C97" s="14">
        <f>Table1346811121415161718192021[[#This Row],[Caixin PMI]]-B96</f>
        <v>-1.5999999999999943</v>
      </c>
      <c r="D97" s="14">
        <v>49.2</v>
      </c>
      <c r="E97" s="14">
        <f>Table1346811121415161718192021[[#This Row],[Official PMI]]-D96</f>
        <v>-0.89999999999999858</v>
      </c>
      <c r="F97" s="61"/>
    </row>
    <row r="98" spans="1:6" x14ac:dyDescent="0.2">
      <c r="A98" s="15">
        <v>41153</v>
      </c>
      <c r="B98" s="14">
        <v>47.9</v>
      </c>
      <c r="C98" s="14">
        <f>Table1346811121415161718192021[[#This Row],[Caixin PMI]]-B97</f>
        <v>0.19999999999999574</v>
      </c>
      <c r="D98" s="14">
        <v>49.8</v>
      </c>
      <c r="E98" s="14">
        <f>Table1346811121415161718192021[[#This Row],[Official PMI]]-D97</f>
        <v>0.59999999999999432</v>
      </c>
      <c r="F98" s="61">
        <v>7.3999999999999996E-2</v>
      </c>
    </row>
    <row r="99" spans="1:6" x14ac:dyDescent="0.2">
      <c r="A99" s="15">
        <v>41183</v>
      </c>
      <c r="B99" s="14">
        <v>49.5</v>
      </c>
      <c r="C99" s="14">
        <f>Table1346811121415161718192021[[#This Row],[Caixin PMI]]-B98</f>
        <v>1.6000000000000014</v>
      </c>
      <c r="D99" s="14">
        <v>50.2</v>
      </c>
      <c r="E99" s="14">
        <f>Table1346811121415161718192021[[#This Row],[Official PMI]]-D98</f>
        <v>0.40000000000000568</v>
      </c>
      <c r="F99" s="61"/>
    </row>
    <row r="100" spans="1:6" x14ac:dyDescent="0.2">
      <c r="A100" s="15">
        <v>41214</v>
      </c>
      <c r="B100" s="14">
        <v>50.5</v>
      </c>
      <c r="C100" s="14">
        <f>Table1346811121415161718192021[[#This Row],[Caixin PMI]]-B99</f>
        <v>1</v>
      </c>
      <c r="D100" s="14">
        <v>50.6</v>
      </c>
      <c r="E100" s="14">
        <f>Table1346811121415161718192021[[#This Row],[Official PMI]]-D99</f>
        <v>0.39999999999999858</v>
      </c>
      <c r="F100" s="61"/>
    </row>
    <row r="101" spans="1:6" x14ac:dyDescent="0.2">
      <c r="A101" s="15">
        <v>41244</v>
      </c>
      <c r="B101" s="14">
        <v>51.5</v>
      </c>
      <c r="C101" s="14">
        <f>Table1346811121415161718192021[[#This Row],[Caixin PMI]]-B100</f>
        <v>1</v>
      </c>
      <c r="D101" s="14">
        <v>50.6</v>
      </c>
      <c r="E101" s="14">
        <f>Table1346811121415161718192021[[#This Row],[Official PMI]]-D100</f>
        <v>0</v>
      </c>
      <c r="F101" s="61">
        <v>7.9000000000000001E-2</v>
      </c>
    </row>
    <row r="102" spans="1:6" x14ac:dyDescent="0.2">
      <c r="A102" s="15">
        <v>41275</v>
      </c>
      <c r="B102" s="14">
        <v>52.3</v>
      </c>
      <c r="C102" s="14">
        <f>Table1346811121415161718192021[[#This Row],[Caixin PMI]]-B101</f>
        <v>0.79999999999999716</v>
      </c>
      <c r="D102" s="14">
        <v>50.4</v>
      </c>
      <c r="E102" s="14">
        <f>Table1346811121415161718192021[[#This Row],[Official PMI]]-D101</f>
        <v>-0.20000000000000284</v>
      </c>
      <c r="F102" s="61"/>
    </row>
    <row r="103" spans="1:6" x14ac:dyDescent="0.2">
      <c r="A103" s="15">
        <v>41306</v>
      </c>
      <c r="B103" s="14">
        <v>50.4</v>
      </c>
      <c r="C103" s="14">
        <f>Table1346811121415161718192021[[#This Row],[Caixin PMI]]-B102</f>
        <v>-1.8999999999999986</v>
      </c>
      <c r="D103" s="14">
        <v>50.1</v>
      </c>
      <c r="E103" s="14">
        <f>Table1346811121415161718192021[[#This Row],[Official PMI]]-D102</f>
        <v>-0.29999999999999716</v>
      </c>
      <c r="F103" s="61"/>
    </row>
    <row r="104" spans="1:6" x14ac:dyDescent="0.2">
      <c r="A104" s="15">
        <v>41334</v>
      </c>
      <c r="B104" s="14">
        <v>51.6</v>
      </c>
      <c r="C104" s="14">
        <f>Table1346811121415161718192021[[#This Row],[Caixin PMI]]-B103</f>
        <v>1.2000000000000028</v>
      </c>
      <c r="D104" s="14">
        <v>50.9</v>
      </c>
      <c r="E104" s="14">
        <f>Table1346811121415161718192021[[#This Row],[Official PMI]]-D103</f>
        <v>0.79999999999999716</v>
      </c>
      <c r="F104" s="61">
        <v>7.8E-2</v>
      </c>
    </row>
    <row r="105" spans="1:6" x14ac:dyDescent="0.2">
      <c r="A105" s="15">
        <v>41365</v>
      </c>
      <c r="B105" s="14">
        <v>50.4</v>
      </c>
      <c r="C105" s="14">
        <f>Table1346811121415161718192021[[#This Row],[Caixin PMI]]-B104</f>
        <v>-1.2000000000000028</v>
      </c>
      <c r="D105" s="14">
        <v>50.6</v>
      </c>
      <c r="E105" s="14">
        <f>Table1346811121415161718192021[[#This Row],[Official PMI]]-D104</f>
        <v>-0.29999999999999716</v>
      </c>
      <c r="F105" s="61"/>
    </row>
    <row r="106" spans="1:6" x14ac:dyDescent="0.2">
      <c r="A106" s="15">
        <v>41395</v>
      </c>
      <c r="B106" s="14">
        <v>49.2</v>
      </c>
      <c r="C106" s="14">
        <f>Table1346811121415161718192021[[#This Row],[Caixin PMI]]-B105</f>
        <v>-1.1999999999999957</v>
      </c>
      <c r="D106" s="14">
        <v>50.8</v>
      </c>
      <c r="E106" s="14">
        <f>Table1346811121415161718192021[[#This Row],[Official PMI]]-D105</f>
        <v>0.19999999999999574</v>
      </c>
      <c r="F106" s="61"/>
    </row>
    <row r="107" spans="1:6" x14ac:dyDescent="0.2">
      <c r="A107" s="15">
        <v>41426</v>
      </c>
      <c r="B107" s="14">
        <v>48.2</v>
      </c>
      <c r="C107" s="30">
        <f>Table1346811121415161718192021[[#This Row],[Caixin PMI]]-B106</f>
        <v>-1</v>
      </c>
      <c r="D107" s="14">
        <v>50.1</v>
      </c>
      <c r="E107" s="14">
        <f>Table1346811121415161718192021[[#This Row],[Official PMI]]-D106</f>
        <v>-0.69999999999999574</v>
      </c>
      <c r="F107" s="61">
        <v>7.4999999999999997E-2</v>
      </c>
    </row>
    <row r="108" spans="1:6" x14ac:dyDescent="0.2">
      <c r="A108" s="15">
        <v>41456</v>
      </c>
      <c r="B108" s="14">
        <v>47.7</v>
      </c>
      <c r="C108" s="30">
        <f>Table1346811121415161718192021[[#This Row],[Caixin PMI]]-B107</f>
        <v>-0.5</v>
      </c>
      <c r="D108" s="14">
        <v>50.3</v>
      </c>
      <c r="E108" s="14">
        <f>Table1346811121415161718192021[[#This Row],[Official PMI]]-D107</f>
        <v>0.19999999999999574</v>
      </c>
      <c r="F108" s="61"/>
    </row>
    <row r="109" spans="1:6" x14ac:dyDescent="0.2">
      <c r="A109" s="15">
        <v>41487</v>
      </c>
      <c r="B109" s="14">
        <v>50.1</v>
      </c>
      <c r="C109" s="30">
        <f>Table1346811121415161718192021[[#This Row],[Caixin PMI]]-B108</f>
        <v>2.3999999999999986</v>
      </c>
      <c r="D109" s="14">
        <v>51</v>
      </c>
      <c r="E109" s="14">
        <f>Table1346811121415161718192021[[#This Row],[Official PMI]]-D108</f>
        <v>0.70000000000000284</v>
      </c>
      <c r="F109" s="61"/>
    </row>
    <row r="110" spans="1:6" x14ac:dyDescent="0.2">
      <c r="A110" s="15">
        <v>41518</v>
      </c>
      <c r="B110" s="14">
        <v>50.2</v>
      </c>
      <c r="C110" s="30">
        <f>Table1346811121415161718192021[[#This Row],[Caixin PMI]]-B109</f>
        <v>0.10000000000000142</v>
      </c>
      <c r="D110" s="14">
        <v>51.1</v>
      </c>
      <c r="E110" s="14">
        <f>Table1346811121415161718192021[[#This Row],[Official PMI]]-D109</f>
        <v>0.10000000000000142</v>
      </c>
      <c r="F110" s="61">
        <v>7.9000000000000001E-2</v>
      </c>
    </row>
    <row r="111" spans="1:6" x14ac:dyDescent="0.2">
      <c r="A111" s="15">
        <v>41548</v>
      </c>
      <c r="B111" s="14">
        <v>50.9</v>
      </c>
      <c r="C111" s="30">
        <f>Table1346811121415161718192021[[#This Row],[Caixin PMI]]-B110</f>
        <v>0.69999999999999574</v>
      </c>
      <c r="D111" s="14">
        <v>51.4</v>
      </c>
      <c r="E111" s="14">
        <f>Table1346811121415161718192021[[#This Row],[Official PMI]]-D110</f>
        <v>0.29999999999999716</v>
      </c>
      <c r="F111" s="61"/>
    </row>
    <row r="112" spans="1:6" x14ac:dyDescent="0.2">
      <c r="A112" s="15">
        <v>41579</v>
      </c>
      <c r="B112" s="14">
        <v>50.8</v>
      </c>
      <c r="C112" s="30">
        <f>Table1346811121415161718192021[[#This Row],[Caixin PMI]]-B111</f>
        <v>-0.10000000000000142</v>
      </c>
      <c r="D112" s="14">
        <v>51.4</v>
      </c>
      <c r="E112" s="14">
        <f>Table1346811121415161718192021[[#This Row],[Official PMI]]-D111</f>
        <v>0</v>
      </c>
      <c r="F112" s="61"/>
    </row>
    <row r="113" spans="1:6" x14ac:dyDescent="0.2">
      <c r="A113" s="15">
        <v>41609</v>
      </c>
      <c r="B113" s="14">
        <v>50.5</v>
      </c>
      <c r="C113" s="30">
        <f>Table1346811121415161718192021[[#This Row],[Caixin PMI]]-B112</f>
        <v>-0.29999999999999716</v>
      </c>
      <c r="D113" s="14">
        <v>51</v>
      </c>
      <c r="E113" s="14">
        <f>Table1346811121415161718192021[[#This Row],[Official PMI]]-D112</f>
        <v>-0.39999999999999858</v>
      </c>
      <c r="F113" s="61">
        <v>7.5999999999999998E-2</v>
      </c>
    </row>
    <row r="114" spans="1:6" x14ac:dyDescent="0.2">
      <c r="A114" s="15">
        <v>41640</v>
      </c>
      <c r="B114" s="14">
        <v>49.5</v>
      </c>
      <c r="C114" s="30">
        <f>Table1346811121415161718192021[[#This Row],[Caixin PMI]]-B113</f>
        <v>-1</v>
      </c>
      <c r="D114" s="14">
        <v>50.5</v>
      </c>
      <c r="E114" s="14">
        <f>Table1346811121415161718192021[[#This Row],[Official PMI]]-D113</f>
        <v>-0.5</v>
      </c>
      <c r="F114" s="61"/>
    </row>
    <row r="115" spans="1:6" x14ac:dyDescent="0.2">
      <c r="A115" s="15">
        <v>41671</v>
      </c>
      <c r="B115" s="14">
        <v>48.5</v>
      </c>
      <c r="C115" s="30">
        <f>Table1346811121415161718192021[[#This Row],[Caixin PMI]]-B114</f>
        <v>-1</v>
      </c>
      <c r="D115" s="14">
        <v>50.2</v>
      </c>
      <c r="E115" s="14">
        <f>Table1346811121415161718192021[[#This Row],[Official PMI]]-D114</f>
        <v>-0.29999999999999716</v>
      </c>
      <c r="F115" s="61"/>
    </row>
    <row r="116" spans="1:6" x14ac:dyDescent="0.2">
      <c r="A116" s="15">
        <v>41699</v>
      </c>
      <c r="B116" s="14">
        <v>48</v>
      </c>
      <c r="C116" s="30">
        <f>Table1346811121415161718192021[[#This Row],[Caixin PMI]]-B115</f>
        <v>-0.5</v>
      </c>
      <c r="D116" s="14">
        <v>50.3</v>
      </c>
      <c r="E116" s="14">
        <f>Table1346811121415161718192021[[#This Row],[Official PMI]]-D115</f>
        <v>9.9999999999994316E-2</v>
      </c>
      <c r="F116" s="61">
        <v>7.2999999999999995E-2</v>
      </c>
    </row>
    <row r="117" spans="1:6" x14ac:dyDescent="0.2">
      <c r="A117" s="15">
        <v>41730</v>
      </c>
      <c r="B117" s="14">
        <v>48.1</v>
      </c>
      <c r="C117" s="30">
        <f>Table1346811121415161718192021[[#This Row],[Caixin PMI]]-B116</f>
        <v>0.10000000000000142</v>
      </c>
      <c r="D117" s="14">
        <v>50.4</v>
      </c>
      <c r="E117" s="14">
        <f>Table1346811121415161718192021[[#This Row],[Official PMI]]-D116</f>
        <v>0.10000000000000142</v>
      </c>
      <c r="F117" s="61"/>
    </row>
    <row r="118" spans="1:6" x14ac:dyDescent="0.2">
      <c r="A118" s="15">
        <v>41760</v>
      </c>
      <c r="B118" s="14">
        <v>49.4</v>
      </c>
      <c r="C118" s="30">
        <f>Table1346811121415161718192021[[#This Row],[Caixin PMI]]-B117</f>
        <v>1.2999999999999972</v>
      </c>
      <c r="D118" s="14">
        <v>50.8</v>
      </c>
      <c r="E118" s="14">
        <f>Table1346811121415161718192021[[#This Row],[Official PMI]]-D117</f>
        <v>0.39999999999999858</v>
      </c>
      <c r="F118" s="61"/>
    </row>
    <row r="119" spans="1:6" x14ac:dyDescent="0.2">
      <c r="A119" s="15">
        <v>41791</v>
      </c>
      <c r="B119" s="14">
        <v>50.7</v>
      </c>
      <c r="C119" s="30">
        <f>Table1346811121415161718192021[[#This Row],[Caixin PMI]]-B118</f>
        <v>1.3000000000000043</v>
      </c>
      <c r="D119" s="14">
        <v>51</v>
      </c>
      <c r="E119" s="14">
        <f>Table1346811121415161718192021[[#This Row],[Official PMI]]-D118</f>
        <v>0.20000000000000284</v>
      </c>
      <c r="F119" s="61">
        <v>7.3999999999999996E-2</v>
      </c>
    </row>
    <row r="120" spans="1:6" x14ac:dyDescent="0.2">
      <c r="A120" s="15">
        <v>41821</v>
      </c>
      <c r="B120" s="14">
        <v>51.7</v>
      </c>
      <c r="C120" s="30">
        <f>Table1346811121415161718192021[[#This Row],[Caixin PMI]]-B119</f>
        <v>1</v>
      </c>
      <c r="D120" s="14">
        <v>51.7</v>
      </c>
      <c r="E120" s="14">
        <f>Table1346811121415161718192021[[#This Row],[Official PMI]]-D119</f>
        <v>0.70000000000000284</v>
      </c>
      <c r="F120" s="61"/>
    </row>
    <row r="121" spans="1:6" x14ac:dyDescent="0.2">
      <c r="A121" s="15">
        <v>41852</v>
      </c>
      <c r="B121" s="14">
        <v>50.2</v>
      </c>
      <c r="C121" s="30">
        <f>Table1346811121415161718192021[[#This Row],[Caixin PMI]]-B120</f>
        <v>-1.5</v>
      </c>
      <c r="D121" s="14">
        <v>51.1</v>
      </c>
      <c r="E121" s="14">
        <f>Table1346811121415161718192021[[#This Row],[Official PMI]]-D120</f>
        <v>-0.60000000000000142</v>
      </c>
      <c r="F121" s="61"/>
    </row>
    <row r="122" spans="1:6" x14ac:dyDescent="0.2">
      <c r="A122" s="15">
        <v>41883</v>
      </c>
      <c r="B122" s="14">
        <v>51.1</v>
      </c>
      <c r="C122" s="30">
        <f>Table1346811121415161718192021[[#This Row],[Caixin PMI]]-B121</f>
        <v>0.89999999999999858</v>
      </c>
      <c r="D122" s="14">
        <v>51.1</v>
      </c>
      <c r="E122" s="14">
        <f>Table1346811121415161718192021[[#This Row],[Official PMI]]-D121</f>
        <v>0</v>
      </c>
      <c r="F122" s="61">
        <v>7.1999999999999995E-2</v>
      </c>
    </row>
    <row r="123" spans="1:6" x14ac:dyDescent="0.2">
      <c r="A123" s="15">
        <v>41913</v>
      </c>
      <c r="B123" s="14">
        <v>50.8</v>
      </c>
      <c r="C123" s="30">
        <f>Table1346811121415161718192021[[#This Row],[Caixin PMI]]-B122</f>
        <v>-0.30000000000000426</v>
      </c>
      <c r="D123" s="14">
        <v>50.8</v>
      </c>
      <c r="E123" s="14">
        <f>Table1346811121415161718192021[[#This Row],[Official PMI]]-D122</f>
        <v>-0.30000000000000426</v>
      </c>
      <c r="F123" s="61"/>
    </row>
    <row r="124" spans="1:6" x14ac:dyDescent="0.2">
      <c r="A124" s="15">
        <v>41944</v>
      </c>
      <c r="B124" s="14">
        <v>50.3</v>
      </c>
      <c r="C124" s="30">
        <f>Table1346811121415161718192021[[#This Row],[Caixin PMI]]-B123</f>
        <v>-0.5</v>
      </c>
      <c r="D124" s="14">
        <v>50.3</v>
      </c>
      <c r="E124" s="14">
        <f>Table1346811121415161718192021[[#This Row],[Official PMI]]-D123</f>
        <v>-0.5</v>
      </c>
      <c r="F124" s="61"/>
    </row>
    <row r="125" spans="1:6" x14ac:dyDescent="0.2">
      <c r="A125" s="15">
        <v>41974</v>
      </c>
      <c r="B125" s="14">
        <v>50.1</v>
      </c>
      <c r="C125" s="30">
        <f>Table1346811121415161718192021[[#This Row],[Caixin PMI]]-B124</f>
        <v>-0.19999999999999574</v>
      </c>
      <c r="D125" s="14">
        <v>50.1</v>
      </c>
      <c r="E125" s="14">
        <f>Table1346811121415161718192021[[#This Row],[Official PMI]]-D124</f>
        <v>-0.19999999999999574</v>
      </c>
      <c r="F125" s="61">
        <v>7.1999999999999995E-2</v>
      </c>
    </row>
    <row r="126" spans="1:6" x14ac:dyDescent="0.2">
      <c r="A126" s="15">
        <v>42005</v>
      </c>
      <c r="B126" s="14">
        <v>49.8</v>
      </c>
      <c r="C126" s="30">
        <f>Table1346811121415161718192021[[#This Row],[Caixin PMI]]-B125</f>
        <v>-0.30000000000000426</v>
      </c>
      <c r="D126" s="14">
        <v>49.8</v>
      </c>
      <c r="E126" s="14">
        <f>Table1346811121415161718192021[[#This Row],[Official PMI]]-D125</f>
        <v>-0.30000000000000426</v>
      </c>
      <c r="F126" s="61"/>
    </row>
    <row r="127" spans="1:6" x14ac:dyDescent="0.2">
      <c r="A127" s="15">
        <v>42036</v>
      </c>
      <c r="B127" s="14">
        <v>49.9</v>
      </c>
      <c r="C127" s="30">
        <f>Table1346811121415161718192021[[#This Row],[Caixin PMI]]-B126</f>
        <v>0.10000000000000142</v>
      </c>
      <c r="D127" s="14">
        <v>49.9</v>
      </c>
      <c r="E127" s="14">
        <f>Table1346811121415161718192021[[#This Row],[Official PMI]]-D126</f>
        <v>0.10000000000000142</v>
      </c>
      <c r="F127" s="61"/>
    </row>
    <row r="128" spans="1:6" x14ac:dyDescent="0.2">
      <c r="A128" s="15">
        <v>42064</v>
      </c>
      <c r="B128" s="14">
        <v>50.1</v>
      </c>
      <c r="C128" s="30">
        <f>Table1346811121415161718192021[[#This Row],[Caixin PMI]]-B127</f>
        <v>0.20000000000000284</v>
      </c>
      <c r="D128" s="14">
        <v>50.1</v>
      </c>
      <c r="E128" s="14">
        <f>Table1346811121415161718192021[[#This Row],[Official PMI]]-D127</f>
        <v>0.20000000000000284</v>
      </c>
      <c r="F128" s="61">
        <v>7.0000000000000007E-2</v>
      </c>
    </row>
    <row r="129" spans="1:6" x14ac:dyDescent="0.2">
      <c r="A129" s="15">
        <v>42095</v>
      </c>
      <c r="B129" s="14">
        <v>50.1</v>
      </c>
      <c r="C129" s="30">
        <f>Table1346811121415161718192021[[#This Row],[Caixin PMI]]-B128</f>
        <v>0</v>
      </c>
      <c r="D129" s="14">
        <v>50.1</v>
      </c>
      <c r="E129" s="14">
        <f>Table1346811121415161718192021[[#This Row],[Official PMI]]-D128</f>
        <v>0</v>
      </c>
      <c r="F129" s="61"/>
    </row>
    <row r="130" spans="1:6" x14ac:dyDescent="0.2">
      <c r="A130" s="15">
        <v>42125</v>
      </c>
      <c r="B130" s="14">
        <v>50.2</v>
      </c>
      <c r="C130" s="30">
        <f>Table1346811121415161718192021[[#This Row],[Caixin PMI]]-B129</f>
        <v>0.10000000000000142</v>
      </c>
      <c r="D130" s="14">
        <v>50.2</v>
      </c>
      <c r="E130" s="14">
        <f>Table1346811121415161718192021[[#This Row],[Official PMI]]-D129</f>
        <v>0.10000000000000142</v>
      </c>
      <c r="F130" s="61"/>
    </row>
    <row r="131" spans="1:6" x14ac:dyDescent="0.2">
      <c r="A131" s="15">
        <v>42156</v>
      </c>
      <c r="B131" s="14">
        <v>50.2</v>
      </c>
      <c r="C131" s="30">
        <f>Table1346811121415161718192021[[#This Row],[Caixin PMI]]-B130</f>
        <v>0</v>
      </c>
      <c r="D131" s="14">
        <v>50.2</v>
      </c>
      <c r="E131" s="14">
        <f>Table1346811121415161718192021[[#This Row],[Official PMI]]-D130</f>
        <v>0</v>
      </c>
      <c r="F131" s="61">
        <v>7.0000000000000007E-2</v>
      </c>
    </row>
    <row r="132" spans="1:6" x14ac:dyDescent="0.2">
      <c r="A132" s="15">
        <v>42186</v>
      </c>
      <c r="B132" s="14">
        <v>50</v>
      </c>
      <c r="C132" s="30">
        <f>Table1346811121415161718192021[[#This Row],[Caixin PMI]]-B131</f>
        <v>-0.20000000000000284</v>
      </c>
      <c r="D132" s="14">
        <v>50</v>
      </c>
      <c r="E132" s="14">
        <f>Table1346811121415161718192021[[#This Row],[Official PMI]]-D131</f>
        <v>-0.20000000000000284</v>
      </c>
      <c r="F132" s="61"/>
    </row>
    <row r="133" spans="1:6" x14ac:dyDescent="0.2">
      <c r="A133" s="15">
        <v>42217</v>
      </c>
      <c r="B133" s="14">
        <v>47.3</v>
      </c>
      <c r="C133" s="30">
        <f>Table1346811121415161718192021[[#This Row],[Caixin PMI]]-B132</f>
        <v>-2.7000000000000028</v>
      </c>
      <c r="D133" s="14">
        <v>49.7</v>
      </c>
      <c r="E133" s="14">
        <f>Table1346811121415161718192021[[#This Row],[Official PMI]]-D132</f>
        <v>-0.29999999999999716</v>
      </c>
      <c r="F133" s="61"/>
    </row>
    <row r="134" spans="1:6" x14ac:dyDescent="0.2">
      <c r="A134" s="15">
        <v>42248</v>
      </c>
      <c r="B134" s="14">
        <v>47.2</v>
      </c>
      <c r="C134" s="30">
        <f>Table1346811121415161718192021[[#This Row],[Caixin PMI]]-B133</f>
        <v>-9.9999999999994316E-2</v>
      </c>
      <c r="D134" s="14">
        <v>49.8</v>
      </c>
      <c r="E134" s="14">
        <f>Table1346811121415161718192021[[#This Row],[Official PMI]]-D133</f>
        <v>9.9999999999994316E-2</v>
      </c>
      <c r="F134" s="61">
        <v>6.9000000000000006E-2</v>
      </c>
    </row>
    <row r="135" spans="1:6" x14ac:dyDescent="0.2">
      <c r="A135" s="15">
        <v>42278</v>
      </c>
      <c r="B135" s="14">
        <v>48.3</v>
      </c>
      <c r="C135" s="30">
        <f>Table1346811121415161718192021[[#This Row],[Caixin PMI]]-B134</f>
        <v>1.0999999999999943</v>
      </c>
      <c r="D135" s="14">
        <v>49.8</v>
      </c>
      <c r="E135" s="14">
        <f>Table1346811121415161718192021[[#This Row],[Official PMI]]-D134</f>
        <v>0</v>
      </c>
      <c r="F135" s="61"/>
    </row>
    <row r="136" spans="1:6" x14ac:dyDescent="0.2">
      <c r="A136" s="15">
        <v>42309</v>
      </c>
      <c r="B136" s="14">
        <v>48.6</v>
      </c>
      <c r="C136" s="30">
        <f>Table1346811121415161718192021[[#This Row],[Caixin PMI]]-B135</f>
        <v>0.30000000000000426</v>
      </c>
      <c r="D136" s="14">
        <v>49.6</v>
      </c>
      <c r="E136" s="14">
        <f>Table1346811121415161718192021[[#This Row],[Official PMI]]-D135</f>
        <v>-0.19999999999999574</v>
      </c>
      <c r="F136" s="61"/>
    </row>
    <row r="137" spans="1:6" x14ac:dyDescent="0.2">
      <c r="A137" s="15">
        <v>42339</v>
      </c>
      <c r="B137" s="14">
        <v>48.2</v>
      </c>
      <c r="C137" s="30">
        <f>Table1346811121415161718192021[[#This Row],[Caixin PMI]]-B136</f>
        <v>-0.39999999999999858</v>
      </c>
      <c r="D137" s="14">
        <v>49.7</v>
      </c>
      <c r="E137" s="14">
        <f>Table1346811121415161718192021[[#This Row],[Official PMI]]-D136</f>
        <v>0.10000000000000142</v>
      </c>
      <c r="F137" s="61">
        <v>6.8000000000000005E-2</v>
      </c>
    </row>
    <row r="138" spans="1:6" x14ac:dyDescent="0.2">
      <c r="A138" s="15">
        <v>42370</v>
      </c>
      <c r="B138" s="14">
        <v>48.4</v>
      </c>
      <c r="C138" s="30">
        <f>Table1346811121415161718192021[[#This Row],[Caixin PMI]]-B137</f>
        <v>0.19999999999999574</v>
      </c>
      <c r="D138" s="14">
        <v>49.4</v>
      </c>
      <c r="E138" s="14">
        <f>Table1346811121415161718192021[[#This Row],[Official PMI]]-D137</f>
        <v>-0.30000000000000426</v>
      </c>
      <c r="F138" s="61"/>
    </row>
    <row r="139" spans="1:6" x14ac:dyDescent="0.2">
      <c r="A139" s="15">
        <v>42401</v>
      </c>
      <c r="B139" s="14">
        <v>48</v>
      </c>
      <c r="C139" s="30">
        <f>Table1346811121415161718192021[[#This Row],[Caixin PMI]]-B138</f>
        <v>-0.39999999999999858</v>
      </c>
      <c r="D139" s="14">
        <v>49</v>
      </c>
      <c r="E139" s="14">
        <f>Table1346811121415161718192021[[#This Row],[Official PMI]]-D138</f>
        <v>-0.39999999999999858</v>
      </c>
      <c r="F139" s="61"/>
    </row>
    <row r="140" spans="1:6" x14ac:dyDescent="0.2">
      <c r="A140" s="15">
        <v>42430</v>
      </c>
      <c r="B140" s="14">
        <v>49.7</v>
      </c>
      <c r="C140" s="30">
        <f>Table1346811121415161718192021[[#This Row],[Caixin PMI]]-B139</f>
        <v>1.7000000000000028</v>
      </c>
      <c r="D140" s="14">
        <v>50.2</v>
      </c>
      <c r="E140" s="14">
        <f>Table1346811121415161718192021[[#This Row],[Official PMI]]-D139</f>
        <v>1.2000000000000028</v>
      </c>
      <c r="F140" s="61">
        <v>6.7000000000000004E-2</v>
      </c>
    </row>
    <row r="141" spans="1:6" x14ac:dyDescent="0.2">
      <c r="A141" s="15">
        <v>42461</v>
      </c>
      <c r="B141" s="14">
        <v>49.4</v>
      </c>
      <c r="C141" s="30">
        <f>Table1346811121415161718192021[[#This Row],[Caixin PMI]]-B140</f>
        <v>-0.30000000000000426</v>
      </c>
      <c r="D141" s="14">
        <v>50.1</v>
      </c>
      <c r="E141" s="14">
        <f>Table1346811121415161718192021[[#This Row],[Official PMI]]-D140</f>
        <v>-0.10000000000000142</v>
      </c>
      <c r="F141" s="61"/>
    </row>
    <row r="142" spans="1:6" x14ac:dyDescent="0.2">
      <c r="A142" s="15">
        <v>42491</v>
      </c>
      <c r="B142" s="14">
        <v>49.2</v>
      </c>
      <c r="C142" s="30">
        <f>Table1346811121415161718192021[[#This Row],[Caixin PMI]]-B141</f>
        <v>-0.19999999999999574</v>
      </c>
      <c r="D142" s="14">
        <v>50.1</v>
      </c>
      <c r="E142" s="14">
        <f>Table1346811121415161718192021[[#This Row],[Official PMI]]-D141</f>
        <v>0</v>
      </c>
      <c r="F142" s="61"/>
    </row>
    <row r="143" spans="1:6" x14ac:dyDescent="0.2">
      <c r="A143" s="15">
        <v>42522</v>
      </c>
      <c r="B143" s="14">
        <v>48.6</v>
      </c>
      <c r="C143" s="30">
        <f>Table1346811121415161718192021[[#This Row],[Caixin PMI]]-B142</f>
        <v>-0.60000000000000142</v>
      </c>
      <c r="D143" s="14">
        <v>50</v>
      </c>
      <c r="E143" s="14">
        <f>Table1346811121415161718192021[[#This Row],[Official PMI]]-D142</f>
        <v>-0.10000000000000142</v>
      </c>
      <c r="F143" s="61">
        <v>6.7000000000000004E-2</v>
      </c>
    </row>
    <row r="144" spans="1:6" x14ac:dyDescent="0.2">
      <c r="A144" s="15">
        <v>42552</v>
      </c>
      <c r="B144" s="14">
        <v>50.6</v>
      </c>
      <c r="C144" s="30">
        <f>Table1346811121415161718192021[[#This Row],[Caixin PMI]]-B143</f>
        <v>2</v>
      </c>
      <c r="D144" s="14">
        <v>49.9</v>
      </c>
      <c r="E144" s="14">
        <f>Table1346811121415161718192021[[#This Row],[Official PMI]]-D143</f>
        <v>-0.10000000000000142</v>
      </c>
      <c r="F144" s="61"/>
    </row>
    <row r="145" spans="1:6" x14ac:dyDescent="0.2">
      <c r="A145" s="15">
        <v>42583</v>
      </c>
      <c r="B145" s="14">
        <v>50</v>
      </c>
      <c r="C145" s="30">
        <f>Table1346811121415161718192021[[#This Row],[Caixin PMI]]-B144</f>
        <v>-0.60000000000000142</v>
      </c>
      <c r="D145" s="14">
        <v>50.4</v>
      </c>
      <c r="E145" s="14">
        <f>Table1346811121415161718192021[[#This Row],[Official PMI]]-D144</f>
        <v>0.5</v>
      </c>
      <c r="F145" s="61"/>
    </row>
    <row r="146" spans="1:6" x14ac:dyDescent="0.2">
      <c r="A146" s="15">
        <v>42614</v>
      </c>
      <c r="B146" s="14">
        <v>50.1</v>
      </c>
      <c r="C146" s="30">
        <f>Table1346811121415161718192021[[#This Row],[Caixin PMI]]-B145</f>
        <v>0.10000000000000142</v>
      </c>
      <c r="D146" s="14">
        <v>50.4</v>
      </c>
      <c r="E146" s="14">
        <f>Table1346811121415161718192021[[#This Row],[Official PMI]]-D145</f>
        <v>0</v>
      </c>
      <c r="F146" s="61">
        <v>6.7000000000000004E-2</v>
      </c>
    </row>
    <row r="147" spans="1:6" x14ac:dyDescent="0.2">
      <c r="A147" s="15">
        <v>42644</v>
      </c>
      <c r="B147" s="14">
        <v>51.2</v>
      </c>
      <c r="C147" s="30">
        <f>Table1346811121415161718192021[[#This Row],[Caixin PMI]]-B146</f>
        <v>1.1000000000000014</v>
      </c>
      <c r="D147" s="14">
        <v>51.2</v>
      </c>
      <c r="E147" s="14">
        <f>Table1346811121415161718192021[[#This Row],[Official PMI]]-D146</f>
        <v>0.80000000000000426</v>
      </c>
      <c r="F147" s="61"/>
    </row>
    <row r="148" spans="1:6" x14ac:dyDescent="0.2">
      <c r="A148" s="15">
        <v>42675</v>
      </c>
      <c r="B148" s="14">
        <v>50.9</v>
      </c>
      <c r="C148" s="30">
        <f>Table1346811121415161718192021[[#This Row],[Caixin PMI]]-B147</f>
        <v>-0.30000000000000426</v>
      </c>
      <c r="D148" s="14">
        <v>51.7</v>
      </c>
      <c r="E148" s="14">
        <f>Table1346811121415161718192021[[#This Row],[Official PMI]]-D147</f>
        <v>0.5</v>
      </c>
      <c r="F148" s="61"/>
    </row>
    <row r="149" spans="1:6" x14ac:dyDescent="0.2">
      <c r="A149" s="15">
        <v>42705</v>
      </c>
      <c r="B149" s="14">
        <v>51.9</v>
      </c>
      <c r="C149" s="30">
        <f>Table1346811121415161718192021[[#This Row],[Caixin PMI]]-B148</f>
        <v>1</v>
      </c>
      <c r="D149" s="14">
        <v>51.4</v>
      </c>
      <c r="E149" s="14">
        <f>Table1346811121415161718192021[[#This Row],[Official PMI]]-D148</f>
        <v>-0.30000000000000426</v>
      </c>
      <c r="F149" s="61">
        <v>6.8000000000000005E-2</v>
      </c>
    </row>
    <row r="150" spans="1:6" x14ac:dyDescent="0.2">
      <c r="A150" s="15">
        <v>42736</v>
      </c>
      <c r="B150" s="14">
        <v>51</v>
      </c>
      <c r="C150" s="30">
        <f>Table1346811121415161718192021[[#This Row],[Caixin PMI]]-B149</f>
        <v>-0.89999999999999858</v>
      </c>
      <c r="D150" s="14">
        <v>51.3</v>
      </c>
      <c r="E150" s="14">
        <f>Table1346811121415161718192021[[#This Row],[Official PMI]]-D149</f>
        <v>-0.10000000000000142</v>
      </c>
      <c r="F150" s="61"/>
    </row>
    <row r="151" spans="1:6" x14ac:dyDescent="0.2">
      <c r="A151" s="15">
        <v>42767</v>
      </c>
      <c r="B151" s="14">
        <v>51.7</v>
      </c>
      <c r="C151" s="30">
        <f>Table1346811121415161718192021[[#This Row],[Caixin PMI]]-B150</f>
        <v>0.70000000000000284</v>
      </c>
      <c r="D151" s="14">
        <v>51.6</v>
      </c>
      <c r="E151" s="14">
        <f>Table1346811121415161718192021[[#This Row],[Official PMI]]-D150</f>
        <v>0.30000000000000426</v>
      </c>
      <c r="F151" s="61"/>
    </row>
    <row r="152" spans="1:6" x14ac:dyDescent="0.2">
      <c r="A152" s="15">
        <v>42795</v>
      </c>
      <c r="B152" s="14">
        <v>51.2</v>
      </c>
      <c r="C152" s="30">
        <f>Table1346811121415161718192021[[#This Row],[Caixin PMI]]-B151</f>
        <v>-0.5</v>
      </c>
      <c r="D152" s="14">
        <v>51.8</v>
      </c>
      <c r="E152" s="14">
        <f>Table1346811121415161718192021[[#This Row],[Official PMI]]-D151</f>
        <v>0.19999999999999574</v>
      </c>
      <c r="F152" s="61">
        <v>6.9000000000000006E-2</v>
      </c>
    </row>
    <row r="153" spans="1:6" x14ac:dyDescent="0.2">
      <c r="A153" s="15">
        <v>42826</v>
      </c>
      <c r="B153" s="14">
        <v>50.3</v>
      </c>
      <c r="C153" s="30">
        <f>Table1346811121415161718192021[[#This Row],[Caixin PMI]]-B152</f>
        <v>-0.90000000000000568</v>
      </c>
      <c r="D153" s="14">
        <v>51.2</v>
      </c>
      <c r="E153" s="14">
        <f>Table1346811121415161718192021[[#This Row],[Official PMI]]-D152</f>
        <v>-0.59999999999999432</v>
      </c>
      <c r="F153" s="61"/>
    </row>
    <row r="154" spans="1:6" x14ac:dyDescent="0.2">
      <c r="A154" s="15">
        <v>42856</v>
      </c>
      <c r="B154" s="14">
        <v>49.6</v>
      </c>
      <c r="C154" s="30">
        <f>Table1346811121415161718192021[[#This Row],[Caixin PMI]]-B153</f>
        <v>-0.69999999999999574</v>
      </c>
      <c r="D154" s="14">
        <v>51.2</v>
      </c>
      <c r="E154" s="14">
        <f>Table1346811121415161718192021[[#This Row],[Official PMI]]-D153</f>
        <v>0</v>
      </c>
      <c r="F154" s="61"/>
    </row>
    <row r="155" spans="1:6" x14ac:dyDescent="0.2">
      <c r="A155" s="15">
        <v>42887</v>
      </c>
      <c r="B155" s="14">
        <v>50.4</v>
      </c>
      <c r="C155" s="30">
        <f>Table1346811121415161718192021[[#This Row],[Caixin PMI]]-B154</f>
        <v>0.79999999999999716</v>
      </c>
      <c r="D155" s="14">
        <v>51.7</v>
      </c>
      <c r="E155" s="14">
        <f>Table1346811121415161718192021[[#This Row],[Official PMI]]-D154</f>
        <v>0.5</v>
      </c>
      <c r="F155" s="61">
        <v>6.9000000000000006E-2</v>
      </c>
    </row>
    <row r="156" spans="1:6" x14ac:dyDescent="0.2">
      <c r="A156" s="15">
        <v>42917</v>
      </c>
      <c r="B156" s="14">
        <v>51.1</v>
      </c>
      <c r="C156" s="30">
        <f>Table1346811121415161718192021[[#This Row],[Caixin PMI]]-B155</f>
        <v>0.70000000000000284</v>
      </c>
      <c r="D156" s="14">
        <v>51.4</v>
      </c>
      <c r="E156" s="14">
        <f>Table1346811121415161718192021[[#This Row],[Official PMI]]-D155</f>
        <v>-0.30000000000000426</v>
      </c>
      <c r="F156" s="61"/>
    </row>
    <row r="157" spans="1:6" x14ac:dyDescent="0.2">
      <c r="A157" s="15">
        <v>42948</v>
      </c>
      <c r="B157" s="14">
        <v>51.6</v>
      </c>
      <c r="C157" s="30">
        <f>Table1346811121415161718192021[[#This Row],[Caixin PMI]]-B156</f>
        <v>0.5</v>
      </c>
      <c r="D157" s="14">
        <v>51.7</v>
      </c>
      <c r="E157" s="14">
        <f>Table1346811121415161718192021[[#This Row],[Official PMI]]-D156</f>
        <v>0.30000000000000426</v>
      </c>
      <c r="F157" s="61"/>
    </row>
    <row r="158" spans="1:6" x14ac:dyDescent="0.2">
      <c r="A158" s="15">
        <v>42979</v>
      </c>
      <c r="B158" s="14">
        <v>51</v>
      </c>
      <c r="C158" s="30">
        <f>Table1346811121415161718192021[[#This Row],[Caixin PMI]]-B157</f>
        <v>-0.60000000000000142</v>
      </c>
      <c r="D158" s="14">
        <v>52.4</v>
      </c>
      <c r="E158" s="14">
        <f>Table1346811121415161718192021[[#This Row],[Official PMI]]-D157</f>
        <v>0.69999999999999574</v>
      </c>
      <c r="F158" s="61">
        <v>6.8000000000000005E-2</v>
      </c>
    </row>
    <row r="159" spans="1:6" x14ac:dyDescent="0.2">
      <c r="A159" s="15">
        <v>43009</v>
      </c>
      <c r="B159" s="14">
        <v>51</v>
      </c>
      <c r="C159" s="30">
        <f>Table1346811121415161718192021[[#This Row],[Caixin PMI]]-B158</f>
        <v>0</v>
      </c>
      <c r="D159" s="14">
        <v>51.6</v>
      </c>
      <c r="E159" s="14">
        <f>Table1346811121415161718192021[[#This Row],[Official PMI]]-D158</f>
        <v>-0.79999999999999716</v>
      </c>
      <c r="F159" s="61"/>
    </row>
    <row r="160" spans="1:6" x14ac:dyDescent="0.2">
      <c r="A160" s="15">
        <v>43040</v>
      </c>
      <c r="B160" s="14">
        <v>50.8</v>
      </c>
      <c r="C160" s="30">
        <f>Table1346811121415161718192021[[#This Row],[Caixin PMI]]-B159</f>
        <v>-0.20000000000000284</v>
      </c>
      <c r="D160" s="14">
        <v>51.8</v>
      </c>
      <c r="E160" s="14">
        <f>Table1346811121415161718192021[[#This Row],[Official PMI]]-D159</f>
        <v>0.19999999999999574</v>
      </c>
      <c r="F160" s="61"/>
    </row>
    <row r="161" spans="1:6" x14ac:dyDescent="0.2">
      <c r="A161" s="15">
        <v>43070</v>
      </c>
      <c r="B161" s="14">
        <v>51.5</v>
      </c>
      <c r="C161" s="30">
        <f>Table1346811121415161718192021[[#This Row],[Caixin PMI]]-B160</f>
        <v>0.70000000000000284</v>
      </c>
      <c r="D161" s="14">
        <v>51.6</v>
      </c>
      <c r="E161" s="14">
        <f>Table1346811121415161718192021[[#This Row],[Official PMI]]-D160</f>
        <v>-0.19999999999999574</v>
      </c>
      <c r="F161" s="61">
        <v>6.8000000000000005E-2</v>
      </c>
    </row>
    <row r="162" spans="1:6" x14ac:dyDescent="0.2">
      <c r="A162" s="15">
        <v>43101</v>
      </c>
      <c r="B162" s="14">
        <v>51.6</v>
      </c>
      <c r="C162" s="30">
        <f>Table1346811121415161718192021[[#This Row],[Caixin PMI]]-B161</f>
        <v>0.10000000000000142</v>
      </c>
      <c r="D162" s="14">
        <v>51.3</v>
      </c>
      <c r="E162" s="14">
        <f>Table1346811121415161718192021[[#This Row],[Official PMI]]-D161</f>
        <v>-0.30000000000000426</v>
      </c>
      <c r="F162" s="61"/>
    </row>
    <row r="163" spans="1:6" x14ac:dyDescent="0.2">
      <c r="A163" s="15">
        <v>43132</v>
      </c>
      <c r="B163" s="14">
        <v>51.5</v>
      </c>
      <c r="C163" s="30">
        <f>Table1346811121415161718192021[[#This Row],[Caixin PMI]]-B162</f>
        <v>-0.10000000000000142</v>
      </c>
      <c r="D163" s="14">
        <v>50.3</v>
      </c>
      <c r="E163" s="14">
        <f>Table1346811121415161718192021[[#This Row],[Official PMI]]-D162</f>
        <v>-1</v>
      </c>
      <c r="F163" s="61"/>
    </row>
    <row r="164" spans="1:6" x14ac:dyDescent="0.2">
      <c r="A164" s="15">
        <v>43160</v>
      </c>
      <c r="B164" s="14">
        <v>51</v>
      </c>
      <c r="C164" s="30">
        <f>Table1346811121415161718192021[[#This Row],[Caixin PMI]]-B163</f>
        <v>-0.5</v>
      </c>
      <c r="D164" s="14">
        <v>51.5</v>
      </c>
      <c r="E164" s="14">
        <f>Table1346811121415161718192021[[#This Row],[Official PMI]]-D163</f>
        <v>1.2000000000000028</v>
      </c>
      <c r="F164" s="61">
        <v>6.8000000000000005E-2</v>
      </c>
    </row>
    <row r="165" spans="1:6" x14ac:dyDescent="0.2">
      <c r="A165" s="15">
        <v>43191</v>
      </c>
      <c r="B165" s="14">
        <v>51.1</v>
      </c>
      <c r="C165" s="30">
        <f>Table1346811121415161718192021[[#This Row],[Caixin PMI]]-B164</f>
        <v>0.10000000000000142</v>
      </c>
      <c r="D165" s="14">
        <v>51.4</v>
      </c>
      <c r="E165" s="14">
        <f>Table1346811121415161718192021[[#This Row],[Official PMI]]-D164</f>
        <v>-0.10000000000000142</v>
      </c>
      <c r="F165" s="61"/>
    </row>
    <row r="166" spans="1:6" x14ac:dyDescent="0.2">
      <c r="A166" s="15">
        <v>43221</v>
      </c>
      <c r="B166" s="14">
        <v>51.1</v>
      </c>
      <c r="C166" s="30">
        <f>Table1346811121415161718192021[[#This Row],[Caixin PMI]]-B165</f>
        <v>0</v>
      </c>
      <c r="D166" s="14">
        <v>51.9</v>
      </c>
      <c r="E166" s="14">
        <f>Table1346811121415161718192021[[#This Row],[Official PMI]]-D165</f>
        <v>0.5</v>
      </c>
      <c r="F166" s="61"/>
    </row>
    <row r="167" spans="1:6" x14ac:dyDescent="0.2">
      <c r="A167" s="15">
        <v>43252</v>
      </c>
      <c r="B167" s="14">
        <v>51</v>
      </c>
      <c r="C167" s="30">
        <f>Table1346811121415161718192021[[#This Row],[Caixin PMI]]-B166</f>
        <v>-0.10000000000000142</v>
      </c>
      <c r="D167" s="14">
        <v>51.5</v>
      </c>
      <c r="E167" s="14">
        <f>Table1346811121415161718192021[[#This Row],[Official PMI]]-D166</f>
        <v>-0.39999999999999858</v>
      </c>
      <c r="F167" s="61">
        <v>6.7000000000000004E-2</v>
      </c>
    </row>
    <row r="168" spans="1:6" x14ac:dyDescent="0.2">
      <c r="A168" s="15">
        <v>43282</v>
      </c>
      <c r="B168" s="14">
        <v>50.8</v>
      </c>
      <c r="C168" s="30">
        <f>Table1346811121415161718192021[[#This Row],[Caixin PMI]]-B167</f>
        <v>-0.20000000000000284</v>
      </c>
      <c r="D168" s="14">
        <v>51.2</v>
      </c>
      <c r="E168" s="14">
        <f>Table1346811121415161718192021[[#This Row],[Official PMI]]-D167</f>
        <v>-0.29999999999999716</v>
      </c>
      <c r="F168" s="61"/>
    </row>
    <row r="169" spans="1:6" x14ac:dyDescent="0.2">
      <c r="A169" s="15">
        <v>43313</v>
      </c>
      <c r="B169" s="14">
        <v>50.6</v>
      </c>
      <c r="C169" s="30">
        <f>Table1346811121415161718192021[[#This Row],[Caixin PMI]]-B168</f>
        <v>-0.19999999999999574</v>
      </c>
      <c r="D169" s="14">
        <v>51.3</v>
      </c>
      <c r="E169" s="14">
        <f>Table1346811121415161718192021[[#This Row],[Official PMI]]-D168</f>
        <v>9.9999999999994316E-2</v>
      </c>
      <c r="F169" s="61"/>
    </row>
    <row r="170" spans="1:6" x14ac:dyDescent="0.2">
      <c r="A170" s="15">
        <v>43344</v>
      </c>
      <c r="B170" s="14">
        <v>50</v>
      </c>
      <c r="C170" s="30">
        <f>Table1346811121415161718192021[[#This Row],[Caixin PMI]]-B169</f>
        <v>-0.60000000000000142</v>
      </c>
      <c r="D170" s="14">
        <v>50.8</v>
      </c>
      <c r="E170" s="14">
        <f>Table1346811121415161718192021[[#This Row],[Official PMI]]-D169</f>
        <v>-0.5</v>
      </c>
      <c r="F170" s="61">
        <v>6.5000000000000002E-2</v>
      </c>
    </row>
    <row r="171" spans="1:6" x14ac:dyDescent="0.2">
      <c r="A171" s="15">
        <v>43374</v>
      </c>
      <c r="B171" s="14">
        <v>50.1</v>
      </c>
      <c r="C171" s="30">
        <f>Table1346811121415161718192021[[#This Row],[Caixin PMI]]-B170</f>
        <v>0.10000000000000142</v>
      </c>
      <c r="D171" s="14">
        <v>50.2</v>
      </c>
      <c r="E171" s="14">
        <f>Table1346811121415161718192021[[#This Row],[Official PMI]]-D170</f>
        <v>-0.59999999999999432</v>
      </c>
      <c r="F171" s="61"/>
    </row>
    <row r="172" spans="1:6" x14ac:dyDescent="0.2">
      <c r="A172" s="15">
        <v>43405</v>
      </c>
      <c r="B172" s="14">
        <v>50.2</v>
      </c>
      <c r="C172" s="30">
        <f>Table1346811121415161718192021[[#This Row],[Caixin PMI]]-B171</f>
        <v>0.10000000000000142</v>
      </c>
      <c r="D172" s="14">
        <v>50</v>
      </c>
      <c r="E172" s="14">
        <f>Table1346811121415161718192021[[#This Row],[Official PMI]]-D171</f>
        <v>-0.20000000000000284</v>
      </c>
      <c r="F172" s="61"/>
    </row>
    <row r="173" spans="1:6" x14ac:dyDescent="0.2">
      <c r="A173" s="15">
        <v>43435</v>
      </c>
      <c r="B173" s="14">
        <v>49.7</v>
      </c>
      <c r="C173" s="30">
        <f>Table1346811121415161718192021[[#This Row],[Caixin PMI]]-B172</f>
        <v>-0.5</v>
      </c>
      <c r="D173" s="14">
        <v>49.4</v>
      </c>
      <c r="E173" s="14">
        <f>Table1346811121415161718192021[[#This Row],[Official PMI]]-D172</f>
        <v>-0.60000000000000142</v>
      </c>
      <c r="F173" s="61">
        <v>6.4000000000000001E-2</v>
      </c>
    </row>
    <row r="174" spans="1:6" x14ac:dyDescent="0.2">
      <c r="A174" s="15">
        <v>43466</v>
      </c>
      <c r="B174" s="14">
        <v>48.3</v>
      </c>
      <c r="C174" s="30">
        <f>Table1346811121415161718192021[[#This Row],[Caixin PMI]]-B173</f>
        <v>-1.4000000000000057</v>
      </c>
      <c r="D174" s="14">
        <v>49.5</v>
      </c>
      <c r="E174" s="14">
        <f>Table1346811121415161718192021[[#This Row],[Official PMI]]-D173</f>
        <v>0.10000000000000142</v>
      </c>
      <c r="F174" s="61"/>
    </row>
    <row r="175" spans="1:6" x14ac:dyDescent="0.2">
      <c r="A175" s="15">
        <v>43497</v>
      </c>
      <c r="B175" s="14">
        <v>49.9</v>
      </c>
      <c r="C175" s="30">
        <f>Table1346811121415161718192021[[#This Row],[Caixin PMI]]-B174</f>
        <v>1.6000000000000014</v>
      </c>
      <c r="D175" s="14">
        <v>49.2</v>
      </c>
      <c r="E175" s="14">
        <f>Table1346811121415161718192021[[#This Row],[Official PMI]]-D174</f>
        <v>-0.29999999999999716</v>
      </c>
      <c r="F175" s="61"/>
    </row>
    <row r="176" spans="1:6" x14ac:dyDescent="0.2">
      <c r="A176" s="15">
        <v>43525</v>
      </c>
      <c r="B176" s="14">
        <v>50.8</v>
      </c>
      <c r="C176" s="30">
        <f>Table1346811121415161718192021[[#This Row],[Caixin PMI]]-B175</f>
        <v>0.89999999999999858</v>
      </c>
      <c r="D176" s="14">
        <v>50.5</v>
      </c>
      <c r="E176" s="14">
        <f>Table1346811121415161718192021[[#This Row],[Official PMI]]-D175</f>
        <v>1.2999999999999972</v>
      </c>
      <c r="F176" s="61">
        <v>6.4000000000000001E-2</v>
      </c>
    </row>
    <row r="177" spans="1:6" x14ac:dyDescent="0.2">
      <c r="A177" s="15">
        <v>43556</v>
      </c>
      <c r="B177" s="14">
        <v>50.2</v>
      </c>
      <c r="C177" s="30">
        <f>Table1346811121415161718192021[[#This Row],[Caixin PMI]]-B176</f>
        <v>-0.59999999999999432</v>
      </c>
      <c r="D177" s="14">
        <v>50.1</v>
      </c>
      <c r="E177" s="14">
        <f>Table1346811121415161718192021[[#This Row],[Official PMI]]-D176</f>
        <v>-0.39999999999999858</v>
      </c>
      <c r="F177" s="31"/>
    </row>
    <row r="178" spans="1:6" x14ac:dyDescent="0.2">
      <c r="A178" s="15">
        <v>43586</v>
      </c>
      <c r="B178" s="14">
        <v>50.2</v>
      </c>
      <c r="C178" s="30">
        <f>Table1346811121415161718192021[[#This Row],[Caixin PMI]]-B177</f>
        <v>0</v>
      </c>
      <c r="D178" s="14">
        <v>49.4</v>
      </c>
      <c r="E178" s="14">
        <f>Table1346811121415161718192021[[#This Row],[Official PMI]]-D177</f>
        <v>-0.70000000000000284</v>
      </c>
      <c r="F178" s="31"/>
    </row>
    <row r="179" spans="1:6" x14ac:dyDescent="0.2">
      <c r="A179" s="15">
        <v>43617</v>
      </c>
      <c r="B179" s="14">
        <v>49.4</v>
      </c>
      <c r="C179" s="30">
        <f>Table1346811121415161718192021[[#This Row],[Caixin PMI]]-B178</f>
        <v>-0.80000000000000426</v>
      </c>
      <c r="D179" s="14">
        <v>49.4</v>
      </c>
      <c r="E179" s="14">
        <f>Table1346811121415161718192021[[#This Row],[Official PMI]]-D178</f>
        <v>0</v>
      </c>
      <c r="F179" s="73">
        <v>6.4000000000000001E-2</v>
      </c>
    </row>
    <row r="180" spans="1:6" x14ac:dyDescent="0.2">
      <c r="A180" s="15">
        <v>43647</v>
      </c>
      <c r="B180" s="14">
        <v>49.9</v>
      </c>
      <c r="C180" s="30">
        <f>Table1346811121415161718192021[[#This Row],[Caixin PMI]]-B179</f>
        <v>0.5</v>
      </c>
      <c r="D180" s="14">
        <v>49.7</v>
      </c>
      <c r="E180" s="14">
        <f>Table1346811121415161718192021[[#This Row],[Official PMI]]-D179</f>
        <v>0.30000000000000426</v>
      </c>
      <c r="F180" s="31"/>
    </row>
    <row r="181" spans="1:6" x14ac:dyDescent="0.2">
      <c r="A181" s="15">
        <v>43678</v>
      </c>
      <c r="B181" s="14">
        <v>50.4</v>
      </c>
      <c r="C181" s="30">
        <f>Table1346811121415161718192021[[#This Row],[Caixin PMI]]-B180</f>
        <v>0.5</v>
      </c>
      <c r="D181" s="14">
        <v>49.5</v>
      </c>
      <c r="E181" s="14">
        <f>Table1346811121415161718192021[[#This Row],[Official PMI]]-D180</f>
        <v>-0.20000000000000284</v>
      </c>
      <c r="F181" s="31"/>
    </row>
    <row r="182" spans="1:6" x14ac:dyDescent="0.2">
      <c r="A182" s="15">
        <v>43709</v>
      </c>
      <c r="B182" s="14">
        <v>51.4</v>
      </c>
      <c r="C182" s="30">
        <f>Table1346811121415161718192021[[#This Row],[Caixin PMI]]-B181</f>
        <v>1</v>
      </c>
      <c r="D182" s="14">
        <v>49.8</v>
      </c>
      <c r="E182" s="14">
        <f>Table1346811121415161718192021[[#This Row],[Official PMI]]-D181</f>
        <v>0.29999999999999716</v>
      </c>
      <c r="F182" s="31"/>
    </row>
    <row r="183" spans="1:6" x14ac:dyDescent="0.2">
      <c r="A183" s="15">
        <v>43739</v>
      </c>
      <c r="B183" s="14">
        <v>51.7</v>
      </c>
      <c r="C183" s="30">
        <f>Table1346811121415161718192021[[#This Row],[Caixin PMI]]-B182</f>
        <v>0.30000000000000426</v>
      </c>
      <c r="D183" s="14">
        <v>49.3</v>
      </c>
      <c r="E183" s="14">
        <f>Table1346811121415161718192021[[#This Row],[Official PMI]]-D182</f>
        <v>-0.5</v>
      </c>
      <c r="F183" s="31"/>
    </row>
    <row r="184" spans="1:6" x14ac:dyDescent="0.2">
      <c r="A184" s="15">
        <v>43770</v>
      </c>
      <c r="B184" s="14">
        <v>51.8</v>
      </c>
      <c r="C184" s="30">
        <f>Table1346811121415161718192021[[#This Row],[Caixin PMI]]-B183</f>
        <v>9.9999999999994316E-2</v>
      </c>
      <c r="D184" s="14">
        <v>50.2</v>
      </c>
      <c r="E184" s="14">
        <f>Table1346811121415161718192021[[#This Row],[Official PMI]]-D183</f>
        <v>0.90000000000000568</v>
      </c>
      <c r="F184" s="31"/>
    </row>
    <row r="185" spans="1:6" x14ac:dyDescent="0.2">
      <c r="A185" s="15">
        <v>43800</v>
      </c>
      <c r="B185" s="14">
        <v>51.5</v>
      </c>
      <c r="C185" s="30">
        <f>Table1346811121415161718192021[[#This Row],[Caixin PMI]]-B184</f>
        <v>-0.29999999999999716</v>
      </c>
      <c r="D185" s="14">
        <v>50.2</v>
      </c>
      <c r="E185" s="14">
        <f>Table1346811121415161718192021[[#This Row],[Official PMI]]-D184</f>
        <v>0</v>
      </c>
      <c r="F185" s="31"/>
    </row>
    <row r="186" spans="1:6" x14ac:dyDescent="0.2">
      <c r="A186" s="15">
        <v>43831</v>
      </c>
      <c r="B186" s="14">
        <v>51.1</v>
      </c>
      <c r="C186" s="30">
        <f>Table1346811121415161718192021[[#This Row],[Caixin PMI]]-B185</f>
        <v>-0.39999999999999858</v>
      </c>
      <c r="D186" s="14">
        <v>50</v>
      </c>
      <c r="E186" s="14">
        <f>Table1346811121415161718192021[[#This Row],[Official PMI]]-D185</f>
        <v>-0.20000000000000284</v>
      </c>
      <c r="F186" s="31"/>
    </row>
    <row r="187" spans="1:6" x14ac:dyDescent="0.2">
      <c r="A187" s="15">
        <v>43862</v>
      </c>
      <c r="B187" s="14">
        <v>40.299999999999997</v>
      </c>
      <c r="C187" s="30">
        <f>Table1346811121415161718192021[[#This Row],[Caixin PMI]]-B186</f>
        <v>-10.800000000000004</v>
      </c>
      <c r="D187" s="14">
        <v>35.700000000000003</v>
      </c>
      <c r="E187" s="14">
        <f>Table1346811121415161718192021[[#This Row],[Official PMI]]-D186</f>
        <v>-14.299999999999997</v>
      </c>
      <c r="F187" s="31"/>
    </row>
    <row r="188" spans="1:6" x14ac:dyDescent="0.2">
      <c r="A188" s="15">
        <v>43891</v>
      </c>
      <c r="B188" s="14">
        <v>50.1</v>
      </c>
      <c r="C188" s="30">
        <f>Table1346811121415161718192021[[#This Row],[Caixin PMI]]-B187</f>
        <v>9.8000000000000043</v>
      </c>
      <c r="D188" s="14">
        <v>52</v>
      </c>
      <c r="E188" s="14">
        <f>Table1346811121415161718192021[[#This Row],[Official PMI]]-D187</f>
        <v>16.299999999999997</v>
      </c>
      <c r="F188" s="31"/>
    </row>
    <row r="189" spans="1:6" x14ac:dyDescent="0.2">
      <c r="A189" s="15">
        <v>43922</v>
      </c>
      <c r="B189" s="14">
        <v>49.4</v>
      </c>
      <c r="C189" s="30">
        <f>Table1346811121415161718192021[[#This Row],[Caixin PMI]]-B188</f>
        <v>-0.70000000000000284</v>
      </c>
      <c r="D189" s="14">
        <v>50.8</v>
      </c>
      <c r="E189" s="14">
        <f>Table1346811121415161718192021[[#This Row],[Official PMI]]-D188</f>
        <v>-1.2000000000000028</v>
      </c>
      <c r="F189" s="31"/>
    </row>
    <row r="190" spans="1:6" x14ac:dyDescent="0.2">
      <c r="A190" s="15">
        <v>43952</v>
      </c>
      <c r="B190" s="14">
        <v>50.7</v>
      </c>
      <c r="C190" s="30">
        <f>Table1346811121415161718192021[[#This Row],[Caixin PMI]]-B189</f>
        <v>1.3000000000000043</v>
      </c>
      <c r="D190" s="14">
        <v>50.6</v>
      </c>
      <c r="E190" s="14">
        <f>Table1346811121415161718192021[[#This Row],[Official PMI]]-D189</f>
        <v>-0.19999999999999574</v>
      </c>
      <c r="F190" s="31"/>
    </row>
    <row r="191" spans="1:6" x14ac:dyDescent="0.2">
      <c r="A191" s="15">
        <v>43983</v>
      </c>
      <c r="B191" s="14">
        <v>51.2</v>
      </c>
      <c r="C191" s="30">
        <f>Table1346811121415161718192021[[#This Row],[Caixin PMI]]-B190</f>
        <v>0.5</v>
      </c>
      <c r="D191" s="14">
        <v>50.9</v>
      </c>
      <c r="E191" s="14">
        <f>Table1346811121415161718192021[[#This Row],[Official PMI]]-D190</f>
        <v>0.29999999999999716</v>
      </c>
      <c r="F191" s="31"/>
    </row>
    <row r="192" spans="1:6" x14ac:dyDescent="0.2">
      <c r="A192" s="15">
        <v>44013</v>
      </c>
      <c r="B192" s="14">
        <v>52.8</v>
      </c>
      <c r="C192" s="30">
        <f>Table1346811121415161718192021[[#This Row],[Caixin PMI]]-B191</f>
        <v>1.5999999999999943</v>
      </c>
      <c r="D192" s="14">
        <v>51.1</v>
      </c>
      <c r="E192" s="14">
        <f>Table1346811121415161718192021[[#This Row],[Official PMI]]-D191</f>
        <v>0.20000000000000284</v>
      </c>
      <c r="F192" s="31"/>
    </row>
    <row r="193" spans="1:6" x14ac:dyDescent="0.2">
      <c r="A193" s="15">
        <v>44044</v>
      </c>
      <c r="B193" s="14">
        <v>53.1</v>
      </c>
      <c r="C193" s="30">
        <f>Table1346811121415161718192021[[#This Row],[Caixin PMI]]-B192</f>
        <v>0.30000000000000426</v>
      </c>
      <c r="D193" s="14">
        <v>51</v>
      </c>
      <c r="E193" s="14">
        <f>Table1346811121415161718192021[[#This Row],[Official PMI]]-D192</f>
        <v>-0.10000000000000142</v>
      </c>
      <c r="F193" s="31"/>
    </row>
    <row r="194" spans="1:6" x14ac:dyDescent="0.2">
      <c r="A194" s="15">
        <v>44075</v>
      </c>
      <c r="B194" s="14">
        <v>53</v>
      </c>
      <c r="C194" s="30">
        <f>Table1346811121415161718192021[[#This Row],[Caixin PMI]]-B193</f>
        <v>-0.10000000000000142</v>
      </c>
      <c r="D194" s="14">
        <v>51.5</v>
      </c>
      <c r="E194" s="14">
        <f>Table1346811121415161718192021[[#This Row],[Official PMI]]-D193</f>
        <v>0.5</v>
      </c>
      <c r="F194" s="31"/>
    </row>
    <row r="195" spans="1:6" x14ac:dyDescent="0.2">
      <c r="A195" s="15">
        <v>44105</v>
      </c>
      <c r="B195" s="14">
        <v>53.6</v>
      </c>
      <c r="C195" s="30">
        <f>Table1346811121415161718192021[[#This Row],[Caixin PMI]]-B194</f>
        <v>0.60000000000000142</v>
      </c>
      <c r="D195" s="14">
        <v>51.4</v>
      </c>
      <c r="E195" s="14">
        <f>Table1346811121415161718192021[[#This Row],[Official PMI]]-D194</f>
        <v>-0.10000000000000142</v>
      </c>
      <c r="F195" s="31"/>
    </row>
    <row r="196" spans="1:6" x14ac:dyDescent="0.2">
      <c r="A196" s="15">
        <v>44136</v>
      </c>
      <c r="B196" s="14">
        <v>54.9</v>
      </c>
      <c r="C196" s="30">
        <f>Table1346811121415161718192021[[#This Row],[Caixin PMI]]-B195</f>
        <v>1.2999999999999972</v>
      </c>
      <c r="D196" s="14">
        <v>52.1</v>
      </c>
      <c r="E196" s="14">
        <f>Table1346811121415161718192021[[#This Row],[Official PMI]]-D195</f>
        <v>0.70000000000000284</v>
      </c>
      <c r="F196" s="31"/>
    </row>
    <row r="197" spans="1:6" x14ac:dyDescent="0.2">
      <c r="A197" s="15">
        <v>44166</v>
      </c>
      <c r="B197" s="14">
        <v>53</v>
      </c>
      <c r="C197" s="30">
        <f>Table1346811121415161718192021[[#This Row],[Caixin PMI]]-B196</f>
        <v>-1.8999999999999986</v>
      </c>
      <c r="D197" s="14">
        <v>51.9</v>
      </c>
      <c r="E197" s="14">
        <f>Table1346811121415161718192021[[#This Row],[Official PMI]]-D196</f>
        <v>-0.20000000000000284</v>
      </c>
      <c r="F197" s="31"/>
    </row>
    <row r="198" spans="1:6" x14ac:dyDescent="0.2">
      <c r="A198" s="15">
        <v>44197</v>
      </c>
      <c r="B198" s="14">
        <v>51.5</v>
      </c>
      <c r="C198" s="30">
        <f>Table1346811121415161718192021[[#This Row],[Caixin PMI]]-B197</f>
        <v>-1.5</v>
      </c>
      <c r="D198" s="14">
        <v>51.3</v>
      </c>
      <c r="E198" s="14">
        <f>Table1346811121415161718192021[[#This Row],[Official PMI]]-D197</f>
        <v>-0.60000000000000142</v>
      </c>
      <c r="F198" s="31"/>
    </row>
    <row r="199" spans="1:6" x14ac:dyDescent="0.2">
      <c r="A199" s="15">
        <v>44228</v>
      </c>
      <c r="B199" s="14">
        <v>50.9</v>
      </c>
      <c r="C199" s="30">
        <f>Table1346811121415161718192021[[#This Row],[Caixin PMI]]-B198</f>
        <v>-0.60000000000000142</v>
      </c>
      <c r="D199" s="14">
        <v>50.6</v>
      </c>
      <c r="E199" s="14">
        <f>Table1346811121415161718192021[[#This Row],[Official PMI]]-D198</f>
        <v>-0.69999999999999574</v>
      </c>
      <c r="F199" s="31"/>
    </row>
    <row r="200" spans="1:6" x14ac:dyDescent="0.2">
      <c r="A200" s="15">
        <v>44256</v>
      </c>
      <c r="B200" s="14">
        <v>50.6</v>
      </c>
      <c r="C200" s="30">
        <f>Table1346811121415161718192021[[#This Row],[Caixin PMI]]-B199</f>
        <v>-0.29999999999999716</v>
      </c>
      <c r="D200" s="14">
        <v>51.9</v>
      </c>
      <c r="E200" s="14">
        <f>Table1346811121415161718192021[[#This Row],[Official PMI]]-D199</f>
        <v>1.2999999999999972</v>
      </c>
      <c r="F200" s="31"/>
    </row>
    <row r="201" spans="1:6" x14ac:dyDescent="0.2">
      <c r="A201" s="15">
        <v>44287</v>
      </c>
      <c r="B201" s="14">
        <v>51.9</v>
      </c>
      <c r="C201" s="30">
        <f>Table1346811121415161718192021[[#This Row],[Caixin PMI]]-B200</f>
        <v>1.2999999999999972</v>
      </c>
      <c r="D201" s="14">
        <v>51.1</v>
      </c>
      <c r="E201" s="14">
        <f>Table1346811121415161718192021[[#This Row],[Official PMI]]-D200</f>
        <v>-0.79999999999999716</v>
      </c>
      <c r="F201" s="31"/>
    </row>
    <row r="202" spans="1:6" x14ac:dyDescent="0.2">
      <c r="A202" s="15">
        <v>44317</v>
      </c>
      <c r="B202" s="14">
        <v>52</v>
      </c>
      <c r="C202" s="30">
        <f>Table1346811121415161718192021[[#This Row],[Caixin PMI]]-B201</f>
        <v>0.10000000000000142</v>
      </c>
      <c r="D202" s="14">
        <v>51</v>
      </c>
      <c r="E202" s="14">
        <f>Table1346811121415161718192021[[#This Row],[Official PMI]]-D201</f>
        <v>-0.10000000000000142</v>
      </c>
      <c r="F202" s="31"/>
    </row>
    <row r="203" spans="1:6" x14ac:dyDescent="0.2">
      <c r="A203" s="15">
        <v>44348</v>
      </c>
      <c r="B203" s="14">
        <v>51.3</v>
      </c>
      <c r="C203" s="30">
        <f>Table1346811121415161718192021[[#This Row],[Caixin PMI]]-B202</f>
        <v>-0.70000000000000284</v>
      </c>
      <c r="D203" s="14">
        <v>50.9</v>
      </c>
      <c r="E203" s="14">
        <f>Table1346811121415161718192021[[#This Row],[Official PMI]]-D202</f>
        <v>-0.10000000000000142</v>
      </c>
      <c r="F203" s="31"/>
    </row>
    <row r="204" spans="1:6" x14ac:dyDescent="0.2">
      <c r="A204" s="15">
        <v>44378</v>
      </c>
      <c r="B204" s="14">
        <v>50.3</v>
      </c>
      <c r="C204" s="30">
        <f>Table1346811121415161718192021[[#This Row],[Caixin PMI]]-B203</f>
        <v>-1</v>
      </c>
      <c r="D204" s="14">
        <v>50.4</v>
      </c>
      <c r="E204" s="14">
        <f>Table1346811121415161718192021[[#This Row],[Official PMI]]-D203</f>
        <v>-0.5</v>
      </c>
      <c r="F204" s="31"/>
    </row>
    <row r="205" spans="1:6" x14ac:dyDescent="0.2">
      <c r="A205" s="15">
        <v>44409</v>
      </c>
      <c r="B205" s="14">
        <v>49.2</v>
      </c>
      <c r="C205" s="30">
        <f>Table1346811121415161718192021[[#This Row],[Caixin PMI]]-B204</f>
        <v>-1.0999999999999943</v>
      </c>
      <c r="D205" s="14">
        <v>50.1</v>
      </c>
      <c r="E205" s="14">
        <f>Table1346811121415161718192021[[#This Row],[Official PMI]]-D204</f>
        <v>-0.29999999999999716</v>
      </c>
      <c r="F205" s="31"/>
    </row>
    <row r="206" spans="1:6" x14ac:dyDescent="0.2">
      <c r="A206" s="15">
        <v>44440</v>
      </c>
      <c r="B206" s="14">
        <v>50</v>
      </c>
      <c r="C206" s="30">
        <f>Table1346811121415161718192021[[#This Row],[Caixin PMI]]-B205</f>
        <v>0.79999999999999716</v>
      </c>
      <c r="D206" s="14">
        <v>49.6</v>
      </c>
      <c r="E206" s="14">
        <f>Table1346811121415161718192021[[#This Row],[Official PMI]]-D205</f>
        <v>-0.5</v>
      </c>
      <c r="F206" s="31"/>
    </row>
    <row r="207" spans="1:6" x14ac:dyDescent="0.2">
      <c r="A207" s="15">
        <v>44470</v>
      </c>
      <c r="B207" s="14">
        <v>50.6</v>
      </c>
      <c r="C207" s="30">
        <f>Table1346811121415161718192021[[#This Row],[Caixin PMI]]-B206</f>
        <v>0.60000000000000142</v>
      </c>
      <c r="D207" s="14">
        <v>49.2</v>
      </c>
      <c r="E207" s="14">
        <f>Table1346811121415161718192021[[#This Row],[Official PMI]]-D206</f>
        <v>-0.39999999999999858</v>
      </c>
      <c r="F207" s="31"/>
    </row>
    <row r="208" spans="1:6" x14ac:dyDescent="0.2">
      <c r="A208" s="15">
        <v>44501</v>
      </c>
      <c r="B208" s="14">
        <v>49.9</v>
      </c>
      <c r="C208" s="30">
        <f>Table1346811121415161718192021[[#This Row],[Caixin PMI]]-B207</f>
        <v>-0.70000000000000284</v>
      </c>
      <c r="D208" s="14">
        <v>50.1</v>
      </c>
      <c r="E208" s="14">
        <f>Table1346811121415161718192021[[#This Row],[Official PMI]]-D207</f>
        <v>0.89999999999999858</v>
      </c>
      <c r="F208" s="31"/>
    </row>
    <row r="209" spans="1:6" x14ac:dyDescent="0.2">
      <c r="A209" s="15">
        <v>44531</v>
      </c>
      <c r="B209" s="14">
        <v>50.9</v>
      </c>
      <c r="C209" s="30">
        <f>Table1346811121415161718192021[[#This Row],[Caixin PMI]]-B208</f>
        <v>1</v>
      </c>
      <c r="D209" s="14">
        <v>50.3</v>
      </c>
      <c r="E209" s="14">
        <f>Table1346811121415161718192021[[#This Row],[Official PMI]]-D208</f>
        <v>0.19999999999999574</v>
      </c>
      <c r="F209" s="31"/>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60109038-1425-4184-98F0-2F26A1FC7338}"/>
  </hyperlinks>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6FFAA-F16A-46CB-BD16-3383A7C55967}">
  <dimension ref="A1:K210"/>
  <sheetViews>
    <sheetView zoomScale="150" zoomScaleNormal="150" workbookViewId="0">
      <pane ySplit="5" topLeftCell="A173" activePane="bottomLeft" state="frozen"/>
      <selection pane="bottomLeft" activeCell="V204" sqref="V20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30</v>
      </c>
      <c r="K1" s="10" t="s">
        <v>21</v>
      </c>
    </row>
    <row r="2" spans="1:11" x14ac:dyDescent="0.2">
      <c r="K2" s="10" t="str">
        <f>A1&amp;K1</f>
        <v>Euro Area Manufacturing PMI</v>
      </c>
    </row>
    <row r="4" spans="1:11" ht="16" thickBot="1" x14ac:dyDescent="0.25"/>
    <row r="5" spans="1:11" ht="49" thickBot="1" x14ac:dyDescent="0.25">
      <c r="A5" s="62" t="s">
        <v>10</v>
      </c>
      <c r="B5" s="63" t="s">
        <v>82</v>
      </c>
      <c r="C5" s="63" t="s">
        <v>14</v>
      </c>
      <c r="D5" s="64" t="s">
        <v>79</v>
      </c>
      <c r="E5" s="64" t="s">
        <v>15</v>
      </c>
      <c r="F5" s="64" t="s">
        <v>80</v>
      </c>
      <c r="G5" s="64" t="s">
        <v>81</v>
      </c>
    </row>
    <row r="6" spans="1:11" x14ac:dyDescent="0.2">
      <c r="A6" s="23">
        <v>38322</v>
      </c>
      <c r="B6" s="24">
        <v>51.4</v>
      </c>
      <c r="C6" s="24"/>
      <c r="D6" s="16">
        <v>22.170933000000002</v>
      </c>
      <c r="E6" s="14"/>
      <c r="F6" s="14"/>
      <c r="G6" s="61">
        <v>1.6265967103903822E-2</v>
      </c>
    </row>
    <row r="7" spans="1:11" x14ac:dyDescent="0.2">
      <c r="A7" s="15">
        <v>38353</v>
      </c>
      <c r="B7" s="14">
        <v>51.9</v>
      </c>
      <c r="C7" s="14">
        <f>Table13468111214[[#This Row],[Euro Area PMI]]-B6</f>
        <v>0.5</v>
      </c>
      <c r="D7" s="16">
        <v>22.077954999999999</v>
      </c>
      <c r="E7" s="14"/>
      <c r="F7" s="14"/>
      <c r="G7" s="61"/>
    </row>
    <row r="8" spans="1:11" x14ac:dyDescent="0.2">
      <c r="A8" s="15">
        <v>38384</v>
      </c>
      <c r="B8" s="14">
        <v>51.9</v>
      </c>
      <c r="C8" s="14">
        <f>Table13468111214[[#This Row],[Euro Area PMI]]-B7</f>
        <v>0</v>
      </c>
      <c r="D8" s="16">
        <v>23.038806999999998</v>
      </c>
      <c r="E8" s="14"/>
      <c r="F8" s="14"/>
      <c r="G8" s="61"/>
    </row>
    <row r="9" spans="1:11" x14ac:dyDescent="0.2">
      <c r="A9" s="15">
        <v>38412</v>
      </c>
      <c r="B9" s="14">
        <v>50.4</v>
      </c>
      <c r="C9" s="14">
        <f>Table13468111214[[#This Row],[Euro Area PMI]]-B8</f>
        <v>-1.5</v>
      </c>
      <c r="D9" s="16">
        <v>22.482192999999999</v>
      </c>
      <c r="E9" s="14"/>
      <c r="F9" s="14"/>
      <c r="G9" s="61">
        <v>5.9800035783534877E-3</v>
      </c>
    </row>
    <row r="10" spans="1:11" x14ac:dyDescent="0.2">
      <c r="A10" s="15">
        <v>38443</v>
      </c>
      <c r="B10" s="14">
        <v>49.2</v>
      </c>
      <c r="C10" s="14">
        <f>Table13468111214[[#This Row],[Euro Area PMI]]-B9</f>
        <v>-1.1999999999999957</v>
      </c>
      <c r="D10" s="16">
        <v>21.704802999999998</v>
      </c>
      <c r="E10" s="14"/>
      <c r="F10" s="14"/>
      <c r="G10" s="61"/>
    </row>
    <row r="11" spans="1:11" x14ac:dyDescent="0.2">
      <c r="A11" s="15">
        <v>38473</v>
      </c>
      <c r="B11" s="14">
        <v>48.7</v>
      </c>
      <c r="C11" s="14">
        <f>Table13468111214[[#This Row],[Euro Area PMI]]-B10</f>
        <v>-0.5</v>
      </c>
      <c r="D11" s="16">
        <v>21.801195</v>
      </c>
      <c r="E11" s="14"/>
      <c r="F11" s="14"/>
      <c r="G11" s="61"/>
    </row>
    <row r="12" spans="1:11" x14ac:dyDescent="0.2">
      <c r="A12" s="15">
        <v>38504</v>
      </c>
      <c r="B12" s="14">
        <v>49.9</v>
      </c>
      <c r="C12" s="14">
        <f>Table13468111214[[#This Row],[Euro Area PMI]]-B11</f>
        <v>1.1999999999999957</v>
      </c>
      <c r="D12" s="16">
        <v>22.121486999999998</v>
      </c>
      <c r="E12" s="14"/>
      <c r="F12" s="14"/>
      <c r="G12" s="61">
        <v>2.8172025350974295E-2</v>
      </c>
    </row>
    <row r="13" spans="1:11" x14ac:dyDescent="0.2">
      <c r="A13" s="15">
        <v>38534</v>
      </c>
      <c r="B13" s="14">
        <v>50.8</v>
      </c>
      <c r="C13" s="14">
        <f>Table13468111214[[#This Row],[Euro Area PMI]]-B12</f>
        <v>0.89999999999999858</v>
      </c>
      <c r="D13" s="16">
        <v>23.128986000000001</v>
      </c>
      <c r="E13" s="14"/>
      <c r="F13" s="14"/>
      <c r="G13" s="61"/>
    </row>
    <row r="14" spans="1:11" x14ac:dyDescent="0.2">
      <c r="A14" s="15">
        <v>38565</v>
      </c>
      <c r="B14" s="14">
        <v>50.4</v>
      </c>
      <c r="C14" s="14">
        <f>Table13468111214[[#This Row],[Euro Area PMI]]-B13</f>
        <v>-0.39999999999999858</v>
      </c>
      <c r="D14" s="16">
        <v>23.508351999999999</v>
      </c>
      <c r="E14" s="14"/>
      <c r="F14" s="14"/>
      <c r="G14" s="61"/>
    </row>
    <row r="15" spans="1:11" x14ac:dyDescent="0.2">
      <c r="A15" s="15">
        <v>38596</v>
      </c>
      <c r="B15" s="14">
        <v>51.7</v>
      </c>
      <c r="C15" s="14">
        <f>Table13468111214[[#This Row],[Euro Area PMI]]-B14</f>
        <v>1.3000000000000043</v>
      </c>
      <c r="D15" s="16">
        <v>23.918814000000001</v>
      </c>
      <c r="E15" s="14"/>
      <c r="F15" s="14"/>
      <c r="G15" s="61">
        <v>2.9118461876363577E-2</v>
      </c>
    </row>
    <row r="16" spans="1:11" x14ac:dyDescent="0.2">
      <c r="A16" s="15">
        <v>38626</v>
      </c>
      <c r="B16" s="14">
        <v>52.7</v>
      </c>
      <c r="C16" s="14">
        <f>Table13468111214[[#This Row],[Euro Area PMI]]-B15</f>
        <v>1</v>
      </c>
      <c r="D16" s="16">
        <v>23.017040000000001</v>
      </c>
      <c r="E16" s="14"/>
      <c r="F16" s="14"/>
      <c r="G16" s="61"/>
    </row>
    <row r="17" spans="1:7" x14ac:dyDescent="0.2">
      <c r="A17" s="15">
        <v>38657</v>
      </c>
      <c r="B17" s="14">
        <v>52.8</v>
      </c>
      <c r="C17" s="14">
        <f>Table13468111214[[#This Row],[Euro Area PMI]]-B16</f>
        <v>9.9999999999994316E-2</v>
      </c>
      <c r="D17" s="16">
        <v>23.439947</v>
      </c>
      <c r="E17" s="14"/>
      <c r="F17" s="14"/>
      <c r="G17" s="61"/>
    </row>
    <row r="18" spans="1:7" x14ac:dyDescent="0.2">
      <c r="A18" s="15">
        <v>38687</v>
      </c>
      <c r="B18" s="14">
        <v>53.6</v>
      </c>
      <c r="C18" s="14">
        <f>Table13468111214[[#This Row],[Euro Area PMI]]-B17</f>
        <v>0.80000000000000426</v>
      </c>
      <c r="D18" s="16">
        <v>24.145813</v>
      </c>
      <c r="E18" s="14">
        <f>Table13468111214[[#This Row],[Euro Area PMI]]-B6</f>
        <v>2.2000000000000028</v>
      </c>
      <c r="F18" s="61">
        <f>(Table13468111214[[#This Row],[EZU]]-D6)/D6</f>
        <v>8.9075186867417749E-2</v>
      </c>
      <c r="G18" s="61">
        <v>2.5258257420124997E-2</v>
      </c>
    </row>
    <row r="19" spans="1:7" x14ac:dyDescent="0.2">
      <c r="A19" s="15">
        <v>38718</v>
      </c>
      <c r="B19" s="14">
        <v>53.5</v>
      </c>
      <c r="C19" s="14">
        <f>Table13468111214[[#This Row],[Euro Area PMI]]-B18</f>
        <v>-0.10000000000000142</v>
      </c>
      <c r="D19" s="16">
        <v>26.208597000000001</v>
      </c>
      <c r="E19" s="14">
        <f>Table13468111214[[#This Row],[Euro Area PMI]]-B7</f>
        <v>1.6000000000000014</v>
      </c>
      <c r="F19" s="61">
        <f>(Table13468111214[[#This Row],[EZU]]-D7)/D7</f>
        <v>0.18709350571644892</v>
      </c>
      <c r="G19" s="61"/>
    </row>
    <row r="20" spans="1:7" x14ac:dyDescent="0.2">
      <c r="A20" s="15">
        <v>38749</v>
      </c>
      <c r="B20" s="14">
        <v>54.5</v>
      </c>
      <c r="C20" s="14">
        <f>Table13468111214[[#This Row],[Euro Area PMI]]-B19</f>
        <v>1</v>
      </c>
      <c r="D20" s="16">
        <v>26.398334999999999</v>
      </c>
      <c r="E20" s="14">
        <f>Table13468111214[[#This Row],[Euro Area PMI]]-B8</f>
        <v>2.6000000000000014</v>
      </c>
      <c r="F20" s="61">
        <f>(Table13468111214[[#This Row],[EZU]]-D8)/D8</f>
        <v>0.14582039773153191</v>
      </c>
      <c r="G20" s="61"/>
    </row>
    <row r="21" spans="1:7" x14ac:dyDescent="0.2">
      <c r="A21" s="15">
        <v>38777</v>
      </c>
      <c r="B21" s="14">
        <v>56.1</v>
      </c>
      <c r="C21" s="14">
        <f>Table13468111214[[#This Row],[Euro Area PMI]]-B20</f>
        <v>1.6000000000000014</v>
      </c>
      <c r="D21" s="16">
        <v>27.558876000000001</v>
      </c>
      <c r="E21" s="14">
        <f>Table13468111214[[#This Row],[Euro Area PMI]]-B9</f>
        <v>5.7000000000000028</v>
      </c>
      <c r="F21" s="61">
        <f>(Table13468111214[[#This Row],[EZU]]-D9)/D9</f>
        <v>0.22580906586826308</v>
      </c>
      <c r="G21" s="61">
        <v>3.643398665829789E-2</v>
      </c>
    </row>
    <row r="22" spans="1:7" x14ac:dyDescent="0.2">
      <c r="A22" s="15">
        <v>38808</v>
      </c>
      <c r="B22" s="14">
        <v>56.7</v>
      </c>
      <c r="C22" s="14">
        <f>Table13468111214[[#This Row],[Euro Area PMI]]-B21</f>
        <v>0.60000000000000142</v>
      </c>
      <c r="D22" s="16">
        <v>28.792152000000002</v>
      </c>
      <c r="E22" s="14">
        <f>Table13468111214[[#This Row],[Euro Area PMI]]-B10</f>
        <v>7.5</v>
      </c>
      <c r="F22" s="61">
        <f>(Table13468111214[[#This Row],[EZU]]-D10)/D10</f>
        <v>0.32653367091145696</v>
      </c>
      <c r="G22" s="61"/>
    </row>
    <row r="23" spans="1:7" x14ac:dyDescent="0.2">
      <c r="A23" s="15">
        <v>38838</v>
      </c>
      <c r="B23" s="14">
        <v>57</v>
      </c>
      <c r="C23" s="14">
        <f>Table13468111214[[#This Row],[Euro Area PMI]]-B22</f>
        <v>0.29999999999999716</v>
      </c>
      <c r="D23" s="16">
        <v>27.767586000000001</v>
      </c>
      <c r="E23" s="14">
        <f>Table13468111214[[#This Row],[Euro Area PMI]]-B11</f>
        <v>8.2999999999999972</v>
      </c>
      <c r="F23" s="61">
        <f>(Table13468111214[[#This Row],[EZU]]-D11)/D11</f>
        <v>0.27367265876939323</v>
      </c>
      <c r="G23" s="61"/>
    </row>
    <row r="24" spans="1:7" x14ac:dyDescent="0.2">
      <c r="A24" s="15">
        <v>38869</v>
      </c>
      <c r="B24" s="14">
        <v>57.7</v>
      </c>
      <c r="C24" s="14">
        <f>Table13468111214[[#This Row],[Euro Area PMI]]-B23</f>
        <v>0.70000000000000284</v>
      </c>
      <c r="D24" s="16">
        <v>27.846636</v>
      </c>
      <c r="E24" s="14">
        <f>Table13468111214[[#This Row],[Euro Area PMI]]-B12</f>
        <v>7.8000000000000043</v>
      </c>
      <c r="F24" s="61">
        <f>(Table13468111214[[#This Row],[EZU]]-D12)/D12</f>
        <v>0.2588048895628039</v>
      </c>
      <c r="G24" s="61">
        <v>4.2691360855606764E-2</v>
      </c>
    </row>
    <row r="25" spans="1:7" x14ac:dyDescent="0.2">
      <c r="A25" s="15">
        <v>38899</v>
      </c>
      <c r="B25" s="14">
        <v>57.4</v>
      </c>
      <c r="C25" s="14">
        <f>Table13468111214[[#This Row],[Euro Area PMI]]-B24</f>
        <v>-0.30000000000000426</v>
      </c>
      <c r="D25" s="16">
        <v>28.178681999999998</v>
      </c>
      <c r="E25" s="14">
        <f>Table13468111214[[#This Row],[Euro Area PMI]]-B13</f>
        <v>6.6000000000000014</v>
      </c>
      <c r="F25" s="61">
        <f>(Table13468111214[[#This Row],[EZU]]-D13)/D13</f>
        <v>0.21832759983511585</v>
      </c>
      <c r="G25" s="61"/>
    </row>
    <row r="26" spans="1:7" x14ac:dyDescent="0.2">
      <c r="A26" s="15">
        <v>38930</v>
      </c>
      <c r="B26" s="14">
        <v>56.5</v>
      </c>
      <c r="C26" s="14">
        <f>Table13468111214[[#This Row],[Euro Area PMI]]-B25</f>
        <v>-0.89999999999999858</v>
      </c>
      <c r="D26" s="16">
        <v>29.272804000000001</v>
      </c>
      <c r="E26" s="14">
        <f>Table13468111214[[#This Row],[Euro Area PMI]]-B14</f>
        <v>6.1000000000000014</v>
      </c>
      <c r="F26" s="61">
        <f>(Table13468111214[[#This Row],[EZU]]-D14)/D14</f>
        <v>0.24520868157836001</v>
      </c>
      <c r="G26" s="61"/>
    </row>
    <row r="27" spans="1:7" x14ac:dyDescent="0.2">
      <c r="A27" s="15">
        <v>38961</v>
      </c>
      <c r="B27" s="14">
        <v>56.6</v>
      </c>
      <c r="C27" s="14">
        <f>Table13468111214[[#This Row],[Euro Area PMI]]-B26</f>
        <v>0.10000000000000142</v>
      </c>
      <c r="D27" s="16">
        <v>29.785091000000001</v>
      </c>
      <c r="E27" s="14">
        <f>Table13468111214[[#This Row],[Euro Area PMI]]-B15</f>
        <v>4.8999999999999986</v>
      </c>
      <c r="F27" s="61">
        <f>(Table13468111214[[#This Row],[EZU]]-D15)/D15</f>
        <v>0.2452578543401023</v>
      </c>
      <c r="G27" s="61">
        <v>2.6026508340188048E-2</v>
      </c>
    </row>
    <row r="28" spans="1:7" x14ac:dyDescent="0.2">
      <c r="A28" s="15">
        <v>38991</v>
      </c>
      <c r="B28" s="14">
        <v>57</v>
      </c>
      <c r="C28" s="14">
        <f>Table13468111214[[#This Row],[Euro Area PMI]]-B27</f>
        <v>0.39999999999999858</v>
      </c>
      <c r="D28" s="16">
        <v>30.800166999999998</v>
      </c>
      <c r="E28" s="14">
        <f>Table13468111214[[#This Row],[Euro Area PMI]]-B16</f>
        <v>4.2999999999999972</v>
      </c>
      <c r="F28" s="61">
        <f>(Table13468111214[[#This Row],[EZU]]-D16)/D16</f>
        <v>0.33814630378189359</v>
      </c>
      <c r="G28" s="61"/>
    </row>
    <row r="29" spans="1:7" x14ac:dyDescent="0.2">
      <c r="A29" s="15">
        <v>39022</v>
      </c>
      <c r="B29" s="14">
        <v>56.6</v>
      </c>
      <c r="C29" s="14">
        <f>Table13468111214[[#This Row],[Euro Area PMI]]-B28</f>
        <v>-0.39999999999999858</v>
      </c>
      <c r="D29" s="16">
        <v>32.223171000000001</v>
      </c>
      <c r="E29" s="14">
        <f>Table13468111214[[#This Row],[Euro Area PMI]]-B17</f>
        <v>3.8000000000000043</v>
      </c>
      <c r="F29" s="61">
        <f>(Table13468111214[[#This Row],[EZU]]-D17)/D17</f>
        <v>0.37471176875954543</v>
      </c>
      <c r="G29" s="61"/>
    </row>
    <row r="30" spans="1:7" x14ac:dyDescent="0.2">
      <c r="A30" s="15">
        <v>39052</v>
      </c>
      <c r="B30" s="14">
        <v>56.5</v>
      </c>
      <c r="C30" s="14">
        <f>Table13468111214[[#This Row],[Euro Area PMI]]-B29</f>
        <v>-0.10000000000000142</v>
      </c>
      <c r="D30" s="16">
        <v>32.681694</v>
      </c>
      <c r="E30" s="14">
        <f>Table13468111214[[#This Row],[Euro Area PMI]]-B18</f>
        <v>2.8999999999999986</v>
      </c>
      <c r="F30" s="61">
        <f>(Table13468111214[[#This Row],[EZU]]-D18)/D18</f>
        <v>0.35351391978393931</v>
      </c>
      <c r="G30" s="61">
        <v>4.6339850729940846E-2</v>
      </c>
    </row>
    <row r="31" spans="1:7" x14ac:dyDescent="0.2">
      <c r="A31" s="15">
        <v>39083</v>
      </c>
      <c r="B31" s="14">
        <v>55.5</v>
      </c>
      <c r="C31" s="14">
        <f>Table13468111214[[#This Row],[Euro Area PMI]]-B30</f>
        <v>-1</v>
      </c>
      <c r="D31" s="16">
        <v>33.753489999999999</v>
      </c>
      <c r="E31" s="14">
        <f>Table13468111214[[#This Row],[Euro Area PMI]]-B19</f>
        <v>2</v>
      </c>
      <c r="F31" s="61">
        <f>(Table13468111214[[#This Row],[EZU]]-D19)/D19</f>
        <v>0.2878785537432621</v>
      </c>
      <c r="G31" s="61"/>
    </row>
    <row r="32" spans="1:7" x14ac:dyDescent="0.2">
      <c r="A32" s="15">
        <v>39114</v>
      </c>
      <c r="B32" s="14">
        <v>55.6</v>
      </c>
      <c r="C32" s="14">
        <f>Table13468111214[[#This Row],[Euro Area PMI]]-B31</f>
        <v>0.10000000000000142</v>
      </c>
      <c r="D32" s="16">
        <v>33.447662000000001</v>
      </c>
      <c r="E32" s="14">
        <f>Table13468111214[[#This Row],[Euro Area PMI]]-B20</f>
        <v>1.1000000000000014</v>
      </c>
      <c r="F32" s="61">
        <f>(Table13468111214[[#This Row],[EZU]]-D20)/D20</f>
        <v>0.26703680364689675</v>
      </c>
      <c r="G32" s="61"/>
    </row>
    <row r="33" spans="1:7" x14ac:dyDescent="0.2">
      <c r="A33" s="15">
        <v>39142</v>
      </c>
      <c r="B33" s="14">
        <v>55.4</v>
      </c>
      <c r="C33" s="14">
        <f>Table13468111214[[#This Row],[Euro Area PMI]]-B32</f>
        <v>-0.20000000000000284</v>
      </c>
      <c r="D33" s="16">
        <v>34.838360000000002</v>
      </c>
      <c r="E33" s="14">
        <f>Table13468111214[[#This Row],[Euro Area PMI]]-B21</f>
        <v>-0.70000000000000284</v>
      </c>
      <c r="F33" s="61">
        <f>(Table13468111214[[#This Row],[EZU]]-D21)/D21</f>
        <v>0.26414299334994645</v>
      </c>
      <c r="G33" s="61">
        <v>3.0493376920174287E-2</v>
      </c>
    </row>
    <row r="34" spans="1:7" x14ac:dyDescent="0.2">
      <c r="A34" s="15">
        <v>39173</v>
      </c>
      <c r="B34" s="14">
        <v>55.4</v>
      </c>
      <c r="C34" s="14">
        <f>Table13468111214[[#This Row],[Euro Area PMI]]-B33</f>
        <v>0</v>
      </c>
      <c r="D34" s="16">
        <v>37.020988000000003</v>
      </c>
      <c r="E34" s="14">
        <f>Table13468111214[[#This Row],[Euro Area PMI]]-B22</f>
        <v>-1.3000000000000043</v>
      </c>
      <c r="F34" s="61">
        <f>(Table13468111214[[#This Row],[EZU]]-D22)/D22</f>
        <v>0.28580135309093951</v>
      </c>
      <c r="G34" s="61"/>
    </row>
    <row r="35" spans="1:7" x14ac:dyDescent="0.2">
      <c r="A35" s="15">
        <v>39203</v>
      </c>
      <c r="B35" s="14">
        <v>55</v>
      </c>
      <c r="C35" s="14">
        <f>Table13468111214[[#This Row],[Euro Area PMI]]-B34</f>
        <v>-0.39999999999999858</v>
      </c>
      <c r="D35" s="16">
        <v>38.421345000000002</v>
      </c>
      <c r="E35" s="14">
        <f>Table13468111214[[#This Row],[Euro Area PMI]]-B23</f>
        <v>-2</v>
      </c>
      <c r="F35" s="61">
        <f>(Table13468111214[[#This Row],[EZU]]-D23)/D23</f>
        <v>0.38367609629443483</v>
      </c>
      <c r="G35" s="61"/>
    </row>
    <row r="36" spans="1:7" x14ac:dyDescent="0.2">
      <c r="A36" s="15">
        <v>39234</v>
      </c>
      <c r="B36" s="14">
        <v>55.6</v>
      </c>
      <c r="C36" s="14">
        <f>Table13468111214[[#This Row],[Euro Area PMI]]-B35</f>
        <v>0.60000000000000142</v>
      </c>
      <c r="D36" s="16">
        <v>37.986758999999999</v>
      </c>
      <c r="E36" s="14">
        <f>Table13468111214[[#This Row],[Euro Area PMI]]-B24</f>
        <v>-2.1000000000000014</v>
      </c>
      <c r="F36" s="61">
        <f>(Table13468111214[[#This Row],[EZU]]-D24)/D24</f>
        <v>0.36414175845154145</v>
      </c>
      <c r="G36" s="61">
        <v>2.4774984060077498E-2</v>
      </c>
    </row>
    <row r="37" spans="1:7" x14ac:dyDescent="0.2">
      <c r="A37" s="15">
        <v>39264</v>
      </c>
      <c r="B37" s="14">
        <v>54.9</v>
      </c>
      <c r="C37" s="14">
        <f>Table13468111214[[#This Row],[Euro Area PMI]]-B36</f>
        <v>-0.70000000000000284</v>
      </c>
      <c r="D37" s="16">
        <v>36.792416000000003</v>
      </c>
      <c r="E37" s="14">
        <f>Table13468111214[[#This Row],[Euro Area PMI]]-B25</f>
        <v>-2.5</v>
      </c>
      <c r="F37" s="61">
        <f>(Table13468111214[[#This Row],[EZU]]-D25)/D25</f>
        <v>0.30568264335429191</v>
      </c>
      <c r="G37" s="61"/>
    </row>
    <row r="38" spans="1:7" x14ac:dyDescent="0.2">
      <c r="A38" s="15">
        <v>39295</v>
      </c>
      <c r="B38" s="14">
        <v>54.3</v>
      </c>
      <c r="C38" s="14">
        <f>Table13468111214[[#This Row],[Euro Area PMI]]-B37</f>
        <v>-0.60000000000000142</v>
      </c>
      <c r="D38" s="16">
        <v>36.782775999999998</v>
      </c>
      <c r="E38" s="14">
        <f>Table13468111214[[#This Row],[Euro Area PMI]]-B26</f>
        <v>-2.2000000000000028</v>
      </c>
      <c r="F38" s="61">
        <f>(Table13468111214[[#This Row],[EZU]]-D26)/D26</f>
        <v>0.2565511660584342</v>
      </c>
      <c r="G38" s="61"/>
    </row>
    <row r="39" spans="1:7" x14ac:dyDescent="0.2">
      <c r="A39" s="15">
        <v>39326</v>
      </c>
      <c r="B39" s="14">
        <v>53.2</v>
      </c>
      <c r="C39" s="14">
        <f>Table13468111214[[#This Row],[Euro Area PMI]]-B38</f>
        <v>-1.0999999999999943</v>
      </c>
      <c r="D39" s="16">
        <v>38.920326000000003</v>
      </c>
      <c r="E39" s="14">
        <f>Table13468111214[[#This Row],[Euro Area PMI]]-B27</f>
        <v>-3.3999999999999986</v>
      </c>
      <c r="F39" s="61">
        <f>(Table13468111214[[#This Row],[EZU]]-D27)/D27</f>
        <v>0.30670495517371432</v>
      </c>
      <c r="G39" s="61">
        <v>1.9952615974581311E-2</v>
      </c>
    </row>
    <row r="40" spans="1:7" x14ac:dyDescent="0.2">
      <c r="A40" s="15">
        <v>39356</v>
      </c>
      <c r="B40" s="14">
        <v>51.5</v>
      </c>
      <c r="C40" s="14">
        <f>Table13468111214[[#This Row],[Euro Area PMI]]-B39</f>
        <v>-1.7000000000000028</v>
      </c>
      <c r="D40" s="16">
        <v>40.848636999999997</v>
      </c>
      <c r="E40" s="14">
        <f>Table13468111214[[#This Row],[Euro Area PMI]]-B28</f>
        <v>-5.5</v>
      </c>
      <c r="F40" s="61">
        <f>(Table13468111214[[#This Row],[EZU]]-D28)/D28</f>
        <v>0.3262472570359764</v>
      </c>
      <c r="G40" s="61"/>
    </row>
    <row r="41" spans="1:7" x14ac:dyDescent="0.2">
      <c r="A41" s="15">
        <v>39387</v>
      </c>
      <c r="B41" s="14">
        <v>52.8</v>
      </c>
      <c r="C41" s="14">
        <f>Table13468111214[[#This Row],[Euro Area PMI]]-B40</f>
        <v>1.2999999999999972</v>
      </c>
      <c r="D41" s="16">
        <v>39.715480999999997</v>
      </c>
      <c r="E41" s="14">
        <f>Table13468111214[[#This Row],[Euro Area PMI]]-B29</f>
        <v>-3.8000000000000043</v>
      </c>
      <c r="F41" s="61">
        <f>(Table13468111214[[#This Row],[EZU]]-D29)/D29</f>
        <v>0.23251311920853462</v>
      </c>
      <c r="G41" s="61"/>
    </row>
    <row r="42" spans="1:7" x14ac:dyDescent="0.2">
      <c r="A42" s="15">
        <v>39417</v>
      </c>
      <c r="B42" s="14">
        <v>52.6</v>
      </c>
      <c r="C42" s="14">
        <f>Table13468111214[[#This Row],[Euro Area PMI]]-B41</f>
        <v>-0.19999999999999574</v>
      </c>
      <c r="D42" s="16">
        <v>38.411696999999997</v>
      </c>
      <c r="E42" s="14">
        <f>Table13468111214[[#This Row],[Euro Area PMI]]-B30</f>
        <v>-3.8999999999999986</v>
      </c>
      <c r="F42" s="61">
        <f>(Table13468111214[[#This Row],[EZU]]-D30)/D30</f>
        <v>0.17532760082754573</v>
      </c>
      <c r="G42" s="61">
        <v>2.1525728817948675E-2</v>
      </c>
    </row>
    <row r="43" spans="1:7" x14ac:dyDescent="0.2">
      <c r="A43" s="15">
        <v>39448</v>
      </c>
      <c r="B43" s="14">
        <v>52.8</v>
      </c>
      <c r="C43" s="14">
        <f>Table13468111214[[#This Row],[Euro Area PMI]]-B42</f>
        <v>0.19999999999999574</v>
      </c>
      <c r="D43" s="16">
        <v>35.328377000000003</v>
      </c>
      <c r="E43" s="14">
        <f>Table13468111214[[#This Row],[Euro Area PMI]]-B31</f>
        <v>-2.7000000000000028</v>
      </c>
      <c r="F43" s="61">
        <f>(Table13468111214[[#This Row],[EZU]]-D31)/D31</f>
        <v>4.665849368465317E-2</v>
      </c>
      <c r="G43" s="61"/>
    </row>
    <row r="44" spans="1:7" x14ac:dyDescent="0.2">
      <c r="A44" s="15">
        <v>39479</v>
      </c>
      <c r="B44" s="14">
        <v>52.3</v>
      </c>
      <c r="C44" s="14">
        <f>Table13468111214[[#This Row],[Euro Area PMI]]-B43</f>
        <v>-0.5</v>
      </c>
      <c r="D44" s="16">
        <v>35.037827</v>
      </c>
      <c r="E44" s="14">
        <f>Table13468111214[[#This Row],[Euro Area PMI]]-B32</f>
        <v>-3.3000000000000043</v>
      </c>
      <c r="F44" s="61">
        <f>(Table13468111214[[#This Row],[EZU]]-D32)/D32</f>
        <v>4.7541887980092568E-2</v>
      </c>
      <c r="G44" s="61"/>
    </row>
    <row r="45" spans="1:7" x14ac:dyDescent="0.2">
      <c r="A45" s="15">
        <v>39508</v>
      </c>
      <c r="B45" s="14">
        <v>52</v>
      </c>
      <c r="C45" s="14">
        <f>Table13468111214[[#This Row],[Euro Area PMI]]-B44</f>
        <v>-0.29999999999999716</v>
      </c>
      <c r="D45" s="16">
        <v>35.922688000000001</v>
      </c>
      <c r="E45" s="14">
        <f>Table13468111214[[#This Row],[Euro Area PMI]]-B33</f>
        <v>-3.3999999999999986</v>
      </c>
      <c r="F45" s="61">
        <f>(Table13468111214[[#This Row],[EZU]]-D33)/D33</f>
        <v>3.1124542027810703E-2</v>
      </c>
      <c r="G45" s="61">
        <v>2.1406240553486056E-2</v>
      </c>
    </row>
    <row r="46" spans="1:7" x14ac:dyDescent="0.2">
      <c r="A46" s="15">
        <v>39539</v>
      </c>
      <c r="B46" s="14">
        <v>50.7</v>
      </c>
      <c r="C46" s="14">
        <f>Table13468111214[[#This Row],[Euro Area PMI]]-B45</f>
        <v>-1.2999999999999972</v>
      </c>
      <c r="D46" s="16">
        <v>37.355637000000002</v>
      </c>
      <c r="E46" s="14">
        <f>Table13468111214[[#This Row],[Euro Area PMI]]-B34</f>
        <v>-4.6999999999999957</v>
      </c>
      <c r="F46" s="61">
        <f>(Table13468111214[[#This Row],[EZU]]-D34)/D34</f>
        <v>9.0394400063012591E-3</v>
      </c>
      <c r="G46" s="61"/>
    </row>
    <row r="47" spans="1:7" x14ac:dyDescent="0.2">
      <c r="A47" s="15">
        <v>39569</v>
      </c>
      <c r="B47" s="14">
        <v>50.6</v>
      </c>
      <c r="C47" s="14">
        <f>Table13468111214[[#This Row],[Euro Area PMI]]-B46</f>
        <v>-0.10000000000000142</v>
      </c>
      <c r="D47" s="16">
        <v>37.798065000000001</v>
      </c>
      <c r="E47" s="14">
        <f>Table13468111214[[#This Row],[Euro Area PMI]]-B35</f>
        <v>-4.3999999999999986</v>
      </c>
      <c r="F47" s="61">
        <f>(Table13468111214[[#This Row],[EZU]]-D35)/D35</f>
        <v>-1.6222232719859266E-2</v>
      </c>
      <c r="G47" s="61"/>
    </row>
    <row r="48" spans="1:7" x14ac:dyDescent="0.2">
      <c r="A48" s="15">
        <v>39600</v>
      </c>
      <c r="B48" s="14">
        <v>49.2</v>
      </c>
      <c r="C48" s="14">
        <f>Table13468111214[[#This Row],[Euro Area PMI]]-B47</f>
        <v>-1.3999999999999986</v>
      </c>
      <c r="D48" s="16">
        <v>32.353530999999997</v>
      </c>
      <c r="E48" s="14">
        <f>Table13468111214[[#This Row],[Euro Area PMI]]-B36</f>
        <v>-6.3999999999999986</v>
      </c>
      <c r="F48" s="61">
        <f>(Table13468111214[[#This Row],[EZU]]-D36)/D36</f>
        <v>-0.1482945149387449</v>
      </c>
      <c r="G48" s="61">
        <v>-1.441173190349565E-2</v>
      </c>
    </row>
    <row r="49" spans="1:7" x14ac:dyDescent="0.2">
      <c r="A49" s="15">
        <v>39630</v>
      </c>
      <c r="B49" s="14">
        <v>47.4</v>
      </c>
      <c r="C49" s="14">
        <f>Table13468111214[[#This Row],[Euro Area PMI]]-B48</f>
        <v>-1.8000000000000043</v>
      </c>
      <c r="D49" s="16">
        <v>32.723587000000002</v>
      </c>
      <c r="E49" s="14">
        <f>Table13468111214[[#This Row],[Euro Area PMI]]-B37</f>
        <v>-7.5</v>
      </c>
      <c r="F49" s="61">
        <f>(Table13468111214[[#This Row],[EZU]]-D37)/D37</f>
        <v>-0.11058879634324641</v>
      </c>
      <c r="G49" s="61"/>
    </row>
    <row r="50" spans="1:7" x14ac:dyDescent="0.2">
      <c r="A50" s="15">
        <v>39661</v>
      </c>
      <c r="B50" s="14">
        <v>47.6</v>
      </c>
      <c r="C50" s="14">
        <f>Table13468111214[[#This Row],[Euro Area PMI]]-B49</f>
        <v>0.20000000000000284</v>
      </c>
      <c r="D50" s="16">
        <v>31.436551999999999</v>
      </c>
      <c r="E50" s="14">
        <f>Table13468111214[[#This Row],[Euro Area PMI]]-B38</f>
        <v>-6.6999999999999957</v>
      </c>
      <c r="F50" s="61">
        <f>(Table13468111214[[#This Row],[EZU]]-D38)/D38</f>
        <v>-0.14534585426613802</v>
      </c>
      <c r="G50" s="61"/>
    </row>
    <row r="51" spans="1:7" x14ac:dyDescent="0.2">
      <c r="A51" s="15">
        <v>39692</v>
      </c>
      <c r="B51" s="14">
        <v>45</v>
      </c>
      <c r="C51" s="14">
        <f>Table13468111214[[#This Row],[Euro Area PMI]]-B50</f>
        <v>-2.6000000000000014</v>
      </c>
      <c r="D51" s="16">
        <v>27.192077999999999</v>
      </c>
      <c r="E51" s="14">
        <f>Table13468111214[[#This Row],[Euro Area PMI]]-B39</f>
        <v>-8.2000000000000028</v>
      </c>
      <c r="F51" s="61">
        <f>(Table13468111214[[#This Row],[EZU]]-D39)/D39</f>
        <v>-0.30133992197290443</v>
      </c>
      <c r="G51" s="61">
        <v>-2.238680884382227E-2</v>
      </c>
    </row>
    <row r="52" spans="1:7" x14ac:dyDescent="0.2">
      <c r="A52" s="15">
        <v>39722</v>
      </c>
      <c r="B52" s="14">
        <v>38.9</v>
      </c>
      <c r="C52" s="14">
        <f>Table13468111214[[#This Row],[Euro Area PMI]]-B51</f>
        <v>-6.1000000000000014</v>
      </c>
      <c r="D52" s="16">
        <v>20.510432999999999</v>
      </c>
      <c r="E52" s="14">
        <f>Table13468111214[[#This Row],[Euro Area PMI]]-B40</f>
        <v>-12.600000000000001</v>
      </c>
      <c r="F52" s="61">
        <f>(Table13468111214[[#This Row],[EZU]]-D40)/D40</f>
        <v>-0.49789186356450521</v>
      </c>
      <c r="G52" s="61"/>
    </row>
    <row r="53" spans="1:7" x14ac:dyDescent="0.2">
      <c r="A53" s="15">
        <v>39753</v>
      </c>
      <c r="B53" s="14">
        <v>35.6</v>
      </c>
      <c r="C53" s="14">
        <f>Table13468111214[[#This Row],[Euro Area PMI]]-B52</f>
        <v>-3.2999999999999972</v>
      </c>
      <c r="D53" s="16">
        <v>18.983789000000002</v>
      </c>
      <c r="E53" s="14">
        <f>Table13468111214[[#This Row],[Euro Area PMI]]-B41</f>
        <v>-17.199999999999996</v>
      </c>
      <c r="F53" s="61">
        <f>(Table13468111214[[#This Row],[EZU]]-D41)/D41</f>
        <v>-0.52200531072505452</v>
      </c>
      <c r="G53" s="61"/>
    </row>
    <row r="54" spans="1:7" x14ac:dyDescent="0.2">
      <c r="A54" s="15">
        <v>39783</v>
      </c>
      <c r="B54" s="14">
        <v>33.9</v>
      </c>
      <c r="C54" s="14">
        <f>Table13468111214[[#This Row],[Euro Area PMI]]-B53</f>
        <v>-1.7000000000000028</v>
      </c>
      <c r="D54" s="16">
        <v>20.95542</v>
      </c>
      <c r="E54" s="14">
        <f>Table13468111214[[#This Row],[Euro Area PMI]]-B42</f>
        <v>-18.700000000000003</v>
      </c>
      <c r="F54" s="61">
        <f>(Table13468111214[[#This Row],[EZU]]-D42)/D42</f>
        <v>-0.45445211649982553</v>
      </c>
      <c r="G54" s="61">
        <v>-6.6026419133766945E-2</v>
      </c>
    </row>
    <row r="55" spans="1:7" x14ac:dyDescent="0.2">
      <c r="A55" s="15">
        <v>39814</v>
      </c>
      <c r="B55" s="14">
        <v>34.4</v>
      </c>
      <c r="C55" s="14">
        <f>Table13468111214[[#This Row],[Euro Area PMI]]-B54</f>
        <v>0.5</v>
      </c>
      <c r="D55" s="16">
        <v>17.675179</v>
      </c>
      <c r="E55" s="14">
        <f>Table13468111214[[#This Row],[Euro Area PMI]]-B43</f>
        <v>-18.399999999999999</v>
      </c>
      <c r="F55" s="61">
        <f>(Table13468111214[[#This Row],[EZU]]-D43)/D43</f>
        <v>-0.49968890447472303</v>
      </c>
      <c r="G55" s="61"/>
    </row>
    <row r="56" spans="1:7" x14ac:dyDescent="0.2">
      <c r="A56" s="15">
        <v>39845</v>
      </c>
      <c r="B56" s="14">
        <v>33.5</v>
      </c>
      <c r="C56" s="14">
        <f>Table13468111214[[#This Row],[Euro Area PMI]]-B55</f>
        <v>-0.89999999999999858</v>
      </c>
      <c r="D56" s="16">
        <v>15.541601</v>
      </c>
      <c r="E56" s="14">
        <f>Table13468111214[[#This Row],[Euro Area PMI]]-B44</f>
        <v>-18.799999999999997</v>
      </c>
      <c r="F56" s="61">
        <f>(Table13468111214[[#This Row],[EZU]]-D44)/D44</f>
        <v>-0.55643365097955422</v>
      </c>
      <c r="G56" s="61"/>
    </row>
    <row r="57" spans="1:7" x14ac:dyDescent="0.2">
      <c r="A57" s="15">
        <v>39873</v>
      </c>
      <c r="B57" s="14">
        <v>33.9</v>
      </c>
      <c r="C57" s="14">
        <f>Table13468111214[[#This Row],[Euro Area PMI]]-B56</f>
        <v>0.39999999999999858</v>
      </c>
      <c r="D57" s="16">
        <v>17.082518</v>
      </c>
      <c r="E57" s="14">
        <f>Table13468111214[[#This Row],[Euro Area PMI]]-B45</f>
        <v>-18.100000000000001</v>
      </c>
      <c r="F57" s="61">
        <f>(Table13468111214[[#This Row],[EZU]]-D45)/D45</f>
        <v>-0.52446437193118733</v>
      </c>
      <c r="G57" s="61">
        <v>-0.11428933086664661</v>
      </c>
    </row>
    <row r="58" spans="1:7" x14ac:dyDescent="0.2">
      <c r="A58" s="15">
        <v>39904</v>
      </c>
      <c r="B58" s="14">
        <v>36.799999999999997</v>
      </c>
      <c r="C58" s="14">
        <f>Table13468111214[[#This Row],[Euro Area PMI]]-B57</f>
        <v>2.8999999999999986</v>
      </c>
      <c r="D58" s="16">
        <v>19.585629999999998</v>
      </c>
      <c r="E58" s="14">
        <f>Table13468111214[[#This Row],[Euro Area PMI]]-B46</f>
        <v>-13.900000000000006</v>
      </c>
      <c r="F58" s="61">
        <f>(Table13468111214[[#This Row],[EZU]]-D46)/D46</f>
        <v>-0.47569813894486668</v>
      </c>
      <c r="G58" s="61"/>
    </row>
    <row r="59" spans="1:7" x14ac:dyDescent="0.2">
      <c r="A59" s="15">
        <v>39934</v>
      </c>
      <c r="B59" s="14">
        <v>40.700000000000003</v>
      </c>
      <c r="C59" s="14">
        <f>Table13468111214[[#This Row],[Euro Area PMI]]-B58</f>
        <v>3.9000000000000057</v>
      </c>
      <c r="D59" s="16">
        <v>22.172407</v>
      </c>
      <c r="E59" s="14">
        <f>Table13468111214[[#This Row],[Euro Area PMI]]-B47</f>
        <v>-9.8999999999999986</v>
      </c>
      <c r="F59" s="61">
        <f>(Table13468111214[[#This Row],[EZU]]-D47)/D47</f>
        <v>-0.41339835782598927</v>
      </c>
      <c r="G59" s="61"/>
    </row>
    <row r="60" spans="1:7" x14ac:dyDescent="0.2">
      <c r="A60" s="15">
        <v>39965</v>
      </c>
      <c r="B60" s="14">
        <v>42.6</v>
      </c>
      <c r="C60" s="14">
        <f>Table13468111214[[#This Row],[Euro Area PMI]]-B59</f>
        <v>1.8999999999999986</v>
      </c>
      <c r="D60" s="16">
        <v>21.133512</v>
      </c>
      <c r="E60" s="14">
        <f>Table13468111214[[#This Row],[Euro Area PMI]]-B48</f>
        <v>-6.6000000000000014</v>
      </c>
      <c r="F60" s="61">
        <f>(Table13468111214[[#This Row],[EZU]]-D48)/D48</f>
        <v>-0.34679426489801063</v>
      </c>
      <c r="G60" s="61">
        <v>-9.7251306297287954E-3</v>
      </c>
    </row>
    <row r="61" spans="1:7" x14ac:dyDescent="0.2">
      <c r="A61" s="15">
        <v>39995</v>
      </c>
      <c r="B61" s="14">
        <v>46.3</v>
      </c>
      <c r="C61" s="14">
        <f>Table13468111214[[#This Row],[Euro Area PMI]]-B60</f>
        <v>3.6999999999999957</v>
      </c>
      <c r="D61" s="16">
        <v>24.010014999999999</v>
      </c>
      <c r="E61" s="14">
        <f>Table13468111214[[#This Row],[Euro Area PMI]]-B49</f>
        <v>-1.1000000000000014</v>
      </c>
      <c r="F61" s="61">
        <f>(Table13468111214[[#This Row],[EZU]]-D49)/D49</f>
        <v>-0.26627802141617307</v>
      </c>
      <c r="G61" s="61"/>
    </row>
    <row r="62" spans="1:7" x14ac:dyDescent="0.2">
      <c r="A62" s="15">
        <v>40026</v>
      </c>
      <c r="B62" s="14">
        <v>48.2</v>
      </c>
      <c r="C62" s="14">
        <f>Table13468111214[[#This Row],[Euro Area PMI]]-B61</f>
        <v>1.9000000000000057</v>
      </c>
      <c r="D62" s="16">
        <v>25.511980000000001</v>
      </c>
      <c r="E62" s="14">
        <f>Table13468111214[[#This Row],[Euro Area PMI]]-B50</f>
        <v>0.60000000000000142</v>
      </c>
      <c r="F62" s="61">
        <f>(Table13468111214[[#This Row],[EZU]]-D50)/D50</f>
        <v>-0.18846125363875776</v>
      </c>
      <c r="G62" s="61"/>
    </row>
    <row r="63" spans="1:7" x14ac:dyDescent="0.2">
      <c r="A63" s="15">
        <v>40057</v>
      </c>
      <c r="B63" s="14">
        <v>49.3</v>
      </c>
      <c r="C63" s="14">
        <f>Table13468111214[[#This Row],[Euro Area PMI]]-B62</f>
        <v>1.0999999999999943</v>
      </c>
      <c r="D63" s="16">
        <v>27.185594999999999</v>
      </c>
      <c r="E63" s="14">
        <f>Table13468111214[[#This Row],[Euro Area PMI]]-B51</f>
        <v>4.2999999999999972</v>
      </c>
      <c r="F63" s="61">
        <f>(Table13468111214[[#This Row],[EZU]]-D51)/D51</f>
        <v>-2.3841502661177093E-4</v>
      </c>
      <c r="G63" s="61">
        <v>1.3559608281368929E-2</v>
      </c>
    </row>
    <row r="64" spans="1:7" x14ac:dyDescent="0.2">
      <c r="A64" s="15">
        <v>40087</v>
      </c>
      <c r="B64" s="14">
        <v>50.7</v>
      </c>
      <c r="C64" s="14">
        <f>Table13468111214[[#This Row],[Euro Area PMI]]-B63</f>
        <v>1.4000000000000057</v>
      </c>
      <c r="D64" s="16">
        <v>25.941116000000001</v>
      </c>
      <c r="E64" s="14">
        <f>Table13468111214[[#This Row],[Euro Area PMI]]-B52</f>
        <v>11.800000000000004</v>
      </c>
      <c r="F64" s="61">
        <f>(Table13468111214[[#This Row],[EZU]]-D52)/D52</f>
        <v>0.26477661393106633</v>
      </c>
      <c r="G64" s="61"/>
    </row>
    <row r="65" spans="1:7" x14ac:dyDescent="0.2">
      <c r="A65" s="15">
        <v>40118</v>
      </c>
      <c r="B65" s="14">
        <v>51.2</v>
      </c>
      <c r="C65" s="14">
        <f>Table13468111214[[#This Row],[Euro Area PMI]]-B64</f>
        <v>0.5</v>
      </c>
      <c r="D65" s="16">
        <v>27.207063999999999</v>
      </c>
      <c r="E65" s="14">
        <f>Table13468111214[[#This Row],[Euro Area PMI]]-B53</f>
        <v>15.600000000000001</v>
      </c>
      <c r="F65" s="61">
        <f>(Table13468111214[[#This Row],[EZU]]-D53)/D53</f>
        <v>0.43317353558870658</v>
      </c>
      <c r="G65" s="61"/>
    </row>
    <row r="66" spans="1:7" x14ac:dyDescent="0.2">
      <c r="A66" s="15">
        <v>40148</v>
      </c>
      <c r="B66" s="14">
        <v>51.6</v>
      </c>
      <c r="C66" s="14">
        <f>Table13468111214[[#This Row],[Euro Area PMI]]-B65</f>
        <v>0.39999999999999858</v>
      </c>
      <c r="D66" s="16">
        <v>26.799378999999998</v>
      </c>
      <c r="E66" s="14">
        <f>Table13468111214[[#This Row],[Euro Area PMI]]-B54</f>
        <v>17.700000000000003</v>
      </c>
      <c r="F66" s="61">
        <f>(Table13468111214[[#This Row],[EZU]]-D54)/D54</f>
        <v>0.27887577533640451</v>
      </c>
      <c r="G66" s="61">
        <v>2.2327831345095639E-2</v>
      </c>
    </row>
    <row r="67" spans="1:7" x14ac:dyDescent="0.2">
      <c r="A67" s="15">
        <v>40179</v>
      </c>
      <c r="B67" s="14">
        <v>52.4</v>
      </c>
      <c r="C67" s="14">
        <f>Table13468111214[[#This Row],[Euro Area PMI]]-B66</f>
        <v>0.79999999999999716</v>
      </c>
      <c r="D67" s="16">
        <v>24.865271</v>
      </c>
      <c r="E67" s="14">
        <f>Table13468111214[[#This Row],[Euro Area PMI]]-B55</f>
        <v>18</v>
      </c>
      <c r="F67" s="61">
        <f>(Table13468111214[[#This Row],[EZU]]-D55)/D55</f>
        <v>0.40679033575841012</v>
      </c>
      <c r="G67" s="61"/>
    </row>
    <row r="68" spans="1:7" x14ac:dyDescent="0.2">
      <c r="A68" s="15">
        <v>40210</v>
      </c>
      <c r="B68" s="14">
        <v>54.2</v>
      </c>
      <c r="C68" s="14">
        <f>Table13468111214[[#This Row],[Euro Area PMI]]-B67</f>
        <v>1.8000000000000043</v>
      </c>
      <c r="D68" s="16">
        <v>24.122698</v>
      </c>
      <c r="E68" s="14">
        <f>Table13468111214[[#This Row],[Euro Area PMI]]-B56</f>
        <v>20.700000000000003</v>
      </c>
      <c r="F68" s="61">
        <f>(Table13468111214[[#This Row],[EZU]]-D56)/D56</f>
        <v>0.55213726050488621</v>
      </c>
      <c r="G68" s="61"/>
    </row>
    <row r="69" spans="1:7" x14ac:dyDescent="0.2">
      <c r="A69" s="15">
        <v>40238</v>
      </c>
      <c r="B69" s="14">
        <v>56.6</v>
      </c>
      <c r="C69" s="14">
        <f>Table13468111214[[#This Row],[Euro Area PMI]]-B68</f>
        <v>2.3999999999999986</v>
      </c>
      <c r="D69" s="16">
        <v>25.903421000000002</v>
      </c>
      <c r="E69" s="14">
        <f>Table13468111214[[#This Row],[Euro Area PMI]]-B57</f>
        <v>22.700000000000003</v>
      </c>
      <c r="F69" s="61">
        <f>(Table13468111214[[#This Row],[EZU]]-D57)/D57</f>
        <v>0.51637018617512953</v>
      </c>
      <c r="G69" s="61">
        <v>1.5680085064055937E-2</v>
      </c>
    </row>
    <row r="70" spans="1:7" x14ac:dyDescent="0.2">
      <c r="A70" s="15">
        <v>40269</v>
      </c>
      <c r="B70" s="14">
        <v>57.6</v>
      </c>
      <c r="C70" s="14">
        <f>Table13468111214[[#This Row],[Euro Area PMI]]-B69</f>
        <v>1</v>
      </c>
      <c r="D70" s="16">
        <v>24.620149999999999</v>
      </c>
      <c r="E70" s="14">
        <f>Table13468111214[[#This Row],[Euro Area PMI]]-B58</f>
        <v>20.800000000000004</v>
      </c>
      <c r="F70" s="61">
        <f>(Table13468111214[[#This Row],[EZU]]-D58)/D58</f>
        <v>0.25705172618904781</v>
      </c>
      <c r="G70" s="61"/>
    </row>
    <row r="71" spans="1:7" x14ac:dyDescent="0.2">
      <c r="A71" s="15">
        <v>40299</v>
      </c>
      <c r="B71" s="14">
        <v>55.8</v>
      </c>
      <c r="C71" s="14">
        <f>Table13468111214[[#This Row],[Euro Area PMI]]-B70</f>
        <v>-1.8000000000000043</v>
      </c>
      <c r="D71" s="16">
        <v>21.512889999999999</v>
      </c>
      <c r="E71" s="14">
        <f>Table13468111214[[#This Row],[Euro Area PMI]]-B59</f>
        <v>15.099999999999994</v>
      </c>
      <c r="F71" s="61">
        <f>(Table13468111214[[#This Row],[EZU]]-D59)/D59</f>
        <v>-2.974494379432964E-2</v>
      </c>
      <c r="G71" s="61"/>
    </row>
    <row r="72" spans="1:7" x14ac:dyDescent="0.2">
      <c r="A72" s="15">
        <v>40330</v>
      </c>
      <c r="B72" s="14">
        <v>55.6</v>
      </c>
      <c r="C72" s="14">
        <f>Table13468111214[[#This Row],[Euro Area PMI]]-B71</f>
        <v>-0.19999999999999574</v>
      </c>
      <c r="D72" s="16">
        <v>20.58287</v>
      </c>
      <c r="E72" s="14">
        <f>Table13468111214[[#This Row],[Euro Area PMI]]-B60</f>
        <v>13</v>
      </c>
      <c r="F72" s="61">
        <f>(Table13468111214[[#This Row],[EZU]]-D60)/D60</f>
        <v>-2.6055394862907776E-2</v>
      </c>
      <c r="G72" s="61">
        <v>3.7326174249129096E-2</v>
      </c>
    </row>
    <row r="73" spans="1:7" x14ac:dyDescent="0.2">
      <c r="A73" s="15">
        <v>40360</v>
      </c>
      <c r="B73" s="14">
        <v>56.7</v>
      </c>
      <c r="C73" s="14">
        <f>Table13468111214[[#This Row],[Euro Area PMI]]-B72</f>
        <v>1.1000000000000014</v>
      </c>
      <c r="D73" s="16">
        <v>24.168361999999998</v>
      </c>
      <c r="E73" s="14">
        <f>Table13468111214[[#This Row],[Euro Area PMI]]-B61</f>
        <v>10.400000000000006</v>
      </c>
      <c r="F73" s="61">
        <f>(Table13468111214[[#This Row],[EZU]]-D61)/D61</f>
        <v>6.5950396115953755E-3</v>
      </c>
      <c r="G73" s="61"/>
    </row>
    <row r="74" spans="1:7" x14ac:dyDescent="0.2">
      <c r="A74" s="15">
        <v>40391</v>
      </c>
      <c r="B74" s="14">
        <v>55.1</v>
      </c>
      <c r="C74" s="14">
        <f>Table13468111214[[#This Row],[Euro Area PMI]]-B73</f>
        <v>-1.6000000000000014</v>
      </c>
      <c r="D74" s="16">
        <v>22.483053000000002</v>
      </c>
      <c r="E74" s="14">
        <f>Table13468111214[[#This Row],[Euro Area PMI]]-B62</f>
        <v>6.8999999999999986</v>
      </c>
      <c r="F74" s="61">
        <f>(Table13468111214[[#This Row],[EZU]]-D62)/D62</f>
        <v>-0.11872567319353493</v>
      </c>
      <c r="G74" s="61"/>
    </row>
    <row r="75" spans="1:7" x14ac:dyDescent="0.2">
      <c r="A75" s="15">
        <v>40422</v>
      </c>
      <c r="B75" s="14">
        <v>53.7</v>
      </c>
      <c r="C75" s="14">
        <f>Table13468111214[[#This Row],[Euro Area PMI]]-B74</f>
        <v>-1.3999999999999986</v>
      </c>
      <c r="D75" s="16">
        <v>25.485695</v>
      </c>
      <c r="E75" s="14">
        <f>Table13468111214[[#This Row],[Euro Area PMI]]-B63</f>
        <v>4.4000000000000057</v>
      </c>
      <c r="F75" s="61">
        <f>(Table13468111214[[#This Row],[EZU]]-D63)/D63</f>
        <v>-6.2529438844358548E-2</v>
      </c>
      <c r="G75" s="61">
        <v>1.8661024144199789E-2</v>
      </c>
    </row>
    <row r="76" spans="1:7" x14ac:dyDescent="0.2">
      <c r="A76" s="15">
        <v>40452</v>
      </c>
      <c r="B76" s="14">
        <v>54.6</v>
      </c>
      <c r="C76" s="14">
        <f>Table13468111214[[#This Row],[Euro Area PMI]]-B75</f>
        <v>0.89999999999999858</v>
      </c>
      <c r="D76" s="16">
        <v>27.031174</v>
      </c>
      <c r="E76" s="14">
        <f>Table13468111214[[#This Row],[Euro Area PMI]]-B64</f>
        <v>3.8999999999999986</v>
      </c>
      <c r="F76" s="61">
        <f>(Table13468111214[[#This Row],[EZU]]-D64)/D64</f>
        <v>4.2020474369722532E-2</v>
      </c>
      <c r="G76" s="61"/>
    </row>
    <row r="77" spans="1:7" x14ac:dyDescent="0.2">
      <c r="A77" s="15">
        <v>40483</v>
      </c>
      <c r="B77" s="14">
        <v>55.3</v>
      </c>
      <c r="C77" s="14">
        <f>Table13468111214[[#This Row],[Euro Area PMI]]-B76</f>
        <v>0.69999999999999574</v>
      </c>
      <c r="D77" s="16">
        <v>24.035892</v>
      </c>
      <c r="E77" s="14">
        <f>Table13468111214[[#This Row],[Euro Area PMI]]-B65</f>
        <v>4.0999999999999943</v>
      </c>
      <c r="F77" s="61">
        <f>(Table13468111214[[#This Row],[EZU]]-D65)/D65</f>
        <v>-0.11655693536061071</v>
      </c>
      <c r="G77" s="61"/>
    </row>
    <row r="78" spans="1:7" x14ac:dyDescent="0.2">
      <c r="A78" s="15">
        <v>40513</v>
      </c>
      <c r="B78" s="14">
        <v>57.1</v>
      </c>
      <c r="C78" s="14">
        <f>Table13468111214[[#This Row],[Euro Area PMI]]-B77</f>
        <v>1.8000000000000043</v>
      </c>
      <c r="D78" s="16">
        <v>25.956700999999999</v>
      </c>
      <c r="E78" s="14">
        <f>Table13468111214[[#This Row],[Euro Area PMI]]-B66</f>
        <v>5.5</v>
      </c>
      <c r="F78" s="61">
        <f>(Table13468111214[[#This Row],[EZU]]-D66)/D66</f>
        <v>-3.1443937562881566E-2</v>
      </c>
      <c r="G78" s="61">
        <v>2.5320207001568118E-2</v>
      </c>
    </row>
    <row r="79" spans="1:7" x14ac:dyDescent="0.2">
      <c r="A79" s="15">
        <v>40544</v>
      </c>
      <c r="B79" s="14">
        <v>57.3</v>
      </c>
      <c r="C79" s="14">
        <f>Table13468111214[[#This Row],[Euro Area PMI]]-B78</f>
        <v>0.19999999999999574</v>
      </c>
      <c r="D79" s="16">
        <v>27.830259000000002</v>
      </c>
      <c r="E79" s="14">
        <f>Table13468111214[[#This Row],[Euro Area PMI]]-B67</f>
        <v>4.8999999999999986</v>
      </c>
      <c r="F79" s="61">
        <f>(Table13468111214[[#This Row],[EZU]]-D67)/D67</f>
        <v>0.11924213494395464</v>
      </c>
      <c r="G79" s="61"/>
    </row>
    <row r="80" spans="1:7" x14ac:dyDescent="0.2">
      <c r="A80" s="15">
        <v>40575</v>
      </c>
      <c r="B80" s="14">
        <v>59</v>
      </c>
      <c r="C80" s="14">
        <f>Table13468111214[[#This Row],[Euro Area PMI]]-B79</f>
        <v>1.7000000000000028</v>
      </c>
      <c r="D80" s="16">
        <v>28.646398999999999</v>
      </c>
      <c r="E80" s="14">
        <f>Table13468111214[[#This Row],[Euro Area PMI]]-B68</f>
        <v>4.7999999999999972</v>
      </c>
      <c r="F80" s="61">
        <f>(Table13468111214[[#This Row],[EZU]]-D68)/D68</f>
        <v>0.18752881622113743</v>
      </c>
      <c r="G80" s="61"/>
    </row>
    <row r="81" spans="1:7" x14ac:dyDescent="0.2">
      <c r="A81" s="15">
        <v>40603</v>
      </c>
      <c r="B81" s="14">
        <v>57.5</v>
      </c>
      <c r="C81" s="14">
        <f>Table13468111214[[#This Row],[Euro Area PMI]]-B80</f>
        <v>-1.5</v>
      </c>
      <c r="D81" s="16">
        <v>28.742857000000001</v>
      </c>
      <c r="E81" s="14">
        <f>Table13468111214[[#This Row],[Euro Area PMI]]-B69</f>
        <v>0.89999999999999858</v>
      </c>
      <c r="F81" s="61">
        <f>(Table13468111214[[#This Row],[EZU]]-D69)/D69</f>
        <v>0.10961625493404901</v>
      </c>
      <c r="G81" s="61">
        <v>3.0521728783740265E-2</v>
      </c>
    </row>
    <row r="82" spans="1:7" x14ac:dyDescent="0.2">
      <c r="A82" s="15">
        <v>40634</v>
      </c>
      <c r="B82" s="14">
        <v>58</v>
      </c>
      <c r="C82" s="14">
        <f>Table13468111214[[#This Row],[Euro Area PMI]]-B81</f>
        <v>0.5</v>
      </c>
      <c r="D82" s="16">
        <v>31.03546</v>
      </c>
      <c r="E82" s="14">
        <f>Table13468111214[[#This Row],[Euro Area PMI]]-B70</f>
        <v>0.39999999999999858</v>
      </c>
      <c r="F82" s="61">
        <f>(Table13468111214[[#This Row],[EZU]]-D70)/D70</f>
        <v>0.26057152373157766</v>
      </c>
      <c r="G82" s="61"/>
    </row>
    <row r="83" spans="1:7" x14ac:dyDescent="0.2">
      <c r="A83" s="15">
        <v>40664</v>
      </c>
      <c r="B83" s="14">
        <v>54.6</v>
      </c>
      <c r="C83" s="14">
        <f>Table13468111214[[#This Row],[Euro Area PMI]]-B82</f>
        <v>-3.3999999999999986</v>
      </c>
      <c r="D83" s="16">
        <v>29.558993999999998</v>
      </c>
      <c r="E83" s="14">
        <f>Table13468111214[[#This Row],[Euro Area PMI]]-B71</f>
        <v>-1.1999999999999957</v>
      </c>
      <c r="F83" s="61">
        <f>(Table13468111214[[#This Row],[EZU]]-D71)/D71</f>
        <v>0.37401316141160024</v>
      </c>
      <c r="G83" s="61"/>
    </row>
    <row r="84" spans="1:7" x14ac:dyDescent="0.2">
      <c r="A84" s="15">
        <v>40695</v>
      </c>
      <c r="B84" s="14">
        <v>52</v>
      </c>
      <c r="C84" s="14">
        <f>Table13468111214[[#This Row],[Euro Area PMI]]-B83</f>
        <v>-2.6000000000000014</v>
      </c>
      <c r="D84" s="16">
        <v>28.809629000000001</v>
      </c>
      <c r="E84" s="14">
        <f>Table13468111214[[#This Row],[Euro Area PMI]]-B72</f>
        <v>-3.6000000000000014</v>
      </c>
      <c r="F84" s="61">
        <f>(Table13468111214[[#This Row],[EZU]]-D72)/D72</f>
        <v>0.39968959625164041</v>
      </c>
      <c r="G84" s="61">
        <v>5.5775662172719009E-4</v>
      </c>
    </row>
    <row r="85" spans="1:7" x14ac:dyDescent="0.2">
      <c r="A85" s="15">
        <v>40725</v>
      </c>
      <c r="B85" s="14">
        <v>50.4</v>
      </c>
      <c r="C85" s="14">
        <f>Table13468111214[[#This Row],[Euro Area PMI]]-B84</f>
        <v>-1.6000000000000014</v>
      </c>
      <c r="D85" s="16">
        <v>27.238226000000001</v>
      </c>
      <c r="E85" s="14">
        <f>Table13468111214[[#This Row],[Euro Area PMI]]-B73</f>
        <v>-6.3000000000000043</v>
      </c>
      <c r="F85" s="61">
        <f>(Table13468111214[[#This Row],[EZU]]-D73)/D73</f>
        <v>0.12701994450430704</v>
      </c>
      <c r="G85" s="61"/>
    </row>
    <row r="86" spans="1:7" x14ac:dyDescent="0.2">
      <c r="A86" s="15">
        <v>40756</v>
      </c>
      <c r="B86" s="14">
        <v>49</v>
      </c>
      <c r="C86" s="14">
        <f>Table13468111214[[#This Row],[Euro Area PMI]]-B85</f>
        <v>-1.3999999999999986</v>
      </c>
      <c r="D86" s="16">
        <v>23.915012000000001</v>
      </c>
      <c r="E86" s="14">
        <f>Table13468111214[[#This Row],[Euro Area PMI]]-B74</f>
        <v>-6.1000000000000014</v>
      </c>
      <c r="F86" s="61">
        <f>(Table13468111214[[#This Row],[EZU]]-D74)/D74</f>
        <v>6.3690593977606111E-2</v>
      </c>
      <c r="G86" s="61"/>
    </row>
    <row r="87" spans="1:7" x14ac:dyDescent="0.2">
      <c r="A87" s="15">
        <v>40787</v>
      </c>
      <c r="B87" s="14">
        <v>48.5</v>
      </c>
      <c r="C87" s="14">
        <f>Table13468111214[[#This Row],[Euro Area PMI]]-B86</f>
        <v>-0.5</v>
      </c>
      <c r="D87" s="16">
        <v>20.728361</v>
      </c>
      <c r="E87" s="14">
        <f>Table13468111214[[#This Row],[Euro Area PMI]]-B75</f>
        <v>-5.2000000000000028</v>
      </c>
      <c r="F87" s="61">
        <f>(Table13468111214[[#This Row],[EZU]]-D75)/D75</f>
        <v>-0.1866668340808442</v>
      </c>
      <c r="G87" s="61">
        <v>-1.6870932538581851E-4</v>
      </c>
    </row>
    <row r="88" spans="1:7" x14ac:dyDescent="0.2">
      <c r="A88" s="15">
        <v>40817</v>
      </c>
      <c r="B88" s="14">
        <v>47.1</v>
      </c>
      <c r="C88" s="14">
        <f>Table13468111214[[#This Row],[Euro Area PMI]]-B87</f>
        <v>-1.3999999999999986</v>
      </c>
      <c r="D88" s="16">
        <v>23.345963999999999</v>
      </c>
      <c r="E88" s="14">
        <f>Table13468111214[[#This Row],[Euro Area PMI]]-B76</f>
        <v>-7.5</v>
      </c>
      <c r="F88" s="61">
        <f>(Table13468111214[[#This Row],[EZU]]-D76)/D76</f>
        <v>-0.13633185151336755</v>
      </c>
      <c r="G88" s="61"/>
    </row>
    <row r="89" spans="1:7" x14ac:dyDescent="0.2">
      <c r="A89" s="15">
        <v>40848</v>
      </c>
      <c r="B89" s="14">
        <v>46.4</v>
      </c>
      <c r="C89" s="14">
        <f>Table13468111214[[#This Row],[Euro Area PMI]]-B88</f>
        <v>-0.70000000000000284</v>
      </c>
      <c r="D89" s="16">
        <v>22.359622999999999</v>
      </c>
      <c r="E89" s="14">
        <f>Table13468111214[[#This Row],[Euro Area PMI]]-B77</f>
        <v>-8.8999999999999986</v>
      </c>
      <c r="F89" s="61">
        <f>(Table13468111214[[#This Row],[EZU]]-D77)/D77</f>
        <v>-6.9740245130074693E-2</v>
      </c>
      <c r="G89" s="61"/>
    </row>
    <row r="90" spans="1:7" x14ac:dyDescent="0.2">
      <c r="A90" s="15">
        <v>40878</v>
      </c>
      <c r="B90" s="14">
        <v>46.9</v>
      </c>
      <c r="C90" s="14">
        <f>Table13468111214[[#This Row],[Euro Area PMI]]-B89</f>
        <v>0.5</v>
      </c>
      <c r="D90" s="16">
        <v>21.168427999999999</v>
      </c>
      <c r="E90" s="14">
        <f>Table13468111214[[#This Row],[Euro Area PMI]]-B78</f>
        <v>-10.200000000000003</v>
      </c>
      <c r="F90" s="61">
        <f>(Table13468111214[[#This Row],[EZU]]-D78)/D78</f>
        <v>-0.18447155514870708</v>
      </c>
      <c r="G90" s="61">
        <v>-1.1363810389469431E-2</v>
      </c>
    </row>
    <row r="91" spans="1:7" x14ac:dyDescent="0.2">
      <c r="A91" s="15">
        <v>40909</v>
      </c>
      <c r="B91" s="14">
        <v>48.8</v>
      </c>
      <c r="C91" s="14">
        <f>Table13468111214[[#This Row],[Euro Area PMI]]-B90</f>
        <v>1.8999999999999986</v>
      </c>
      <c r="D91" s="16">
        <v>22.927596999999999</v>
      </c>
      <c r="E91" s="14">
        <f>Table13468111214[[#This Row],[Euro Area PMI]]-B79</f>
        <v>-8.5</v>
      </c>
      <c r="F91" s="61">
        <f>(Table13468111214[[#This Row],[EZU]]-D79)/D79</f>
        <v>-0.17616300301050028</v>
      </c>
      <c r="G91" s="61"/>
    </row>
    <row r="92" spans="1:7" x14ac:dyDescent="0.2">
      <c r="A92" s="15">
        <v>40940</v>
      </c>
      <c r="B92" s="14">
        <v>49</v>
      </c>
      <c r="C92" s="14">
        <f>Table13468111214[[#This Row],[Euro Area PMI]]-B91</f>
        <v>0.20000000000000284</v>
      </c>
      <c r="D92" s="16">
        <v>24.186426000000001</v>
      </c>
      <c r="E92" s="14">
        <f>Table13468111214[[#This Row],[Euro Area PMI]]-B80</f>
        <v>-10</v>
      </c>
      <c r="F92" s="61">
        <f>(Table13468111214[[#This Row],[EZU]]-D80)/D80</f>
        <v>-0.15569052850237819</v>
      </c>
      <c r="G92" s="61"/>
    </row>
    <row r="93" spans="1:7" x14ac:dyDescent="0.2">
      <c r="A93" s="15">
        <v>40969</v>
      </c>
      <c r="B93" s="14">
        <v>47.7</v>
      </c>
      <c r="C93" s="14">
        <f>Table13468111214[[#This Row],[Euro Area PMI]]-B92</f>
        <v>-1.2999999999999972</v>
      </c>
      <c r="D93" s="16">
        <v>24.217124999999999</v>
      </c>
      <c r="E93" s="14">
        <f>Table13468111214[[#This Row],[Euro Area PMI]]-B81</f>
        <v>-9.7999999999999972</v>
      </c>
      <c r="F93" s="61">
        <f>(Table13468111214[[#This Row],[EZU]]-D81)/D81</f>
        <v>-0.15745588547443287</v>
      </c>
      <c r="G93" s="61">
        <v>-5.7291699306327715E-3</v>
      </c>
    </row>
    <row r="94" spans="1:7" x14ac:dyDescent="0.2">
      <c r="A94" s="15">
        <v>41000</v>
      </c>
      <c r="B94" s="14">
        <v>45.9</v>
      </c>
      <c r="C94" s="14">
        <f>Table13468111214[[#This Row],[Euro Area PMI]]-B93</f>
        <v>-1.8000000000000043</v>
      </c>
      <c r="D94" s="16">
        <v>22.858515000000001</v>
      </c>
      <c r="E94" s="14">
        <f>Table13468111214[[#This Row],[Euro Area PMI]]-B82</f>
        <v>-12.100000000000001</v>
      </c>
      <c r="F94" s="61">
        <f>(Table13468111214[[#This Row],[EZU]]-D82)/D82</f>
        <v>-0.26347104247850683</v>
      </c>
      <c r="G94" s="61"/>
    </row>
    <row r="95" spans="1:7" x14ac:dyDescent="0.2">
      <c r="A95" s="15">
        <v>41030</v>
      </c>
      <c r="B95" s="14">
        <v>45.1</v>
      </c>
      <c r="C95" s="14">
        <f>Table13468111214[[#This Row],[Euro Area PMI]]-B94</f>
        <v>-0.79999999999999716</v>
      </c>
      <c r="D95" s="16">
        <v>19.911009</v>
      </c>
      <c r="E95" s="14">
        <f>Table13468111214[[#This Row],[Euro Area PMI]]-B83</f>
        <v>-9.5</v>
      </c>
      <c r="F95" s="61">
        <f>(Table13468111214[[#This Row],[EZU]]-D83)/D83</f>
        <v>-0.326397610148708</v>
      </c>
      <c r="G95" s="61"/>
    </row>
    <row r="96" spans="1:7" x14ac:dyDescent="0.2">
      <c r="A96" s="15">
        <v>41061</v>
      </c>
      <c r="B96" s="14">
        <v>45.1</v>
      </c>
      <c r="C96" s="14">
        <f>Table13468111214[[#This Row],[Euro Area PMI]]-B95</f>
        <v>0</v>
      </c>
      <c r="D96" s="16">
        <v>21.070056999999998</v>
      </c>
      <c r="E96" s="14">
        <f>Table13468111214[[#This Row],[Euro Area PMI]]-B84</f>
        <v>-6.8999999999999986</v>
      </c>
      <c r="F96" s="61">
        <f>(Table13468111214[[#This Row],[EZU]]-D84)/D84</f>
        <v>-0.26864531993799717</v>
      </c>
      <c r="G96" s="61">
        <v>-1.5012298757958176E-2</v>
      </c>
    </row>
    <row r="97" spans="1:7" x14ac:dyDescent="0.2">
      <c r="A97" s="15">
        <v>41091</v>
      </c>
      <c r="B97" s="14">
        <v>44</v>
      </c>
      <c r="C97" s="14">
        <f>Table13468111214[[#This Row],[Euro Area PMI]]-B96</f>
        <v>-1.1000000000000014</v>
      </c>
      <c r="D97" s="16">
        <v>21.476416</v>
      </c>
      <c r="E97" s="14">
        <f>Table13468111214[[#This Row],[Euro Area PMI]]-B85</f>
        <v>-6.3999999999999986</v>
      </c>
      <c r="F97" s="61">
        <f>(Table13468111214[[#This Row],[EZU]]-D85)/D85</f>
        <v>-0.21153396700651506</v>
      </c>
      <c r="G97" s="61"/>
    </row>
    <row r="98" spans="1:7" x14ac:dyDescent="0.2">
      <c r="A98" s="15">
        <v>41122</v>
      </c>
      <c r="B98" s="14">
        <v>45.1</v>
      </c>
      <c r="C98" s="14">
        <f>Table13468111214[[#This Row],[Euro Area PMI]]-B97</f>
        <v>1.1000000000000014</v>
      </c>
      <c r="D98" s="16">
        <v>22.898693000000002</v>
      </c>
      <c r="E98" s="14">
        <f>Table13468111214[[#This Row],[Euro Area PMI]]-B86</f>
        <v>-3.8999999999999986</v>
      </c>
      <c r="F98" s="61">
        <f>(Table13468111214[[#This Row],[EZU]]-D86)/D86</f>
        <v>-4.2497114364818185E-2</v>
      </c>
      <c r="G98" s="61"/>
    </row>
    <row r="99" spans="1:7" x14ac:dyDescent="0.2">
      <c r="A99" s="15">
        <v>41153</v>
      </c>
      <c r="B99" s="14">
        <v>46.1</v>
      </c>
      <c r="C99" s="14">
        <f>Table13468111214[[#This Row],[Euro Area PMI]]-B98</f>
        <v>1</v>
      </c>
      <c r="D99" s="16">
        <v>23.744160000000001</v>
      </c>
      <c r="E99" s="14">
        <f>Table13468111214[[#This Row],[Euro Area PMI]]-B87</f>
        <v>-2.3999999999999986</v>
      </c>
      <c r="F99" s="61">
        <f>(Table13468111214[[#This Row],[EZU]]-D87)/D87</f>
        <v>0.14549143562291303</v>
      </c>
      <c r="G99" s="61">
        <v>-4.7763410477339452E-3</v>
      </c>
    </row>
    <row r="100" spans="1:7" x14ac:dyDescent="0.2">
      <c r="A100" s="15">
        <v>41183</v>
      </c>
      <c r="B100" s="14">
        <v>45.4</v>
      </c>
      <c r="C100" s="14">
        <f>Table13468111214[[#This Row],[Euro Area PMI]]-B99</f>
        <v>-0.70000000000000284</v>
      </c>
      <c r="D100" s="16">
        <v>24.352581000000001</v>
      </c>
      <c r="E100" s="14">
        <f>Table13468111214[[#This Row],[Euro Area PMI]]-B88</f>
        <v>-1.7000000000000028</v>
      </c>
      <c r="F100" s="61">
        <f>(Table13468111214[[#This Row],[EZU]]-D88)/D88</f>
        <v>4.3117388513063848E-2</v>
      </c>
      <c r="G100" s="61"/>
    </row>
    <row r="101" spans="1:7" x14ac:dyDescent="0.2">
      <c r="A101" s="15">
        <v>41214</v>
      </c>
      <c r="B101" s="14">
        <v>46.2</v>
      </c>
      <c r="C101" s="14">
        <f>Table13468111214[[#This Row],[Euro Area PMI]]-B100</f>
        <v>0.80000000000000426</v>
      </c>
      <c r="D101" s="16">
        <v>25.182248999999999</v>
      </c>
      <c r="E101" s="14">
        <f>Table13468111214[[#This Row],[Euro Area PMI]]-B89</f>
        <v>-0.19999999999999574</v>
      </c>
      <c r="F101" s="61">
        <f>(Table13468111214[[#This Row],[EZU]]-D89)/D89</f>
        <v>0.12623763826429452</v>
      </c>
      <c r="G101" s="61"/>
    </row>
    <row r="102" spans="1:7" x14ac:dyDescent="0.2">
      <c r="A102" s="15">
        <v>41244</v>
      </c>
      <c r="B102" s="14">
        <v>46.1</v>
      </c>
      <c r="C102" s="14">
        <f>Table13468111214[[#This Row],[Euro Area PMI]]-B101</f>
        <v>-0.10000000000000142</v>
      </c>
      <c r="D102" s="16">
        <v>26.438593000000001</v>
      </c>
      <c r="E102" s="14">
        <f>Table13468111214[[#This Row],[Euro Area PMI]]-B90</f>
        <v>-0.79999999999999716</v>
      </c>
      <c r="F102" s="61">
        <f>(Table13468111214[[#This Row],[EZU]]-D90)/D90</f>
        <v>0.24896345633223224</v>
      </c>
      <c r="G102" s="61">
        <v>-1.6433110475805646E-2</v>
      </c>
    </row>
    <row r="103" spans="1:7" x14ac:dyDescent="0.2">
      <c r="A103" s="15">
        <v>41275</v>
      </c>
      <c r="B103" s="14">
        <v>47.9</v>
      </c>
      <c r="C103" s="14">
        <f>Table13468111214[[#This Row],[Euro Area PMI]]-B102</f>
        <v>1.7999999999999972</v>
      </c>
      <c r="D103" s="16">
        <v>27.536394000000001</v>
      </c>
      <c r="E103" s="14">
        <f>Table13468111214[[#This Row],[Euro Area PMI]]-B91</f>
        <v>-0.89999999999999858</v>
      </c>
      <c r="F103" s="61">
        <f>(Table13468111214[[#This Row],[EZU]]-D91)/D91</f>
        <v>0.2010152655771123</v>
      </c>
      <c r="G103" s="61"/>
    </row>
    <row r="104" spans="1:7" x14ac:dyDescent="0.2">
      <c r="A104" s="15">
        <v>41306</v>
      </c>
      <c r="B104" s="14">
        <v>47.9</v>
      </c>
      <c r="C104" s="14">
        <f>Table13468111214[[#This Row],[Euro Area PMI]]-B103</f>
        <v>0</v>
      </c>
      <c r="D104" s="16">
        <v>26.267437000000001</v>
      </c>
      <c r="E104" s="14">
        <f>Table13468111214[[#This Row],[Euro Area PMI]]-B92</f>
        <v>-1.1000000000000014</v>
      </c>
      <c r="F104" s="61">
        <f>(Table13468111214[[#This Row],[EZU]]-D92)/D92</f>
        <v>8.6040450953770525E-2</v>
      </c>
      <c r="G104" s="61"/>
    </row>
    <row r="105" spans="1:7" x14ac:dyDescent="0.2">
      <c r="A105" s="15">
        <v>41334</v>
      </c>
      <c r="B105" s="14">
        <v>46.8</v>
      </c>
      <c r="C105" s="14">
        <f>Table13468111214[[#This Row],[Euro Area PMI]]-B104</f>
        <v>-1.1000000000000014</v>
      </c>
      <c r="D105" s="16">
        <v>25.894680000000001</v>
      </c>
      <c r="E105" s="14">
        <f>Table13468111214[[#This Row],[Euro Area PMI]]-B93</f>
        <v>-0.90000000000000568</v>
      </c>
      <c r="F105" s="61">
        <f>(Table13468111214[[#This Row],[EZU]]-D93)/D93</f>
        <v>6.9271434986605623E-2</v>
      </c>
      <c r="G105" s="61">
        <v>-1.4558675021881018E-2</v>
      </c>
    </row>
    <row r="106" spans="1:7" x14ac:dyDescent="0.2">
      <c r="A106" s="15">
        <v>41365</v>
      </c>
      <c r="B106" s="14">
        <v>46.7</v>
      </c>
      <c r="C106" s="14">
        <f>Table13468111214[[#This Row],[Euro Area PMI]]-B105</f>
        <v>-9.9999999999994316E-2</v>
      </c>
      <c r="D106" s="16">
        <v>27.385701999999998</v>
      </c>
      <c r="E106" s="14">
        <f>Table13468111214[[#This Row],[Euro Area PMI]]-B94</f>
        <v>0.80000000000000426</v>
      </c>
      <c r="F106" s="61">
        <f>(Table13468111214[[#This Row],[EZU]]-D94)/D94</f>
        <v>0.19805254190834345</v>
      </c>
      <c r="G106" s="61"/>
    </row>
    <row r="107" spans="1:7" x14ac:dyDescent="0.2">
      <c r="A107" s="15">
        <v>41395</v>
      </c>
      <c r="B107" s="14">
        <v>48.3</v>
      </c>
      <c r="C107" s="30">
        <f>Table13468111214[[#This Row],[Euro Area PMI]]-B106</f>
        <v>1.5999999999999943</v>
      </c>
      <c r="D107" s="16">
        <v>27.742602999999999</v>
      </c>
      <c r="E107" s="14">
        <f>Table13468111214[[#This Row],[Euro Area PMI]]-B95</f>
        <v>3.1999999999999957</v>
      </c>
      <c r="F107" s="61">
        <f>(Table13468111214[[#This Row],[EZU]]-D95)/D95</f>
        <v>0.3933298407931009</v>
      </c>
      <c r="G107" s="61"/>
    </row>
    <row r="108" spans="1:7" x14ac:dyDescent="0.2">
      <c r="A108" s="15">
        <v>41426</v>
      </c>
      <c r="B108" s="14">
        <v>48.8</v>
      </c>
      <c r="C108" s="30">
        <f>Table13468111214[[#This Row],[Euro Area PMI]]-B107</f>
        <v>0.5</v>
      </c>
      <c r="D108" s="16">
        <v>25.759855000000002</v>
      </c>
      <c r="E108" s="14">
        <f>Table13468111214[[#This Row],[Euro Area PMI]]-B96</f>
        <v>3.6999999999999957</v>
      </c>
      <c r="F108" s="61">
        <f>(Table13468111214[[#This Row],[EZU]]-D96)/D96</f>
        <v>0.22258117289383714</v>
      </c>
      <c r="G108" s="61">
        <v>2.0202351650639772E-2</v>
      </c>
    </row>
    <row r="109" spans="1:7" x14ac:dyDescent="0.2">
      <c r="A109" s="15">
        <v>41456</v>
      </c>
      <c r="B109" s="14">
        <v>50.3</v>
      </c>
      <c r="C109" s="30">
        <f>Table13468111214[[#This Row],[Euro Area PMI]]-B108</f>
        <v>1.5</v>
      </c>
      <c r="D109" s="16">
        <v>28.698678999999998</v>
      </c>
      <c r="E109" s="14">
        <f>Table13468111214[[#This Row],[Euro Area PMI]]-B97</f>
        <v>6.2999999999999972</v>
      </c>
      <c r="F109" s="61">
        <f>(Table13468111214[[#This Row],[EZU]]-D97)/D97</f>
        <v>0.3362880938793511</v>
      </c>
      <c r="G109" s="61"/>
    </row>
    <row r="110" spans="1:7" x14ac:dyDescent="0.2">
      <c r="A110" s="15">
        <v>41487</v>
      </c>
      <c r="B110" s="14">
        <v>51.4</v>
      </c>
      <c r="C110" s="30">
        <f>Table13468111214[[#This Row],[Euro Area PMI]]-B109</f>
        <v>1.1000000000000014</v>
      </c>
      <c r="D110" s="16">
        <v>28.178654000000002</v>
      </c>
      <c r="E110" s="14">
        <f>Table13468111214[[#This Row],[Euro Area PMI]]-B98</f>
        <v>6.2999999999999972</v>
      </c>
      <c r="F110" s="61">
        <f>(Table13468111214[[#This Row],[EZU]]-D98)/D98</f>
        <v>0.23057914266111171</v>
      </c>
      <c r="G110" s="61"/>
    </row>
    <row r="111" spans="1:7" x14ac:dyDescent="0.2">
      <c r="A111" s="15">
        <v>41518</v>
      </c>
      <c r="B111" s="14">
        <v>51.1</v>
      </c>
      <c r="C111" s="30">
        <f>Table13468111214[[#This Row],[Euro Area PMI]]-B110</f>
        <v>-0.29999999999999716</v>
      </c>
      <c r="D111" s="16">
        <v>30.656889</v>
      </c>
      <c r="E111" s="14">
        <f>Table13468111214[[#This Row],[Euro Area PMI]]-B99</f>
        <v>5</v>
      </c>
      <c r="F111" s="61">
        <f>(Table13468111214[[#This Row],[EZU]]-D99)/D99</f>
        <v>0.29113386196858504</v>
      </c>
      <c r="G111" s="61">
        <v>1.5113428497260717E-2</v>
      </c>
    </row>
    <row r="112" spans="1:7" x14ac:dyDescent="0.2">
      <c r="A112" s="15">
        <v>41548</v>
      </c>
      <c r="B112" s="14">
        <v>51.3</v>
      </c>
      <c r="C112" s="30">
        <f>Table13468111214[[#This Row],[Euro Area PMI]]-B111</f>
        <v>0.19999999999999574</v>
      </c>
      <c r="D112" s="16">
        <v>32.322575000000001</v>
      </c>
      <c r="E112" s="14">
        <f>Table13468111214[[#This Row],[Euro Area PMI]]-B100</f>
        <v>5.8999999999999986</v>
      </c>
      <c r="F112" s="61">
        <f>(Table13468111214[[#This Row],[EZU]]-D100)/D100</f>
        <v>0.3272751253758277</v>
      </c>
      <c r="G112" s="61"/>
    </row>
    <row r="113" spans="1:7" x14ac:dyDescent="0.2">
      <c r="A113" s="15">
        <v>41579</v>
      </c>
      <c r="B113" s="14">
        <v>51.6</v>
      </c>
      <c r="C113" s="30">
        <f>Table13468111214[[#This Row],[Euro Area PMI]]-B112</f>
        <v>0.30000000000000426</v>
      </c>
      <c r="D113" s="16">
        <v>32.793846000000002</v>
      </c>
      <c r="E113" s="14">
        <f>Table13468111214[[#This Row],[Euro Area PMI]]-B101</f>
        <v>5.3999999999999986</v>
      </c>
      <c r="F113" s="61">
        <f>(Table13468111214[[#This Row],[EZU]]-D101)/D101</f>
        <v>0.30226041367472795</v>
      </c>
      <c r="G113" s="61"/>
    </row>
    <row r="114" spans="1:7" x14ac:dyDescent="0.2">
      <c r="A114" s="15">
        <v>41609</v>
      </c>
      <c r="B114" s="14">
        <v>52.7</v>
      </c>
      <c r="C114" s="30">
        <f>Table13468111214[[#This Row],[Euro Area PMI]]-B113</f>
        <v>1.1000000000000014</v>
      </c>
      <c r="D114" s="16">
        <v>33.622630999999998</v>
      </c>
      <c r="E114" s="14">
        <f>Table13468111214[[#This Row],[Euro Area PMI]]-B102</f>
        <v>6.6000000000000014</v>
      </c>
      <c r="F114" s="61">
        <f>(Table13468111214[[#This Row],[EZU]]-D102)/D102</f>
        <v>0.27172542805133382</v>
      </c>
      <c r="G114" s="61">
        <v>9.7653584824304307E-3</v>
      </c>
    </row>
    <row r="115" spans="1:7" x14ac:dyDescent="0.2">
      <c r="A115" s="15">
        <v>41640</v>
      </c>
      <c r="B115" s="14">
        <v>54</v>
      </c>
      <c r="C115" s="30">
        <f>Table13468111214[[#This Row],[Euro Area PMI]]-B114</f>
        <v>1.2999999999999972</v>
      </c>
      <c r="D115" s="16">
        <v>32.011032</v>
      </c>
      <c r="E115" s="14">
        <f>Table13468111214[[#This Row],[Euro Area PMI]]-B103</f>
        <v>6.1000000000000014</v>
      </c>
      <c r="F115" s="61">
        <f>(Table13468111214[[#This Row],[EZU]]-D103)/D103</f>
        <v>0.16249905488714311</v>
      </c>
      <c r="G115" s="61"/>
    </row>
    <row r="116" spans="1:7" x14ac:dyDescent="0.2">
      <c r="A116" s="15">
        <v>41671</v>
      </c>
      <c r="B116" s="14">
        <v>53.2</v>
      </c>
      <c r="C116" s="30">
        <f>Table13468111214[[#This Row],[Euro Area PMI]]-B115</f>
        <v>-0.79999999999999716</v>
      </c>
      <c r="D116" s="16">
        <v>34.244540999999998</v>
      </c>
      <c r="E116" s="14">
        <f>Table13468111214[[#This Row],[Euro Area PMI]]-B104</f>
        <v>5.3000000000000043</v>
      </c>
      <c r="F116" s="61">
        <f>(Table13468111214[[#This Row],[EZU]]-D104)/D104</f>
        <v>0.30368794641060703</v>
      </c>
      <c r="G116" s="61"/>
    </row>
    <row r="117" spans="1:7" x14ac:dyDescent="0.2">
      <c r="A117" s="15">
        <v>41699</v>
      </c>
      <c r="B117" s="14">
        <v>53</v>
      </c>
      <c r="C117" s="30">
        <f>Table13468111214[[#This Row],[Euro Area PMI]]-B116</f>
        <v>-0.20000000000000284</v>
      </c>
      <c r="D117" s="16">
        <v>34.456485999999998</v>
      </c>
      <c r="E117" s="14">
        <f>Table13468111214[[#This Row],[Euro Area PMI]]-B105</f>
        <v>6.2000000000000028</v>
      </c>
      <c r="F117" s="61">
        <f>(Table13468111214[[#This Row],[EZU]]-D105)/D105</f>
        <v>0.33063957538768568</v>
      </c>
      <c r="G117" s="61">
        <v>1.8653115252922348E-2</v>
      </c>
    </row>
    <row r="118" spans="1:7" x14ac:dyDescent="0.2">
      <c r="A118" s="15">
        <v>41730</v>
      </c>
      <c r="B118" s="14">
        <v>54</v>
      </c>
      <c r="C118" s="30">
        <f>Table13468111214[[#This Row],[Euro Area PMI]]-B117</f>
        <v>1</v>
      </c>
      <c r="D118" s="16">
        <v>35.092297000000002</v>
      </c>
      <c r="E118" s="14">
        <f>Table13468111214[[#This Row],[Euro Area PMI]]-B106</f>
        <v>7.2999999999999972</v>
      </c>
      <c r="F118" s="61">
        <f>(Table13468111214[[#This Row],[EZU]]-D106)/D106</f>
        <v>0.28140943766933579</v>
      </c>
      <c r="G118" s="61"/>
    </row>
    <row r="119" spans="1:7" x14ac:dyDescent="0.2">
      <c r="A119" s="15">
        <v>41760</v>
      </c>
      <c r="B119" s="14">
        <v>52.2</v>
      </c>
      <c r="C119" s="30">
        <f>Table13468111214[[#This Row],[Euro Area PMI]]-B118</f>
        <v>-1.7999999999999972</v>
      </c>
      <c r="D119" s="16">
        <v>35.385756999999998</v>
      </c>
      <c r="E119" s="14">
        <f>Table13468111214[[#This Row],[Euro Area PMI]]-B107</f>
        <v>3.9000000000000057</v>
      </c>
      <c r="F119" s="61">
        <f>(Table13468111214[[#This Row],[EZU]]-D107)/D107</f>
        <v>0.2755024104983948</v>
      </c>
      <c r="G119" s="61"/>
    </row>
    <row r="120" spans="1:7" x14ac:dyDescent="0.2">
      <c r="A120" s="15">
        <v>41791</v>
      </c>
      <c r="B120" s="14">
        <v>51.8</v>
      </c>
      <c r="C120" s="30">
        <f>Table13468111214[[#This Row],[Euro Area PMI]]-B119</f>
        <v>-0.40000000000000568</v>
      </c>
      <c r="D120" s="16">
        <v>34.497242</v>
      </c>
      <c r="E120" s="14">
        <f>Table13468111214[[#This Row],[Euro Area PMI]]-B108</f>
        <v>3</v>
      </c>
      <c r="F120" s="61">
        <f>(Table13468111214[[#This Row],[EZU]]-D108)/D108</f>
        <v>0.33918618718932997</v>
      </c>
      <c r="G120" s="61">
        <v>6.3627255008551487E-3</v>
      </c>
    </row>
    <row r="121" spans="1:7" x14ac:dyDescent="0.2">
      <c r="A121" s="15">
        <v>41821</v>
      </c>
      <c r="B121" s="14">
        <v>51.8</v>
      </c>
      <c r="C121" s="30">
        <f>Table13468111214[[#This Row],[Euro Area PMI]]-B120</f>
        <v>0</v>
      </c>
      <c r="D121" s="16">
        <v>33.067131000000003</v>
      </c>
      <c r="E121" s="14">
        <f>Table13468111214[[#This Row],[Euro Area PMI]]-B109</f>
        <v>1.5</v>
      </c>
      <c r="F121" s="61">
        <f>(Table13468111214[[#This Row],[EZU]]-D109)/D109</f>
        <v>0.15221787734550449</v>
      </c>
      <c r="G121" s="61"/>
    </row>
    <row r="122" spans="1:7" x14ac:dyDescent="0.2">
      <c r="A122" s="15">
        <v>41852</v>
      </c>
      <c r="B122" s="14">
        <v>50.7</v>
      </c>
      <c r="C122" s="30">
        <f>Table13468111214[[#This Row],[Euro Area PMI]]-B121</f>
        <v>-1.0999999999999943</v>
      </c>
      <c r="D122" s="16">
        <v>33.125281999999999</v>
      </c>
      <c r="E122" s="14">
        <f>Table13468111214[[#This Row],[Euro Area PMI]]-B110</f>
        <v>-0.69999999999999574</v>
      </c>
      <c r="F122" s="61">
        <f>(Table13468111214[[#This Row],[EZU]]-D110)/D110</f>
        <v>0.17554521944163823</v>
      </c>
      <c r="G122" s="61"/>
    </row>
    <row r="123" spans="1:7" x14ac:dyDescent="0.2">
      <c r="A123" s="15">
        <v>41883</v>
      </c>
      <c r="B123" s="14">
        <v>50.3</v>
      </c>
      <c r="C123" s="30">
        <f>Table13468111214[[#This Row],[Euro Area PMI]]-B122</f>
        <v>-0.40000000000000568</v>
      </c>
      <c r="D123" s="16">
        <v>31.987041000000001</v>
      </c>
      <c r="E123" s="14">
        <f>Table13468111214[[#This Row],[Euro Area PMI]]-B111</f>
        <v>-0.80000000000000426</v>
      </c>
      <c r="F123" s="61">
        <f>(Table13468111214[[#This Row],[EZU]]-D111)/D111</f>
        <v>4.3388355550362655E-2</v>
      </c>
      <c r="G123" s="61">
        <v>1.7182132943003081E-2</v>
      </c>
    </row>
    <row r="124" spans="1:7" x14ac:dyDescent="0.2">
      <c r="A124" s="15">
        <v>41913</v>
      </c>
      <c r="B124" s="14">
        <v>50.6</v>
      </c>
      <c r="C124" s="30">
        <f>Table13468111214[[#This Row],[Euro Area PMI]]-B123</f>
        <v>0.30000000000000426</v>
      </c>
      <c r="D124" s="16">
        <v>31.073125999999998</v>
      </c>
      <c r="E124" s="14">
        <f>Table13468111214[[#This Row],[Euro Area PMI]]-B112</f>
        <v>-0.69999999999999574</v>
      </c>
      <c r="F124" s="61">
        <f>(Table13468111214[[#This Row],[EZU]]-D112)/D112</f>
        <v>-3.8655614535661284E-2</v>
      </c>
      <c r="G124" s="61"/>
    </row>
    <row r="125" spans="1:7" x14ac:dyDescent="0.2">
      <c r="A125" s="15">
        <v>41944</v>
      </c>
      <c r="B125" s="14">
        <v>50.1</v>
      </c>
      <c r="C125" s="30">
        <f>Table13468111214[[#This Row],[Euro Area PMI]]-B124</f>
        <v>-0.5</v>
      </c>
      <c r="D125" s="16">
        <v>32.277824000000003</v>
      </c>
      <c r="E125" s="14">
        <f>Table13468111214[[#This Row],[Euro Area PMI]]-B113</f>
        <v>-1.5</v>
      </c>
      <c r="F125" s="61">
        <f>(Table13468111214[[#This Row],[EZU]]-D113)/D113</f>
        <v>-1.5735330342162353E-2</v>
      </c>
      <c r="G125" s="61"/>
    </row>
    <row r="126" spans="1:7" x14ac:dyDescent="0.2">
      <c r="A126" s="15">
        <v>41974</v>
      </c>
      <c r="B126" s="14">
        <v>50.6</v>
      </c>
      <c r="C126" s="30">
        <f>Table13468111214[[#This Row],[Euro Area PMI]]-B125</f>
        <v>0.5</v>
      </c>
      <c r="D126" s="16">
        <v>30.184138999999998</v>
      </c>
      <c r="E126" s="14">
        <f>Table13468111214[[#This Row],[Euro Area PMI]]-B114</f>
        <v>-2.1000000000000014</v>
      </c>
      <c r="F126" s="61">
        <f>(Table13468111214[[#This Row],[EZU]]-D114)/D114</f>
        <v>-0.10226719021482883</v>
      </c>
      <c r="G126" s="61">
        <v>1.920721404559167E-2</v>
      </c>
    </row>
    <row r="127" spans="1:7" x14ac:dyDescent="0.2">
      <c r="A127" s="15">
        <v>42005</v>
      </c>
      <c r="B127" s="14">
        <v>51</v>
      </c>
      <c r="C127" s="30">
        <f>Table13468111214[[#This Row],[Euro Area PMI]]-B126</f>
        <v>0.39999999999999858</v>
      </c>
      <c r="D127" s="16">
        <v>30.696114999999999</v>
      </c>
      <c r="E127" s="14">
        <f>Table13468111214[[#This Row],[Euro Area PMI]]-B115</f>
        <v>-3</v>
      </c>
      <c r="F127" s="61">
        <f>(Table13468111214[[#This Row],[EZU]]-D115)/D115</f>
        <v>-4.107699495598896E-2</v>
      </c>
      <c r="G127" s="61"/>
    </row>
    <row r="128" spans="1:7" x14ac:dyDescent="0.2">
      <c r="A128" s="15">
        <v>42036</v>
      </c>
      <c r="B128" s="14">
        <v>51</v>
      </c>
      <c r="C128" s="30">
        <f>Table13468111214[[#This Row],[Euro Area PMI]]-B127</f>
        <v>0</v>
      </c>
      <c r="D128" s="16">
        <v>32.604152999999997</v>
      </c>
      <c r="E128" s="14">
        <f>Table13468111214[[#This Row],[Euro Area PMI]]-B116</f>
        <v>-2.2000000000000028</v>
      </c>
      <c r="F128" s="61">
        <f>(Table13468111214[[#This Row],[EZU]]-D116)/D116</f>
        <v>-4.7902175123328464E-2</v>
      </c>
      <c r="G128" s="61"/>
    </row>
    <row r="129" spans="1:7" x14ac:dyDescent="0.2">
      <c r="A129" s="15">
        <v>42064</v>
      </c>
      <c r="B129" s="14">
        <v>52.2</v>
      </c>
      <c r="C129" s="30">
        <f>Table13468111214[[#This Row],[Euro Area PMI]]-B128</f>
        <v>1.2000000000000028</v>
      </c>
      <c r="D129" s="16">
        <v>32.286160000000002</v>
      </c>
      <c r="E129" s="14">
        <f>Table13468111214[[#This Row],[Euro Area PMI]]-B117</f>
        <v>-0.79999999999999716</v>
      </c>
      <c r="F129" s="61">
        <f>(Table13468111214[[#This Row],[EZU]]-D117)/D117</f>
        <v>-6.2987444511898166E-2</v>
      </c>
      <c r="G129" s="61">
        <v>3.0421047543182755E-2</v>
      </c>
    </row>
    <row r="130" spans="1:7" x14ac:dyDescent="0.2">
      <c r="A130" s="15">
        <v>42095</v>
      </c>
      <c r="B130" s="14">
        <v>52</v>
      </c>
      <c r="C130" s="30">
        <f>Table13468111214[[#This Row],[Euro Area PMI]]-B129</f>
        <v>-0.20000000000000284</v>
      </c>
      <c r="D130" s="16">
        <v>33.005851999999997</v>
      </c>
      <c r="E130" s="14">
        <f>Table13468111214[[#This Row],[Euro Area PMI]]-B118</f>
        <v>-2</v>
      </c>
      <c r="F130" s="61">
        <f>(Table13468111214[[#This Row],[EZU]]-D118)/D118</f>
        <v>-5.9455925612393073E-2</v>
      </c>
      <c r="G130" s="61"/>
    </row>
    <row r="131" spans="1:7" x14ac:dyDescent="0.2">
      <c r="A131" s="15">
        <v>42125</v>
      </c>
      <c r="B131" s="14">
        <v>52.2</v>
      </c>
      <c r="C131" s="30">
        <f>Table13468111214[[#This Row],[Euro Area PMI]]-B130</f>
        <v>0.20000000000000284</v>
      </c>
      <c r="D131" s="16">
        <v>32.796635000000002</v>
      </c>
      <c r="E131" s="14">
        <f>Table13468111214[[#This Row],[Euro Area PMI]]-B119</f>
        <v>0</v>
      </c>
      <c r="F131" s="61">
        <f>(Table13468111214[[#This Row],[EZU]]-D119)/D119</f>
        <v>-7.3168478492631833E-2</v>
      </c>
      <c r="G131" s="61"/>
    </row>
    <row r="132" spans="1:7" x14ac:dyDescent="0.2">
      <c r="A132" s="15">
        <v>42156</v>
      </c>
      <c r="B132" s="14">
        <v>52.5</v>
      </c>
      <c r="C132" s="30">
        <f>Table13468111214[[#This Row],[Euro Area PMI]]-B131</f>
        <v>0.29999999999999716</v>
      </c>
      <c r="D132" s="16">
        <v>31.415811999999999</v>
      </c>
      <c r="E132" s="14">
        <f>Table13468111214[[#This Row],[Euro Area PMI]]-B120</f>
        <v>0.70000000000000284</v>
      </c>
      <c r="F132" s="61">
        <f>(Table13468111214[[#This Row],[EZU]]-D120)/D120</f>
        <v>-8.9323952332189371E-2</v>
      </c>
      <c r="G132" s="61">
        <v>1.5051901564708814E-2</v>
      </c>
    </row>
    <row r="133" spans="1:7" x14ac:dyDescent="0.2">
      <c r="A133" s="15">
        <v>42186</v>
      </c>
      <c r="B133" s="14">
        <v>52.4</v>
      </c>
      <c r="C133" s="30">
        <f>Table13468111214[[#This Row],[Euro Area PMI]]-B132</f>
        <v>-0.10000000000000142</v>
      </c>
      <c r="D133" s="16">
        <v>32.94659</v>
      </c>
      <c r="E133" s="14">
        <f>Table13468111214[[#This Row],[Euro Area PMI]]-B121</f>
        <v>0.60000000000000142</v>
      </c>
      <c r="F133" s="61">
        <f>(Table13468111214[[#This Row],[EZU]]-D121)/D121</f>
        <v>-3.6453419560349182E-3</v>
      </c>
      <c r="G133" s="61"/>
    </row>
    <row r="134" spans="1:7" x14ac:dyDescent="0.2">
      <c r="A134" s="15">
        <v>42217</v>
      </c>
      <c r="B134" s="14">
        <v>52.3</v>
      </c>
      <c r="C134" s="30">
        <f>Table13468111214[[#This Row],[Euro Area PMI]]-B133</f>
        <v>-0.10000000000000142</v>
      </c>
      <c r="D134" s="16">
        <v>30.672944999999999</v>
      </c>
      <c r="E134" s="14">
        <f>Table13468111214[[#This Row],[Euro Area PMI]]-B122</f>
        <v>1.5999999999999943</v>
      </c>
      <c r="F134" s="61">
        <f>(Table13468111214[[#This Row],[EZU]]-D122)/D122</f>
        <v>-7.4032184842984891E-2</v>
      </c>
      <c r="G134" s="61"/>
    </row>
    <row r="135" spans="1:7" x14ac:dyDescent="0.2">
      <c r="A135" s="15">
        <v>42248</v>
      </c>
      <c r="B135" s="14">
        <v>52</v>
      </c>
      <c r="C135" s="30">
        <f>Table13468111214[[#This Row],[Euro Area PMI]]-B134</f>
        <v>-0.29999999999999716</v>
      </c>
      <c r="D135" s="16">
        <v>29.242332000000001</v>
      </c>
      <c r="E135" s="14">
        <f>Table13468111214[[#This Row],[Euro Area PMI]]-B123</f>
        <v>1.7000000000000028</v>
      </c>
      <c r="F135" s="61">
        <f>(Table13468111214[[#This Row],[EZU]]-D123)/D123</f>
        <v>-8.5806905365207117E-2</v>
      </c>
      <c r="G135" s="61">
        <v>1.7395214723969543E-2</v>
      </c>
    </row>
    <row r="136" spans="1:7" x14ac:dyDescent="0.2">
      <c r="A136" s="15">
        <v>42278</v>
      </c>
      <c r="B136" s="14">
        <v>52.3</v>
      </c>
      <c r="C136" s="30">
        <f>Table13468111214[[#This Row],[Euro Area PMI]]-B135</f>
        <v>0.29999999999999716</v>
      </c>
      <c r="D136" s="16">
        <v>31.379738</v>
      </c>
      <c r="E136" s="14">
        <f>Table13468111214[[#This Row],[Euro Area PMI]]-B124</f>
        <v>1.6999999999999957</v>
      </c>
      <c r="F136" s="61">
        <f>(Table13468111214[[#This Row],[EZU]]-D124)/D124</f>
        <v>9.8674333570430359E-3</v>
      </c>
      <c r="G136" s="61"/>
    </row>
    <row r="137" spans="1:7" x14ac:dyDescent="0.2">
      <c r="A137" s="15">
        <v>42309</v>
      </c>
      <c r="B137" s="14">
        <v>52.8</v>
      </c>
      <c r="C137" s="30">
        <f>Table13468111214[[#This Row],[Euro Area PMI]]-B136</f>
        <v>0.5</v>
      </c>
      <c r="D137" s="16">
        <v>31.132781999999999</v>
      </c>
      <c r="E137" s="14">
        <f>Table13468111214[[#This Row],[Euro Area PMI]]-B125</f>
        <v>2.6999999999999957</v>
      </c>
      <c r="F137" s="61">
        <f>(Table13468111214[[#This Row],[EZU]]-D125)/D125</f>
        <v>-3.5474572263607472E-2</v>
      </c>
      <c r="G137" s="61"/>
    </row>
    <row r="138" spans="1:7" x14ac:dyDescent="0.2">
      <c r="A138" s="15">
        <v>42339</v>
      </c>
      <c r="B138" s="14">
        <v>53.2</v>
      </c>
      <c r="C138" s="30">
        <f>Table13468111214[[#This Row],[Euro Area PMI]]-B137</f>
        <v>0.40000000000000568</v>
      </c>
      <c r="D138" s="16">
        <v>29.838418999999998</v>
      </c>
      <c r="E138" s="14">
        <f>Table13468111214[[#This Row],[Euro Area PMI]]-B126</f>
        <v>2.6000000000000014</v>
      </c>
      <c r="F138" s="61">
        <f>(Table13468111214[[#This Row],[EZU]]-D126)/D126</f>
        <v>-1.1453697586007011E-2</v>
      </c>
      <c r="G138" s="61">
        <v>1.8054687759743837E-2</v>
      </c>
    </row>
    <row r="139" spans="1:7" x14ac:dyDescent="0.2">
      <c r="A139" s="15">
        <v>42370</v>
      </c>
      <c r="B139" s="14">
        <v>52.3</v>
      </c>
      <c r="C139" s="30">
        <f>Table13468111214[[#This Row],[Euro Area PMI]]-B138</f>
        <v>-0.90000000000000568</v>
      </c>
      <c r="D139" s="16">
        <v>28.333884999999999</v>
      </c>
      <c r="E139" s="14">
        <f>Table13468111214[[#This Row],[Euro Area PMI]]-B127</f>
        <v>1.2999999999999972</v>
      </c>
      <c r="F139" s="61">
        <f>(Table13468111214[[#This Row],[EZU]]-D127)/D127</f>
        <v>-7.6955341091209759E-2</v>
      </c>
      <c r="G139" s="61"/>
    </row>
    <row r="140" spans="1:7" x14ac:dyDescent="0.2">
      <c r="A140" s="15">
        <v>42401</v>
      </c>
      <c r="B140" s="14">
        <v>51.2</v>
      </c>
      <c r="C140" s="30">
        <f>Table13468111214[[#This Row],[Euro Area PMI]]-B139</f>
        <v>-1.0999999999999943</v>
      </c>
      <c r="D140" s="16">
        <v>27.139078000000001</v>
      </c>
      <c r="E140" s="14">
        <f>Table13468111214[[#This Row],[Euro Area PMI]]-B128</f>
        <v>0.20000000000000284</v>
      </c>
      <c r="F140" s="61">
        <f>(Table13468111214[[#This Row],[EZU]]-D128)/D128</f>
        <v>-0.1676189839987561</v>
      </c>
      <c r="G140" s="61"/>
    </row>
    <row r="141" spans="1:7" x14ac:dyDescent="0.2">
      <c r="A141" s="15">
        <v>42430</v>
      </c>
      <c r="B141" s="14">
        <v>51.6</v>
      </c>
      <c r="C141" s="30">
        <f>Table13468111214[[#This Row],[Euro Area PMI]]-B140</f>
        <v>0.39999999999999858</v>
      </c>
      <c r="D141" s="16">
        <v>29.349468000000002</v>
      </c>
      <c r="E141" s="14">
        <f>Table13468111214[[#This Row],[Euro Area PMI]]-B129</f>
        <v>-0.60000000000000142</v>
      </c>
      <c r="F141" s="61">
        <f>(Table13468111214[[#This Row],[EZU]]-D129)/D129</f>
        <v>-9.0958231019111616E-2</v>
      </c>
      <c r="G141" s="61">
        <v>2.5441995020369257E-2</v>
      </c>
    </row>
    <row r="142" spans="1:7" x14ac:dyDescent="0.2">
      <c r="A142" s="15">
        <v>42461</v>
      </c>
      <c r="B142" s="14">
        <v>51.7</v>
      </c>
      <c r="C142" s="30">
        <f>Table13468111214[[#This Row],[Euro Area PMI]]-B141</f>
        <v>0.10000000000000142</v>
      </c>
      <c r="D142" s="16">
        <v>30.100484999999999</v>
      </c>
      <c r="E142" s="14">
        <f>Table13468111214[[#This Row],[Euro Area PMI]]-B130</f>
        <v>-0.29999999999999716</v>
      </c>
      <c r="F142" s="61">
        <f>(Table13468111214[[#This Row],[EZU]]-D130)/D130</f>
        <v>-8.8025814331349442E-2</v>
      </c>
      <c r="G142" s="61"/>
    </row>
    <row r="143" spans="1:7" x14ac:dyDescent="0.2">
      <c r="A143" s="15">
        <v>42491</v>
      </c>
      <c r="B143" s="14">
        <v>51.5</v>
      </c>
      <c r="C143" s="30">
        <f>Table13468111214[[#This Row],[Euro Area PMI]]-B142</f>
        <v>-0.20000000000000284</v>
      </c>
      <c r="D143" s="16">
        <v>29.008095000000001</v>
      </c>
      <c r="E143" s="14">
        <f>Table13468111214[[#This Row],[Euro Area PMI]]-B131</f>
        <v>-0.70000000000000284</v>
      </c>
      <c r="F143" s="61">
        <f>(Table13468111214[[#This Row],[EZU]]-D131)/D131</f>
        <v>-0.11551611926040586</v>
      </c>
      <c r="G143" s="61"/>
    </row>
    <row r="144" spans="1:7" x14ac:dyDescent="0.2">
      <c r="A144" s="15">
        <v>42522</v>
      </c>
      <c r="B144" s="14">
        <v>52.8</v>
      </c>
      <c r="C144" s="30">
        <f>Table13468111214[[#This Row],[Euro Area PMI]]-B143</f>
        <v>1.2999999999999972</v>
      </c>
      <c r="D144" s="16">
        <v>27.540192000000001</v>
      </c>
      <c r="E144" s="14">
        <f>Table13468111214[[#This Row],[Euro Area PMI]]-B132</f>
        <v>0.29999999999999716</v>
      </c>
      <c r="F144" s="61">
        <f>(Table13468111214[[#This Row],[EZU]]-D132)/D132</f>
        <v>-0.12336526587312141</v>
      </c>
      <c r="G144" s="61">
        <v>1.1205420116856768E-2</v>
      </c>
    </row>
    <row r="145" spans="1:7" x14ac:dyDescent="0.2">
      <c r="A145" s="15">
        <v>42552</v>
      </c>
      <c r="B145" s="14">
        <v>52</v>
      </c>
      <c r="C145" s="30">
        <f>Table13468111214[[#This Row],[Euro Area PMI]]-B144</f>
        <v>-0.79999999999999716</v>
      </c>
      <c r="D145" s="16">
        <v>29.590154999999999</v>
      </c>
      <c r="E145" s="14">
        <f>Table13468111214[[#This Row],[Euro Area PMI]]-B133</f>
        <v>-0.39999999999999858</v>
      </c>
      <c r="F145" s="61">
        <f>(Table13468111214[[#This Row],[EZU]]-D133)/D133</f>
        <v>-0.10187503471527709</v>
      </c>
      <c r="G145" s="61"/>
    </row>
    <row r="146" spans="1:7" x14ac:dyDescent="0.2">
      <c r="A146" s="15">
        <v>42583</v>
      </c>
      <c r="B146" s="14">
        <v>51.7</v>
      </c>
      <c r="C146" s="30">
        <f>Table13468111214[[#This Row],[Euro Area PMI]]-B145</f>
        <v>-0.29999999999999716</v>
      </c>
      <c r="D146" s="16">
        <v>29.922523000000002</v>
      </c>
      <c r="E146" s="14">
        <f>Table13468111214[[#This Row],[Euro Area PMI]]-B134</f>
        <v>-0.59999999999999432</v>
      </c>
      <c r="F146" s="61">
        <f>(Table13468111214[[#This Row],[EZU]]-D134)/D134</f>
        <v>-2.4465273875723274E-2</v>
      </c>
      <c r="G146" s="61"/>
    </row>
    <row r="147" spans="1:7" x14ac:dyDescent="0.2">
      <c r="A147" s="15">
        <v>42614</v>
      </c>
      <c r="B147" s="14">
        <v>52.6</v>
      </c>
      <c r="C147" s="30">
        <f>Table13468111214[[#This Row],[Euro Area PMI]]-B146</f>
        <v>0.89999999999999858</v>
      </c>
      <c r="D147" s="16">
        <v>30.167428999999998</v>
      </c>
      <c r="E147" s="14">
        <f>Table13468111214[[#This Row],[Euro Area PMI]]-B135</f>
        <v>0.60000000000000142</v>
      </c>
      <c r="F147" s="61">
        <f>(Table13468111214[[#This Row],[EZU]]-D135)/D135</f>
        <v>3.1635541242059535E-2</v>
      </c>
      <c r="G147" s="61">
        <v>1.5222007500805379E-2</v>
      </c>
    </row>
    <row r="148" spans="1:7" x14ac:dyDescent="0.2">
      <c r="A148" s="15">
        <v>42644</v>
      </c>
      <c r="B148" s="14">
        <v>53.5</v>
      </c>
      <c r="C148" s="30">
        <f>Table13468111214[[#This Row],[Euro Area PMI]]-B147</f>
        <v>0.89999999999999858</v>
      </c>
      <c r="D148" s="16">
        <v>29.8613</v>
      </c>
      <c r="E148" s="14">
        <f>Table13468111214[[#This Row],[Euro Area PMI]]-B136</f>
        <v>1.2000000000000028</v>
      </c>
      <c r="F148" s="61">
        <f>(Table13468111214[[#This Row],[EZU]]-D136)/D136</f>
        <v>-4.8389122942964012E-2</v>
      </c>
      <c r="G148" s="61"/>
    </row>
    <row r="149" spans="1:7" x14ac:dyDescent="0.2">
      <c r="A149" s="15">
        <v>42675</v>
      </c>
      <c r="B149" s="14">
        <v>53.7</v>
      </c>
      <c r="C149" s="30">
        <f>Table13468111214[[#This Row],[Euro Area PMI]]-B148</f>
        <v>0.20000000000000284</v>
      </c>
      <c r="D149" s="16">
        <v>28.67174</v>
      </c>
      <c r="E149" s="14">
        <f>Table13468111214[[#This Row],[Euro Area PMI]]-B137</f>
        <v>0.90000000000000568</v>
      </c>
      <c r="F149" s="61">
        <f>(Table13468111214[[#This Row],[EZU]]-D137)/D137</f>
        <v>-7.9049858120613797E-2</v>
      </c>
      <c r="G149" s="61"/>
    </row>
    <row r="150" spans="1:7" x14ac:dyDescent="0.2">
      <c r="A150" s="15">
        <v>42705</v>
      </c>
      <c r="B150" s="14">
        <v>54.9</v>
      </c>
      <c r="C150" s="30">
        <f>Table13468111214[[#This Row],[Euro Area PMI]]-B149</f>
        <v>1.1999999999999957</v>
      </c>
      <c r="D150" s="16">
        <v>30.263641</v>
      </c>
      <c r="E150" s="14">
        <f>Table13468111214[[#This Row],[Euro Area PMI]]-B138</f>
        <v>1.6999999999999957</v>
      </c>
      <c r="F150" s="61">
        <f>(Table13468111214[[#This Row],[EZU]]-D138)/D138</f>
        <v>1.4250822069359693E-2</v>
      </c>
      <c r="G150" s="61">
        <v>3.171176605552839E-2</v>
      </c>
    </row>
    <row r="151" spans="1:7" x14ac:dyDescent="0.2">
      <c r="A151" s="15">
        <v>42736</v>
      </c>
      <c r="B151" s="14">
        <v>55.2</v>
      </c>
      <c r="C151" s="30">
        <f>Table13468111214[[#This Row],[Euro Area PMI]]-B150</f>
        <v>0.30000000000000426</v>
      </c>
      <c r="D151" s="16">
        <v>31.11289</v>
      </c>
      <c r="E151" s="14">
        <f>Table13468111214[[#This Row],[Euro Area PMI]]-B139</f>
        <v>2.9000000000000057</v>
      </c>
      <c r="F151" s="61">
        <f>(Table13468111214[[#This Row],[EZU]]-D139)/D139</f>
        <v>9.8080619724404253E-2</v>
      </c>
      <c r="G151" s="61"/>
    </row>
    <row r="152" spans="1:7" x14ac:dyDescent="0.2">
      <c r="A152" s="15">
        <v>42767</v>
      </c>
      <c r="B152" s="14">
        <v>55.4</v>
      </c>
      <c r="C152" s="30">
        <f>Table13468111214[[#This Row],[Euro Area PMI]]-B151</f>
        <v>0.19999999999999574</v>
      </c>
      <c r="D152" s="16">
        <v>31.174517000000002</v>
      </c>
      <c r="E152" s="14">
        <f>Table13468111214[[#This Row],[Euro Area PMI]]-B140</f>
        <v>4.1999999999999957</v>
      </c>
      <c r="F152" s="61">
        <f>(Table13468111214[[#This Row],[EZU]]-D140)/D140</f>
        <v>0.1486947714288599</v>
      </c>
      <c r="G152" s="61"/>
    </row>
    <row r="153" spans="1:7" x14ac:dyDescent="0.2">
      <c r="A153" s="15">
        <v>42795</v>
      </c>
      <c r="B153" s="14">
        <v>56.2</v>
      </c>
      <c r="C153" s="30">
        <f>Table13468111214[[#This Row],[Euro Area PMI]]-B152</f>
        <v>0.80000000000000426</v>
      </c>
      <c r="D153" s="16">
        <v>33.102561999999999</v>
      </c>
      <c r="E153" s="14">
        <f>Table13468111214[[#This Row],[Euro Area PMI]]-B141</f>
        <v>4.6000000000000014</v>
      </c>
      <c r="F153" s="61">
        <f>(Table13468111214[[#This Row],[EZU]]-D141)/D141</f>
        <v>0.12787604872429023</v>
      </c>
      <c r="G153" s="61">
        <v>2.7000313892701744E-2</v>
      </c>
    </row>
    <row r="154" spans="1:7" x14ac:dyDescent="0.2">
      <c r="A154" s="15">
        <v>42826</v>
      </c>
      <c r="B154" s="14">
        <v>56.7</v>
      </c>
      <c r="C154" s="30">
        <f>Table13468111214[[#This Row],[Euro Area PMI]]-B153</f>
        <v>0.5</v>
      </c>
      <c r="D154" s="16">
        <v>34.546398000000003</v>
      </c>
      <c r="E154" s="14">
        <f>Table13468111214[[#This Row],[Euro Area PMI]]-B142</f>
        <v>5</v>
      </c>
      <c r="F154" s="61">
        <f>(Table13468111214[[#This Row],[EZU]]-D142)/D142</f>
        <v>0.14770237090864166</v>
      </c>
      <c r="G154" s="61"/>
    </row>
    <row r="155" spans="1:7" x14ac:dyDescent="0.2">
      <c r="A155" s="15">
        <v>42856</v>
      </c>
      <c r="B155" s="14">
        <v>57</v>
      </c>
      <c r="C155" s="30">
        <f>Table13468111214[[#This Row],[Euro Area PMI]]-B154</f>
        <v>0.29999999999999716</v>
      </c>
      <c r="D155" s="16">
        <v>36.254353000000002</v>
      </c>
      <c r="E155" s="14">
        <f>Table13468111214[[#This Row],[Euro Area PMI]]-B143</f>
        <v>5.5</v>
      </c>
      <c r="F155" s="61">
        <f>(Table13468111214[[#This Row],[EZU]]-D143)/D143</f>
        <v>0.24980123651691022</v>
      </c>
      <c r="G155" s="61"/>
    </row>
    <row r="156" spans="1:7" x14ac:dyDescent="0.2">
      <c r="A156" s="15">
        <v>42887</v>
      </c>
      <c r="B156" s="14">
        <v>57.4</v>
      </c>
      <c r="C156" s="30">
        <f>Table13468111214[[#This Row],[Euro Area PMI]]-B155</f>
        <v>0.39999999999999858</v>
      </c>
      <c r="D156" s="16">
        <v>35.506016000000002</v>
      </c>
      <c r="E156" s="14">
        <f>Table13468111214[[#This Row],[Euro Area PMI]]-B144</f>
        <v>4.6000000000000014</v>
      </c>
      <c r="F156" s="61">
        <f>(Table13468111214[[#This Row],[EZU]]-D144)/D144</f>
        <v>0.28924358987765958</v>
      </c>
      <c r="G156" s="61">
        <v>2.7245342877053824E-2</v>
      </c>
    </row>
    <row r="157" spans="1:7" x14ac:dyDescent="0.2">
      <c r="A157" s="15">
        <v>42917</v>
      </c>
      <c r="B157" s="14">
        <v>56.6</v>
      </c>
      <c r="C157" s="30">
        <f>Table13468111214[[#This Row],[Euro Area PMI]]-B156</f>
        <v>-0.79999999999999716</v>
      </c>
      <c r="D157" s="16">
        <v>37.222633000000002</v>
      </c>
      <c r="E157" s="14">
        <f>Table13468111214[[#This Row],[Euro Area PMI]]-B145</f>
        <v>4.6000000000000014</v>
      </c>
      <c r="F157" s="61">
        <f>(Table13468111214[[#This Row],[EZU]]-D145)/D145</f>
        <v>0.2579397776050853</v>
      </c>
      <c r="G157" s="61"/>
    </row>
    <row r="158" spans="1:7" x14ac:dyDescent="0.2">
      <c r="A158" s="15">
        <v>42948</v>
      </c>
      <c r="B158" s="14">
        <v>57.4</v>
      </c>
      <c r="C158" s="30">
        <f>Table13468111214[[#This Row],[Euro Area PMI]]-B157</f>
        <v>0.79999999999999716</v>
      </c>
      <c r="D158" s="16">
        <v>37.401454999999999</v>
      </c>
      <c r="E158" s="14">
        <f>Table13468111214[[#This Row],[Euro Area PMI]]-B146</f>
        <v>5.6999999999999957</v>
      </c>
      <c r="F158" s="61">
        <f>(Table13468111214[[#This Row],[EZU]]-D146)/D146</f>
        <v>0.24994322838351554</v>
      </c>
      <c r="G158" s="61"/>
    </row>
    <row r="159" spans="1:7" x14ac:dyDescent="0.2">
      <c r="A159" s="15">
        <v>42979</v>
      </c>
      <c r="B159" s="14">
        <v>58.1</v>
      </c>
      <c r="C159" s="30">
        <f>Table13468111214[[#This Row],[Euro Area PMI]]-B158</f>
        <v>0.70000000000000284</v>
      </c>
      <c r="D159" s="16">
        <v>38.733711</v>
      </c>
      <c r="E159" s="14">
        <f>Table13468111214[[#This Row],[Euro Area PMI]]-B147</f>
        <v>5.5</v>
      </c>
      <c r="F159" s="61">
        <f>(Table13468111214[[#This Row],[EZU]]-D147)/D147</f>
        <v>0.28395797334933653</v>
      </c>
      <c r="G159" s="61">
        <v>2.7751292547078421E-2</v>
      </c>
    </row>
    <row r="160" spans="1:7" x14ac:dyDescent="0.2">
      <c r="A160" s="15">
        <v>43009</v>
      </c>
      <c r="B160" s="14">
        <v>58.5</v>
      </c>
      <c r="C160" s="30">
        <f>Table13468111214[[#This Row],[Euro Area PMI]]-B159</f>
        <v>0.39999999999999858</v>
      </c>
      <c r="D160" s="16">
        <v>39.189715999999997</v>
      </c>
      <c r="E160" s="14">
        <f>Table13468111214[[#This Row],[Euro Area PMI]]-B148</f>
        <v>5</v>
      </c>
      <c r="F160" s="61">
        <f>(Table13468111214[[#This Row],[EZU]]-D148)/D148</f>
        <v>0.31239148998871441</v>
      </c>
      <c r="G160" s="61"/>
    </row>
    <row r="161" spans="1:7" x14ac:dyDescent="0.2">
      <c r="A161" s="15">
        <v>43040</v>
      </c>
      <c r="B161" s="14">
        <v>60.1</v>
      </c>
      <c r="C161" s="30">
        <f>Table13468111214[[#This Row],[Euro Area PMI]]-B160</f>
        <v>1.6000000000000014</v>
      </c>
      <c r="D161" s="16">
        <v>39.091366000000001</v>
      </c>
      <c r="E161" s="14">
        <f>Table13468111214[[#This Row],[Euro Area PMI]]-B149</f>
        <v>6.3999999999999986</v>
      </c>
      <c r="F161" s="61">
        <f>(Table13468111214[[#This Row],[EZU]]-D149)/D149</f>
        <v>0.36341101028399397</v>
      </c>
      <c r="G161" s="61"/>
    </row>
    <row r="162" spans="1:7" x14ac:dyDescent="0.2">
      <c r="A162" s="15">
        <v>43070</v>
      </c>
      <c r="B162" s="14">
        <v>60.6</v>
      </c>
      <c r="C162" s="30">
        <f>Table13468111214[[#This Row],[Euro Area PMI]]-B161</f>
        <v>0.5</v>
      </c>
      <c r="D162" s="16">
        <v>38.787357</v>
      </c>
      <c r="E162" s="14">
        <f>Table13468111214[[#This Row],[Euro Area PMI]]-B150</f>
        <v>5.7000000000000028</v>
      </c>
      <c r="F162" s="61">
        <f>(Table13468111214[[#This Row],[EZU]]-D150)/D150</f>
        <v>0.2816487282544754</v>
      </c>
      <c r="G162" s="61">
        <v>2.936166237860971E-2</v>
      </c>
    </row>
    <row r="163" spans="1:7" x14ac:dyDescent="0.2">
      <c r="A163" s="15">
        <v>43101</v>
      </c>
      <c r="B163" s="14">
        <v>59.6</v>
      </c>
      <c r="C163" s="30">
        <f>Table13468111214[[#This Row],[Euro Area PMI]]-B162</f>
        <v>-1</v>
      </c>
      <c r="D163" s="16">
        <v>41.687213999999997</v>
      </c>
      <c r="E163" s="14">
        <f>Table13468111214[[#This Row],[Euro Area PMI]]-B151</f>
        <v>4.3999999999999986</v>
      </c>
      <c r="F163" s="61">
        <f>(Table13468111214[[#This Row],[EZU]]-D151)/D151</f>
        <v>0.33986955245880396</v>
      </c>
      <c r="G163" s="61"/>
    </row>
    <row r="164" spans="1:7" x14ac:dyDescent="0.2">
      <c r="A164" s="15">
        <v>43132</v>
      </c>
      <c r="B164" s="14">
        <v>58.6</v>
      </c>
      <c r="C164" s="30">
        <f>Table13468111214[[#This Row],[Euro Area PMI]]-B163</f>
        <v>-1</v>
      </c>
      <c r="D164" s="16">
        <v>39.190655</v>
      </c>
      <c r="E164" s="14">
        <f>Table13468111214[[#This Row],[Euro Area PMI]]-B152</f>
        <v>3.2000000000000028</v>
      </c>
      <c r="F164" s="61">
        <f>(Table13468111214[[#This Row],[EZU]]-D152)/D152</f>
        <v>0.25713752036639403</v>
      </c>
      <c r="G164" s="61"/>
    </row>
    <row r="165" spans="1:7" x14ac:dyDescent="0.2">
      <c r="A165" s="15">
        <v>43160</v>
      </c>
      <c r="B165" s="14">
        <v>56.6</v>
      </c>
      <c r="C165" s="30">
        <f>Table13468111214[[#This Row],[Euro Area PMI]]-B164</f>
        <v>-2</v>
      </c>
      <c r="D165" s="16">
        <v>38.930213999999999</v>
      </c>
      <c r="E165" s="14">
        <f>Table13468111214[[#This Row],[Euro Area PMI]]-B153</f>
        <v>0.39999999999999858</v>
      </c>
      <c r="F165" s="61">
        <f>(Table13468111214[[#This Row],[EZU]]-D153)/D153</f>
        <v>0.17604836749493893</v>
      </c>
      <c r="G165" s="61">
        <v>1.6126375141170435E-2</v>
      </c>
    </row>
    <row r="166" spans="1:7" x14ac:dyDescent="0.2">
      <c r="A166" s="15">
        <v>43191</v>
      </c>
      <c r="B166" s="14">
        <v>56.2</v>
      </c>
      <c r="C166" s="30">
        <f>Table13468111214[[#This Row],[Euro Area PMI]]-B165</f>
        <v>-0.39999999999999858</v>
      </c>
      <c r="D166" s="16">
        <v>39.810302999999998</v>
      </c>
      <c r="E166" s="14">
        <f>Table13468111214[[#This Row],[Euro Area PMI]]-B154</f>
        <v>-0.5</v>
      </c>
      <c r="F166" s="61">
        <f>(Table13468111214[[#This Row],[EZU]]-D154)/D154</f>
        <v>0.15237203600792168</v>
      </c>
      <c r="G166" s="61"/>
    </row>
    <row r="167" spans="1:7" x14ac:dyDescent="0.2">
      <c r="A167" s="15">
        <v>43221</v>
      </c>
      <c r="B167" s="14">
        <v>55.5</v>
      </c>
      <c r="C167" s="30">
        <f>Table13468111214[[#This Row],[Euro Area PMI]]-B166</f>
        <v>-0.70000000000000284</v>
      </c>
      <c r="D167" s="16">
        <v>38.382412000000002</v>
      </c>
      <c r="E167" s="14">
        <f>Table13468111214[[#This Row],[Euro Area PMI]]-B155</f>
        <v>-1.5</v>
      </c>
      <c r="F167" s="61">
        <f>(Table13468111214[[#This Row],[EZU]]-D155)/D155</f>
        <v>5.8698027241032277E-2</v>
      </c>
      <c r="G167" s="61"/>
    </row>
    <row r="168" spans="1:7" x14ac:dyDescent="0.2">
      <c r="A168" s="15">
        <v>43252</v>
      </c>
      <c r="B168" s="14">
        <v>54.9</v>
      </c>
      <c r="C168" s="30">
        <f>Table13468111214[[#This Row],[Euro Area PMI]]-B167</f>
        <v>-0.60000000000000142</v>
      </c>
      <c r="D168" s="16">
        <v>36.828795999999997</v>
      </c>
      <c r="E168" s="14">
        <f>Table13468111214[[#This Row],[Euro Area PMI]]-B156</f>
        <v>-2.5</v>
      </c>
      <c r="F168" s="61">
        <f>(Table13468111214[[#This Row],[EZU]]-D156)/D156</f>
        <v>3.7255095023896637E-2</v>
      </c>
      <c r="G168" s="61">
        <v>1.5336299951477006E-2</v>
      </c>
    </row>
    <row r="169" spans="1:7" x14ac:dyDescent="0.2">
      <c r="A169" s="15">
        <v>43282</v>
      </c>
      <c r="B169" s="14">
        <v>55.1</v>
      </c>
      <c r="C169" s="30">
        <f>Table13468111214[[#This Row],[Euro Area PMI]]-B168</f>
        <v>0.20000000000000284</v>
      </c>
      <c r="D169" s="16">
        <v>39.162891000000002</v>
      </c>
      <c r="E169" s="14">
        <f>Table13468111214[[#This Row],[Euro Area PMI]]-B157</f>
        <v>-1.5</v>
      </c>
      <c r="F169" s="61">
        <f>(Table13468111214[[#This Row],[EZU]]-D157)/D157</f>
        <v>5.2125759077816983E-2</v>
      </c>
      <c r="G169" s="61"/>
    </row>
    <row r="170" spans="1:7" x14ac:dyDescent="0.2">
      <c r="A170" s="15">
        <v>43313</v>
      </c>
      <c r="B170" s="14">
        <v>54.6</v>
      </c>
      <c r="C170" s="30">
        <f>Table13468111214[[#This Row],[Euro Area PMI]]-B169</f>
        <v>-0.5</v>
      </c>
      <c r="D170" s="16">
        <v>37.920937000000002</v>
      </c>
      <c r="E170" s="14">
        <f>Table13468111214[[#This Row],[Euro Area PMI]]-B158</f>
        <v>-2.7999999999999972</v>
      </c>
      <c r="F170" s="61">
        <f>(Table13468111214[[#This Row],[EZU]]-D158)/D158</f>
        <v>1.3889352700316167E-2</v>
      </c>
      <c r="G170" s="61"/>
    </row>
    <row r="171" spans="1:7" x14ac:dyDescent="0.2">
      <c r="A171" s="15">
        <v>43344</v>
      </c>
      <c r="B171" s="14">
        <v>53.2</v>
      </c>
      <c r="C171" s="30">
        <f>Table13468111214[[#This Row],[Euro Area PMI]]-B170</f>
        <v>-1.3999999999999986</v>
      </c>
      <c r="D171" s="16">
        <v>37.727744999999999</v>
      </c>
      <c r="E171" s="14">
        <f>Table13468111214[[#This Row],[Euro Area PMI]]-B159</f>
        <v>-4.8999999999999986</v>
      </c>
      <c r="F171" s="61">
        <f>(Table13468111214[[#This Row],[EZU]]-D159)/D159</f>
        <v>-2.5971330245119061E-2</v>
      </c>
      <c r="G171" s="61">
        <v>6.8667717121664307E-3</v>
      </c>
    </row>
    <row r="172" spans="1:7" x14ac:dyDescent="0.2">
      <c r="A172" s="15">
        <v>43374</v>
      </c>
      <c r="B172" s="14">
        <v>52</v>
      </c>
      <c r="C172" s="30">
        <f>Table13468111214[[#This Row],[Euro Area PMI]]-B171</f>
        <v>-1.2000000000000028</v>
      </c>
      <c r="D172" s="16">
        <v>34.379069999999999</v>
      </c>
      <c r="E172" s="14">
        <f>Table13468111214[[#This Row],[Euro Area PMI]]-B160</f>
        <v>-6.5</v>
      </c>
      <c r="F172" s="61">
        <f>(Table13468111214[[#This Row],[EZU]]-D160)/D160</f>
        <v>-0.12275276503662336</v>
      </c>
      <c r="G172" s="61"/>
    </row>
    <row r="173" spans="1:7" x14ac:dyDescent="0.2">
      <c r="A173" s="15">
        <v>43405</v>
      </c>
      <c r="B173" s="14">
        <v>51.8</v>
      </c>
      <c r="C173" s="30">
        <f>Table13468111214[[#This Row],[Euro Area PMI]]-B172</f>
        <v>-0.20000000000000284</v>
      </c>
      <c r="D173" s="16">
        <v>34.259472000000002</v>
      </c>
      <c r="E173" s="14">
        <f>Table13468111214[[#This Row],[Euro Area PMI]]-B161</f>
        <v>-8.3000000000000043</v>
      </c>
      <c r="F173" s="61">
        <f>(Table13468111214[[#This Row],[EZU]]-D161)/D161</f>
        <v>-0.12360514595473585</v>
      </c>
      <c r="G173" s="61"/>
    </row>
    <row r="174" spans="1:7" x14ac:dyDescent="0.2">
      <c r="A174" s="15">
        <v>43435</v>
      </c>
      <c r="B174" s="14">
        <v>51.4</v>
      </c>
      <c r="C174" s="30">
        <f>Table13468111214[[#This Row],[Euro Area PMI]]-B173</f>
        <v>-0.39999999999999858</v>
      </c>
      <c r="D174" s="16">
        <v>32.253959999999999</v>
      </c>
      <c r="E174" s="14">
        <f>Table13468111214[[#This Row],[Euro Area PMI]]-B162</f>
        <v>-9.2000000000000028</v>
      </c>
      <c r="F174" s="61">
        <f>(Table13468111214[[#This Row],[EZU]]-D162)/D162</f>
        <v>-0.16844140733796326</v>
      </c>
      <c r="G174" s="61">
        <v>9.5327693692590643E-3</v>
      </c>
    </row>
    <row r="175" spans="1:7" x14ac:dyDescent="0.2">
      <c r="A175" s="15">
        <v>43466</v>
      </c>
      <c r="B175" s="14">
        <v>50.5</v>
      </c>
      <c r="C175" s="30">
        <f>Table13468111214[[#This Row],[Euro Area PMI]]-B174</f>
        <v>-0.89999999999999858</v>
      </c>
      <c r="D175" s="16">
        <v>34.547412999999999</v>
      </c>
      <c r="E175" s="14">
        <f>Table13468111214[[#This Row],[Euro Area PMI]]-B163</f>
        <v>-9.1000000000000014</v>
      </c>
      <c r="F175" s="61">
        <f>(Table13468111214[[#This Row],[EZU]]-D163)/D163</f>
        <v>-0.17127076422041537</v>
      </c>
      <c r="G175" s="61"/>
    </row>
    <row r="176" spans="1:7" x14ac:dyDescent="0.2">
      <c r="A176" s="15">
        <v>43497</v>
      </c>
      <c r="B176" s="14">
        <v>49.3</v>
      </c>
      <c r="C176" s="30">
        <f>Table13468111214[[#This Row],[Euro Area PMI]]-B175</f>
        <v>-1.2000000000000028</v>
      </c>
      <c r="D176" s="16">
        <v>35.629623000000002</v>
      </c>
      <c r="E176" s="14">
        <f>Table13468111214[[#This Row],[Euro Area PMI]]-B164</f>
        <v>-9.3000000000000043</v>
      </c>
      <c r="F176" s="61">
        <f>(Table13468111214[[#This Row],[EZU]]-D164)/D164</f>
        <v>-9.0864314464762008E-2</v>
      </c>
      <c r="G176" s="61"/>
    </row>
    <row r="177" spans="1:7" x14ac:dyDescent="0.2">
      <c r="A177" s="15">
        <v>43525</v>
      </c>
      <c r="B177" s="14">
        <v>47.5</v>
      </c>
      <c r="C177" s="30">
        <f>Table13468111214[[#This Row],[Euro Area PMI]]-B176</f>
        <v>-1.7999999999999972</v>
      </c>
      <c r="D177" s="16">
        <v>35.703620999999998</v>
      </c>
      <c r="E177" s="14">
        <f>Table13468111214[[#This Row],[Euro Area PMI]]-B165</f>
        <v>-9.1000000000000014</v>
      </c>
      <c r="F177" s="61">
        <f>(Table13468111214[[#This Row],[EZU]]-D165)/D165</f>
        <v>-8.2881460656753683E-2</v>
      </c>
      <c r="G177" s="61">
        <v>1.80880529414984E-2</v>
      </c>
    </row>
    <row r="178" spans="1:7" x14ac:dyDescent="0.2">
      <c r="A178" s="15">
        <v>43556</v>
      </c>
      <c r="B178" s="14">
        <v>47.9</v>
      </c>
      <c r="C178" s="30">
        <f>Table13468111214[[#This Row],[Euro Area PMI]]-B177</f>
        <v>0.39999999999999858</v>
      </c>
      <c r="D178" s="16">
        <v>37.488799999999998</v>
      </c>
      <c r="E178" s="14">
        <f>Table13468111214[[#This Row],[Euro Area PMI]]-B166</f>
        <v>-8.3000000000000043</v>
      </c>
      <c r="F178" s="61">
        <f>(Table13468111214[[#This Row],[EZU]]-D166)/D166</f>
        <v>-5.8314125365988803E-2</v>
      </c>
      <c r="G178" s="61"/>
    </row>
    <row r="179" spans="1:7" x14ac:dyDescent="0.2">
      <c r="A179" s="15">
        <v>43586</v>
      </c>
      <c r="B179" s="14">
        <v>47.7</v>
      </c>
      <c r="C179" s="30">
        <f>Table13468111214[[#This Row],[Euro Area PMI]]-B178</f>
        <v>-0.19999999999999574</v>
      </c>
      <c r="D179" s="16">
        <v>35.074641999999997</v>
      </c>
      <c r="E179" s="14">
        <f>Table13468111214[[#This Row],[Euro Area PMI]]-B167</f>
        <v>-7.7999999999999972</v>
      </c>
      <c r="F179" s="61">
        <f>(Table13468111214[[#This Row],[EZU]]-D167)/D167</f>
        <v>-8.6179315671980297E-2</v>
      </c>
      <c r="G179" s="61"/>
    </row>
    <row r="180" spans="1:7" x14ac:dyDescent="0.2">
      <c r="A180" s="15">
        <v>43617</v>
      </c>
      <c r="B180" s="14">
        <v>47.6</v>
      </c>
      <c r="C180" s="30">
        <f>Table13468111214[[#This Row],[Euro Area PMI]]-B179</f>
        <v>-0.10000000000000142</v>
      </c>
      <c r="D180" s="16">
        <v>36.591586999999997</v>
      </c>
      <c r="E180" s="14">
        <f>Table13468111214[[#This Row],[Euro Area PMI]]-B168</f>
        <v>-7.2999999999999972</v>
      </c>
      <c r="F180" s="61">
        <f>(Table13468111214[[#This Row],[EZU]]-D168)/D168</f>
        <v>-6.4408567687089203E-3</v>
      </c>
      <c r="G180" s="61">
        <v>7.5785230333338394E-3</v>
      </c>
    </row>
    <row r="181" spans="1:7" x14ac:dyDescent="0.2">
      <c r="A181" s="15">
        <v>43647</v>
      </c>
      <c r="B181" s="14">
        <v>46.5</v>
      </c>
      <c r="C181" s="30">
        <f>Table13468111214[[#This Row],[Euro Area PMI]]-B180</f>
        <v>-1.1000000000000014</v>
      </c>
      <c r="D181" s="16">
        <v>36.554459000000001</v>
      </c>
      <c r="E181" s="14">
        <f>Table13468111214[[#This Row],[Euro Area PMI]]-B169</f>
        <v>-8.6000000000000014</v>
      </c>
      <c r="F181" s="61">
        <f>(Table13468111214[[#This Row],[EZU]]-D169)/D169</f>
        <v>-6.6604684521375107E-2</v>
      </c>
      <c r="G181" s="61"/>
    </row>
    <row r="182" spans="1:7" x14ac:dyDescent="0.2">
      <c r="A182" s="15">
        <v>43678</v>
      </c>
      <c r="B182" s="14">
        <v>47</v>
      </c>
      <c r="C182" s="30">
        <f>Table13468111214[[#This Row],[Euro Area PMI]]-B181</f>
        <v>0.5</v>
      </c>
      <c r="D182" s="16">
        <v>36.003619999999998</v>
      </c>
      <c r="E182" s="14">
        <f>Table13468111214[[#This Row],[Euro Area PMI]]-B170</f>
        <v>-7.6000000000000014</v>
      </c>
      <c r="F182" s="61">
        <f>(Table13468111214[[#This Row],[EZU]]-D170)/D170</f>
        <v>-5.0560907817230466E-2</v>
      </c>
      <c r="G182" s="61"/>
    </row>
    <row r="183" spans="1:7" x14ac:dyDescent="0.2">
      <c r="A183" s="15">
        <v>43709</v>
      </c>
      <c r="B183" s="14">
        <v>45.7</v>
      </c>
      <c r="C183" s="30">
        <f>Table13468111214[[#This Row],[Euro Area PMI]]-B182</f>
        <v>-1.2999999999999972</v>
      </c>
      <c r="D183" s="16">
        <v>36.934337999999997</v>
      </c>
      <c r="E183" s="14">
        <f>Table13468111214[[#This Row],[Euro Area PMI]]-B171</f>
        <v>-7.5</v>
      </c>
      <c r="F183" s="61">
        <f>(Table13468111214[[#This Row],[EZU]]-D171)/D171</f>
        <v>-2.1029801807661761E-2</v>
      </c>
      <c r="G183" s="61"/>
    </row>
    <row r="184" spans="1:7" x14ac:dyDescent="0.2">
      <c r="A184" s="15">
        <v>43739</v>
      </c>
      <c r="B184" s="14">
        <v>45.9</v>
      </c>
      <c r="C184" s="30">
        <f>Table13468111214[[#This Row],[Euro Area PMI]]-B183</f>
        <v>0.19999999999999574</v>
      </c>
      <c r="D184" s="16">
        <v>38.387397999999997</v>
      </c>
      <c r="E184" s="14">
        <f>Table13468111214[[#This Row],[Euro Area PMI]]-B172</f>
        <v>-6.1000000000000014</v>
      </c>
      <c r="F184" s="61">
        <f>(Table13468111214[[#This Row],[EZU]]-D172)/D172</f>
        <v>0.11659210094979297</v>
      </c>
      <c r="G184" s="61"/>
    </row>
    <row r="185" spans="1:7" x14ac:dyDescent="0.2">
      <c r="A185" s="15">
        <v>43770</v>
      </c>
      <c r="B185" s="14">
        <v>46.9</v>
      </c>
      <c r="C185" s="30">
        <f>Table13468111214[[#This Row],[Euro Area PMI]]-B184</f>
        <v>1</v>
      </c>
      <c r="D185" s="16">
        <v>38.738796000000001</v>
      </c>
      <c r="E185" s="14">
        <f>Table13468111214[[#This Row],[Euro Area PMI]]-B173</f>
        <v>-4.8999999999999986</v>
      </c>
      <c r="F185" s="61">
        <f>(Table13468111214[[#This Row],[EZU]]-D173)/D173</f>
        <v>0.13074702377199501</v>
      </c>
      <c r="G185" s="61"/>
    </row>
    <row r="186" spans="1:7" x14ac:dyDescent="0.2">
      <c r="A186" s="15">
        <v>43800</v>
      </c>
      <c r="B186" s="14">
        <v>46.3</v>
      </c>
      <c r="C186" s="30">
        <f>Table13468111214[[#This Row],[Euro Area PMI]]-B185</f>
        <v>-0.60000000000000142</v>
      </c>
      <c r="D186" s="16">
        <v>39.811970000000002</v>
      </c>
      <c r="E186" s="14">
        <f>Table13468111214[[#This Row],[Euro Area PMI]]-B174</f>
        <v>-5.1000000000000014</v>
      </c>
      <c r="F186" s="61">
        <f>(Table13468111214[[#This Row],[EZU]]-D174)/D174</f>
        <v>0.23432812591074098</v>
      </c>
      <c r="G186" s="61"/>
    </row>
    <row r="187" spans="1:7" x14ac:dyDescent="0.2">
      <c r="A187" s="15">
        <v>43831</v>
      </c>
      <c r="B187" s="14">
        <v>47.9</v>
      </c>
      <c r="C187" s="30">
        <f>Table13468111214[[#This Row],[Euro Area PMI]]-B186</f>
        <v>1.6000000000000014</v>
      </c>
      <c r="D187" s="16">
        <v>38.602435999999997</v>
      </c>
      <c r="E187" s="14">
        <f>Table13468111214[[#This Row],[Euro Area PMI]]-B175</f>
        <v>-2.6000000000000014</v>
      </c>
      <c r="F187" s="61">
        <f>(Table13468111214[[#This Row],[EZU]]-D175)/D175</f>
        <v>0.11737559046751196</v>
      </c>
      <c r="G187" s="61"/>
    </row>
    <row r="188" spans="1:7" x14ac:dyDescent="0.2">
      <c r="A188" s="15">
        <v>43862</v>
      </c>
      <c r="B188" s="14">
        <v>49.2</v>
      </c>
      <c r="C188" s="30">
        <f>Table13468111214[[#This Row],[Euro Area PMI]]-B187</f>
        <v>1.3000000000000043</v>
      </c>
      <c r="D188" s="16">
        <v>35.751122000000002</v>
      </c>
      <c r="E188" s="14">
        <f>Table13468111214[[#This Row],[Euro Area PMI]]-B176</f>
        <v>-9.9999999999994316E-2</v>
      </c>
      <c r="F188" s="61">
        <f>(Table13468111214[[#This Row],[EZU]]-D176)/D176</f>
        <v>3.4100557280665029E-3</v>
      </c>
      <c r="G188" s="61"/>
    </row>
    <row r="189" spans="1:7" x14ac:dyDescent="0.2">
      <c r="A189" s="15">
        <v>43891</v>
      </c>
      <c r="B189" s="14">
        <v>44.5</v>
      </c>
      <c r="C189" s="30">
        <f>Table13468111214[[#This Row],[Euro Area PMI]]-B188</f>
        <v>-4.7000000000000028</v>
      </c>
      <c r="D189" s="16">
        <v>29.094873</v>
      </c>
      <c r="E189" s="14">
        <f>Table13468111214[[#This Row],[Euro Area PMI]]-B177</f>
        <v>-3</v>
      </c>
      <c r="F189" s="61">
        <f>(Table13468111214[[#This Row],[EZU]]-D177)/D177</f>
        <v>-0.18510021714604238</v>
      </c>
      <c r="G189" s="61"/>
    </row>
    <row r="190" spans="1:7" x14ac:dyDescent="0.2">
      <c r="A190" s="15">
        <v>43922</v>
      </c>
      <c r="B190" s="14">
        <v>33.4</v>
      </c>
      <c r="C190" s="30">
        <f>Table13468111214[[#This Row],[Euro Area PMI]]-B189</f>
        <v>-11.100000000000001</v>
      </c>
      <c r="D190" s="16">
        <v>30.887671999999998</v>
      </c>
      <c r="E190" s="14">
        <f>Table13468111214[[#This Row],[Euro Area PMI]]-B178</f>
        <v>-14.5</v>
      </c>
      <c r="F190" s="61">
        <f>(Table13468111214[[#This Row],[EZU]]-D178)/D178</f>
        <v>-0.17608267002411385</v>
      </c>
      <c r="G190" s="61"/>
    </row>
    <row r="191" spans="1:7" x14ac:dyDescent="0.2">
      <c r="A191" s="15">
        <v>43952</v>
      </c>
      <c r="B191" s="14">
        <v>39.4</v>
      </c>
      <c r="C191" s="30">
        <f>Table13468111214[[#This Row],[Euro Area PMI]]-B190</f>
        <v>6</v>
      </c>
      <c r="D191" s="16">
        <v>33.166817000000002</v>
      </c>
      <c r="E191" s="14">
        <f>Table13468111214[[#This Row],[Euro Area PMI]]-B179</f>
        <v>-8.3000000000000043</v>
      </c>
      <c r="F191" s="61">
        <f>(Table13468111214[[#This Row],[EZU]]-D179)/D179</f>
        <v>-5.4393285040514328E-2</v>
      </c>
      <c r="G191" s="61"/>
    </row>
    <row r="192" spans="1:7" x14ac:dyDescent="0.2">
      <c r="A192" s="15">
        <v>43983</v>
      </c>
      <c r="B192" s="14">
        <v>47.4</v>
      </c>
      <c r="C192" s="30">
        <f>Table13468111214[[#This Row],[Euro Area PMI]]-B191</f>
        <v>8</v>
      </c>
      <c r="D192" s="16">
        <v>34.787967999999999</v>
      </c>
      <c r="E192" s="14">
        <f>Table13468111214[[#This Row],[Euro Area PMI]]-B180</f>
        <v>-0.20000000000000284</v>
      </c>
      <c r="F192" s="61">
        <f>(Table13468111214[[#This Row],[EZU]]-D180)/D180</f>
        <v>-4.9290537740273407E-2</v>
      </c>
      <c r="G192" s="61"/>
    </row>
    <row r="193" spans="1:7" x14ac:dyDescent="0.2">
      <c r="A193" s="15">
        <v>44013</v>
      </c>
      <c r="B193" s="14">
        <v>51.8</v>
      </c>
      <c r="C193" s="30">
        <f>Table13468111214[[#This Row],[Euro Area PMI]]-B192</f>
        <v>4.3999999999999986</v>
      </c>
      <c r="D193" s="16">
        <v>36.242023000000003</v>
      </c>
      <c r="E193" s="14">
        <f>Table13468111214[[#This Row],[Euro Area PMI]]-B181</f>
        <v>5.2999999999999972</v>
      </c>
      <c r="F193" s="61">
        <f>(Table13468111214[[#This Row],[EZU]]-D181)/D181</f>
        <v>-8.5471378471227866E-3</v>
      </c>
      <c r="G193" s="61"/>
    </row>
    <row r="194" spans="1:7" x14ac:dyDescent="0.2">
      <c r="A194" s="15">
        <v>44044</v>
      </c>
      <c r="B194" s="14">
        <v>51.7</v>
      </c>
      <c r="C194" s="30">
        <f>Table13468111214[[#This Row],[Euro Area PMI]]-B193</f>
        <v>-9.9999999999994316E-2</v>
      </c>
      <c r="D194" s="16">
        <v>37.896827999999999</v>
      </c>
      <c r="E194" s="14">
        <f>Table13468111214[[#This Row],[Euro Area PMI]]-B182</f>
        <v>4.7000000000000028</v>
      </c>
      <c r="F194" s="61">
        <f>(Table13468111214[[#This Row],[EZU]]-D182)/D182</f>
        <v>5.2583823515524312E-2</v>
      </c>
      <c r="G194" s="61"/>
    </row>
    <row r="195" spans="1:7" x14ac:dyDescent="0.2">
      <c r="A195" s="15">
        <v>44075</v>
      </c>
      <c r="B195" s="14">
        <v>53.7</v>
      </c>
      <c r="C195" s="30">
        <f>Table13468111214[[#This Row],[Euro Area PMI]]-B194</f>
        <v>2</v>
      </c>
      <c r="D195" s="16">
        <v>36.482543999999997</v>
      </c>
      <c r="E195" s="14">
        <f>Table13468111214[[#This Row],[Euro Area PMI]]-B183</f>
        <v>8</v>
      </c>
      <c r="F195" s="61">
        <f>(Table13468111214[[#This Row],[EZU]]-D183)/D183</f>
        <v>-1.2232356784085303E-2</v>
      </c>
      <c r="G195" s="61"/>
    </row>
    <row r="196" spans="1:7" x14ac:dyDescent="0.2">
      <c r="A196" s="15">
        <v>44105</v>
      </c>
      <c r="B196" s="14">
        <v>54.8</v>
      </c>
      <c r="C196" s="30">
        <f>Table13468111214[[#This Row],[Euro Area PMI]]-B195</f>
        <v>1.0999999999999943</v>
      </c>
      <c r="D196" s="16">
        <v>34.519877999999999</v>
      </c>
      <c r="E196" s="14">
        <f>Table13468111214[[#This Row],[Euro Area PMI]]-B184</f>
        <v>8.8999999999999986</v>
      </c>
      <c r="F196" s="61">
        <f>(Table13468111214[[#This Row],[EZU]]-D184)/D184</f>
        <v>-0.10074973041934228</v>
      </c>
      <c r="G196" s="61"/>
    </row>
    <row r="197" spans="1:7" x14ac:dyDescent="0.2">
      <c r="A197" s="15">
        <v>44136</v>
      </c>
      <c r="B197" s="14">
        <v>53.8</v>
      </c>
      <c r="C197" s="30">
        <f>Table13468111214[[#This Row],[Euro Area PMI]]-B196</f>
        <v>-1</v>
      </c>
      <c r="D197" s="16">
        <v>41.312252000000001</v>
      </c>
      <c r="E197" s="14">
        <f>Table13468111214[[#This Row],[Euro Area PMI]]-B185</f>
        <v>6.8999999999999986</v>
      </c>
      <c r="F197" s="61">
        <f>(Table13468111214[[#This Row],[EZU]]-D185)/D185</f>
        <v>6.6430975294121175E-2</v>
      </c>
      <c r="G197" s="61"/>
    </row>
    <row r="198" spans="1:7" x14ac:dyDescent="0.2">
      <c r="A198" s="15">
        <v>44166</v>
      </c>
      <c r="B198" s="14">
        <v>55.2</v>
      </c>
      <c r="C198" s="30">
        <f>Table13468111214[[#This Row],[Euro Area PMI]]-B197</f>
        <v>1.4000000000000057</v>
      </c>
      <c r="D198" s="16">
        <v>42.409039</v>
      </c>
      <c r="E198" s="14">
        <f>Table13468111214[[#This Row],[Euro Area PMI]]-B186</f>
        <v>8.9000000000000057</v>
      </c>
      <c r="F198" s="61">
        <f>(Table13468111214[[#This Row],[EZU]]-D186)/D186</f>
        <v>6.5233370767635898E-2</v>
      </c>
      <c r="G198" s="61"/>
    </row>
    <row r="199" spans="1:7" x14ac:dyDescent="0.2">
      <c r="A199" s="15">
        <v>44197</v>
      </c>
      <c r="B199" s="14">
        <v>54.8</v>
      </c>
      <c r="C199" s="30">
        <f>Table13468111214[[#This Row],[Euro Area PMI]]-B198</f>
        <v>-0.40000000000000568</v>
      </c>
      <c r="D199" s="16">
        <v>42.269043000000003</v>
      </c>
      <c r="E199" s="14">
        <f>Table13468111214[[#This Row],[Euro Area PMI]]-B187</f>
        <v>6.8999999999999986</v>
      </c>
      <c r="F199" s="61">
        <f>(Table13468111214[[#This Row],[EZU]]-D187)/D187</f>
        <v>9.4983824336889164E-2</v>
      </c>
      <c r="G199" s="61"/>
    </row>
    <row r="200" spans="1:7" x14ac:dyDescent="0.2">
      <c r="A200" s="15">
        <v>44228</v>
      </c>
      <c r="B200" s="14">
        <v>57.9</v>
      </c>
      <c r="C200" s="30">
        <f>Table13468111214[[#This Row],[Euro Area PMI]]-B199</f>
        <v>3.1000000000000014</v>
      </c>
      <c r="D200" s="16">
        <v>43.703704999999999</v>
      </c>
      <c r="E200" s="14">
        <f>Table13468111214[[#This Row],[Euro Area PMI]]-B188</f>
        <v>8.6999999999999957</v>
      </c>
      <c r="F200" s="61">
        <f>(Table13468111214[[#This Row],[EZU]]-D188)/D188</f>
        <v>0.22244289284123717</v>
      </c>
      <c r="G200" s="61"/>
    </row>
    <row r="201" spans="1:7" x14ac:dyDescent="0.2">
      <c r="A201" s="15">
        <v>44256</v>
      </c>
      <c r="B201" s="14">
        <v>62.5</v>
      </c>
      <c r="C201" s="30">
        <f>Table13468111214[[#This Row],[Euro Area PMI]]-B200</f>
        <v>4.6000000000000014</v>
      </c>
      <c r="D201" s="16">
        <v>45.314048999999997</v>
      </c>
      <c r="E201" s="14">
        <f>Table13468111214[[#This Row],[Euro Area PMI]]-B189</f>
        <v>18</v>
      </c>
      <c r="F201" s="61">
        <f>(Table13468111214[[#This Row],[EZU]]-D189)/D189</f>
        <v>0.55745821609188662</v>
      </c>
      <c r="G201" s="61"/>
    </row>
    <row r="202" spans="1:7" x14ac:dyDescent="0.2">
      <c r="A202" s="15">
        <v>44287</v>
      </c>
      <c r="B202" s="14">
        <v>62.9</v>
      </c>
      <c r="C202" s="30">
        <f>Table13468111214[[#This Row],[Euro Area PMI]]-B201</f>
        <v>0.39999999999999858</v>
      </c>
      <c r="D202" s="16">
        <v>47.422134</v>
      </c>
      <c r="E202" s="14">
        <f>Table13468111214[[#This Row],[Euro Area PMI]]-B190</f>
        <v>29.5</v>
      </c>
      <c r="F202" s="61">
        <f>(Table13468111214[[#This Row],[EZU]]-D190)/D190</f>
        <v>0.53530942701023254</v>
      </c>
      <c r="G202" s="61"/>
    </row>
    <row r="203" spans="1:7" x14ac:dyDescent="0.2">
      <c r="A203" s="15">
        <v>44317</v>
      </c>
      <c r="B203" s="14">
        <v>63.1</v>
      </c>
      <c r="C203" s="30">
        <f>Table13468111214[[#This Row],[Euro Area PMI]]-B202</f>
        <v>0.20000000000000284</v>
      </c>
      <c r="D203" s="16">
        <v>49.500937999999998</v>
      </c>
      <c r="E203" s="14">
        <f>Table13468111214[[#This Row],[Euro Area PMI]]-B191</f>
        <v>23.700000000000003</v>
      </c>
      <c r="F203" s="61">
        <f>(Table13468111214[[#This Row],[EZU]]-D191)/D191</f>
        <v>0.49248382803812601</v>
      </c>
      <c r="G203" s="61"/>
    </row>
    <row r="204" spans="1:7" x14ac:dyDescent="0.2">
      <c r="A204" s="15">
        <v>44348</v>
      </c>
      <c r="B204" s="14">
        <v>63.4</v>
      </c>
      <c r="C204" s="30">
        <f>Table13468111214[[#This Row],[Euro Area PMI]]-B203</f>
        <v>0.29999999999999716</v>
      </c>
      <c r="D204" s="16">
        <v>48.163863999999997</v>
      </c>
      <c r="E204" s="14">
        <f>Table13468111214[[#This Row],[Euro Area PMI]]-B192</f>
        <v>16</v>
      </c>
      <c r="F204" s="61">
        <f>(Table13468111214[[#This Row],[EZU]]-D192)/D192</f>
        <v>0.38449776658412466</v>
      </c>
      <c r="G204" s="61"/>
    </row>
    <row r="205" spans="1:7" x14ac:dyDescent="0.2">
      <c r="A205" s="15">
        <v>44378</v>
      </c>
      <c r="B205" s="14">
        <v>62.8</v>
      </c>
      <c r="C205" s="30">
        <f>Table13468111214[[#This Row],[Euro Area PMI]]-B204</f>
        <v>-0.60000000000000142</v>
      </c>
      <c r="D205" s="16">
        <v>49.115420999999998</v>
      </c>
      <c r="E205" s="14">
        <f>Table13468111214[[#This Row],[Euro Area PMI]]-B193</f>
        <v>11</v>
      </c>
      <c r="F205" s="61">
        <f>(Table13468111214[[#This Row],[EZU]]-D193)/D193</f>
        <v>0.35520638569210095</v>
      </c>
      <c r="G205" s="61"/>
    </row>
    <row r="206" spans="1:7" x14ac:dyDescent="0.2">
      <c r="A206" s="15">
        <v>44409</v>
      </c>
      <c r="B206" s="14">
        <v>61.4</v>
      </c>
      <c r="C206" s="30">
        <f>Table13468111214[[#This Row],[Euro Area PMI]]-B205</f>
        <v>-1.3999999999999986</v>
      </c>
      <c r="D206" s="16">
        <v>50.080978000000002</v>
      </c>
      <c r="E206" s="14">
        <f>Table13468111214[[#This Row],[Euro Area PMI]]-B194</f>
        <v>9.6999999999999957</v>
      </c>
      <c r="F206" s="61">
        <f>(Table13468111214[[#This Row],[EZU]]-D194)/D194</f>
        <v>0.32150843864821621</v>
      </c>
      <c r="G206" s="61"/>
    </row>
    <row r="207" spans="1:7" x14ac:dyDescent="0.2">
      <c r="A207" s="15">
        <v>44440</v>
      </c>
      <c r="B207" s="14">
        <v>58.6</v>
      </c>
      <c r="C207" s="30">
        <f>Table13468111214[[#This Row],[Euro Area PMI]]-B206</f>
        <v>-2.7999999999999972</v>
      </c>
      <c r="D207" s="16">
        <v>47.410915000000003</v>
      </c>
      <c r="E207" s="14">
        <f>Table13468111214[[#This Row],[Euro Area PMI]]-B195</f>
        <v>4.8999999999999986</v>
      </c>
      <c r="F207" s="61">
        <f>(Table13468111214[[#This Row],[EZU]]-D195)/D195</f>
        <v>0.29955068374617755</v>
      </c>
      <c r="G207" s="61"/>
    </row>
    <row r="208" spans="1:7" x14ac:dyDescent="0.2">
      <c r="A208" s="15">
        <v>44470</v>
      </c>
      <c r="B208" s="14">
        <v>58.3</v>
      </c>
      <c r="C208" s="30">
        <f>Table13468111214[[#This Row],[Euro Area PMI]]-B207</f>
        <v>-0.30000000000000426</v>
      </c>
      <c r="D208" s="16">
        <v>49.578494999999997</v>
      </c>
      <c r="E208" s="14">
        <f>Table13468111214[[#This Row],[Euro Area PMI]]-B196</f>
        <v>3.5</v>
      </c>
      <c r="F208" s="61">
        <f>(Table13468111214[[#This Row],[EZU]]-D196)/D196</f>
        <v>0.43623030765056581</v>
      </c>
      <c r="G208" s="61"/>
    </row>
    <row r="209" spans="1:7" x14ac:dyDescent="0.2">
      <c r="A209" s="15">
        <v>44501</v>
      </c>
      <c r="B209" s="14">
        <v>58.4</v>
      </c>
      <c r="C209" s="30">
        <f>Table13468111214[[#This Row],[Euro Area PMI]]-B208</f>
        <v>0.10000000000000142</v>
      </c>
      <c r="D209" s="16">
        <v>46.898575000000001</v>
      </c>
      <c r="E209" s="14">
        <f>Table13468111214[[#This Row],[Euro Area PMI]]-B197</f>
        <v>4.6000000000000014</v>
      </c>
      <c r="F209" s="61">
        <f>(Table13468111214[[#This Row],[EZU]]-D197)/D197</f>
        <v>0.13522194335956317</v>
      </c>
      <c r="G209" s="61"/>
    </row>
    <row r="210" spans="1:7" x14ac:dyDescent="0.2">
      <c r="A210" s="15">
        <v>44531</v>
      </c>
      <c r="B210" s="14">
        <v>58</v>
      </c>
      <c r="C210" s="30">
        <f>Table13468111214[[#This Row],[Euro Area PMI]]-B209</f>
        <v>-0.39999999999999858</v>
      </c>
      <c r="D210" s="16">
        <v>48.287796</v>
      </c>
      <c r="E210" s="14">
        <f>Table13468111214[[#This Row],[Euro Area PMI]]-B198</f>
        <v>2.7999999999999972</v>
      </c>
      <c r="F210" s="61">
        <f>(Table13468111214[[#This Row],[EZU]]-D198)/D198</f>
        <v>0.13862037760393486</v>
      </c>
      <c r="G210" s="61"/>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519CC-C006-47C0-B57B-EC96588A9DC2}">
  <dimension ref="A1:K172"/>
  <sheetViews>
    <sheetView zoomScale="160" zoomScaleNormal="160" workbookViewId="0">
      <pane ySplit="5" topLeftCell="A131" activePane="bottomLeft" state="frozen"/>
      <selection pane="bottomLeft" activeCell="R144" sqref="R14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42</v>
      </c>
      <c r="K1" s="10" t="s">
        <v>21</v>
      </c>
    </row>
    <row r="2" spans="1:11" x14ac:dyDescent="0.2">
      <c r="K2" s="10" t="str">
        <f>A1&amp;K1</f>
        <v>Japan Manufacturing PMI</v>
      </c>
    </row>
    <row r="4" spans="1:11" ht="16" thickBot="1" x14ac:dyDescent="0.25"/>
    <row r="5" spans="1:11" ht="16" thickBot="1" x14ac:dyDescent="0.25">
      <c r="A5" s="27" t="s">
        <v>10</v>
      </c>
      <c r="B5" s="28" t="s">
        <v>11</v>
      </c>
      <c r="C5" s="28" t="s">
        <v>14</v>
      </c>
    </row>
    <row r="6" spans="1:11" x14ac:dyDescent="0.2">
      <c r="A6" s="23">
        <v>39479</v>
      </c>
      <c r="B6" s="24">
        <v>50.8</v>
      </c>
      <c r="C6" s="24"/>
    </row>
    <row r="7" spans="1:11" x14ac:dyDescent="0.2">
      <c r="A7" s="15">
        <v>39508</v>
      </c>
      <c r="B7" s="14">
        <v>49.5</v>
      </c>
      <c r="C7" s="14">
        <f>Table1346811121415161718192022[[#This Row],[PMI]]-B6</f>
        <v>-1.2999999999999972</v>
      </c>
    </row>
    <row r="8" spans="1:11" x14ac:dyDescent="0.2">
      <c r="A8" s="15">
        <v>39539</v>
      </c>
      <c r="B8" s="14">
        <v>48.6</v>
      </c>
      <c r="C8" s="14">
        <f>Table1346811121415161718192022[[#This Row],[PMI]]-B7</f>
        <v>-0.89999999999999858</v>
      </c>
    </row>
    <row r="9" spans="1:11" x14ac:dyDescent="0.2">
      <c r="A9" s="15">
        <v>39569</v>
      </c>
      <c r="B9" s="14">
        <v>47.7</v>
      </c>
      <c r="C9" s="14">
        <f>Table1346811121415161718192022[[#This Row],[PMI]]-B8</f>
        <v>-0.89999999999999858</v>
      </c>
    </row>
    <row r="10" spans="1:11" x14ac:dyDescent="0.2">
      <c r="A10" s="15">
        <v>39600</v>
      </c>
      <c r="B10" s="14">
        <v>46.5</v>
      </c>
      <c r="C10" s="14">
        <f>Table1346811121415161718192022[[#This Row],[PMI]]-B9</f>
        <v>-1.2000000000000028</v>
      </c>
    </row>
    <row r="11" spans="1:11" x14ac:dyDescent="0.2">
      <c r="A11" s="15">
        <v>39630</v>
      </c>
      <c r="B11" s="14">
        <v>47</v>
      </c>
      <c r="C11" s="14">
        <f>Table1346811121415161718192022[[#This Row],[PMI]]-B10</f>
        <v>0.5</v>
      </c>
    </row>
    <row r="12" spans="1:11" x14ac:dyDescent="0.2">
      <c r="A12" s="15">
        <v>39661</v>
      </c>
      <c r="B12" s="14">
        <v>46.9</v>
      </c>
      <c r="C12" s="14">
        <f>Table1346811121415161718192022[[#This Row],[PMI]]-B11</f>
        <v>-0.10000000000000142</v>
      </c>
    </row>
    <row r="13" spans="1:11" x14ac:dyDescent="0.2">
      <c r="A13" s="15">
        <v>39692</v>
      </c>
      <c r="B13" s="14">
        <v>44.3</v>
      </c>
      <c r="C13" s="14">
        <f>Table1346811121415161718192022[[#This Row],[PMI]]-B12</f>
        <v>-2.6000000000000014</v>
      </c>
    </row>
    <row r="14" spans="1:11" x14ac:dyDescent="0.2">
      <c r="A14" s="15">
        <v>39722</v>
      </c>
      <c r="B14" s="14">
        <v>42.2</v>
      </c>
      <c r="C14" s="14">
        <f>Table1346811121415161718192022[[#This Row],[PMI]]-B13</f>
        <v>-2.0999999999999943</v>
      </c>
    </row>
    <row r="15" spans="1:11" x14ac:dyDescent="0.2">
      <c r="A15" s="15">
        <v>39753</v>
      </c>
      <c r="B15" s="14">
        <v>36.700000000000003</v>
      </c>
      <c r="C15" s="14">
        <f>Table1346811121415161718192022[[#This Row],[PMI]]-B14</f>
        <v>-5.5</v>
      </c>
    </row>
    <row r="16" spans="1:11" x14ac:dyDescent="0.2">
      <c r="A16" s="15">
        <v>39783</v>
      </c>
      <c r="B16" s="14">
        <v>30.8</v>
      </c>
      <c r="C16" s="14">
        <f>Table1346811121415161718192022[[#This Row],[PMI]]-B15</f>
        <v>-5.9000000000000021</v>
      </c>
    </row>
    <row r="17" spans="1:3" x14ac:dyDescent="0.2">
      <c r="A17" s="15">
        <v>39814</v>
      </c>
      <c r="B17" s="14">
        <v>29.6</v>
      </c>
      <c r="C17" s="14">
        <f>Table1346811121415161718192022[[#This Row],[PMI]]-B16</f>
        <v>-1.1999999999999993</v>
      </c>
    </row>
    <row r="18" spans="1:3" x14ac:dyDescent="0.2">
      <c r="A18" s="15">
        <v>39845</v>
      </c>
      <c r="B18" s="14">
        <v>31.6</v>
      </c>
      <c r="C18" s="14">
        <f>Table1346811121415161718192022[[#This Row],[PMI]]-B17</f>
        <v>2</v>
      </c>
    </row>
    <row r="19" spans="1:3" x14ac:dyDescent="0.2">
      <c r="A19" s="15">
        <v>39873</v>
      </c>
      <c r="B19" s="14">
        <v>33.799999999999997</v>
      </c>
      <c r="C19" s="14">
        <f>Table1346811121415161718192022[[#This Row],[PMI]]-B18</f>
        <v>2.1999999999999957</v>
      </c>
    </row>
    <row r="20" spans="1:3" x14ac:dyDescent="0.2">
      <c r="A20" s="15">
        <v>39904</v>
      </c>
      <c r="B20" s="14">
        <v>41.4</v>
      </c>
      <c r="C20" s="14">
        <f>Table1346811121415161718192022[[#This Row],[PMI]]-B19</f>
        <v>7.6000000000000014</v>
      </c>
    </row>
    <row r="21" spans="1:3" x14ac:dyDescent="0.2">
      <c r="A21" s="15">
        <v>39934</v>
      </c>
      <c r="B21" s="14">
        <v>46.6</v>
      </c>
      <c r="C21" s="14">
        <f>Table1346811121415161718192022[[#This Row],[PMI]]-B20</f>
        <v>5.2000000000000028</v>
      </c>
    </row>
    <row r="22" spans="1:3" x14ac:dyDescent="0.2">
      <c r="A22" s="15">
        <v>39965</v>
      </c>
      <c r="B22" s="14">
        <v>48.2</v>
      </c>
      <c r="C22" s="14">
        <f>Table1346811121415161718192022[[#This Row],[PMI]]-B21</f>
        <v>1.6000000000000014</v>
      </c>
    </row>
    <row r="23" spans="1:3" x14ac:dyDescent="0.2">
      <c r="A23" s="15">
        <v>39995</v>
      </c>
      <c r="B23" s="14">
        <v>50.4</v>
      </c>
      <c r="C23" s="14">
        <f>Table1346811121415161718192022[[#This Row],[PMI]]-B22</f>
        <v>2.1999999999999957</v>
      </c>
    </row>
    <row r="24" spans="1:3" x14ac:dyDescent="0.2">
      <c r="A24" s="15">
        <v>40026</v>
      </c>
      <c r="B24" s="14">
        <v>53.6</v>
      </c>
      <c r="C24" s="14">
        <f>Table1346811121415161718192022[[#This Row],[PMI]]-B23</f>
        <v>3.2000000000000028</v>
      </c>
    </row>
    <row r="25" spans="1:3" x14ac:dyDescent="0.2">
      <c r="A25" s="15">
        <v>40057</v>
      </c>
      <c r="B25" s="14">
        <v>54.5</v>
      </c>
      <c r="C25" s="14">
        <f>Table1346811121415161718192022[[#This Row],[PMI]]-B24</f>
        <v>0.89999999999999858</v>
      </c>
    </row>
    <row r="26" spans="1:3" x14ac:dyDescent="0.2">
      <c r="A26" s="15">
        <v>40087</v>
      </c>
      <c r="B26" s="14">
        <v>54.3</v>
      </c>
      <c r="C26" s="14">
        <f>Table1346811121415161718192022[[#This Row],[PMI]]-B25</f>
        <v>-0.20000000000000284</v>
      </c>
    </row>
    <row r="27" spans="1:3" x14ac:dyDescent="0.2">
      <c r="A27" s="15">
        <v>40118</v>
      </c>
      <c r="B27" s="14">
        <v>52.3</v>
      </c>
      <c r="C27" s="14">
        <f>Table1346811121415161718192022[[#This Row],[PMI]]-B26</f>
        <v>-2</v>
      </c>
    </row>
    <row r="28" spans="1:3" x14ac:dyDescent="0.2">
      <c r="A28" s="15">
        <v>40148</v>
      </c>
      <c r="B28" s="14">
        <v>53.8</v>
      </c>
      <c r="C28" s="14">
        <f>Table1346811121415161718192022[[#This Row],[PMI]]-B27</f>
        <v>1.5</v>
      </c>
    </row>
    <row r="29" spans="1:3" x14ac:dyDescent="0.2">
      <c r="A29" s="15">
        <v>40179</v>
      </c>
      <c r="B29" s="14">
        <v>52.5</v>
      </c>
      <c r="C29" s="14">
        <f>Table1346811121415161718192022[[#This Row],[PMI]]-B28</f>
        <v>-1.2999999999999972</v>
      </c>
    </row>
    <row r="30" spans="1:3" x14ac:dyDescent="0.2">
      <c r="A30" s="15">
        <v>40210</v>
      </c>
      <c r="B30" s="14">
        <v>52.5</v>
      </c>
      <c r="C30" s="14">
        <f>Table1346811121415161718192022[[#This Row],[PMI]]-B29</f>
        <v>0</v>
      </c>
    </row>
    <row r="31" spans="1:3" x14ac:dyDescent="0.2">
      <c r="A31" s="15">
        <v>40238</v>
      </c>
      <c r="B31" s="14">
        <v>52.4</v>
      </c>
      <c r="C31" s="14">
        <f>Table1346811121415161718192022[[#This Row],[PMI]]-B30</f>
        <v>-0.10000000000000142</v>
      </c>
    </row>
    <row r="32" spans="1:3" x14ac:dyDescent="0.2">
      <c r="A32" s="15">
        <v>40269</v>
      </c>
      <c r="B32" s="14">
        <v>53.5</v>
      </c>
      <c r="C32" s="14">
        <f>Table1346811121415161718192022[[#This Row],[PMI]]-B31</f>
        <v>1.1000000000000014</v>
      </c>
    </row>
    <row r="33" spans="1:3" x14ac:dyDescent="0.2">
      <c r="A33" s="15">
        <v>40299</v>
      </c>
      <c r="B33" s="14">
        <v>54.7</v>
      </c>
      <c r="C33" s="14">
        <f>Table1346811121415161718192022[[#This Row],[PMI]]-B32</f>
        <v>1.2000000000000028</v>
      </c>
    </row>
    <row r="34" spans="1:3" x14ac:dyDescent="0.2">
      <c r="A34" s="15">
        <v>40330</v>
      </c>
      <c r="B34" s="14">
        <v>53.9</v>
      </c>
      <c r="C34" s="14">
        <f>Table1346811121415161718192022[[#This Row],[PMI]]-B33</f>
        <v>-0.80000000000000426</v>
      </c>
    </row>
    <row r="35" spans="1:3" x14ac:dyDescent="0.2">
      <c r="A35" s="15">
        <v>40360</v>
      </c>
      <c r="B35" s="14">
        <v>52.8</v>
      </c>
      <c r="C35" s="14">
        <f>Table1346811121415161718192022[[#This Row],[PMI]]-B34</f>
        <v>-1.1000000000000014</v>
      </c>
    </row>
    <row r="36" spans="1:3" x14ac:dyDescent="0.2">
      <c r="A36" s="15">
        <v>40391</v>
      </c>
      <c r="B36" s="14">
        <v>50.1</v>
      </c>
      <c r="C36" s="14">
        <f>Table1346811121415161718192022[[#This Row],[PMI]]-B35</f>
        <v>-2.6999999999999957</v>
      </c>
    </row>
    <row r="37" spans="1:3" x14ac:dyDescent="0.2">
      <c r="A37" s="15">
        <v>40422</v>
      </c>
      <c r="B37" s="14">
        <v>49.5</v>
      </c>
      <c r="C37" s="14">
        <f>Table1346811121415161718192022[[#This Row],[PMI]]-B36</f>
        <v>-0.60000000000000142</v>
      </c>
    </row>
    <row r="38" spans="1:3" x14ac:dyDescent="0.2">
      <c r="A38" s="15">
        <v>40452</v>
      </c>
      <c r="B38" s="14">
        <v>47.2</v>
      </c>
      <c r="C38" s="14">
        <f>Table1346811121415161718192022[[#This Row],[PMI]]-B37</f>
        <v>-2.2999999999999972</v>
      </c>
    </row>
    <row r="39" spans="1:3" x14ac:dyDescent="0.2">
      <c r="A39" s="15">
        <v>40483</v>
      </c>
      <c r="B39" s="14">
        <v>47.3</v>
      </c>
      <c r="C39" s="14">
        <f>Table1346811121415161718192022[[#This Row],[PMI]]-B38</f>
        <v>9.9999999999994316E-2</v>
      </c>
    </row>
    <row r="40" spans="1:3" x14ac:dyDescent="0.2">
      <c r="A40" s="15">
        <v>40513</v>
      </c>
      <c r="B40" s="14">
        <v>48.3</v>
      </c>
      <c r="C40" s="14">
        <f>Table1346811121415161718192022[[#This Row],[PMI]]-B39</f>
        <v>1</v>
      </c>
    </row>
    <row r="41" spans="1:3" x14ac:dyDescent="0.2">
      <c r="A41" s="15">
        <v>40544</v>
      </c>
      <c r="B41" s="14">
        <v>51.4</v>
      </c>
      <c r="C41" s="14">
        <f>Table1346811121415161718192022[[#This Row],[PMI]]-B40</f>
        <v>3.1000000000000014</v>
      </c>
    </row>
    <row r="42" spans="1:3" x14ac:dyDescent="0.2">
      <c r="A42" s="15">
        <v>40575</v>
      </c>
      <c r="B42" s="14">
        <v>52.9</v>
      </c>
      <c r="C42" s="14">
        <f>Table1346811121415161718192022[[#This Row],[PMI]]-B41</f>
        <v>1.5</v>
      </c>
    </row>
    <row r="43" spans="1:3" x14ac:dyDescent="0.2">
      <c r="A43" s="15">
        <v>40603</v>
      </c>
      <c r="B43" s="14">
        <v>46.4</v>
      </c>
      <c r="C43" s="14">
        <f>Table1346811121415161718192022[[#This Row],[PMI]]-B42</f>
        <v>-6.5</v>
      </c>
    </row>
    <row r="44" spans="1:3" x14ac:dyDescent="0.2">
      <c r="A44" s="15">
        <v>40634</v>
      </c>
      <c r="B44" s="14">
        <v>45.7</v>
      </c>
      <c r="C44" s="14">
        <f>Table1346811121415161718192022[[#This Row],[PMI]]-B43</f>
        <v>-0.69999999999999574</v>
      </c>
    </row>
    <row r="45" spans="1:3" x14ac:dyDescent="0.2">
      <c r="A45" s="15">
        <v>40664</v>
      </c>
      <c r="B45" s="14">
        <v>51.3</v>
      </c>
      <c r="C45" s="14">
        <f>Table1346811121415161718192022[[#This Row],[PMI]]-B44</f>
        <v>5.5999999999999943</v>
      </c>
    </row>
    <row r="46" spans="1:3" x14ac:dyDescent="0.2">
      <c r="A46" s="15">
        <v>40695</v>
      </c>
      <c r="B46" s="14">
        <v>50.7</v>
      </c>
      <c r="C46" s="14">
        <f>Table1346811121415161718192022[[#This Row],[PMI]]-B45</f>
        <v>-0.59999999999999432</v>
      </c>
    </row>
    <row r="47" spans="1:3" x14ac:dyDescent="0.2">
      <c r="A47" s="15">
        <v>40725</v>
      </c>
      <c r="B47" s="14">
        <v>52.1</v>
      </c>
      <c r="C47" s="14">
        <f>Table1346811121415161718192022[[#This Row],[PMI]]-B46</f>
        <v>1.3999999999999986</v>
      </c>
    </row>
    <row r="48" spans="1:3" x14ac:dyDescent="0.2">
      <c r="A48" s="15">
        <v>40756</v>
      </c>
      <c r="B48" s="14">
        <v>51.9</v>
      </c>
      <c r="C48" s="14">
        <f>Table1346811121415161718192022[[#This Row],[PMI]]-B47</f>
        <v>-0.20000000000000284</v>
      </c>
    </row>
    <row r="49" spans="1:3" x14ac:dyDescent="0.2">
      <c r="A49" s="15">
        <v>40787</v>
      </c>
      <c r="B49" s="14">
        <v>49.3</v>
      </c>
      <c r="C49" s="14">
        <f>Table1346811121415161718192022[[#This Row],[PMI]]-B48</f>
        <v>-2.6000000000000014</v>
      </c>
    </row>
    <row r="50" spans="1:3" x14ac:dyDescent="0.2">
      <c r="A50" s="15">
        <v>40817</v>
      </c>
      <c r="B50" s="14">
        <v>50.6</v>
      </c>
      <c r="C50" s="14">
        <f>Table1346811121415161718192022[[#This Row],[PMI]]-B49</f>
        <v>1.3000000000000043</v>
      </c>
    </row>
    <row r="51" spans="1:3" x14ac:dyDescent="0.2">
      <c r="A51" s="15">
        <v>40848</v>
      </c>
      <c r="B51" s="14">
        <v>49.1</v>
      </c>
      <c r="C51" s="14">
        <f>Table1346811121415161718192022[[#This Row],[PMI]]-B50</f>
        <v>-1.5</v>
      </c>
    </row>
    <row r="52" spans="1:3" x14ac:dyDescent="0.2">
      <c r="A52" s="15">
        <v>40878</v>
      </c>
      <c r="B52" s="14">
        <v>50.2</v>
      </c>
      <c r="C52" s="14">
        <f>Table1346811121415161718192022[[#This Row],[PMI]]-B51</f>
        <v>1.1000000000000014</v>
      </c>
    </row>
    <row r="53" spans="1:3" x14ac:dyDescent="0.2">
      <c r="A53" s="15">
        <v>40909</v>
      </c>
      <c r="B53" s="14">
        <v>50.7</v>
      </c>
      <c r="C53" s="14">
        <f>Table1346811121415161718192022[[#This Row],[PMI]]-B52</f>
        <v>0.5</v>
      </c>
    </row>
    <row r="54" spans="1:3" x14ac:dyDescent="0.2">
      <c r="A54" s="15">
        <v>40940</v>
      </c>
      <c r="B54" s="14">
        <v>50.5</v>
      </c>
      <c r="C54" s="14">
        <f>Table1346811121415161718192022[[#This Row],[PMI]]-B53</f>
        <v>-0.20000000000000284</v>
      </c>
    </row>
    <row r="55" spans="1:3" x14ac:dyDescent="0.2">
      <c r="A55" s="15">
        <v>40969</v>
      </c>
      <c r="B55" s="14">
        <v>51.1</v>
      </c>
      <c r="C55" s="14">
        <f>Table1346811121415161718192022[[#This Row],[PMI]]-B54</f>
        <v>0.60000000000000142</v>
      </c>
    </row>
    <row r="56" spans="1:3" x14ac:dyDescent="0.2">
      <c r="A56" s="15">
        <v>41000</v>
      </c>
      <c r="B56" s="14">
        <v>50.7</v>
      </c>
      <c r="C56" s="14">
        <f>Table1346811121415161718192022[[#This Row],[PMI]]-B55</f>
        <v>-0.39999999999999858</v>
      </c>
    </row>
    <row r="57" spans="1:3" x14ac:dyDescent="0.2">
      <c r="A57" s="15">
        <v>41030</v>
      </c>
      <c r="B57" s="14">
        <v>50.7</v>
      </c>
      <c r="C57" s="14">
        <f>Table1346811121415161718192022[[#This Row],[PMI]]-B56</f>
        <v>0</v>
      </c>
    </row>
    <row r="58" spans="1:3" x14ac:dyDescent="0.2">
      <c r="A58" s="15">
        <v>41061</v>
      </c>
      <c r="B58" s="14">
        <v>52.6</v>
      </c>
      <c r="C58" s="14">
        <f>Table1346811121415161718192022[[#This Row],[PMI]]-B57</f>
        <v>1.8999999999999986</v>
      </c>
    </row>
    <row r="59" spans="1:3" x14ac:dyDescent="0.2">
      <c r="A59" s="15">
        <v>41091</v>
      </c>
      <c r="B59" s="14">
        <v>52</v>
      </c>
      <c r="C59" s="14">
        <f>Table1346811121415161718192022[[#This Row],[PMI]]-B58</f>
        <v>-0.60000000000000142</v>
      </c>
    </row>
    <row r="60" spans="1:3" x14ac:dyDescent="0.2">
      <c r="A60" s="15">
        <v>41122</v>
      </c>
      <c r="B60" s="14">
        <v>52.1</v>
      </c>
      <c r="C60" s="14">
        <f>Table1346811121415161718192022[[#This Row],[PMI]]-B59</f>
        <v>0.10000000000000142</v>
      </c>
    </row>
    <row r="61" spans="1:3" x14ac:dyDescent="0.2">
      <c r="A61" s="15">
        <v>41153</v>
      </c>
      <c r="B61" s="14">
        <v>48</v>
      </c>
      <c r="C61" s="14">
        <f>Table1346811121415161718192022[[#This Row],[PMI]]-B60</f>
        <v>-4.1000000000000014</v>
      </c>
    </row>
    <row r="62" spans="1:3" x14ac:dyDescent="0.2">
      <c r="A62" s="15">
        <v>41183</v>
      </c>
      <c r="B62" s="14">
        <v>46.9</v>
      </c>
      <c r="C62" s="14">
        <f>Table1346811121415161718192022[[#This Row],[PMI]]-B61</f>
        <v>-1.1000000000000014</v>
      </c>
    </row>
    <row r="63" spans="1:3" x14ac:dyDescent="0.2">
      <c r="A63" s="15">
        <v>41214</v>
      </c>
      <c r="B63" s="14">
        <v>46.5</v>
      </c>
      <c r="C63" s="14">
        <f>Table1346811121415161718192022[[#This Row],[PMI]]-B62</f>
        <v>-0.39999999999999858</v>
      </c>
    </row>
    <row r="64" spans="1:3" x14ac:dyDescent="0.2">
      <c r="A64" s="15">
        <v>41244</v>
      </c>
      <c r="B64" s="14">
        <v>45</v>
      </c>
      <c r="C64" s="14">
        <f>Table1346811121415161718192022[[#This Row],[PMI]]-B63</f>
        <v>-1.5</v>
      </c>
    </row>
    <row r="65" spans="1:3" x14ac:dyDescent="0.2">
      <c r="A65" s="15">
        <v>41275</v>
      </c>
      <c r="B65" s="14">
        <v>47.7</v>
      </c>
      <c r="C65" s="14">
        <f>Table1346811121415161718192022[[#This Row],[PMI]]-B64</f>
        <v>2.7000000000000028</v>
      </c>
    </row>
    <row r="66" spans="1:3" x14ac:dyDescent="0.2">
      <c r="A66" s="15">
        <v>41306</v>
      </c>
      <c r="B66" s="14">
        <v>48.5</v>
      </c>
      <c r="C66" s="14">
        <f>Table1346811121415161718192022[[#This Row],[PMI]]-B65</f>
        <v>0.79999999999999716</v>
      </c>
    </row>
    <row r="67" spans="1:3" x14ac:dyDescent="0.2">
      <c r="A67" s="15">
        <v>41334</v>
      </c>
      <c r="B67" s="14">
        <v>50.4</v>
      </c>
      <c r="C67" s="14">
        <f>Table1346811121415161718192022[[#This Row],[PMI]]-B66</f>
        <v>1.8999999999999986</v>
      </c>
    </row>
    <row r="68" spans="1:3" x14ac:dyDescent="0.2">
      <c r="A68" s="15">
        <v>41365</v>
      </c>
      <c r="B68" s="14">
        <v>51.1</v>
      </c>
      <c r="C68" s="14">
        <f>Table1346811121415161718192022[[#This Row],[PMI]]-B67</f>
        <v>0.70000000000000284</v>
      </c>
    </row>
    <row r="69" spans="1:3" x14ac:dyDescent="0.2">
      <c r="A69" s="15">
        <v>41395</v>
      </c>
      <c r="B69" s="14">
        <v>51.5</v>
      </c>
      <c r="C69" s="14">
        <f>Table1346811121415161718192022[[#This Row],[PMI]]-B68</f>
        <v>0.39999999999999858</v>
      </c>
    </row>
    <row r="70" spans="1:3" x14ac:dyDescent="0.2">
      <c r="A70" s="15">
        <v>41426</v>
      </c>
      <c r="B70" s="14">
        <v>52.3</v>
      </c>
      <c r="C70" s="14">
        <f>Table1346811121415161718192022[[#This Row],[PMI]]-B69</f>
        <v>0.79999999999999716</v>
      </c>
    </row>
    <row r="71" spans="1:3" x14ac:dyDescent="0.2">
      <c r="A71" s="15">
        <v>41456</v>
      </c>
      <c r="B71" s="14">
        <v>50.7</v>
      </c>
      <c r="C71" s="14">
        <f>Table1346811121415161718192022[[#This Row],[PMI]]-B70</f>
        <v>-1.5999999999999943</v>
      </c>
    </row>
    <row r="72" spans="1:3" x14ac:dyDescent="0.2">
      <c r="A72" s="15">
        <v>41487</v>
      </c>
      <c r="B72" s="14">
        <v>52.2</v>
      </c>
      <c r="C72" s="14">
        <f>Table1346811121415161718192022[[#This Row],[PMI]]-B71</f>
        <v>1.5</v>
      </c>
    </row>
    <row r="73" spans="1:3" x14ac:dyDescent="0.2">
      <c r="A73" s="15">
        <v>41518</v>
      </c>
      <c r="B73" s="14">
        <v>52.5</v>
      </c>
      <c r="C73" s="14">
        <f>Table1346811121415161718192022[[#This Row],[PMI]]-B72</f>
        <v>0.29999999999999716</v>
      </c>
    </row>
    <row r="74" spans="1:3" x14ac:dyDescent="0.2">
      <c r="A74" s="15">
        <v>41548</v>
      </c>
      <c r="B74" s="14">
        <v>54.2</v>
      </c>
      <c r="C74" s="14">
        <f>Table1346811121415161718192022[[#This Row],[PMI]]-B73</f>
        <v>1.7000000000000028</v>
      </c>
    </row>
    <row r="75" spans="1:3" x14ac:dyDescent="0.2">
      <c r="A75" s="15">
        <v>41579</v>
      </c>
      <c r="B75" s="14">
        <v>55.1</v>
      </c>
      <c r="C75" s="14">
        <f>Table1346811121415161718192022[[#This Row],[PMI]]-B74</f>
        <v>0.89999999999999858</v>
      </c>
    </row>
    <row r="76" spans="1:3" x14ac:dyDescent="0.2">
      <c r="A76" s="15">
        <v>41609</v>
      </c>
      <c r="B76" s="14">
        <v>55.2</v>
      </c>
      <c r="C76" s="14">
        <f>Table1346811121415161718192022[[#This Row],[PMI]]-B75</f>
        <v>0.10000000000000142</v>
      </c>
    </row>
    <row r="77" spans="1:3" x14ac:dyDescent="0.2">
      <c r="A77" s="15">
        <v>41640</v>
      </c>
      <c r="B77" s="14">
        <v>56.6</v>
      </c>
      <c r="C77" s="14">
        <f>Table1346811121415161718192022[[#This Row],[PMI]]-B76</f>
        <v>1.3999999999999986</v>
      </c>
    </row>
    <row r="78" spans="1:3" x14ac:dyDescent="0.2">
      <c r="A78" s="15">
        <v>41671</v>
      </c>
      <c r="B78" s="14">
        <v>55.5</v>
      </c>
      <c r="C78" s="14">
        <f>Table1346811121415161718192022[[#This Row],[PMI]]-B77</f>
        <v>-1.1000000000000014</v>
      </c>
    </row>
    <row r="79" spans="1:3" x14ac:dyDescent="0.2">
      <c r="A79" s="15">
        <v>41699</v>
      </c>
      <c r="B79" s="14">
        <v>53.9</v>
      </c>
      <c r="C79" s="14">
        <f>Table1346811121415161718192022[[#This Row],[PMI]]-B78</f>
        <v>-1.6000000000000014</v>
      </c>
    </row>
    <row r="80" spans="1:3" x14ac:dyDescent="0.2">
      <c r="A80" s="15">
        <v>41730</v>
      </c>
      <c r="B80" s="14">
        <v>49.4</v>
      </c>
      <c r="C80" s="14">
        <f>Table1346811121415161718192022[[#This Row],[PMI]]-B79</f>
        <v>-4.5</v>
      </c>
    </row>
    <row r="81" spans="1:3" x14ac:dyDescent="0.2">
      <c r="A81" s="15">
        <v>41760</v>
      </c>
      <c r="B81" s="14">
        <v>49.9</v>
      </c>
      <c r="C81" s="14">
        <f>Table1346811121415161718192022[[#This Row],[PMI]]-B80</f>
        <v>0.5</v>
      </c>
    </row>
    <row r="82" spans="1:3" x14ac:dyDescent="0.2">
      <c r="A82" s="15">
        <v>41791</v>
      </c>
      <c r="B82" s="14">
        <v>51.5</v>
      </c>
      <c r="C82" s="14">
        <f>Table1346811121415161718192022[[#This Row],[PMI]]-B81</f>
        <v>1.6000000000000014</v>
      </c>
    </row>
    <row r="83" spans="1:3" x14ac:dyDescent="0.2">
      <c r="A83" s="15">
        <v>41821</v>
      </c>
      <c r="B83" s="14">
        <v>50.5</v>
      </c>
      <c r="C83" s="14">
        <f>Table1346811121415161718192022[[#This Row],[PMI]]-B82</f>
        <v>-1</v>
      </c>
    </row>
    <row r="84" spans="1:3" x14ac:dyDescent="0.2">
      <c r="A84" s="15">
        <v>41852</v>
      </c>
      <c r="B84" s="14">
        <v>52.2</v>
      </c>
      <c r="C84" s="14">
        <f>Table1346811121415161718192022[[#This Row],[PMI]]-B83</f>
        <v>1.7000000000000028</v>
      </c>
    </row>
    <row r="85" spans="1:3" x14ac:dyDescent="0.2">
      <c r="A85" s="15">
        <v>41883</v>
      </c>
      <c r="B85" s="14">
        <v>51.7</v>
      </c>
      <c r="C85" s="14">
        <f>Table1346811121415161718192022[[#This Row],[PMI]]-B84</f>
        <v>-0.5</v>
      </c>
    </row>
    <row r="86" spans="1:3" x14ac:dyDescent="0.2">
      <c r="A86" s="15">
        <v>41913</v>
      </c>
      <c r="B86" s="14">
        <v>52.4</v>
      </c>
      <c r="C86" s="14">
        <f>Table1346811121415161718192022[[#This Row],[PMI]]-B85</f>
        <v>0.69999999999999574</v>
      </c>
    </row>
    <row r="87" spans="1:3" x14ac:dyDescent="0.2">
      <c r="A87" s="15">
        <v>41944</v>
      </c>
      <c r="B87" s="14">
        <v>52</v>
      </c>
      <c r="C87" s="14">
        <f>Table1346811121415161718192022[[#This Row],[PMI]]-B86</f>
        <v>-0.39999999999999858</v>
      </c>
    </row>
    <row r="88" spans="1:3" x14ac:dyDescent="0.2">
      <c r="A88" s="15">
        <v>41974</v>
      </c>
      <c r="B88" s="14">
        <v>52</v>
      </c>
      <c r="C88" s="14">
        <f>Table1346811121415161718192022[[#This Row],[PMI]]-B87</f>
        <v>0</v>
      </c>
    </row>
    <row r="89" spans="1:3" x14ac:dyDescent="0.2">
      <c r="A89" s="15">
        <v>42005</v>
      </c>
      <c r="B89" s="14">
        <v>52.2</v>
      </c>
      <c r="C89" s="14">
        <f>Table1346811121415161718192022[[#This Row],[PMI]]-B88</f>
        <v>0.20000000000000284</v>
      </c>
    </row>
    <row r="90" spans="1:3" x14ac:dyDescent="0.2">
      <c r="A90" s="15">
        <v>42036</v>
      </c>
      <c r="B90" s="14">
        <v>51.6</v>
      </c>
      <c r="C90" s="14">
        <f>Table1346811121415161718192022[[#This Row],[PMI]]-B89</f>
        <v>-0.60000000000000142</v>
      </c>
    </row>
    <row r="91" spans="1:3" x14ac:dyDescent="0.2">
      <c r="A91" s="15">
        <v>42064</v>
      </c>
      <c r="B91" s="14">
        <v>50.3</v>
      </c>
      <c r="C91" s="14">
        <f>Table1346811121415161718192022[[#This Row],[PMI]]-B90</f>
        <v>-1.3000000000000043</v>
      </c>
    </row>
    <row r="92" spans="1:3" x14ac:dyDescent="0.2">
      <c r="A92" s="15">
        <v>42095</v>
      </c>
      <c r="B92" s="14">
        <v>49.9</v>
      </c>
      <c r="C92" s="14">
        <f>Table1346811121415161718192022[[#This Row],[PMI]]-B91</f>
        <v>-0.39999999999999858</v>
      </c>
    </row>
    <row r="93" spans="1:3" x14ac:dyDescent="0.2">
      <c r="A93" s="15">
        <v>42125</v>
      </c>
      <c r="B93" s="14">
        <v>50.9</v>
      </c>
      <c r="C93" s="14">
        <f>Table1346811121415161718192022[[#This Row],[PMI]]-B92</f>
        <v>1</v>
      </c>
    </row>
    <row r="94" spans="1:3" x14ac:dyDescent="0.2">
      <c r="A94" s="15">
        <v>42156</v>
      </c>
      <c r="B94" s="14">
        <v>50.1</v>
      </c>
      <c r="C94" s="14">
        <f>Table1346811121415161718192022[[#This Row],[PMI]]-B93</f>
        <v>-0.79999999999999716</v>
      </c>
    </row>
    <row r="95" spans="1:3" x14ac:dyDescent="0.2">
      <c r="A95" s="15">
        <v>42186</v>
      </c>
      <c r="B95" s="14">
        <v>51.2</v>
      </c>
      <c r="C95" s="14">
        <f>Table1346811121415161718192022[[#This Row],[PMI]]-B94</f>
        <v>1.1000000000000014</v>
      </c>
    </row>
    <row r="96" spans="1:3" x14ac:dyDescent="0.2">
      <c r="A96" s="15">
        <v>42217</v>
      </c>
      <c r="B96" s="14">
        <v>51.7</v>
      </c>
      <c r="C96" s="14">
        <f>Table1346811121415161718192022[[#This Row],[PMI]]-B95</f>
        <v>0.5</v>
      </c>
    </row>
    <row r="97" spans="1:3" x14ac:dyDescent="0.2">
      <c r="A97" s="15">
        <v>42248</v>
      </c>
      <c r="B97" s="14">
        <v>51</v>
      </c>
      <c r="C97" s="14">
        <f>Table1346811121415161718192022[[#This Row],[PMI]]-B96</f>
        <v>-0.70000000000000284</v>
      </c>
    </row>
    <row r="98" spans="1:3" x14ac:dyDescent="0.2">
      <c r="A98" s="15">
        <v>42278</v>
      </c>
      <c r="B98" s="14">
        <v>52.4</v>
      </c>
      <c r="C98" s="14">
        <f>Table1346811121415161718192022[[#This Row],[PMI]]-B97</f>
        <v>1.3999999999999986</v>
      </c>
    </row>
    <row r="99" spans="1:3" x14ac:dyDescent="0.2">
      <c r="A99" s="15">
        <v>42309</v>
      </c>
      <c r="B99" s="14">
        <v>52.6</v>
      </c>
      <c r="C99" s="14">
        <f>Table1346811121415161718192022[[#This Row],[PMI]]-B98</f>
        <v>0.20000000000000284</v>
      </c>
    </row>
    <row r="100" spans="1:3" x14ac:dyDescent="0.2">
      <c r="A100" s="15">
        <v>42339</v>
      </c>
      <c r="B100" s="14">
        <v>52.6</v>
      </c>
      <c r="C100" s="14">
        <f>Table1346811121415161718192022[[#This Row],[PMI]]-B99</f>
        <v>0</v>
      </c>
    </row>
    <row r="101" spans="1:3" x14ac:dyDescent="0.2">
      <c r="A101" s="15">
        <v>42370</v>
      </c>
      <c r="B101" s="14">
        <v>52.3</v>
      </c>
      <c r="C101" s="14">
        <f>Table1346811121415161718192022[[#This Row],[PMI]]-B100</f>
        <v>-0.30000000000000426</v>
      </c>
    </row>
    <row r="102" spans="1:3" x14ac:dyDescent="0.2">
      <c r="A102" s="15">
        <v>42401</v>
      </c>
      <c r="B102" s="14">
        <v>50.1</v>
      </c>
      <c r="C102" s="14">
        <f>Table1346811121415161718192022[[#This Row],[PMI]]-B101</f>
        <v>-2.1999999999999957</v>
      </c>
    </row>
    <row r="103" spans="1:3" x14ac:dyDescent="0.2">
      <c r="A103" s="15">
        <v>42430</v>
      </c>
      <c r="B103" s="14">
        <v>49.1</v>
      </c>
      <c r="C103" s="14">
        <f>Table1346811121415161718192022[[#This Row],[PMI]]-B102</f>
        <v>-1</v>
      </c>
    </row>
    <row r="104" spans="1:3" x14ac:dyDescent="0.2">
      <c r="A104" s="15">
        <v>42461</v>
      </c>
      <c r="B104" s="14">
        <v>48.2</v>
      </c>
      <c r="C104" s="14">
        <f>Table1346811121415161718192022[[#This Row],[PMI]]-B103</f>
        <v>-0.89999999999999858</v>
      </c>
    </row>
    <row r="105" spans="1:3" x14ac:dyDescent="0.2">
      <c r="A105" s="15">
        <v>42491</v>
      </c>
      <c r="B105" s="14">
        <v>47.7</v>
      </c>
      <c r="C105" s="14">
        <f>Table1346811121415161718192022[[#This Row],[PMI]]-B104</f>
        <v>-0.5</v>
      </c>
    </row>
    <row r="106" spans="1:3" x14ac:dyDescent="0.2">
      <c r="A106" s="15">
        <v>42522</v>
      </c>
      <c r="B106" s="14">
        <v>48.1</v>
      </c>
      <c r="C106" s="14">
        <f>Table1346811121415161718192022[[#This Row],[PMI]]-B105</f>
        <v>0.39999999999999858</v>
      </c>
    </row>
    <row r="107" spans="1:3" x14ac:dyDescent="0.2">
      <c r="A107" s="15">
        <v>42552</v>
      </c>
      <c r="B107" s="14">
        <v>49.3</v>
      </c>
      <c r="C107" s="30">
        <f>Table1346811121415161718192022[[#This Row],[PMI]]-B106</f>
        <v>1.1999999999999957</v>
      </c>
    </row>
    <row r="108" spans="1:3" x14ac:dyDescent="0.2">
      <c r="A108" s="15">
        <v>42583</v>
      </c>
      <c r="B108" s="14">
        <v>49.5</v>
      </c>
      <c r="C108" s="30">
        <f>Table1346811121415161718192022[[#This Row],[PMI]]-B107</f>
        <v>0.20000000000000284</v>
      </c>
    </row>
    <row r="109" spans="1:3" x14ac:dyDescent="0.2">
      <c r="A109" s="15">
        <v>42614</v>
      </c>
      <c r="B109" s="14">
        <v>50.4</v>
      </c>
      <c r="C109" s="30">
        <f>Table1346811121415161718192022[[#This Row],[PMI]]-B108</f>
        <v>0.89999999999999858</v>
      </c>
    </row>
    <row r="110" spans="1:3" x14ac:dyDescent="0.2">
      <c r="A110" s="15">
        <v>42644</v>
      </c>
      <c r="B110" s="14">
        <v>51.4</v>
      </c>
      <c r="C110" s="30">
        <f>Table1346811121415161718192022[[#This Row],[PMI]]-B109</f>
        <v>1</v>
      </c>
    </row>
    <row r="111" spans="1:3" x14ac:dyDescent="0.2">
      <c r="A111" s="15">
        <v>42675</v>
      </c>
      <c r="B111" s="14">
        <v>51.3</v>
      </c>
      <c r="C111" s="30">
        <f>Table1346811121415161718192022[[#This Row],[PMI]]-B110</f>
        <v>-0.10000000000000142</v>
      </c>
    </row>
    <row r="112" spans="1:3" x14ac:dyDescent="0.2">
      <c r="A112" s="15">
        <v>42705</v>
      </c>
      <c r="B112" s="14">
        <v>52.4</v>
      </c>
      <c r="C112" s="30">
        <f>Table1346811121415161718192022[[#This Row],[PMI]]-B111</f>
        <v>1.1000000000000014</v>
      </c>
    </row>
    <row r="113" spans="1:3" x14ac:dyDescent="0.2">
      <c r="A113" s="15">
        <v>42736</v>
      </c>
      <c r="B113" s="14">
        <v>52.7</v>
      </c>
      <c r="C113" s="30">
        <f>Table1346811121415161718192022[[#This Row],[PMI]]-B112</f>
        <v>0.30000000000000426</v>
      </c>
    </row>
    <row r="114" spans="1:3" x14ac:dyDescent="0.2">
      <c r="A114" s="15">
        <v>42767</v>
      </c>
      <c r="B114" s="14">
        <v>53.3</v>
      </c>
      <c r="C114" s="30">
        <f>Table1346811121415161718192022[[#This Row],[PMI]]-B113</f>
        <v>0.59999999999999432</v>
      </c>
    </row>
    <row r="115" spans="1:3" x14ac:dyDescent="0.2">
      <c r="A115" s="15">
        <v>42795</v>
      </c>
      <c r="B115" s="14">
        <v>52.4</v>
      </c>
      <c r="C115" s="30">
        <f>Table1346811121415161718192022[[#This Row],[PMI]]-B114</f>
        <v>-0.89999999999999858</v>
      </c>
    </row>
    <row r="116" spans="1:3" x14ac:dyDescent="0.2">
      <c r="A116" s="15">
        <v>42826</v>
      </c>
      <c r="B116" s="14">
        <v>52.7</v>
      </c>
      <c r="C116" s="30">
        <f>Table1346811121415161718192022[[#This Row],[PMI]]-B115</f>
        <v>0.30000000000000426</v>
      </c>
    </row>
    <row r="117" spans="1:3" x14ac:dyDescent="0.2">
      <c r="A117" s="15">
        <v>42856</v>
      </c>
      <c r="B117" s="14">
        <v>53.1</v>
      </c>
      <c r="C117" s="30">
        <f>Table1346811121415161718192022[[#This Row],[PMI]]-B116</f>
        <v>0.39999999999999858</v>
      </c>
    </row>
    <row r="118" spans="1:3" x14ac:dyDescent="0.2">
      <c r="A118" s="15">
        <v>42887</v>
      </c>
      <c r="B118" s="14">
        <v>52.4</v>
      </c>
      <c r="C118" s="30">
        <f>Table1346811121415161718192022[[#This Row],[PMI]]-B117</f>
        <v>-0.70000000000000284</v>
      </c>
    </row>
    <row r="119" spans="1:3" x14ac:dyDescent="0.2">
      <c r="A119" s="15">
        <v>42917</v>
      </c>
      <c r="B119" s="14">
        <v>52.1</v>
      </c>
      <c r="C119" s="30">
        <f>Table1346811121415161718192022[[#This Row],[PMI]]-B118</f>
        <v>-0.29999999999999716</v>
      </c>
    </row>
    <row r="120" spans="1:3" x14ac:dyDescent="0.2">
      <c r="A120" s="15">
        <v>42948</v>
      </c>
      <c r="B120" s="14">
        <v>52.2</v>
      </c>
      <c r="C120" s="30">
        <f>Table1346811121415161718192022[[#This Row],[PMI]]-B119</f>
        <v>0.10000000000000142</v>
      </c>
    </row>
    <row r="121" spans="1:3" x14ac:dyDescent="0.2">
      <c r="A121" s="15">
        <v>42979</v>
      </c>
      <c r="B121" s="14">
        <v>52.9</v>
      </c>
      <c r="C121" s="30">
        <f>Table1346811121415161718192022[[#This Row],[PMI]]-B120</f>
        <v>0.69999999999999574</v>
      </c>
    </row>
    <row r="122" spans="1:3" x14ac:dyDescent="0.2">
      <c r="A122" s="15">
        <v>43009</v>
      </c>
      <c r="B122" s="14">
        <v>52.8</v>
      </c>
      <c r="C122" s="30">
        <f>Table1346811121415161718192022[[#This Row],[PMI]]-B121</f>
        <v>-0.10000000000000142</v>
      </c>
    </row>
    <row r="123" spans="1:3" x14ac:dyDescent="0.2">
      <c r="A123" s="15">
        <v>43040</v>
      </c>
      <c r="B123" s="14">
        <v>53.6</v>
      </c>
      <c r="C123" s="30">
        <f>Table1346811121415161718192022[[#This Row],[PMI]]-B122</f>
        <v>0.80000000000000426</v>
      </c>
    </row>
    <row r="124" spans="1:3" x14ac:dyDescent="0.2">
      <c r="A124" s="15">
        <v>43070</v>
      </c>
      <c r="B124" s="14">
        <v>54</v>
      </c>
      <c r="C124" s="30">
        <f>Table1346811121415161718192022[[#This Row],[PMI]]-B123</f>
        <v>0.39999999999999858</v>
      </c>
    </row>
    <row r="125" spans="1:3" x14ac:dyDescent="0.2">
      <c r="A125" s="15">
        <v>43101</v>
      </c>
      <c r="B125" s="14">
        <v>54.8</v>
      </c>
      <c r="C125" s="30">
        <f>Table1346811121415161718192022[[#This Row],[PMI]]-B124</f>
        <v>0.79999999999999716</v>
      </c>
    </row>
    <row r="126" spans="1:3" x14ac:dyDescent="0.2">
      <c r="A126" s="15">
        <v>43132</v>
      </c>
      <c r="B126" s="14">
        <v>54.1</v>
      </c>
      <c r="C126" s="30">
        <f>Table1346811121415161718192022[[#This Row],[PMI]]-B125</f>
        <v>-0.69999999999999574</v>
      </c>
    </row>
    <row r="127" spans="1:3" x14ac:dyDescent="0.2">
      <c r="A127" s="15">
        <v>43160</v>
      </c>
      <c r="B127" s="14">
        <v>53.2</v>
      </c>
      <c r="C127" s="30">
        <f>Table1346811121415161718192022[[#This Row],[PMI]]-B126</f>
        <v>-0.89999999999999858</v>
      </c>
    </row>
    <row r="128" spans="1:3" x14ac:dyDescent="0.2">
      <c r="A128" s="15">
        <v>43191</v>
      </c>
      <c r="B128" s="14">
        <v>53.8</v>
      </c>
      <c r="C128" s="30">
        <f>Table1346811121415161718192022[[#This Row],[PMI]]-B127</f>
        <v>0.59999999999999432</v>
      </c>
    </row>
    <row r="129" spans="1:3" x14ac:dyDescent="0.2">
      <c r="A129" s="15">
        <v>43221</v>
      </c>
      <c r="B129" s="14">
        <v>52.8</v>
      </c>
      <c r="C129" s="30">
        <f>Table1346811121415161718192022[[#This Row],[PMI]]-B128</f>
        <v>-1</v>
      </c>
    </row>
    <row r="130" spans="1:3" x14ac:dyDescent="0.2">
      <c r="A130" s="15">
        <v>43252</v>
      </c>
      <c r="B130" s="14">
        <v>53</v>
      </c>
      <c r="C130" s="30">
        <f>Table1346811121415161718192022[[#This Row],[PMI]]-B129</f>
        <v>0.20000000000000284</v>
      </c>
    </row>
    <row r="131" spans="1:3" x14ac:dyDescent="0.2">
      <c r="A131" s="15">
        <v>43282</v>
      </c>
      <c r="B131" s="14">
        <v>52.3</v>
      </c>
      <c r="C131" s="30">
        <f>Table1346811121415161718192022[[#This Row],[PMI]]-B130</f>
        <v>-0.70000000000000284</v>
      </c>
    </row>
    <row r="132" spans="1:3" x14ac:dyDescent="0.2">
      <c r="A132" s="15">
        <v>43313</v>
      </c>
      <c r="B132" s="14">
        <v>52.5</v>
      </c>
      <c r="C132" s="30">
        <f>Table1346811121415161718192022[[#This Row],[PMI]]-B131</f>
        <v>0.20000000000000284</v>
      </c>
    </row>
    <row r="133" spans="1:3" x14ac:dyDescent="0.2">
      <c r="A133" s="15">
        <v>43344</v>
      </c>
      <c r="B133" s="14">
        <v>52.5</v>
      </c>
      <c r="C133" s="30">
        <f>Table1346811121415161718192022[[#This Row],[PMI]]-B132</f>
        <v>0</v>
      </c>
    </row>
    <row r="134" spans="1:3" x14ac:dyDescent="0.2">
      <c r="A134" s="15">
        <v>43374</v>
      </c>
      <c r="B134" s="14">
        <v>52.9</v>
      </c>
      <c r="C134" s="30">
        <f>Table1346811121415161718192022[[#This Row],[PMI]]-B133</f>
        <v>0.39999999999999858</v>
      </c>
    </row>
    <row r="135" spans="1:3" x14ac:dyDescent="0.2">
      <c r="A135" s="15">
        <v>43405</v>
      </c>
      <c r="B135" s="14">
        <v>52.2</v>
      </c>
      <c r="C135" s="30">
        <f>Table1346811121415161718192022[[#This Row],[PMI]]-B134</f>
        <v>-0.69999999999999574</v>
      </c>
    </row>
    <row r="136" spans="1:3" x14ac:dyDescent="0.2">
      <c r="A136" s="15">
        <v>43435</v>
      </c>
      <c r="B136" s="14">
        <v>52.4</v>
      </c>
      <c r="C136" s="30">
        <f>Table1346811121415161718192022[[#This Row],[PMI]]-B135</f>
        <v>0.19999999999999574</v>
      </c>
    </row>
    <row r="137" spans="1:3" x14ac:dyDescent="0.2">
      <c r="A137" s="15">
        <v>43466</v>
      </c>
      <c r="B137" s="14">
        <v>50.3</v>
      </c>
      <c r="C137" s="30">
        <f>Table1346811121415161718192022[[#This Row],[PMI]]-B136</f>
        <v>-2.1000000000000014</v>
      </c>
    </row>
    <row r="138" spans="1:3" x14ac:dyDescent="0.2">
      <c r="A138" s="15">
        <v>43497</v>
      </c>
      <c r="B138" s="14">
        <v>48.9</v>
      </c>
      <c r="C138" s="30">
        <f>Table1346811121415161718192022[[#This Row],[PMI]]-B137</f>
        <v>-1.3999999999999986</v>
      </c>
    </row>
    <row r="139" spans="1:3" x14ac:dyDescent="0.2">
      <c r="A139" s="15">
        <v>43525</v>
      </c>
      <c r="B139" s="14">
        <v>49.2</v>
      </c>
      <c r="C139" s="30">
        <f>Table1346811121415161718192022[[#This Row],[PMI]]-B138</f>
        <v>0.30000000000000426</v>
      </c>
    </row>
    <row r="140" spans="1:3" x14ac:dyDescent="0.2">
      <c r="A140" s="15">
        <v>43556</v>
      </c>
      <c r="B140" s="14">
        <v>49.5</v>
      </c>
      <c r="C140" s="30">
        <f>Table1346811121415161718192022[[#This Row],[PMI]]-B139</f>
        <v>0.29999999999999716</v>
      </c>
    </row>
    <row r="141" spans="1:3" x14ac:dyDescent="0.2">
      <c r="A141" s="15">
        <v>43586</v>
      </c>
      <c r="B141" s="14">
        <v>49.8</v>
      </c>
      <c r="C141" s="30">
        <f>Table1346811121415161718192022[[#This Row],[PMI]]-B140</f>
        <v>0.29999999999999716</v>
      </c>
    </row>
    <row r="142" spans="1:3" x14ac:dyDescent="0.2">
      <c r="A142" s="15">
        <v>43617</v>
      </c>
      <c r="B142" s="14">
        <v>49.3</v>
      </c>
      <c r="C142" s="30">
        <f>Table1346811121415161718192022[[#This Row],[PMI]]-B141</f>
        <v>-0.5</v>
      </c>
    </row>
    <row r="143" spans="1:3" x14ac:dyDescent="0.2">
      <c r="A143" s="15">
        <v>43647</v>
      </c>
      <c r="B143" s="14">
        <v>49.4</v>
      </c>
      <c r="C143" s="30">
        <f>Table1346811121415161718192022[[#This Row],[PMI]]-B142</f>
        <v>0.10000000000000142</v>
      </c>
    </row>
    <row r="144" spans="1:3" x14ac:dyDescent="0.2">
      <c r="A144" s="15">
        <v>43678</v>
      </c>
      <c r="B144" s="14">
        <v>49.3</v>
      </c>
      <c r="C144" s="30">
        <f>Table1346811121415161718192022[[#This Row],[PMI]]-B143</f>
        <v>-0.10000000000000142</v>
      </c>
    </row>
    <row r="145" spans="1:3" x14ac:dyDescent="0.2">
      <c r="A145" s="15">
        <v>43709</v>
      </c>
      <c r="B145" s="14">
        <v>48.9</v>
      </c>
      <c r="C145" s="30">
        <f>Table1346811121415161718192022[[#This Row],[PMI]]-B144</f>
        <v>-0.39999999999999858</v>
      </c>
    </row>
    <row r="146" spans="1:3" x14ac:dyDescent="0.2">
      <c r="A146" s="15">
        <v>43739</v>
      </c>
      <c r="B146" s="14">
        <v>48.4</v>
      </c>
      <c r="C146" s="30">
        <f>Table1346811121415161718192022[[#This Row],[PMI]]-B145</f>
        <v>-0.5</v>
      </c>
    </row>
    <row r="147" spans="1:3" x14ac:dyDescent="0.2">
      <c r="A147" s="15">
        <v>43770</v>
      </c>
      <c r="B147" s="14">
        <v>48.9</v>
      </c>
      <c r="C147" s="30">
        <f>Table1346811121415161718192022[[#This Row],[PMI]]-B146</f>
        <v>0.5</v>
      </c>
    </row>
    <row r="148" spans="1:3" x14ac:dyDescent="0.2">
      <c r="A148" s="15">
        <v>43800</v>
      </c>
      <c r="B148" s="14">
        <v>48.4</v>
      </c>
      <c r="C148" s="30">
        <f>Table1346811121415161718192022[[#This Row],[PMI]]-B147</f>
        <v>-0.5</v>
      </c>
    </row>
    <row r="149" spans="1:3" x14ac:dyDescent="0.2">
      <c r="A149" s="15">
        <v>43831</v>
      </c>
      <c r="B149" s="14">
        <v>48.8</v>
      </c>
      <c r="C149" s="30">
        <f>Table1346811121415161718192022[[#This Row],[PMI]]-B148</f>
        <v>0.39999999999999858</v>
      </c>
    </row>
    <row r="150" spans="1:3" x14ac:dyDescent="0.2">
      <c r="A150" s="15">
        <v>43862</v>
      </c>
      <c r="B150" s="14">
        <v>47.8</v>
      </c>
      <c r="C150" s="30">
        <f>Table1346811121415161718192022[[#This Row],[PMI]]-B149</f>
        <v>-1</v>
      </c>
    </row>
    <row r="151" spans="1:3" x14ac:dyDescent="0.2">
      <c r="A151" s="15">
        <v>43891</v>
      </c>
      <c r="B151" s="14">
        <v>44.2</v>
      </c>
      <c r="C151" s="30">
        <f>Table1346811121415161718192022[[#This Row],[PMI]]-B150</f>
        <v>-3.5999999999999943</v>
      </c>
    </row>
    <row r="152" spans="1:3" x14ac:dyDescent="0.2">
      <c r="A152" s="15">
        <v>43922</v>
      </c>
      <c r="B152" s="14">
        <v>41.9</v>
      </c>
      <c r="C152" s="30">
        <f>Table1346811121415161718192022[[#This Row],[PMI]]-B151</f>
        <v>-2.3000000000000043</v>
      </c>
    </row>
    <row r="153" spans="1:3" x14ac:dyDescent="0.2">
      <c r="A153" s="15">
        <v>43952</v>
      </c>
      <c r="B153" s="14">
        <v>38.4</v>
      </c>
      <c r="C153" s="30">
        <f>Table1346811121415161718192022[[#This Row],[PMI]]-B152</f>
        <v>-3.5</v>
      </c>
    </row>
    <row r="154" spans="1:3" x14ac:dyDescent="0.2">
      <c r="A154" s="15">
        <v>43983</v>
      </c>
      <c r="B154" s="14">
        <v>40.1</v>
      </c>
      <c r="C154" s="30">
        <f>Table1346811121415161718192022[[#This Row],[PMI]]-B153</f>
        <v>1.7000000000000028</v>
      </c>
    </row>
    <row r="155" spans="1:3" x14ac:dyDescent="0.2">
      <c r="A155" s="15">
        <v>44013</v>
      </c>
      <c r="B155" s="14">
        <v>45.2</v>
      </c>
      <c r="C155" s="30">
        <f>Table1346811121415161718192022[[#This Row],[PMI]]-B154</f>
        <v>5.1000000000000014</v>
      </c>
    </row>
    <row r="156" spans="1:3" x14ac:dyDescent="0.2">
      <c r="A156" s="15">
        <v>44044</v>
      </c>
      <c r="B156" s="14">
        <v>47.2</v>
      </c>
      <c r="C156" s="30">
        <f>Table1346811121415161718192022[[#This Row],[PMI]]-B155</f>
        <v>2</v>
      </c>
    </row>
    <row r="157" spans="1:3" x14ac:dyDescent="0.2">
      <c r="A157" s="15">
        <v>44075</v>
      </c>
      <c r="B157" s="14">
        <v>47.7</v>
      </c>
      <c r="C157" s="30">
        <f>Table1346811121415161718192022[[#This Row],[PMI]]-B156</f>
        <v>0.5</v>
      </c>
    </row>
    <row r="158" spans="1:3" x14ac:dyDescent="0.2">
      <c r="A158" s="15">
        <v>44105</v>
      </c>
      <c r="B158" s="14">
        <v>48.7</v>
      </c>
      <c r="C158" s="30">
        <f>Table1346811121415161718192022[[#This Row],[PMI]]-B157</f>
        <v>1</v>
      </c>
    </row>
    <row r="159" spans="1:3" x14ac:dyDescent="0.2">
      <c r="A159" s="15">
        <v>44136</v>
      </c>
      <c r="B159" s="14">
        <v>49</v>
      </c>
      <c r="C159" s="30">
        <f>Table1346811121415161718192022[[#This Row],[PMI]]-B158</f>
        <v>0.29999999999999716</v>
      </c>
    </row>
    <row r="160" spans="1:3" x14ac:dyDescent="0.2">
      <c r="A160" s="15">
        <v>44166</v>
      </c>
      <c r="B160" s="14">
        <v>50</v>
      </c>
      <c r="C160" s="30">
        <f>Table1346811121415161718192022[[#This Row],[PMI]]-B159</f>
        <v>1</v>
      </c>
    </row>
    <row r="161" spans="1:3" x14ac:dyDescent="0.2">
      <c r="A161" s="15">
        <v>44197</v>
      </c>
      <c r="B161" s="14">
        <v>49.8</v>
      </c>
      <c r="C161" s="30">
        <f>Table1346811121415161718192022[[#This Row],[PMI]]-B160</f>
        <v>-0.20000000000000284</v>
      </c>
    </row>
    <row r="162" spans="1:3" x14ac:dyDescent="0.2">
      <c r="A162" s="15">
        <v>44228</v>
      </c>
      <c r="B162" s="14">
        <v>51.4</v>
      </c>
      <c r="C162" s="30">
        <f>Table1346811121415161718192022[[#This Row],[PMI]]-B161</f>
        <v>1.6000000000000014</v>
      </c>
    </row>
    <row r="163" spans="1:3" x14ac:dyDescent="0.2">
      <c r="A163" s="15">
        <v>44256</v>
      </c>
      <c r="B163" s="14">
        <v>52.7</v>
      </c>
      <c r="C163" s="30">
        <f>Table1346811121415161718192022[[#This Row],[PMI]]-B162</f>
        <v>1.3000000000000043</v>
      </c>
    </row>
    <row r="164" spans="1:3" x14ac:dyDescent="0.2">
      <c r="A164" s="15">
        <v>44287</v>
      </c>
      <c r="B164" s="14">
        <v>53.6</v>
      </c>
      <c r="C164" s="30">
        <f>Table1346811121415161718192022[[#This Row],[PMI]]-B163</f>
        <v>0.89999999999999858</v>
      </c>
    </row>
    <row r="165" spans="1:3" x14ac:dyDescent="0.2">
      <c r="A165" s="15">
        <v>44317</v>
      </c>
      <c r="B165" s="14">
        <v>53</v>
      </c>
      <c r="C165" s="30">
        <f>Table1346811121415161718192022[[#This Row],[PMI]]-B164</f>
        <v>-0.60000000000000142</v>
      </c>
    </row>
    <row r="166" spans="1:3" x14ac:dyDescent="0.2">
      <c r="A166" s="15">
        <v>44348</v>
      </c>
      <c r="B166" s="14">
        <v>52.4</v>
      </c>
      <c r="C166" s="30">
        <f>Table1346811121415161718192022[[#This Row],[PMI]]-B165</f>
        <v>-0.60000000000000142</v>
      </c>
    </row>
    <row r="167" spans="1:3" x14ac:dyDescent="0.2">
      <c r="A167" s="15">
        <v>44378</v>
      </c>
      <c r="B167" s="14">
        <v>53</v>
      </c>
      <c r="C167" s="30">
        <f>Table1346811121415161718192022[[#This Row],[PMI]]-B166</f>
        <v>0.60000000000000142</v>
      </c>
    </row>
    <row r="168" spans="1:3" x14ac:dyDescent="0.2">
      <c r="A168" s="15">
        <v>44409</v>
      </c>
      <c r="B168" s="14">
        <v>52.7</v>
      </c>
      <c r="C168" s="30">
        <f>Table1346811121415161718192022[[#This Row],[PMI]]-B167</f>
        <v>-0.29999999999999716</v>
      </c>
    </row>
    <row r="169" spans="1:3" x14ac:dyDescent="0.2">
      <c r="A169" s="15">
        <v>44440</v>
      </c>
      <c r="B169" s="14">
        <v>51.5</v>
      </c>
      <c r="C169" s="30">
        <f>Table1346811121415161718192022[[#This Row],[PMI]]-B168</f>
        <v>-1.2000000000000028</v>
      </c>
    </row>
    <row r="170" spans="1:3" x14ac:dyDescent="0.2">
      <c r="A170" s="15">
        <v>44470</v>
      </c>
      <c r="B170" s="14">
        <v>53.2</v>
      </c>
      <c r="C170" s="30">
        <f>Table1346811121415161718192022[[#This Row],[PMI]]-B169</f>
        <v>1.7000000000000028</v>
      </c>
    </row>
    <row r="171" spans="1:3" x14ac:dyDescent="0.2">
      <c r="A171" s="15">
        <v>44501</v>
      </c>
      <c r="B171" s="14">
        <v>54.5</v>
      </c>
      <c r="C171" s="30">
        <f>Table1346811121415161718192022[[#This Row],[PMI]]-B170</f>
        <v>1.2999999999999972</v>
      </c>
    </row>
    <row r="172" spans="1:3" x14ac:dyDescent="0.2">
      <c r="A172" s="15">
        <v>44531</v>
      </c>
      <c r="B172" s="14">
        <v>54.3</v>
      </c>
      <c r="C172" s="30">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A54FC-323B-4D4B-8910-8E5FF0906680}">
  <dimension ref="A1:K173"/>
  <sheetViews>
    <sheetView zoomScale="170" zoomScaleNormal="170" workbookViewId="0">
      <pane ySplit="5" topLeftCell="A142" activePane="bottomLeft" state="frozen"/>
      <selection pane="bottomLeft" activeCell="Q169" sqref="Q169"/>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31</v>
      </c>
      <c r="K1" s="10" t="s">
        <v>21</v>
      </c>
    </row>
    <row r="2" spans="1:11" x14ac:dyDescent="0.2">
      <c r="K2" s="10" t="str">
        <f>A1&amp;K1</f>
        <v>Germany Manufacturing PMI</v>
      </c>
    </row>
    <row r="4" spans="1:11" ht="16" thickBot="1" x14ac:dyDescent="0.25"/>
    <row r="5" spans="1:11" ht="16" thickBot="1" x14ac:dyDescent="0.25">
      <c r="A5" s="27" t="s">
        <v>10</v>
      </c>
      <c r="B5" s="28" t="s">
        <v>11</v>
      </c>
      <c r="C5" s="28" t="s">
        <v>14</v>
      </c>
    </row>
    <row r="6" spans="1:11" x14ac:dyDescent="0.2">
      <c r="A6" s="23">
        <v>39478</v>
      </c>
      <c r="B6" s="24">
        <v>54.4</v>
      </c>
      <c r="C6" s="24"/>
    </row>
    <row r="7" spans="1:11" x14ac:dyDescent="0.2">
      <c r="A7" s="15">
        <v>39479</v>
      </c>
      <c r="B7" s="14">
        <v>54.3</v>
      </c>
      <c r="C7" s="14">
        <f>Table1346811121415[[#This Row],[PMI]]-B6</f>
        <v>-0.10000000000000142</v>
      </c>
    </row>
    <row r="8" spans="1:11" x14ac:dyDescent="0.2">
      <c r="A8" s="15">
        <v>39508</v>
      </c>
      <c r="B8" s="14">
        <v>54.9</v>
      </c>
      <c r="C8" s="14">
        <f>Table1346811121415[[#This Row],[PMI]]-B7</f>
        <v>0.60000000000000142</v>
      </c>
    </row>
    <row r="9" spans="1:11" x14ac:dyDescent="0.2">
      <c r="A9" s="15">
        <v>39539</v>
      </c>
      <c r="B9" s="14">
        <v>53.6</v>
      </c>
      <c r="C9" s="14">
        <f>Table1346811121415[[#This Row],[PMI]]-B8</f>
        <v>-1.2999999999999972</v>
      </c>
    </row>
    <row r="10" spans="1:11" x14ac:dyDescent="0.2">
      <c r="A10" s="15">
        <v>39569</v>
      </c>
      <c r="B10" s="14">
        <v>53.5</v>
      </c>
      <c r="C10" s="14">
        <f>Table1346811121415[[#This Row],[PMI]]-B9</f>
        <v>-0.10000000000000142</v>
      </c>
    </row>
    <row r="11" spans="1:11" x14ac:dyDescent="0.2">
      <c r="A11" s="15">
        <v>39600</v>
      </c>
      <c r="B11" s="14">
        <v>52.3</v>
      </c>
      <c r="C11" s="14">
        <f>Table1346811121415[[#This Row],[PMI]]-B10</f>
        <v>-1.2000000000000028</v>
      </c>
    </row>
    <row r="12" spans="1:11" x14ac:dyDescent="0.2">
      <c r="A12" s="15">
        <v>39630</v>
      </c>
      <c r="B12" s="14">
        <v>50.9</v>
      </c>
      <c r="C12" s="14">
        <f>Table1346811121415[[#This Row],[PMI]]-B11</f>
        <v>-1.3999999999999986</v>
      </c>
    </row>
    <row r="13" spans="1:11" x14ac:dyDescent="0.2">
      <c r="A13" s="15">
        <v>39661</v>
      </c>
      <c r="B13" s="14">
        <v>49.9</v>
      </c>
      <c r="C13" s="14">
        <f>Table1346811121415[[#This Row],[PMI]]-B12</f>
        <v>-1</v>
      </c>
    </row>
    <row r="14" spans="1:11" x14ac:dyDescent="0.2">
      <c r="A14" s="15">
        <v>39692</v>
      </c>
      <c r="B14" s="14">
        <v>48.1</v>
      </c>
      <c r="C14" s="14">
        <f>Table1346811121415[[#This Row],[PMI]]-B13</f>
        <v>-1.7999999999999972</v>
      </c>
    </row>
    <row r="15" spans="1:11" x14ac:dyDescent="0.2">
      <c r="A15" s="15">
        <v>39722</v>
      </c>
      <c r="B15" s="14">
        <v>43.3</v>
      </c>
      <c r="C15" s="14">
        <f>Table1346811121415[[#This Row],[PMI]]-B14</f>
        <v>-4.8000000000000043</v>
      </c>
    </row>
    <row r="16" spans="1:11" x14ac:dyDescent="0.2">
      <c r="A16" s="15">
        <v>39753</v>
      </c>
      <c r="B16" s="14">
        <v>36.700000000000003</v>
      </c>
      <c r="C16" s="14">
        <f>Table1346811121415[[#This Row],[PMI]]-B15</f>
        <v>-6.5999999999999943</v>
      </c>
    </row>
    <row r="17" spans="1:3" x14ac:dyDescent="0.2">
      <c r="A17" s="15">
        <v>39783</v>
      </c>
      <c r="B17" s="14">
        <v>33.5</v>
      </c>
      <c r="C17" s="14">
        <f>Table1346811121415[[#This Row],[PMI]]-B16</f>
        <v>-3.2000000000000028</v>
      </c>
    </row>
    <row r="18" spans="1:3" x14ac:dyDescent="0.2">
      <c r="A18" s="15">
        <v>39814</v>
      </c>
      <c r="B18" s="14">
        <v>32</v>
      </c>
      <c r="C18" s="14">
        <f>Table1346811121415[[#This Row],[PMI]]-B17</f>
        <v>-1.5</v>
      </c>
    </row>
    <row r="19" spans="1:3" x14ac:dyDescent="0.2">
      <c r="A19" s="15">
        <v>39845</v>
      </c>
      <c r="B19" s="14">
        <v>32.200000000000003</v>
      </c>
      <c r="C19" s="14">
        <f>Table1346811121415[[#This Row],[PMI]]-B18</f>
        <v>0.20000000000000284</v>
      </c>
    </row>
    <row r="20" spans="1:3" x14ac:dyDescent="0.2">
      <c r="A20" s="15">
        <v>39873</v>
      </c>
      <c r="B20" s="14">
        <v>32.4</v>
      </c>
      <c r="C20" s="14">
        <f>Table1346811121415[[#This Row],[PMI]]-B19</f>
        <v>0.19999999999999574</v>
      </c>
    </row>
    <row r="21" spans="1:3" x14ac:dyDescent="0.2">
      <c r="A21" s="15">
        <v>39904</v>
      </c>
      <c r="B21" s="14">
        <v>35</v>
      </c>
      <c r="C21" s="14">
        <f>Table1346811121415[[#This Row],[PMI]]-B20</f>
        <v>2.6000000000000014</v>
      </c>
    </row>
    <row r="22" spans="1:3" x14ac:dyDescent="0.2">
      <c r="A22" s="15">
        <v>39934</v>
      </c>
      <c r="B22" s="14">
        <v>39.6</v>
      </c>
      <c r="C22" s="14">
        <f>Table1346811121415[[#This Row],[PMI]]-B21</f>
        <v>4.6000000000000014</v>
      </c>
    </row>
    <row r="23" spans="1:3" x14ac:dyDescent="0.2">
      <c r="A23" s="15">
        <v>39965</v>
      </c>
      <c r="B23" s="14">
        <v>40.9</v>
      </c>
      <c r="C23" s="14">
        <f>Table1346811121415[[#This Row],[PMI]]-B22</f>
        <v>1.2999999999999972</v>
      </c>
    </row>
    <row r="24" spans="1:3" x14ac:dyDescent="0.2">
      <c r="A24" s="15">
        <v>39995</v>
      </c>
      <c r="B24" s="14">
        <v>45.2</v>
      </c>
      <c r="C24" s="14">
        <f>Table1346811121415[[#This Row],[PMI]]-B23</f>
        <v>4.3000000000000043</v>
      </c>
    </row>
    <row r="25" spans="1:3" x14ac:dyDescent="0.2">
      <c r="A25" s="15">
        <v>40026</v>
      </c>
      <c r="B25" s="14">
        <v>49</v>
      </c>
      <c r="C25" s="14">
        <f>Table1346811121415[[#This Row],[PMI]]-B24</f>
        <v>3.7999999999999972</v>
      </c>
    </row>
    <row r="26" spans="1:3" x14ac:dyDescent="0.2">
      <c r="A26" s="15">
        <v>40057</v>
      </c>
      <c r="B26" s="14">
        <v>49.6</v>
      </c>
      <c r="C26" s="14">
        <f>Table1346811121415[[#This Row],[PMI]]-B25</f>
        <v>0.60000000000000142</v>
      </c>
    </row>
    <row r="27" spans="1:3" x14ac:dyDescent="0.2">
      <c r="A27" s="15">
        <v>40087</v>
      </c>
      <c r="B27" s="14">
        <v>51.1</v>
      </c>
      <c r="C27" s="14">
        <f>Table1346811121415[[#This Row],[PMI]]-B26</f>
        <v>1.5</v>
      </c>
    </row>
    <row r="28" spans="1:3" x14ac:dyDescent="0.2">
      <c r="A28" s="15">
        <v>40118</v>
      </c>
      <c r="B28" s="14">
        <v>52.4</v>
      </c>
      <c r="C28" s="14">
        <f>Table1346811121415[[#This Row],[PMI]]-B27</f>
        <v>1.2999999999999972</v>
      </c>
    </row>
    <row r="29" spans="1:3" x14ac:dyDescent="0.2">
      <c r="A29" s="15">
        <v>40148</v>
      </c>
      <c r="B29" s="14">
        <v>53.1</v>
      </c>
      <c r="C29" s="14">
        <f>Table1346811121415[[#This Row],[PMI]]-B28</f>
        <v>0.70000000000000284</v>
      </c>
    </row>
    <row r="30" spans="1:3" x14ac:dyDescent="0.2">
      <c r="A30" s="15">
        <v>40179</v>
      </c>
      <c r="B30" s="14">
        <v>53.4</v>
      </c>
      <c r="C30" s="14">
        <f>Table1346811121415[[#This Row],[PMI]]-B29</f>
        <v>0.29999999999999716</v>
      </c>
    </row>
    <row r="31" spans="1:3" x14ac:dyDescent="0.2">
      <c r="A31" s="15">
        <v>40210</v>
      </c>
      <c r="B31" s="14">
        <v>57.2</v>
      </c>
      <c r="C31" s="14">
        <f>Table1346811121415[[#This Row],[PMI]]-B30</f>
        <v>3.8000000000000043</v>
      </c>
    </row>
    <row r="32" spans="1:3" x14ac:dyDescent="0.2">
      <c r="A32" s="15">
        <v>40238</v>
      </c>
      <c r="B32" s="14">
        <v>59.6</v>
      </c>
      <c r="C32" s="14">
        <f>Table1346811121415[[#This Row],[PMI]]-B31</f>
        <v>2.3999999999999986</v>
      </c>
    </row>
    <row r="33" spans="1:3" x14ac:dyDescent="0.2">
      <c r="A33" s="15">
        <v>40269</v>
      </c>
      <c r="B33" s="14">
        <v>61.5</v>
      </c>
      <c r="C33" s="14">
        <f>Table1346811121415[[#This Row],[PMI]]-B32</f>
        <v>1.8999999999999986</v>
      </c>
    </row>
    <row r="34" spans="1:3" x14ac:dyDescent="0.2">
      <c r="A34" s="15">
        <v>40299</v>
      </c>
      <c r="B34" s="14">
        <v>58.4</v>
      </c>
      <c r="C34" s="14">
        <f>Table1346811121415[[#This Row],[PMI]]-B33</f>
        <v>-3.1000000000000014</v>
      </c>
    </row>
    <row r="35" spans="1:3" x14ac:dyDescent="0.2">
      <c r="A35" s="15">
        <v>40330</v>
      </c>
      <c r="B35" s="14">
        <v>58.1</v>
      </c>
      <c r="C35" s="14">
        <f>Table1346811121415[[#This Row],[PMI]]-B34</f>
        <v>-0.29999999999999716</v>
      </c>
    </row>
    <row r="36" spans="1:3" x14ac:dyDescent="0.2">
      <c r="A36" s="15">
        <v>40360</v>
      </c>
      <c r="B36" s="14">
        <v>61.2</v>
      </c>
      <c r="C36" s="14">
        <f>Table1346811121415[[#This Row],[PMI]]-B35</f>
        <v>3.1000000000000014</v>
      </c>
    </row>
    <row r="37" spans="1:3" x14ac:dyDescent="0.2">
      <c r="A37" s="15">
        <v>40391</v>
      </c>
      <c r="B37" s="14">
        <v>58.2</v>
      </c>
      <c r="C37" s="14">
        <f>Table1346811121415[[#This Row],[PMI]]-B36</f>
        <v>-3</v>
      </c>
    </row>
    <row r="38" spans="1:3" x14ac:dyDescent="0.2">
      <c r="A38" s="15">
        <v>40422</v>
      </c>
      <c r="B38" s="14">
        <v>55.3</v>
      </c>
      <c r="C38" s="14">
        <f>Table1346811121415[[#This Row],[PMI]]-B37</f>
        <v>-2.9000000000000057</v>
      </c>
    </row>
    <row r="39" spans="1:3" x14ac:dyDescent="0.2">
      <c r="A39" s="15">
        <v>40452</v>
      </c>
      <c r="B39" s="14">
        <v>56.6</v>
      </c>
      <c r="C39" s="14">
        <f>Table1346811121415[[#This Row],[PMI]]-B38</f>
        <v>1.3000000000000043</v>
      </c>
    </row>
    <row r="40" spans="1:3" x14ac:dyDescent="0.2">
      <c r="A40" s="15">
        <v>40483</v>
      </c>
      <c r="B40" s="14">
        <v>58.1</v>
      </c>
      <c r="C40" s="14">
        <f>Table1346811121415[[#This Row],[PMI]]-B39</f>
        <v>1.5</v>
      </c>
    </row>
    <row r="41" spans="1:3" x14ac:dyDescent="0.2">
      <c r="A41" s="15">
        <v>40513</v>
      </c>
      <c r="B41" s="14">
        <v>60.9</v>
      </c>
      <c r="C41" s="14">
        <f>Table1346811121415[[#This Row],[PMI]]-B40</f>
        <v>2.7999999999999972</v>
      </c>
    </row>
    <row r="42" spans="1:3" x14ac:dyDescent="0.2">
      <c r="A42" s="15">
        <v>40544</v>
      </c>
      <c r="B42" s="14">
        <v>60.5</v>
      </c>
      <c r="C42" s="14">
        <f>Table1346811121415[[#This Row],[PMI]]-B41</f>
        <v>-0.39999999999999858</v>
      </c>
    </row>
    <row r="43" spans="1:3" x14ac:dyDescent="0.2">
      <c r="A43" s="15">
        <v>40575</v>
      </c>
      <c r="B43" s="14">
        <v>62.7</v>
      </c>
      <c r="C43" s="14">
        <f>Table1346811121415[[#This Row],[PMI]]-B42</f>
        <v>2.2000000000000028</v>
      </c>
    </row>
    <row r="44" spans="1:3" x14ac:dyDescent="0.2">
      <c r="A44" s="15">
        <v>40603</v>
      </c>
      <c r="B44" s="14">
        <v>60.9</v>
      </c>
      <c r="C44" s="14">
        <f>Table1346811121415[[#This Row],[PMI]]-B43</f>
        <v>-1.8000000000000043</v>
      </c>
    </row>
    <row r="45" spans="1:3" x14ac:dyDescent="0.2">
      <c r="A45" s="15">
        <v>40634</v>
      </c>
      <c r="B45" s="14">
        <v>62</v>
      </c>
      <c r="C45" s="14">
        <f>Table1346811121415[[#This Row],[PMI]]-B44</f>
        <v>1.1000000000000014</v>
      </c>
    </row>
    <row r="46" spans="1:3" x14ac:dyDescent="0.2">
      <c r="A46" s="15">
        <v>40664</v>
      </c>
      <c r="B46" s="14">
        <v>57.7</v>
      </c>
      <c r="C46" s="14">
        <f>Table1346811121415[[#This Row],[PMI]]-B45</f>
        <v>-4.2999999999999972</v>
      </c>
    </row>
    <row r="47" spans="1:3" x14ac:dyDescent="0.2">
      <c r="A47" s="15">
        <v>40695</v>
      </c>
      <c r="B47" s="14">
        <v>54.9</v>
      </c>
      <c r="C47" s="14">
        <f>Table1346811121415[[#This Row],[PMI]]-B46</f>
        <v>-2.8000000000000043</v>
      </c>
    </row>
    <row r="48" spans="1:3" x14ac:dyDescent="0.2">
      <c r="A48" s="15">
        <v>40725</v>
      </c>
      <c r="B48" s="14">
        <v>52</v>
      </c>
      <c r="C48" s="14">
        <f>Table1346811121415[[#This Row],[PMI]]-B47</f>
        <v>-2.8999999999999986</v>
      </c>
    </row>
    <row r="49" spans="1:3" x14ac:dyDescent="0.2">
      <c r="A49" s="15">
        <v>40756</v>
      </c>
      <c r="B49" s="14">
        <v>50.9</v>
      </c>
      <c r="C49" s="14">
        <f>Table1346811121415[[#This Row],[PMI]]-B48</f>
        <v>-1.1000000000000014</v>
      </c>
    </row>
    <row r="50" spans="1:3" x14ac:dyDescent="0.2">
      <c r="A50" s="15">
        <v>40787</v>
      </c>
      <c r="B50" s="14">
        <v>50.3</v>
      </c>
      <c r="C50" s="14">
        <f>Table1346811121415[[#This Row],[PMI]]-B49</f>
        <v>-0.60000000000000142</v>
      </c>
    </row>
    <row r="51" spans="1:3" x14ac:dyDescent="0.2">
      <c r="A51" s="15">
        <v>40817</v>
      </c>
      <c r="B51" s="14">
        <v>49.1</v>
      </c>
      <c r="C51" s="14">
        <f>Table1346811121415[[#This Row],[PMI]]-B50</f>
        <v>-1.1999999999999957</v>
      </c>
    </row>
    <row r="52" spans="1:3" x14ac:dyDescent="0.2">
      <c r="A52" s="15">
        <v>40848</v>
      </c>
      <c r="B52" s="14">
        <v>47.9</v>
      </c>
      <c r="C52" s="14">
        <f>Table1346811121415[[#This Row],[PMI]]-B51</f>
        <v>-1.2000000000000028</v>
      </c>
    </row>
    <row r="53" spans="1:3" x14ac:dyDescent="0.2">
      <c r="A53" s="15">
        <v>40878</v>
      </c>
      <c r="B53" s="14">
        <v>48.4</v>
      </c>
      <c r="C53" s="14">
        <f>Table1346811121415[[#This Row],[PMI]]-B52</f>
        <v>0.5</v>
      </c>
    </row>
    <row r="54" spans="1:3" x14ac:dyDescent="0.2">
      <c r="A54" s="15">
        <v>40909</v>
      </c>
      <c r="B54" s="14">
        <v>51</v>
      </c>
      <c r="C54" s="14">
        <f>Table1346811121415[[#This Row],[PMI]]-B53</f>
        <v>2.6000000000000014</v>
      </c>
    </row>
    <row r="55" spans="1:3" x14ac:dyDescent="0.2">
      <c r="A55" s="15">
        <v>40940</v>
      </c>
      <c r="B55" s="14">
        <v>50.2</v>
      </c>
      <c r="C55" s="14">
        <f>Table1346811121415[[#This Row],[PMI]]-B54</f>
        <v>-0.79999999999999716</v>
      </c>
    </row>
    <row r="56" spans="1:3" x14ac:dyDescent="0.2">
      <c r="A56" s="15">
        <v>40969</v>
      </c>
      <c r="B56" s="14">
        <v>48.4</v>
      </c>
      <c r="C56" s="14">
        <f>Table1346811121415[[#This Row],[PMI]]-B55</f>
        <v>-1.8000000000000043</v>
      </c>
    </row>
    <row r="57" spans="1:3" x14ac:dyDescent="0.2">
      <c r="A57" s="15">
        <v>41000</v>
      </c>
      <c r="B57" s="14">
        <v>46.2</v>
      </c>
      <c r="C57" s="14">
        <f>Table1346811121415[[#This Row],[PMI]]-B56</f>
        <v>-2.1999999999999957</v>
      </c>
    </row>
    <row r="58" spans="1:3" x14ac:dyDescent="0.2">
      <c r="A58" s="15">
        <v>41030</v>
      </c>
      <c r="B58" s="14">
        <v>45.2</v>
      </c>
      <c r="C58" s="14">
        <f>Table1346811121415[[#This Row],[PMI]]-B57</f>
        <v>-1</v>
      </c>
    </row>
    <row r="59" spans="1:3" x14ac:dyDescent="0.2">
      <c r="A59" s="15">
        <v>41061</v>
      </c>
      <c r="B59" s="14">
        <v>45</v>
      </c>
      <c r="C59" s="14">
        <f>Table1346811121415[[#This Row],[PMI]]-B58</f>
        <v>-0.20000000000000284</v>
      </c>
    </row>
    <row r="60" spans="1:3" x14ac:dyDescent="0.2">
      <c r="A60" s="15">
        <v>41091</v>
      </c>
      <c r="B60" s="14">
        <v>43</v>
      </c>
      <c r="C60" s="14">
        <f>Table1346811121415[[#This Row],[PMI]]-B59</f>
        <v>-2</v>
      </c>
    </row>
    <row r="61" spans="1:3" x14ac:dyDescent="0.2">
      <c r="A61" s="15">
        <v>41122</v>
      </c>
      <c r="B61" s="14">
        <v>44.7</v>
      </c>
      <c r="C61" s="14">
        <f>Table1346811121415[[#This Row],[PMI]]-B60</f>
        <v>1.7000000000000028</v>
      </c>
    </row>
    <row r="62" spans="1:3" x14ac:dyDescent="0.2">
      <c r="A62" s="15">
        <v>41153</v>
      </c>
      <c r="B62" s="14">
        <v>47.4</v>
      </c>
      <c r="C62" s="14">
        <f>Table1346811121415[[#This Row],[PMI]]-B61</f>
        <v>2.6999999999999957</v>
      </c>
    </row>
    <row r="63" spans="1:3" x14ac:dyDescent="0.2">
      <c r="A63" s="15">
        <v>41183</v>
      </c>
      <c r="B63" s="14">
        <v>46</v>
      </c>
      <c r="C63" s="14">
        <f>Table1346811121415[[#This Row],[PMI]]-B62</f>
        <v>-1.3999999999999986</v>
      </c>
    </row>
    <row r="64" spans="1:3" x14ac:dyDescent="0.2">
      <c r="A64" s="15">
        <v>41214</v>
      </c>
      <c r="B64" s="14">
        <v>46.8</v>
      </c>
      <c r="C64" s="14">
        <f>Table1346811121415[[#This Row],[PMI]]-B63</f>
        <v>0.79999999999999716</v>
      </c>
    </row>
    <row r="65" spans="1:3" x14ac:dyDescent="0.2">
      <c r="A65" s="15">
        <v>41244</v>
      </c>
      <c r="B65" s="14">
        <v>46</v>
      </c>
      <c r="C65" s="14">
        <f>Table1346811121415[[#This Row],[PMI]]-B64</f>
        <v>-0.79999999999999716</v>
      </c>
    </row>
    <row r="66" spans="1:3" x14ac:dyDescent="0.2">
      <c r="A66" s="15">
        <v>41275</v>
      </c>
      <c r="B66" s="14">
        <v>49.8</v>
      </c>
      <c r="C66" s="14">
        <f>Table1346811121415[[#This Row],[PMI]]-B65</f>
        <v>3.7999999999999972</v>
      </c>
    </row>
    <row r="67" spans="1:3" x14ac:dyDescent="0.2">
      <c r="A67" s="15">
        <v>41306</v>
      </c>
      <c r="B67" s="14">
        <v>50.3</v>
      </c>
      <c r="C67" s="14">
        <f>Table1346811121415[[#This Row],[PMI]]-B66</f>
        <v>0.5</v>
      </c>
    </row>
    <row r="68" spans="1:3" x14ac:dyDescent="0.2">
      <c r="A68" s="15">
        <v>41334</v>
      </c>
      <c r="B68" s="14">
        <v>49</v>
      </c>
      <c r="C68" s="14">
        <f>Table1346811121415[[#This Row],[PMI]]-B67</f>
        <v>-1.2999999999999972</v>
      </c>
    </row>
    <row r="69" spans="1:3" x14ac:dyDescent="0.2">
      <c r="A69" s="15">
        <v>41365</v>
      </c>
      <c r="B69" s="14">
        <v>48.1</v>
      </c>
      <c r="C69" s="14">
        <f>Table1346811121415[[#This Row],[PMI]]-B68</f>
        <v>-0.89999999999999858</v>
      </c>
    </row>
    <row r="70" spans="1:3" x14ac:dyDescent="0.2">
      <c r="A70" s="15">
        <v>41395</v>
      </c>
      <c r="B70" s="14">
        <v>49.4</v>
      </c>
      <c r="C70" s="14">
        <f>Table1346811121415[[#This Row],[PMI]]-B69</f>
        <v>1.2999999999999972</v>
      </c>
    </row>
    <row r="71" spans="1:3" x14ac:dyDescent="0.2">
      <c r="A71" s="15">
        <v>41426</v>
      </c>
      <c r="B71" s="14">
        <v>48.6</v>
      </c>
      <c r="C71" s="14">
        <f>Table1346811121415[[#This Row],[PMI]]-B70</f>
        <v>-0.79999999999999716</v>
      </c>
    </row>
    <row r="72" spans="1:3" x14ac:dyDescent="0.2">
      <c r="A72" s="15">
        <v>41456</v>
      </c>
      <c r="B72" s="14">
        <v>50.7</v>
      </c>
      <c r="C72" s="14">
        <f>Table1346811121415[[#This Row],[PMI]]-B71</f>
        <v>2.1000000000000014</v>
      </c>
    </row>
    <row r="73" spans="1:3" x14ac:dyDescent="0.2">
      <c r="A73" s="15">
        <v>41487</v>
      </c>
      <c r="B73" s="14">
        <v>51.8</v>
      </c>
      <c r="C73" s="14">
        <f>Table1346811121415[[#This Row],[PMI]]-B72</f>
        <v>1.0999999999999943</v>
      </c>
    </row>
    <row r="74" spans="1:3" x14ac:dyDescent="0.2">
      <c r="A74" s="15">
        <v>41518</v>
      </c>
      <c r="B74" s="14">
        <v>51.1</v>
      </c>
      <c r="C74" s="14">
        <f>Table1346811121415[[#This Row],[PMI]]-B73</f>
        <v>-0.69999999999999574</v>
      </c>
    </row>
    <row r="75" spans="1:3" x14ac:dyDescent="0.2">
      <c r="A75" s="15">
        <v>41548</v>
      </c>
      <c r="B75" s="14">
        <v>51.7</v>
      </c>
      <c r="C75" s="14">
        <f>Table1346811121415[[#This Row],[PMI]]-B74</f>
        <v>0.60000000000000142</v>
      </c>
    </row>
    <row r="76" spans="1:3" x14ac:dyDescent="0.2">
      <c r="A76" s="15">
        <v>41579</v>
      </c>
      <c r="B76" s="14">
        <v>52.7</v>
      </c>
      <c r="C76" s="14">
        <f>Table1346811121415[[#This Row],[PMI]]-B75</f>
        <v>1</v>
      </c>
    </row>
    <row r="77" spans="1:3" x14ac:dyDescent="0.2">
      <c r="A77" s="15">
        <v>41609</v>
      </c>
      <c r="B77" s="14">
        <v>54.3</v>
      </c>
      <c r="C77" s="14">
        <f>Table1346811121415[[#This Row],[PMI]]-B76</f>
        <v>1.5999999999999943</v>
      </c>
    </row>
    <row r="78" spans="1:3" x14ac:dyDescent="0.2">
      <c r="A78" s="15">
        <v>41640</v>
      </c>
      <c r="B78" s="14">
        <v>56.6</v>
      </c>
      <c r="C78" s="14">
        <f>Table1346811121415[[#This Row],[PMI]]-B77</f>
        <v>2.3000000000000043</v>
      </c>
    </row>
    <row r="79" spans="1:3" x14ac:dyDescent="0.2">
      <c r="A79" s="15">
        <v>41671</v>
      </c>
      <c r="B79" s="14">
        <v>54.8</v>
      </c>
      <c r="C79" s="14">
        <f>Table1346811121415[[#This Row],[PMI]]-B78</f>
        <v>-1.8000000000000043</v>
      </c>
    </row>
    <row r="80" spans="1:3" x14ac:dyDescent="0.2">
      <c r="A80" s="15">
        <v>41699</v>
      </c>
      <c r="B80" s="14">
        <v>53.7</v>
      </c>
      <c r="C80" s="14">
        <f>Table1346811121415[[#This Row],[PMI]]-B79</f>
        <v>-1.0999999999999943</v>
      </c>
    </row>
    <row r="81" spans="1:3" x14ac:dyDescent="0.2">
      <c r="A81" s="15">
        <v>41730</v>
      </c>
      <c r="B81" s="14">
        <v>54.1</v>
      </c>
      <c r="C81" s="14">
        <f>Table1346811121415[[#This Row],[PMI]]-B80</f>
        <v>0.39999999999999858</v>
      </c>
    </row>
    <row r="82" spans="1:3" x14ac:dyDescent="0.2">
      <c r="A82" s="15">
        <v>41760</v>
      </c>
      <c r="B82" s="14">
        <v>52.3</v>
      </c>
      <c r="C82" s="14">
        <f>Table1346811121415[[#This Row],[PMI]]-B81</f>
        <v>-1.8000000000000043</v>
      </c>
    </row>
    <row r="83" spans="1:3" x14ac:dyDescent="0.2">
      <c r="A83" s="15">
        <v>41791</v>
      </c>
      <c r="B83" s="14">
        <v>52</v>
      </c>
      <c r="C83" s="14">
        <f>Table1346811121415[[#This Row],[PMI]]-B82</f>
        <v>-0.29999999999999716</v>
      </c>
    </row>
    <row r="84" spans="1:3" x14ac:dyDescent="0.2">
      <c r="A84" s="15">
        <v>41821</v>
      </c>
      <c r="B84" s="14">
        <v>52.4</v>
      </c>
      <c r="C84" s="14">
        <f>Table1346811121415[[#This Row],[PMI]]-B83</f>
        <v>0.39999999999999858</v>
      </c>
    </row>
    <row r="85" spans="1:3" x14ac:dyDescent="0.2">
      <c r="A85" s="15">
        <v>41852</v>
      </c>
      <c r="B85" s="14">
        <v>51.4</v>
      </c>
      <c r="C85" s="14">
        <f>Table1346811121415[[#This Row],[PMI]]-B84</f>
        <v>-1</v>
      </c>
    </row>
    <row r="86" spans="1:3" x14ac:dyDescent="0.2">
      <c r="A86" s="15">
        <v>41883</v>
      </c>
      <c r="B86" s="14">
        <v>49.9</v>
      </c>
      <c r="C86" s="14">
        <f>Table1346811121415[[#This Row],[PMI]]-B85</f>
        <v>-1.5</v>
      </c>
    </row>
    <row r="87" spans="1:3" x14ac:dyDescent="0.2">
      <c r="A87" s="15">
        <v>41913</v>
      </c>
      <c r="B87" s="14">
        <v>51.4</v>
      </c>
      <c r="C87" s="14">
        <f>Table1346811121415[[#This Row],[PMI]]-B86</f>
        <v>1.5</v>
      </c>
    </row>
    <row r="88" spans="1:3" x14ac:dyDescent="0.2">
      <c r="A88" s="15">
        <v>41944</v>
      </c>
      <c r="B88" s="14">
        <v>49.5</v>
      </c>
      <c r="C88" s="14">
        <f>Table1346811121415[[#This Row],[PMI]]-B87</f>
        <v>-1.8999999999999986</v>
      </c>
    </row>
    <row r="89" spans="1:3" x14ac:dyDescent="0.2">
      <c r="A89" s="15">
        <v>41974</v>
      </c>
      <c r="B89" s="14">
        <v>51.2</v>
      </c>
      <c r="C89" s="14">
        <f>Table1346811121415[[#This Row],[PMI]]-B88</f>
        <v>1.7000000000000028</v>
      </c>
    </row>
    <row r="90" spans="1:3" x14ac:dyDescent="0.2">
      <c r="A90" s="15">
        <v>42005</v>
      </c>
      <c r="B90" s="14">
        <v>50.9</v>
      </c>
      <c r="C90" s="14">
        <f>Table1346811121415[[#This Row],[PMI]]-B89</f>
        <v>-0.30000000000000426</v>
      </c>
    </row>
    <row r="91" spans="1:3" x14ac:dyDescent="0.2">
      <c r="A91" s="15">
        <v>42036</v>
      </c>
      <c r="B91" s="14">
        <v>51.1</v>
      </c>
      <c r="C91" s="14">
        <f>Table1346811121415[[#This Row],[PMI]]-B90</f>
        <v>0.20000000000000284</v>
      </c>
    </row>
    <row r="92" spans="1:3" x14ac:dyDescent="0.2">
      <c r="A92" s="15">
        <v>42064</v>
      </c>
      <c r="B92" s="14">
        <v>52.8</v>
      </c>
      <c r="C92" s="14">
        <f>Table1346811121415[[#This Row],[PMI]]-B91</f>
        <v>1.6999999999999957</v>
      </c>
    </row>
    <row r="93" spans="1:3" x14ac:dyDescent="0.2">
      <c r="A93" s="15">
        <v>42095</v>
      </c>
      <c r="B93" s="14">
        <v>52.1</v>
      </c>
      <c r="C93" s="14">
        <f>Table1346811121415[[#This Row],[PMI]]-B92</f>
        <v>-0.69999999999999574</v>
      </c>
    </row>
    <row r="94" spans="1:3" x14ac:dyDescent="0.2">
      <c r="A94" s="15">
        <v>42125</v>
      </c>
      <c r="B94" s="14">
        <v>51.1</v>
      </c>
      <c r="C94" s="14">
        <f>Table1346811121415[[#This Row],[PMI]]-B93</f>
        <v>-1</v>
      </c>
    </row>
    <row r="95" spans="1:3" x14ac:dyDescent="0.2">
      <c r="A95" s="15">
        <v>42156</v>
      </c>
      <c r="B95" s="14">
        <v>51.9</v>
      </c>
      <c r="C95" s="14">
        <f>Table1346811121415[[#This Row],[PMI]]-B94</f>
        <v>0.79999999999999716</v>
      </c>
    </row>
    <row r="96" spans="1:3" x14ac:dyDescent="0.2">
      <c r="A96" s="15">
        <v>42186</v>
      </c>
      <c r="B96" s="14">
        <v>51.8</v>
      </c>
      <c r="C96" s="14">
        <f>Table1346811121415[[#This Row],[PMI]]-B95</f>
        <v>-0.10000000000000142</v>
      </c>
    </row>
    <row r="97" spans="1:3" x14ac:dyDescent="0.2">
      <c r="A97" s="15">
        <v>42217</v>
      </c>
      <c r="B97" s="14">
        <v>53.3</v>
      </c>
      <c r="C97" s="14">
        <f>Table1346811121415[[#This Row],[PMI]]-B96</f>
        <v>1.5</v>
      </c>
    </row>
    <row r="98" spans="1:3" x14ac:dyDescent="0.2">
      <c r="A98" s="15">
        <v>42248</v>
      </c>
      <c r="B98" s="14">
        <v>52.3</v>
      </c>
      <c r="C98" s="14">
        <f>Table1346811121415[[#This Row],[PMI]]-B97</f>
        <v>-1</v>
      </c>
    </row>
    <row r="99" spans="1:3" x14ac:dyDescent="0.2">
      <c r="A99" s="15">
        <v>42278</v>
      </c>
      <c r="B99" s="14">
        <v>52.1</v>
      </c>
      <c r="C99" s="14">
        <f>Table1346811121415[[#This Row],[PMI]]-B98</f>
        <v>-0.19999999999999574</v>
      </c>
    </row>
    <row r="100" spans="1:3" x14ac:dyDescent="0.2">
      <c r="A100" s="15">
        <v>42309</v>
      </c>
      <c r="B100" s="14">
        <v>52.9</v>
      </c>
      <c r="C100" s="14">
        <f>Table1346811121415[[#This Row],[PMI]]-B99</f>
        <v>0.79999999999999716</v>
      </c>
    </row>
    <row r="101" spans="1:3" x14ac:dyDescent="0.2">
      <c r="A101" s="15">
        <v>42339</v>
      </c>
      <c r="B101" s="14">
        <v>53.2</v>
      </c>
      <c r="C101" s="14">
        <f>Table1346811121415[[#This Row],[PMI]]-B100</f>
        <v>0.30000000000000426</v>
      </c>
    </row>
    <row r="102" spans="1:3" x14ac:dyDescent="0.2">
      <c r="A102" s="15">
        <v>42370</v>
      </c>
      <c r="B102" s="14">
        <v>52.3</v>
      </c>
      <c r="C102" s="14">
        <f>Table1346811121415[[#This Row],[PMI]]-B101</f>
        <v>-0.90000000000000568</v>
      </c>
    </row>
    <row r="103" spans="1:3" x14ac:dyDescent="0.2">
      <c r="A103" s="15">
        <v>42401</v>
      </c>
      <c r="B103" s="14">
        <v>50.5</v>
      </c>
      <c r="C103" s="14">
        <f>Table1346811121415[[#This Row],[PMI]]-B102</f>
        <v>-1.7999999999999972</v>
      </c>
    </row>
    <row r="104" spans="1:3" x14ac:dyDescent="0.2">
      <c r="A104" s="15">
        <v>42430</v>
      </c>
      <c r="B104" s="14">
        <v>50.7</v>
      </c>
      <c r="C104" s="14">
        <f>Table1346811121415[[#This Row],[PMI]]-B103</f>
        <v>0.20000000000000284</v>
      </c>
    </row>
    <row r="105" spans="1:3" x14ac:dyDescent="0.2">
      <c r="A105" s="15">
        <v>42461</v>
      </c>
      <c r="B105" s="14">
        <v>51.8</v>
      </c>
      <c r="C105" s="14">
        <f>Table1346811121415[[#This Row],[PMI]]-B104</f>
        <v>1.0999999999999943</v>
      </c>
    </row>
    <row r="106" spans="1:3" x14ac:dyDescent="0.2">
      <c r="A106" s="15">
        <v>42491</v>
      </c>
      <c r="B106" s="14">
        <v>52.1</v>
      </c>
      <c r="C106" s="14">
        <f>Table1346811121415[[#This Row],[PMI]]-B105</f>
        <v>0.30000000000000426</v>
      </c>
    </row>
    <row r="107" spans="1:3" x14ac:dyDescent="0.2">
      <c r="A107" s="15">
        <v>42522</v>
      </c>
      <c r="B107" s="14">
        <v>54.5</v>
      </c>
      <c r="C107" s="30">
        <f>Table1346811121415[[#This Row],[PMI]]-B106</f>
        <v>2.3999999999999986</v>
      </c>
    </row>
    <row r="108" spans="1:3" x14ac:dyDescent="0.2">
      <c r="A108" s="15">
        <v>42552</v>
      </c>
      <c r="B108" s="14">
        <v>53.8</v>
      </c>
      <c r="C108" s="30">
        <f>Table1346811121415[[#This Row],[PMI]]-B107</f>
        <v>-0.70000000000000284</v>
      </c>
    </row>
    <row r="109" spans="1:3" x14ac:dyDescent="0.2">
      <c r="A109" s="15">
        <v>42583</v>
      </c>
      <c r="B109" s="14">
        <v>53.6</v>
      </c>
      <c r="C109" s="30">
        <f>Table1346811121415[[#This Row],[PMI]]-B108</f>
        <v>-0.19999999999999574</v>
      </c>
    </row>
    <row r="110" spans="1:3" x14ac:dyDescent="0.2">
      <c r="A110" s="15">
        <v>42614</v>
      </c>
      <c r="B110" s="14">
        <v>54.3</v>
      </c>
      <c r="C110" s="30">
        <f>Table1346811121415[[#This Row],[PMI]]-B109</f>
        <v>0.69999999999999574</v>
      </c>
    </row>
    <row r="111" spans="1:3" x14ac:dyDescent="0.2">
      <c r="A111" s="15">
        <v>42644</v>
      </c>
      <c r="B111" s="14">
        <v>55</v>
      </c>
      <c r="C111" s="30">
        <f>Table1346811121415[[#This Row],[PMI]]-B110</f>
        <v>0.70000000000000284</v>
      </c>
    </row>
    <row r="112" spans="1:3" x14ac:dyDescent="0.2">
      <c r="A112" s="15">
        <v>42675</v>
      </c>
      <c r="B112" s="14">
        <v>54.3</v>
      </c>
      <c r="C112" s="30">
        <f>Table1346811121415[[#This Row],[PMI]]-B111</f>
        <v>-0.70000000000000284</v>
      </c>
    </row>
    <row r="113" spans="1:3" x14ac:dyDescent="0.2">
      <c r="A113" s="15">
        <v>42705</v>
      </c>
      <c r="B113" s="14">
        <v>55.6</v>
      </c>
      <c r="C113" s="30">
        <f>Table1346811121415[[#This Row],[PMI]]-B112</f>
        <v>1.3000000000000043</v>
      </c>
    </row>
    <row r="114" spans="1:3" x14ac:dyDescent="0.2">
      <c r="A114" s="15">
        <v>42736</v>
      </c>
      <c r="B114" s="14">
        <v>56.4</v>
      </c>
      <c r="C114" s="30">
        <f>Table1346811121415[[#This Row],[PMI]]-B113</f>
        <v>0.79999999999999716</v>
      </c>
    </row>
    <row r="115" spans="1:3" x14ac:dyDescent="0.2">
      <c r="A115" s="15">
        <v>42767</v>
      </c>
      <c r="B115" s="14">
        <v>56.8</v>
      </c>
      <c r="C115" s="30">
        <f>Table1346811121415[[#This Row],[PMI]]-B114</f>
        <v>0.39999999999999858</v>
      </c>
    </row>
    <row r="116" spans="1:3" x14ac:dyDescent="0.2">
      <c r="A116" s="15">
        <v>42795</v>
      </c>
      <c r="B116" s="14">
        <v>58.3</v>
      </c>
      <c r="C116" s="30">
        <f>Table1346811121415[[#This Row],[PMI]]-B115</f>
        <v>1.5</v>
      </c>
    </row>
    <row r="117" spans="1:3" x14ac:dyDescent="0.2">
      <c r="A117" s="15">
        <v>42826</v>
      </c>
      <c r="B117" s="14">
        <v>58.2</v>
      </c>
      <c r="C117" s="30">
        <f>Table1346811121415[[#This Row],[PMI]]-B116</f>
        <v>-9.9999999999994316E-2</v>
      </c>
    </row>
    <row r="118" spans="1:3" x14ac:dyDescent="0.2">
      <c r="A118" s="15">
        <v>42856</v>
      </c>
      <c r="B118" s="14">
        <v>59.5</v>
      </c>
      <c r="C118" s="30">
        <f>Table1346811121415[[#This Row],[PMI]]-B117</f>
        <v>1.2999999999999972</v>
      </c>
    </row>
    <row r="119" spans="1:3" x14ac:dyDescent="0.2">
      <c r="A119" s="15">
        <v>42887</v>
      </c>
      <c r="B119" s="14">
        <v>59.6</v>
      </c>
      <c r="C119" s="30">
        <f>Table1346811121415[[#This Row],[PMI]]-B118</f>
        <v>0.10000000000000142</v>
      </c>
    </row>
    <row r="120" spans="1:3" x14ac:dyDescent="0.2">
      <c r="A120" s="15">
        <v>42917</v>
      </c>
      <c r="B120" s="14">
        <v>58.1</v>
      </c>
      <c r="C120" s="30">
        <f>Table1346811121415[[#This Row],[PMI]]-B119</f>
        <v>-1.5</v>
      </c>
    </row>
    <row r="121" spans="1:3" x14ac:dyDescent="0.2">
      <c r="A121" s="15">
        <v>42948</v>
      </c>
      <c r="B121" s="14">
        <v>59.3</v>
      </c>
      <c r="C121" s="30">
        <f>Table1346811121415[[#This Row],[PMI]]-B120</f>
        <v>1.1999999999999957</v>
      </c>
    </row>
    <row r="122" spans="1:3" x14ac:dyDescent="0.2">
      <c r="A122" s="15">
        <v>42979</v>
      </c>
      <c r="B122" s="14">
        <v>60.6</v>
      </c>
      <c r="C122" s="30">
        <f>Table1346811121415[[#This Row],[PMI]]-B121</f>
        <v>1.3000000000000043</v>
      </c>
    </row>
    <row r="123" spans="1:3" x14ac:dyDescent="0.2">
      <c r="A123" s="15">
        <v>43009</v>
      </c>
      <c r="B123" s="14">
        <v>60.6</v>
      </c>
      <c r="C123" s="30">
        <f>Table1346811121415[[#This Row],[PMI]]-B122</f>
        <v>0</v>
      </c>
    </row>
    <row r="124" spans="1:3" x14ac:dyDescent="0.2">
      <c r="A124" s="15">
        <v>43040</v>
      </c>
      <c r="B124" s="14">
        <v>62.5</v>
      </c>
      <c r="C124" s="30">
        <f>Table1346811121415[[#This Row],[PMI]]-B123</f>
        <v>1.8999999999999986</v>
      </c>
    </row>
    <row r="125" spans="1:3" x14ac:dyDescent="0.2">
      <c r="A125" s="15">
        <v>43070</v>
      </c>
      <c r="B125" s="14">
        <v>63.3</v>
      </c>
      <c r="C125" s="30">
        <f>Table1346811121415[[#This Row],[PMI]]-B124</f>
        <v>0.79999999999999716</v>
      </c>
    </row>
    <row r="126" spans="1:3" x14ac:dyDescent="0.2">
      <c r="A126" s="15">
        <v>43101</v>
      </c>
      <c r="B126" s="14">
        <v>61.1</v>
      </c>
      <c r="C126" s="30">
        <f>Table1346811121415[[#This Row],[PMI]]-B125</f>
        <v>-2.1999999999999957</v>
      </c>
    </row>
    <row r="127" spans="1:3" x14ac:dyDescent="0.2">
      <c r="A127" s="15">
        <v>43132</v>
      </c>
      <c r="B127" s="14">
        <v>60.6</v>
      </c>
      <c r="C127" s="30">
        <f>Table1346811121415[[#This Row],[PMI]]-B126</f>
        <v>-0.5</v>
      </c>
    </row>
    <row r="128" spans="1:3" x14ac:dyDescent="0.2">
      <c r="A128" s="15">
        <v>43160</v>
      </c>
      <c r="B128" s="14">
        <v>58.4</v>
      </c>
      <c r="C128" s="30">
        <f>Table1346811121415[[#This Row],[PMI]]-B127</f>
        <v>-2.2000000000000028</v>
      </c>
    </row>
    <row r="129" spans="1:3" x14ac:dyDescent="0.2">
      <c r="A129" s="15">
        <v>43191</v>
      </c>
      <c r="B129" s="14">
        <v>58.1</v>
      </c>
      <c r="C129" s="30">
        <f>Table1346811121415[[#This Row],[PMI]]-B128</f>
        <v>-0.29999999999999716</v>
      </c>
    </row>
    <row r="130" spans="1:3" x14ac:dyDescent="0.2">
      <c r="A130" s="15">
        <v>43221</v>
      </c>
      <c r="B130" s="14">
        <v>56.9</v>
      </c>
      <c r="C130" s="30">
        <f>Table1346811121415[[#This Row],[PMI]]-B129</f>
        <v>-1.2000000000000028</v>
      </c>
    </row>
    <row r="131" spans="1:3" x14ac:dyDescent="0.2">
      <c r="A131" s="15">
        <v>43252</v>
      </c>
      <c r="B131" s="14">
        <v>55.9</v>
      </c>
      <c r="C131" s="30">
        <f>Table1346811121415[[#This Row],[PMI]]-B130</f>
        <v>-1</v>
      </c>
    </row>
    <row r="132" spans="1:3" x14ac:dyDescent="0.2">
      <c r="A132" s="15">
        <v>43282</v>
      </c>
      <c r="B132" s="14">
        <v>56.9</v>
      </c>
      <c r="C132" s="30">
        <f>Table1346811121415[[#This Row],[PMI]]-B131</f>
        <v>1</v>
      </c>
    </row>
    <row r="133" spans="1:3" x14ac:dyDescent="0.2">
      <c r="A133" s="15">
        <v>43313</v>
      </c>
      <c r="B133" s="14">
        <v>55.9</v>
      </c>
      <c r="C133" s="30">
        <f>Table1346811121415[[#This Row],[PMI]]-B132</f>
        <v>-1</v>
      </c>
    </row>
    <row r="134" spans="1:3" x14ac:dyDescent="0.2">
      <c r="A134" s="15">
        <v>43344</v>
      </c>
      <c r="B134" s="14">
        <v>53.7</v>
      </c>
      <c r="C134" s="30">
        <f>Table1346811121415[[#This Row],[PMI]]-B133</f>
        <v>-2.1999999999999957</v>
      </c>
    </row>
    <row r="135" spans="1:3" x14ac:dyDescent="0.2">
      <c r="A135" s="15">
        <v>43374</v>
      </c>
      <c r="B135" s="14">
        <v>52.2</v>
      </c>
      <c r="C135" s="30">
        <f>Table1346811121415[[#This Row],[PMI]]-B134</f>
        <v>-1.5</v>
      </c>
    </row>
    <row r="136" spans="1:3" x14ac:dyDescent="0.2">
      <c r="A136" s="15">
        <v>43405</v>
      </c>
      <c r="B136" s="14">
        <v>51.8</v>
      </c>
      <c r="C136" s="30">
        <f>Table1346811121415[[#This Row],[PMI]]-B135</f>
        <v>-0.40000000000000568</v>
      </c>
    </row>
    <row r="137" spans="1:3" x14ac:dyDescent="0.2">
      <c r="A137" s="15">
        <v>43435</v>
      </c>
      <c r="B137" s="14">
        <v>51.5</v>
      </c>
      <c r="C137" s="30">
        <f>Table1346811121415[[#This Row],[PMI]]-B136</f>
        <v>-0.29999999999999716</v>
      </c>
    </row>
    <row r="138" spans="1:3" x14ac:dyDescent="0.2">
      <c r="A138" s="15">
        <v>43466</v>
      </c>
      <c r="B138" s="14">
        <v>49.7</v>
      </c>
      <c r="C138" s="30">
        <f>Table1346811121415[[#This Row],[PMI]]-B137</f>
        <v>-1.7999999999999972</v>
      </c>
    </row>
    <row r="139" spans="1:3" x14ac:dyDescent="0.2">
      <c r="A139" s="15">
        <v>43497</v>
      </c>
      <c r="B139" s="14">
        <v>47.6</v>
      </c>
      <c r="C139" s="30">
        <f>Table1346811121415[[#This Row],[PMI]]-B138</f>
        <v>-2.1000000000000014</v>
      </c>
    </row>
    <row r="140" spans="1:3" x14ac:dyDescent="0.2">
      <c r="A140" s="15">
        <v>43525</v>
      </c>
      <c r="B140" s="14">
        <v>44.1</v>
      </c>
      <c r="C140" s="30">
        <f>Table1346811121415[[#This Row],[PMI]]-B139</f>
        <v>-3.5</v>
      </c>
    </row>
    <row r="141" spans="1:3" x14ac:dyDescent="0.2">
      <c r="A141" s="15">
        <v>43556</v>
      </c>
      <c r="B141" s="14">
        <v>44.4</v>
      </c>
      <c r="C141" s="30">
        <f>Table1346811121415[[#This Row],[PMI]]-B140</f>
        <v>0.29999999999999716</v>
      </c>
    </row>
    <row r="142" spans="1:3" x14ac:dyDescent="0.2">
      <c r="A142" s="15">
        <v>43586</v>
      </c>
      <c r="B142" s="14">
        <v>44.3</v>
      </c>
      <c r="C142" s="30">
        <f>Table1346811121415[[#This Row],[PMI]]-B141</f>
        <v>-0.10000000000000142</v>
      </c>
    </row>
    <row r="143" spans="1:3" x14ac:dyDescent="0.2">
      <c r="A143" s="15">
        <v>43617</v>
      </c>
      <c r="B143" s="14">
        <v>45</v>
      </c>
      <c r="C143" s="30">
        <f>Table1346811121415[[#This Row],[PMI]]-B142</f>
        <v>0.70000000000000284</v>
      </c>
    </row>
    <row r="144" spans="1:3" x14ac:dyDescent="0.2">
      <c r="A144" s="15">
        <v>43647</v>
      </c>
      <c r="B144" s="14">
        <v>43.2</v>
      </c>
      <c r="C144" s="30">
        <f>Table1346811121415[[#This Row],[PMI]]-B143</f>
        <v>-1.7999999999999972</v>
      </c>
    </row>
    <row r="145" spans="1:3" x14ac:dyDescent="0.2">
      <c r="A145" s="15">
        <v>43678</v>
      </c>
      <c r="B145" s="14">
        <v>43.5</v>
      </c>
      <c r="C145" s="30">
        <f>Table1346811121415[[#This Row],[PMI]]-B144</f>
        <v>0.29999999999999716</v>
      </c>
    </row>
    <row r="146" spans="1:3" x14ac:dyDescent="0.2">
      <c r="A146" s="15">
        <v>43709</v>
      </c>
      <c r="B146" s="14">
        <v>41.7</v>
      </c>
      <c r="C146" s="30">
        <f>Table1346811121415[[#This Row],[PMI]]-B145</f>
        <v>-1.7999999999999972</v>
      </c>
    </row>
    <row r="147" spans="1:3" x14ac:dyDescent="0.2">
      <c r="A147" s="15">
        <v>43739</v>
      </c>
      <c r="B147" s="14">
        <v>42.1</v>
      </c>
      <c r="C147" s="30">
        <f>Table1346811121415[[#This Row],[PMI]]-B146</f>
        <v>0.39999999999999858</v>
      </c>
    </row>
    <row r="148" spans="1:3" x14ac:dyDescent="0.2">
      <c r="A148" s="15">
        <v>43770</v>
      </c>
      <c r="B148" s="14">
        <v>44.1</v>
      </c>
      <c r="C148" s="30">
        <f>Table1346811121415[[#This Row],[PMI]]-B147</f>
        <v>2</v>
      </c>
    </row>
    <row r="149" spans="1:3" x14ac:dyDescent="0.2">
      <c r="A149" s="15">
        <v>43800</v>
      </c>
      <c r="B149" s="14">
        <v>43.7</v>
      </c>
      <c r="C149" s="30">
        <f>Table1346811121415[[#This Row],[PMI]]-B148</f>
        <v>-0.39999999999999858</v>
      </c>
    </row>
    <row r="150" spans="1:3" x14ac:dyDescent="0.2">
      <c r="A150" s="15">
        <v>43831</v>
      </c>
      <c r="B150" s="14">
        <v>45.3</v>
      </c>
      <c r="C150" s="30">
        <f>Table1346811121415[[#This Row],[PMI]]-B149</f>
        <v>1.5999999999999943</v>
      </c>
    </row>
    <row r="151" spans="1:3" x14ac:dyDescent="0.2">
      <c r="A151" s="15">
        <v>43862</v>
      </c>
      <c r="B151" s="14">
        <v>48</v>
      </c>
      <c r="C151" s="30">
        <f>Table1346811121415[[#This Row],[PMI]]-B150</f>
        <v>2.7000000000000028</v>
      </c>
    </row>
    <row r="152" spans="1:3" x14ac:dyDescent="0.2">
      <c r="A152" s="15">
        <v>43891</v>
      </c>
      <c r="B152" s="14">
        <v>45.4</v>
      </c>
      <c r="C152" s="30">
        <f>Table1346811121415[[#This Row],[PMI]]-B151</f>
        <v>-2.6000000000000014</v>
      </c>
    </row>
    <row r="153" spans="1:3" x14ac:dyDescent="0.2">
      <c r="A153" s="15">
        <v>43922</v>
      </c>
      <c r="B153" s="14">
        <v>34.5</v>
      </c>
      <c r="C153" s="30">
        <f>Table1346811121415[[#This Row],[PMI]]-B152</f>
        <v>-10.899999999999999</v>
      </c>
    </row>
    <row r="154" spans="1:3" x14ac:dyDescent="0.2">
      <c r="A154" s="15">
        <v>43952</v>
      </c>
      <c r="B154" s="14">
        <v>36.6</v>
      </c>
      <c r="C154" s="30">
        <f>Table1346811121415[[#This Row],[PMI]]-B153</f>
        <v>2.1000000000000014</v>
      </c>
    </row>
    <row r="155" spans="1:3" x14ac:dyDescent="0.2">
      <c r="A155" s="15">
        <v>43983</v>
      </c>
      <c r="B155" s="14">
        <v>45.2</v>
      </c>
      <c r="C155" s="30">
        <f>Table1346811121415[[#This Row],[PMI]]-B154</f>
        <v>8.6000000000000014</v>
      </c>
    </row>
    <row r="156" spans="1:3" x14ac:dyDescent="0.2">
      <c r="A156" s="15">
        <v>44013</v>
      </c>
      <c r="B156" s="14">
        <v>51</v>
      </c>
      <c r="C156" s="30">
        <f>Table1346811121415[[#This Row],[PMI]]-B155</f>
        <v>5.7999999999999972</v>
      </c>
    </row>
    <row r="157" spans="1:3" x14ac:dyDescent="0.2">
      <c r="A157" s="15">
        <v>44044</v>
      </c>
      <c r="B157" s="14">
        <v>52.2</v>
      </c>
      <c r="C157" s="30">
        <f>Table1346811121415[[#This Row],[PMI]]-B156</f>
        <v>1.2000000000000028</v>
      </c>
    </row>
    <row r="158" spans="1:3" x14ac:dyDescent="0.2">
      <c r="A158" s="15">
        <v>44075</v>
      </c>
      <c r="B158" s="14">
        <v>56.4</v>
      </c>
      <c r="C158" s="30">
        <f>Table1346811121415[[#This Row],[PMI]]-B157</f>
        <v>4.1999999999999957</v>
      </c>
    </row>
    <row r="159" spans="1:3" x14ac:dyDescent="0.2">
      <c r="A159" s="15">
        <v>44105</v>
      </c>
      <c r="B159" s="14">
        <v>58.2</v>
      </c>
      <c r="C159" s="30">
        <f>Table1346811121415[[#This Row],[PMI]]-B158</f>
        <v>1.8000000000000043</v>
      </c>
    </row>
    <row r="160" spans="1:3" x14ac:dyDescent="0.2">
      <c r="A160" s="15">
        <v>44136</v>
      </c>
      <c r="B160" s="14">
        <v>57.8</v>
      </c>
      <c r="C160" s="30">
        <f>Table1346811121415[[#This Row],[PMI]]-B159</f>
        <v>-0.40000000000000568</v>
      </c>
    </row>
    <row r="161" spans="1:3" x14ac:dyDescent="0.2">
      <c r="A161" s="15">
        <v>44166</v>
      </c>
      <c r="B161" s="14">
        <v>58.3</v>
      </c>
      <c r="C161" s="30">
        <f>Table1346811121415[[#This Row],[PMI]]-B160</f>
        <v>0.5</v>
      </c>
    </row>
    <row r="162" spans="1:3" x14ac:dyDescent="0.2">
      <c r="A162" s="15">
        <v>44197</v>
      </c>
      <c r="B162" s="14">
        <v>57.1</v>
      </c>
      <c r="C162" s="30">
        <f>Table1346811121415[[#This Row],[PMI]]-B161</f>
        <v>-1.1999999999999957</v>
      </c>
    </row>
    <row r="163" spans="1:3" x14ac:dyDescent="0.2">
      <c r="A163" s="15">
        <v>44228</v>
      </c>
      <c r="B163" s="14">
        <v>60.7</v>
      </c>
      <c r="C163" s="30">
        <f>Table1346811121415[[#This Row],[PMI]]-B162</f>
        <v>3.6000000000000014</v>
      </c>
    </row>
    <row r="164" spans="1:3" x14ac:dyDescent="0.2">
      <c r="A164" s="15">
        <v>44256</v>
      </c>
      <c r="B164" s="14">
        <v>66.599999999999994</v>
      </c>
      <c r="C164" s="30">
        <f>Table1346811121415[[#This Row],[PMI]]-B163</f>
        <v>5.8999999999999915</v>
      </c>
    </row>
    <row r="165" spans="1:3" x14ac:dyDescent="0.2">
      <c r="A165" s="15">
        <v>44287</v>
      </c>
      <c r="B165" s="14">
        <v>66.2</v>
      </c>
      <c r="C165" s="30">
        <f>Table1346811121415[[#This Row],[PMI]]-B164</f>
        <v>-0.39999999999999147</v>
      </c>
    </row>
    <row r="166" spans="1:3" x14ac:dyDescent="0.2">
      <c r="A166" s="15">
        <v>44317</v>
      </c>
      <c r="B166" s="14">
        <v>64.400000000000006</v>
      </c>
      <c r="C166" s="30">
        <f>Table1346811121415[[#This Row],[PMI]]-B165</f>
        <v>-1.7999999999999972</v>
      </c>
    </row>
    <row r="167" spans="1:3" x14ac:dyDescent="0.2">
      <c r="A167" s="15">
        <v>44348</v>
      </c>
      <c r="B167" s="14">
        <v>65.099999999999994</v>
      </c>
      <c r="C167" s="30">
        <f>Table1346811121415[[#This Row],[PMI]]-B166</f>
        <v>0.69999999999998863</v>
      </c>
    </row>
    <row r="168" spans="1:3" x14ac:dyDescent="0.2">
      <c r="A168" s="15">
        <v>44378</v>
      </c>
      <c r="B168" s="14">
        <v>65.900000000000006</v>
      </c>
      <c r="C168" s="30">
        <f>Table1346811121415[[#This Row],[PMI]]-B167</f>
        <v>0.80000000000001137</v>
      </c>
    </row>
    <row r="169" spans="1:3" x14ac:dyDescent="0.2">
      <c r="A169" s="15">
        <v>44409</v>
      </c>
      <c r="B169" s="14">
        <v>62.6</v>
      </c>
      <c r="C169" s="30">
        <f>Table1346811121415[[#This Row],[PMI]]-B168</f>
        <v>-3.3000000000000043</v>
      </c>
    </row>
    <row r="170" spans="1:3" x14ac:dyDescent="0.2">
      <c r="A170" s="15">
        <v>44440</v>
      </c>
      <c r="B170" s="14">
        <v>58.4</v>
      </c>
      <c r="C170" s="30">
        <f>Table1346811121415[[#This Row],[PMI]]-B169</f>
        <v>-4.2000000000000028</v>
      </c>
    </row>
    <row r="171" spans="1:3" x14ac:dyDescent="0.2">
      <c r="A171" s="15">
        <v>44470</v>
      </c>
      <c r="B171" s="14">
        <v>57.8</v>
      </c>
      <c r="C171" s="30">
        <f>Table1346811121415[[#This Row],[PMI]]-B170</f>
        <v>-0.60000000000000142</v>
      </c>
    </row>
    <row r="172" spans="1:3" x14ac:dyDescent="0.2">
      <c r="A172" s="15">
        <v>44501</v>
      </c>
      <c r="B172" s="14">
        <v>57.4</v>
      </c>
      <c r="C172" s="30">
        <f>Table1346811121415[[#This Row],[PMI]]-B171</f>
        <v>-0.39999999999999858</v>
      </c>
    </row>
    <row r="173" spans="1:3" x14ac:dyDescent="0.2">
      <c r="A173" s="15">
        <v>44531</v>
      </c>
      <c r="B173" s="14">
        <v>57.4</v>
      </c>
      <c r="C173" s="30">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228A4-81EE-473F-9E57-37A736434147}">
  <dimension ref="A1:K166"/>
  <sheetViews>
    <sheetView zoomScale="160" zoomScaleNormal="160" workbookViewId="0">
      <pane ySplit="5" topLeftCell="A129" activePane="bottomLeft" state="frozen"/>
      <selection pane="bottomLeft" activeCell="S173" sqref="S173"/>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32</v>
      </c>
      <c r="K1" s="10" t="s">
        <v>21</v>
      </c>
    </row>
    <row r="2" spans="1:11" x14ac:dyDescent="0.2">
      <c r="K2" s="10" t="str">
        <f>A1&amp;K1</f>
        <v>France Manufacturing PMI</v>
      </c>
    </row>
    <row r="4" spans="1:11" ht="16" thickBot="1" x14ac:dyDescent="0.25"/>
    <row r="5" spans="1:11" ht="16" thickBot="1" x14ac:dyDescent="0.25">
      <c r="A5" s="27" t="s">
        <v>10</v>
      </c>
      <c r="B5" s="28" t="s">
        <v>11</v>
      </c>
      <c r="C5" s="28" t="s">
        <v>14</v>
      </c>
    </row>
    <row r="6" spans="1:11" x14ac:dyDescent="0.2">
      <c r="A6" s="23">
        <v>39661</v>
      </c>
      <c r="B6" s="24">
        <v>45.1</v>
      </c>
      <c r="C6" s="24"/>
    </row>
    <row r="7" spans="1:11" x14ac:dyDescent="0.2">
      <c r="A7" s="15">
        <v>39692</v>
      </c>
      <c r="B7" s="14">
        <v>43.6</v>
      </c>
      <c r="C7" s="14">
        <f>Table134681112141516[[#This Row],[PMI]]-B6</f>
        <v>-1.5</v>
      </c>
    </row>
    <row r="8" spans="1:11" x14ac:dyDescent="0.2">
      <c r="A8" s="15">
        <v>39722</v>
      </c>
      <c r="B8" s="14">
        <v>40.799999999999997</v>
      </c>
      <c r="C8" s="14">
        <f>Table134681112141516[[#This Row],[PMI]]-B7</f>
        <v>-2.8000000000000043</v>
      </c>
    </row>
    <row r="9" spans="1:11" x14ac:dyDescent="0.2">
      <c r="A9" s="15">
        <v>39753</v>
      </c>
      <c r="B9" s="14">
        <v>37.9</v>
      </c>
      <c r="C9" s="14">
        <f>Table134681112141516[[#This Row],[PMI]]-B8</f>
        <v>-2.8999999999999986</v>
      </c>
    </row>
    <row r="10" spans="1:11" x14ac:dyDescent="0.2">
      <c r="A10" s="15">
        <v>39783</v>
      </c>
      <c r="B10" s="14">
        <v>35.9</v>
      </c>
      <c r="C10" s="14">
        <f>Table134681112141516[[#This Row],[PMI]]-B9</f>
        <v>-2</v>
      </c>
    </row>
    <row r="11" spans="1:11" x14ac:dyDescent="0.2">
      <c r="A11" s="15">
        <v>39814</v>
      </c>
      <c r="B11" s="14">
        <v>38.1</v>
      </c>
      <c r="C11" s="14">
        <f>Table134681112141516[[#This Row],[PMI]]-B10</f>
        <v>2.2000000000000028</v>
      </c>
    </row>
    <row r="12" spans="1:11" x14ac:dyDescent="0.2">
      <c r="A12" s="15">
        <v>39845</v>
      </c>
      <c r="B12" s="14">
        <v>32.299999999999997</v>
      </c>
      <c r="C12" s="14">
        <f>Table134681112141516[[#This Row],[PMI]]-B11</f>
        <v>-5.8000000000000043</v>
      </c>
    </row>
    <row r="13" spans="1:11" x14ac:dyDescent="0.2">
      <c r="A13" s="15">
        <v>39873</v>
      </c>
      <c r="B13" s="14">
        <v>36.299999999999997</v>
      </c>
      <c r="C13" s="14">
        <f>Table134681112141516[[#This Row],[PMI]]-B12</f>
        <v>4</v>
      </c>
    </row>
    <row r="14" spans="1:11" x14ac:dyDescent="0.2">
      <c r="A14" s="15">
        <v>39904</v>
      </c>
      <c r="B14" s="14">
        <v>40</v>
      </c>
      <c r="C14" s="14">
        <f>Table134681112141516[[#This Row],[PMI]]-B13</f>
        <v>3.7000000000000028</v>
      </c>
    </row>
    <row r="15" spans="1:11" x14ac:dyDescent="0.2">
      <c r="A15" s="15">
        <v>39934</v>
      </c>
      <c r="B15" s="14">
        <v>43.1</v>
      </c>
      <c r="C15" s="14">
        <f>Table134681112141516[[#This Row],[PMI]]-B14</f>
        <v>3.1000000000000014</v>
      </c>
    </row>
    <row r="16" spans="1:11" x14ac:dyDescent="0.2">
      <c r="A16" s="15">
        <v>39965</v>
      </c>
      <c r="B16" s="14">
        <v>45.9</v>
      </c>
      <c r="C16" s="14">
        <f>Table134681112141516[[#This Row],[PMI]]-B15</f>
        <v>2.7999999999999972</v>
      </c>
    </row>
    <row r="17" spans="1:3" x14ac:dyDescent="0.2">
      <c r="A17" s="15">
        <v>39995</v>
      </c>
      <c r="B17" s="14">
        <v>50.2</v>
      </c>
      <c r="C17" s="14">
        <f>Table134681112141516[[#This Row],[PMI]]-B16</f>
        <v>4.3000000000000043</v>
      </c>
    </row>
    <row r="18" spans="1:3" x14ac:dyDescent="0.2">
      <c r="A18" s="15">
        <v>40026</v>
      </c>
      <c r="B18" s="14">
        <v>52.5</v>
      </c>
      <c r="C18" s="14">
        <f>Table134681112141516[[#This Row],[PMI]]-B17</f>
        <v>2.2999999999999972</v>
      </c>
    </row>
    <row r="19" spans="1:3" x14ac:dyDescent="0.2">
      <c r="A19" s="15">
        <v>40057</v>
      </c>
      <c r="B19" s="14">
        <v>53</v>
      </c>
      <c r="C19" s="14">
        <f>Table134681112141516[[#This Row],[PMI]]-B18</f>
        <v>0.5</v>
      </c>
    </row>
    <row r="20" spans="1:3" x14ac:dyDescent="0.2">
      <c r="A20" s="15">
        <v>40087</v>
      </c>
      <c r="B20" s="14">
        <v>54.2</v>
      </c>
      <c r="C20" s="14">
        <f>Table134681112141516[[#This Row],[PMI]]-B19</f>
        <v>1.2000000000000028</v>
      </c>
    </row>
    <row r="21" spans="1:3" x14ac:dyDescent="0.2">
      <c r="A21" s="15">
        <v>40118</v>
      </c>
      <c r="B21" s="14">
        <v>54.4</v>
      </c>
      <c r="C21" s="14">
        <f>Table134681112141516[[#This Row],[PMI]]-B20</f>
        <v>0.19999999999999574</v>
      </c>
    </row>
    <row r="22" spans="1:3" x14ac:dyDescent="0.2">
      <c r="A22" s="15">
        <v>40148</v>
      </c>
      <c r="B22" s="14">
        <v>54.7</v>
      </c>
      <c r="C22" s="14">
        <f>Table134681112141516[[#This Row],[PMI]]-B21</f>
        <v>0.30000000000000426</v>
      </c>
    </row>
    <row r="23" spans="1:3" x14ac:dyDescent="0.2">
      <c r="A23" s="15">
        <v>40179</v>
      </c>
      <c r="B23" s="14">
        <v>54.6</v>
      </c>
      <c r="C23" s="14">
        <f>Table134681112141516[[#This Row],[PMI]]-B22</f>
        <v>-0.10000000000000142</v>
      </c>
    </row>
    <row r="24" spans="1:3" x14ac:dyDescent="0.2">
      <c r="A24" s="15">
        <v>40210</v>
      </c>
      <c r="B24" s="14">
        <v>56.3</v>
      </c>
      <c r="C24" s="14">
        <f>Table134681112141516[[#This Row],[PMI]]-B23</f>
        <v>1.6999999999999957</v>
      </c>
    </row>
    <row r="25" spans="1:3" x14ac:dyDescent="0.2">
      <c r="A25" s="15">
        <v>40238</v>
      </c>
      <c r="B25" s="14">
        <v>56.7</v>
      </c>
      <c r="C25" s="14">
        <f>Table134681112141516[[#This Row],[PMI]]-B24</f>
        <v>0.40000000000000568</v>
      </c>
    </row>
    <row r="26" spans="1:3" x14ac:dyDescent="0.2">
      <c r="A26" s="15">
        <v>40269</v>
      </c>
      <c r="B26" s="14">
        <v>56.6</v>
      </c>
      <c r="C26" s="14">
        <f>Table134681112141516[[#This Row],[PMI]]-B25</f>
        <v>-0.10000000000000142</v>
      </c>
    </row>
    <row r="27" spans="1:3" x14ac:dyDescent="0.2">
      <c r="A27" s="15">
        <v>40299</v>
      </c>
      <c r="B27" s="14">
        <v>55.8</v>
      </c>
      <c r="C27" s="14">
        <f>Table134681112141516[[#This Row],[PMI]]-B26</f>
        <v>-0.80000000000000426</v>
      </c>
    </row>
    <row r="28" spans="1:3" x14ac:dyDescent="0.2">
      <c r="A28" s="15">
        <v>40330</v>
      </c>
      <c r="B28" s="14">
        <v>53.7</v>
      </c>
      <c r="C28" s="14">
        <f>Table134681112141516[[#This Row],[PMI]]-B27</f>
        <v>-2.0999999999999943</v>
      </c>
    </row>
    <row r="29" spans="1:3" x14ac:dyDescent="0.2">
      <c r="A29" s="15">
        <v>40360</v>
      </c>
      <c r="B29" s="14">
        <v>54.7</v>
      </c>
      <c r="C29" s="14">
        <f>Table134681112141516[[#This Row],[PMI]]-B28</f>
        <v>1</v>
      </c>
    </row>
    <row r="30" spans="1:3" x14ac:dyDescent="0.2">
      <c r="A30" s="15">
        <v>40391</v>
      </c>
      <c r="B30" s="14">
        <v>55.4</v>
      </c>
      <c r="C30" s="14">
        <f>Table134681112141516[[#This Row],[PMI]]-B29</f>
        <v>0.69999999999999574</v>
      </c>
    </row>
    <row r="31" spans="1:3" x14ac:dyDescent="0.2">
      <c r="A31" s="15">
        <v>40422</v>
      </c>
      <c r="B31" s="14">
        <v>55.2</v>
      </c>
      <c r="C31" s="14">
        <f>Table134681112141516[[#This Row],[PMI]]-B30</f>
        <v>-0.19999999999999574</v>
      </c>
    </row>
    <row r="32" spans="1:3" x14ac:dyDescent="0.2">
      <c r="A32" s="15">
        <v>40452</v>
      </c>
      <c r="B32" s="14">
        <v>57.5</v>
      </c>
      <c r="C32" s="14">
        <f>Table134681112141516[[#This Row],[PMI]]-B31</f>
        <v>2.2999999999999972</v>
      </c>
    </row>
    <row r="33" spans="1:3" x14ac:dyDescent="0.2">
      <c r="A33" s="15">
        <v>40483</v>
      </c>
      <c r="B33" s="14">
        <v>56.3</v>
      </c>
      <c r="C33" s="14">
        <f>Table134681112141516[[#This Row],[PMI]]-B32</f>
        <v>-1.2000000000000028</v>
      </c>
    </row>
    <row r="34" spans="1:3" x14ac:dyDescent="0.2">
      <c r="A34" s="15">
        <v>40513</v>
      </c>
      <c r="B34" s="14">
        <v>54.3</v>
      </c>
      <c r="C34" s="14">
        <f>Table134681112141516[[#This Row],[PMI]]-B33</f>
        <v>-2</v>
      </c>
    </row>
    <row r="35" spans="1:3" x14ac:dyDescent="0.2">
      <c r="A35" s="15">
        <v>40544</v>
      </c>
      <c r="B35" s="14">
        <v>54.9</v>
      </c>
      <c r="C35" s="14">
        <f>Table134681112141516[[#This Row],[PMI]]-B34</f>
        <v>0.60000000000000142</v>
      </c>
    </row>
    <row r="36" spans="1:3" x14ac:dyDescent="0.2">
      <c r="A36" s="15">
        <v>40575</v>
      </c>
      <c r="B36" s="14">
        <v>56.6</v>
      </c>
      <c r="C36" s="14">
        <f>Table134681112141516[[#This Row],[PMI]]-B35</f>
        <v>1.7000000000000028</v>
      </c>
    </row>
    <row r="37" spans="1:3" x14ac:dyDescent="0.2">
      <c r="A37" s="15">
        <v>40603</v>
      </c>
      <c r="B37" s="14">
        <v>56.9</v>
      </c>
      <c r="C37" s="14">
        <f>Table134681112141516[[#This Row],[PMI]]-B36</f>
        <v>0.29999999999999716</v>
      </c>
    </row>
    <row r="38" spans="1:3" x14ac:dyDescent="0.2">
      <c r="A38" s="15">
        <v>40634</v>
      </c>
      <c r="B38" s="14">
        <v>57.5</v>
      </c>
      <c r="C38" s="14">
        <f>Table134681112141516[[#This Row],[PMI]]-B37</f>
        <v>0.60000000000000142</v>
      </c>
    </row>
    <row r="39" spans="1:3" x14ac:dyDescent="0.2">
      <c r="A39" s="15">
        <v>40664</v>
      </c>
      <c r="B39" s="14">
        <v>54.9</v>
      </c>
      <c r="C39" s="14">
        <f>Table134681112141516[[#This Row],[PMI]]-B38</f>
        <v>-2.6000000000000014</v>
      </c>
    </row>
    <row r="40" spans="1:3" x14ac:dyDescent="0.2">
      <c r="A40" s="15">
        <v>40695</v>
      </c>
      <c r="B40" s="14">
        <v>50.1</v>
      </c>
      <c r="C40" s="14">
        <f>Table134681112141516[[#This Row],[PMI]]-B39</f>
        <v>-4.7999999999999972</v>
      </c>
    </row>
    <row r="41" spans="1:3" x14ac:dyDescent="0.2">
      <c r="A41" s="15">
        <v>40725</v>
      </c>
      <c r="B41" s="14">
        <v>50.5</v>
      </c>
      <c r="C41" s="14">
        <f>Table134681112141516[[#This Row],[PMI]]-B40</f>
        <v>0.39999999999999858</v>
      </c>
    </row>
    <row r="42" spans="1:3" x14ac:dyDescent="0.2">
      <c r="A42" s="15">
        <v>40756</v>
      </c>
      <c r="B42" s="14">
        <v>49.1</v>
      </c>
      <c r="C42" s="14">
        <f>Table134681112141516[[#This Row],[PMI]]-B41</f>
        <v>-1.3999999999999986</v>
      </c>
    </row>
    <row r="43" spans="1:3" x14ac:dyDescent="0.2">
      <c r="A43" s="15">
        <v>40787</v>
      </c>
      <c r="B43" s="14">
        <v>48.2</v>
      </c>
      <c r="C43" s="14">
        <f>Table134681112141516[[#This Row],[PMI]]-B42</f>
        <v>-0.89999999999999858</v>
      </c>
    </row>
    <row r="44" spans="1:3" x14ac:dyDescent="0.2">
      <c r="A44" s="15">
        <v>40817</v>
      </c>
      <c r="B44" s="14">
        <v>48.5</v>
      </c>
      <c r="C44" s="14">
        <f>Table134681112141516[[#This Row],[PMI]]-B43</f>
        <v>0.29999999999999716</v>
      </c>
    </row>
    <row r="45" spans="1:3" x14ac:dyDescent="0.2">
      <c r="A45" s="15">
        <v>40848</v>
      </c>
      <c r="B45" s="14">
        <v>47.3</v>
      </c>
      <c r="C45" s="14">
        <f>Table134681112141516[[#This Row],[PMI]]-B44</f>
        <v>-1.2000000000000028</v>
      </c>
    </row>
    <row r="46" spans="1:3" x14ac:dyDescent="0.2">
      <c r="A46" s="15">
        <v>40878</v>
      </c>
      <c r="B46" s="14">
        <v>48.9</v>
      </c>
      <c r="C46" s="14">
        <f>Table134681112141516[[#This Row],[PMI]]-B45</f>
        <v>1.6000000000000014</v>
      </c>
    </row>
    <row r="47" spans="1:3" x14ac:dyDescent="0.2">
      <c r="A47" s="15">
        <v>40909</v>
      </c>
      <c r="B47" s="14">
        <v>48.5</v>
      </c>
      <c r="C47" s="14">
        <f>Table134681112141516[[#This Row],[PMI]]-B46</f>
        <v>-0.39999999999999858</v>
      </c>
    </row>
    <row r="48" spans="1:3" x14ac:dyDescent="0.2">
      <c r="A48" s="15">
        <v>40940</v>
      </c>
      <c r="B48" s="14">
        <v>50</v>
      </c>
      <c r="C48" s="14">
        <f>Table134681112141516[[#This Row],[PMI]]-B47</f>
        <v>1.5</v>
      </c>
    </row>
    <row r="49" spans="1:3" x14ac:dyDescent="0.2">
      <c r="A49" s="15">
        <v>40969</v>
      </c>
      <c r="B49" s="14">
        <v>46.7</v>
      </c>
      <c r="C49" s="14">
        <f>Table134681112141516[[#This Row],[PMI]]-B48</f>
        <v>-3.2999999999999972</v>
      </c>
    </row>
    <row r="50" spans="1:3" x14ac:dyDescent="0.2">
      <c r="A50" s="15">
        <v>41000</v>
      </c>
      <c r="B50" s="14">
        <v>46.9</v>
      </c>
      <c r="C50" s="14">
        <f>Table134681112141516[[#This Row],[PMI]]-B49</f>
        <v>0.19999999999999574</v>
      </c>
    </row>
    <row r="51" spans="1:3" x14ac:dyDescent="0.2">
      <c r="A51" s="15">
        <v>41030</v>
      </c>
      <c r="B51" s="14">
        <v>44.7</v>
      </c>
      <c r="C51" s="14">
        <f>Table134681112141516[[#This Row],[PMI]]-B50</f>
        <v>-2.1999999999999957</v>
      </c>
    </row>
    <row r="52" spans="1:3" x14ac:dyDescent="0.2">
      <c r="A52" s="15">
        <v>41061</v>
      </c>
      <c r="B52" s="14">
        <v>45.2</v>
      </c>
      <c r="C52" s="14">
        <f>Table134681112141516[[#This Row],[PMI]]-B51</f>
        <v>0.5</v>
      </c>
    </row>
    <row r="53" spans="1:3" x14ac:dyDescent="0.2">
      <c r="A53" s="15">
        <v>41091</v>
      </c>
      <c r="B53" s="14">
        <v>43.4</v>
      </c>
      <c r="C53" s="14">
        <f>Table134681112141516[[#This Row],[PMI]]-B52</f>
        <v>-1.8000000000000043</v>
      </c>
    </row>
    <row r="54" spans="1:3" x14ac:dyDescent="0.2">
      <c r="A54" s="15">
        <v>41122</v>
      </c>
      <c r="B54" s="14">
        <v>46</v>
      </c>
      <c r="C54" s="14">
        <f>Table134681112141516[[#This Row],[PMI]]-B53</f>
        <v>2.6000000000000014</v>
      </c>
    </row>
    <row r="55" spans="1:3" x14ac:dyDescent="0.2">
      <c r="A55" s="15">
        <v>41153</v>
      </c>
      <c r="B55" s="14">
        <v>42.7</v>
      </c>
      <c r="C55" s="14">
        <f>Table134681112141516[[#This Row],[PMI]]-B54</f>
        <v>-3.2999999999999972</v>
      </c>
    </row>
    <row r="56" spans="1:3" x14ac:dyDescent="0.2">
      <c r="A56" s="15">
        <v>41183</v>
      </c>
      <c r="B56" s="14">
        <v>43.7</v>
      </c>
      <c r="C56" s="14">
        <f>Table134681112141516[[#This Row],[PMI]]-B55</f>
        <v>1</v>
      </c>
    </row>
    <row r="57" spans="1:3" x14ac:dyDescent="0.2">
      <c r="A57" s="15">
        <v>41214</v>
      </c>
      <c r="B57" s="14">
        <v>44.5</v>
      </c>
      <c r="C57" s="14">
        <f>Table134681112141516[[#This Row],[PMI]]-B56</f>
        <v>0.79999999999999716</v>
      </c>
    </row>
    <row r="58" spans="1:3" x14ac:dyDescent="0.2">
      <c r="A58" s="15">
        <v>41244</v>
      </c>
      <c r="B58" s="14">
        <v>44.6</v>
      </c>
      <c r="C58" s="14">
        <f>Table134681112141516[[#This Row],[PMI]]-B57</f>
        <v>0.10000000000000142</v>
      </c>
    </row>
    <row r="59" spans="1:3" x14ac:dyDescent="0.2">
      <c r="A59" s="15">
        <v>41275</v>
      </c>
      <c r="B59" s="14">
        <v>42.9</v>
      </c>
      <c r="C59" s="14">
        <f>Table134681112141516[[#This Row],[PMI]]-B58</f>
        <v>-1.7000000000000028</v>
      </c>
    </row>
    <row r="60" spans="1:3" x14ac:dyDescent="0.2">
      <c r="A60" s="15">
        <v>41306</v>
      </c>
      <c r="B60" s="14">
        <v>43.9</v>
      </c>
      <c r="C60" s="14">
        <f>Table134681112141516[[#This Row],[PMI]]-B59</f>
        <v>1</v>
      </c>
    </row>
    <row r="61" spans="1:3" x14ac:dyDescent="0.2">
      <c r="A61" s="15">
        <v>41334</v>
      </c>
      <c r="B61" s="14">
        <v>44</v>
      </c>
      <c r="C61" s="14">
        <f>Table134681112141516[[#This Row],[PMI]]-B60</f>
        <v>0.10000000000000142</v>
      </c>
    </row>
    <row r="62" spans="1:3" x14ac:dyDescent="0.2">
      <c r="A62" s="15">
        <v>41365</v>
      </c>
      <c r="B62" s="14">
        <v>44.4</v>
      </c>
      <c r="C62" s="14">
        <f>Table134681112141516[[#This Row],[PMI]]-B61</f>
        <v>0.39999999999999858</v>
      </c>
    </row>
    <row r="63" spans="1:3" x14ac:dyDescent="0.2">
      <c r="A63" s="15">
        <v>41395</v>
      </c>
      <c r="B63" s="14">
        <v>46.4</v>
      </c>
      <c r="C63" s="14">
        <f>Table134681112141516[[#This Row],[PMI]]-B62</f>
        <v>2</v>
      </c>
    </row>
    <row r="64" spans="1:3" x14ac:dyDescent="0.2">
      <c r="A64" s="15">
        <v>41426</v>
      </c>
      <c r="B64" s="14">
        <v>48.4</v>
      </c>
      <c r="C64" s="14">
        <f>Table134681112141516[[#This Row],[PMI]]-B63</f>
        <v>2</v>
      </c>
    </row>
    <row r="65" spans="1:3" x14ac:dyDescent="0.2">
      <c r="A65" s="15">
        <v>41456</v>
      </c>
      <c r="B65" s="14">
        <v>49.7</v>
      </c>
      <c r="C65" s="14">
        <f>Table134681112141516[[#This Row],[PMI]]-B64</f>
        <v>1.3000000000000043</v>
      </c>
    </row>
    <row r="66" spans="1:3" x14ac:dyDescent="0.2">
      <c r="A66" s="15">
        <v>41487</v>
      </c>
      <c r="B66" s="14">
        <v>49.7</v>
      </c>
      <c r="C66" s="14">
        <f>Table134681112141516[[#This Row],[PMI]]-B65</f>
        <v>0</v>
      </c>
    </row>
    <row r="67" spans="1:3" x14ac:dyDescent="0.2">
      <c r="A67" s="15">
        <v>41518</v>
      </c>
      <c r="B67" s="14">
        <v>49.8</v>
      </c>
      <c r="C67" s="14">
        <f>Table134681112141516[[#This Row],[PMI]]-B66</f>
        <v>9.9999999999994316E-2</v>
      </c>
    </row>
    <row r="68" spans="1:3" x14ac:dyDescent="0.2">
      <c r="A68" s="15">
        <v>41548</v>
      </c>
      <c r="B68" s="14">
        <v>49.1</v>
      </c>
      <c r="C68" s="14">
        <f>Table134681112141516[[#This Row],[PMI]]-B67</f>
        <v>-0.69999999999999574</v>
      </c>
    </row>
    <row r="69" spans="1:3" x14ac:dyDescent="0.2">
      <c r="A69" s="15">
        <v>41579</v>
      </c>
      <c r="B69" s="14">
        <v>48.4</v>
      </c>
      <c r="C69" s="14">
        <f>Table134681112141516[[#This Row],[PMI]]-B68</f>
        <v>-0.70000000000000284</v>
      </c>
    </row>
    <row r="70" spans="1:3" x14ac:dyDescent="0.2">
      <c r="A70" s="15">
        <v>41609</v>
      </c>
      <c r="B70" s="14">
        <v>47</v>
      </c>
      <c r="C70" s="14">
        <f>Table134681112141516[[#This Row],[PMI]]-B69</f>
        <v>-1.3999999999999986</v>
      </c>
    </row>
    <row r="71" spans="1:3" x14ac:dyDescent="0.2">
      <c r="A71" s="15">
        <v>41640</v>
      </c>
      <c r="B71" s="14">
        <v>49.3</v>
      </c>
      <c r="C71" s="14">
        <f>Table134681112141516[[#This Row],[PMI]]-B70</f>
        <v>2.2999999999999972</v>
      </c>
    </row>
    <row r="72" spans="1:3" x14ac:dyDescent="0.2">
      <c r="A72" s="15">
        <v>41671</v>
      </c>
      <c r="B72" s="14">
        <v>49.7</v>
      </c>
      <c r="C72" s="14">
        <f>Table134681112141516[[#This Row],[PMI]]-B71</f>
        <v>0.40000000000000568</v>
      </c>
    </row>
    <row r="73" spans="1:3" x14ac:dyDescent="0.2">
      <c r="A73" s="15">
        <v>41699</v>
      </c>
      <c r="B73" s="14">
        <v>52.1</v>
      </c>
      <c r="C73" s="14">
        <f>Table134681112141516[[#This Row],[PMI]]-B72</f>
        <v>2.3999999999999986</v>
      </c>
    </row>
    <row r="74" spans="1:3" x14ac:dyDescent="0.2">
      <c r="A74" s="15">
        <v>41730</v>
      </c>
      <c r="B74" s="14">
        <v>51.2</v>
      </c>
      <c r="C74" s="14">
        <f>Table134681112141516[[#This Row],[PMI]]-B73</f>
        <v>-0.89999999999999858</v>
      </c>
    </row>
    <row r="75" spans="1:3" x14ac:dyDescent="0.2">
      <c r="A75" s="15">
        <v>41760</v>
      </c>
      <c r="B75" s="14">
        <v>49.6</v>
      </c>
      <c r="C75" s="14">
        <f>Table134681112141516[[#This Row],[PMI]]-B74</f>
        <v>-1.6000000000000014</v>
      </c>
    </row>
    <row r="76" spans="1:3" x14ac:dyDescent="0.2">
      <c r="A76" s="15">
        <v>41791</v>
      </c>
      <c r="B76" s="14">
        <v>48.2</v>
      </c>
      <c r="C76" s="14">
        <f>Table134681112141516[[#This Row],[PMI]]-B75</f>
        <v>-1.3999999999999986</v>
      </c>
    </row>
    <row r="77" spans="1:3" x14ac:dyDescent="0.2">
      <c r="A77" s="15">
        <v>41821</v>
      </c>
      <c r="B77" s="14">
        <v>47.8</v>
      </c>
      <c r="C77" s="14">
        <f>Table134681112141516[[#This Row],[PMI]]-B76</f>
        <v>-0.40000000000000568</v>
      </c>
    </row>
    <row r="78" spans="1:3" x14ac:dyDescent="0.2">
      <c r="A78" s="15">
        <v>41852</v>
      </c>
      <c r="B78" s="14">
        <v>46.9</v>
      </c>
      <c r="C78" s="14">
        <f>Table134681112141516[[#This Row],[PMI]]-B77</f>
        <v>-0.89999999999999858</v>
      </c>
    </row>
    <row r="79" spans="1:3" x14ac:dyDescent="0.2">
      <c r="A79" s="15">
        <v>41883</v>
      </c>
      <c r="B79" s="14">
        <v>48.8</v>
      </c>
      <c r="C79" s="14">
        <f>Table134681112141516[[#This Row],[PMI]]-B78</f>
        <v>1.8999999999999986</v>
      </c>
    </row>
    <row r="80" spans="1:3" x14ac:dyDescent="0.2">
      <c r="A80" s="15">
        <v>41913</v>
      </c>
      <c r="B80" s="14">
        <v>48.5</v>
      </c>
      <c r="C80" s="14">
        <f>Table134681112141516[[#This Row],[PMI]]-B79</f>
        <v>-0.29999999999999716</v>
      </c>
    </row>
    <row r="81" spans="1:3" x14ac:dyDescent="0.2">
      <c r="A81" s="15">
        <v>41944</v>
      </c>
      <c r="B81" s="14">
        <v>48.4</v>
      </c>
      <c r="C81" s="14">
        <f>Table134681112141516[[#This Row],[PMI]]-B80</f>
        <v>-0.10000000000000142</v>
      </c>
    </row>
    <row r="82" spans="1:3" x14ac:dyDescent="0.2">
      <c r="A82" s="15">
        <v>41974</v>
      </c>
      <c r="B82" s="14">
        <v>47.5</v>
      </c>
      <c r="C82" s="14">
        <f>Table134681112141516[[#This Row],[PMI]]-B81</f>
        <v>-0.89999999999999858</v>
      </c>
    </row>
    <row r="83" spans="1:3" x14ac:dyDescent="0.2">
      <c r="A83" s="15">
        <v>42005</v>
      </c>
      <c r="B83" s="14">
        <v>49.2</v>
      </c>
      <c r="C83" s="14">
        <f>Table134681112141516[[#This Row],[PMI]]-B82</f>
        <v>1.7000000000000028</v>
      </c>
    </row>
    <row r="84" spans="1:3" x14ac:dyDescent="0.2">
      <c r="A84" s="15">
        <v>42036</v>
      </c>
      <c r="B84" s="14">
        <v>47.6</v>
      </c>
      <c r="C84" s="14">
        <f>Table134681112141516[[#This Row],[PMI]]-B83</f>
        <v>-1.6000000000000014</v>
      </c>
    </row>
    <row r="85" spans="1:3" x14ac:dyDescent="0.2">
      <c r="A85" s="15">
        <v>42064</v>
      </c>
      <c r="B85" s="14">
        <v>48.8</v>
      </c>
      <c r="C85" s="14">
        <f>Table134681112141516[[#This Row],[PMI]]-B84</f>
        <v>1.1999999999999957</v>
      </c>
    </row>
    <row r="86" spans="1:3" x14ac:dyDescent="0.2">
      <c r="A86" s="15">
        <v>42095</v>
      </c>
      <c r="B86" s="14">
        <v>48</v>
      </c>
      <c r="C86" s="14">
        <f>Table134681112141516[[#This Row],[PMI]]-B85</f>
        <v>-0.79999999999999716</v>
      </c>
    </row>
    <row r="87" spans="1:3" x14ac:dyDescent="0.2">
      <c r="A87" s="15">
        <v>42125</v>
      </c>
      <c r="B87" s="14">
        <v>49.4</v>
      </c>
      <c r="C87" s="14">
        <f>Table134681112141516[[#This Row],[PMI]]-B86</f>
        <v>1.3999999999999986</v>
      </c>
    </row>
    <row r="88" spans="1:3" x14ac:dyDescent="0.2">
      <c r="A88" s="15">
        <v>42156</v>
      </c>
      <c r="B88" s="14">
        <v>50.7</v>
      </c>
      <c r="C88" s="14">
        <f>Table134681112141516[[#This Row],[PMI]]-B87</f>
        <v>1.3000000000000043</v>
      </c>
    </row>
    <row r="89" spans="1:3" x14ac:dyDescent="0.2">
      <c r="A89" s="15">
        <v>42186</v>
      </c>
      <c r="B89" s="14">
        <v>49.6</v>
      </c>
      <c r="C89" s="14">
        <f>Table134681112141516[[#This Row],[PMI]]-B88</f>
        <v>-1.1000000000000014</v>
      </c>
    </row>
    <row r="90" spans="1:3" x14ac:dyDescent="0.2">
      <c r="A90" s="15">
        <v>42217</v>
      </c>
      <c r="B90" s="14">
        <v>48.3</v>
      </c>
      <c r="C90" s="14">
        <f>Table134681112141516[[#This Row],[PMI]]-B89</f>
        <v>-1.3000000000000043</v>
      </c>
    </row>
    <row r="91" spans="1:3" x14ac:dyDescent="0.2">
      <c r="A91" s="15">
        <v>42248</v>
      </c>
      <c r="B91" s="14">
        <v>50.6</v>
      </c>
      <c r="C91" s="14">
        <f>Table134681112141516[[#This Row],[PMI]]-B90</f>
        <v>2.3000000000000043</v>
      </c>
    </row>
    <row r="92" spans="1:3" x14ac:dyDescent="0.2">
      <c r="A92" s="15">
        <v>42278</v>
      </c>
      <c r="B92" s="14">
        <v>50.6</v>
      </c>
      <c r="C92" s="14">
        <f>Table134681112141516[[#This Row],[PMI]]-B91</f>
        <v>0</v>
      </c>
    </row>
    <row r="93" spans="1:3" x14ac:dyDescent="0.2">
      <c r="A93" s="15">
        <v>42309</v>
      </c>
      <c r="B93" s="14">
        <v>50.6</v>
      </c>
      <c r="C93" s="14">
        <f>Table134681112141516[[#This Row],[PMI]]-B92</f>
        <v>0</v>
      </c>
    </row>
    <row r="94" spans="1:3" x14ac:dyDescent="0.2">
      <c r="A94" s="15">
        <v>42339</v>
      </c>
      <c r="B94" s="14">
        <v>51.4</v>
      </c>
      <c r="C94" s="14">
        <f>Table134681112141516[[#This Row],[PMI]]-B93</f>
        <v>0.79999999999999716</v>
      </c>
    </row>
    <row r="95" spans="1:3" x14ac:dyDescent="0.2">
      <c r="A95" s="15">
        <v>42370</v>
      </c>
      <c r="B95" s="14">
        <v>50</v>
      </c>
      <c r="C95" s="14">
        <f>Table134681112141516[[#This Row],[PMI]]-B94</f>
        <v>-1.3999999999999986</v>
      </c>
    </row>
    <row r="96" spans="1:3" x14ac:dyDescent="0.2">
      <c r="A96" s="15">
        <v>42401</v>
      </c>
      <c r="B96" s="14">
        <v>50.2</v>
      </c>
      <c r="C96" s="14">
        <f>Table134681112141516[[#This Row],[PMI]]-B95</f>
        <v>0.20000000000000284</v>
      </c>
    </row>
    <row r="97" spans="1:3" x14ac:dyDescent="0.2">
      <c r="A97" s="15">
        <v>42430</v>
      </c>
      <c r="B97" s="14">
        <v>49.6</v>
      </c>
      <c r="C97" s="14">
        <f>Table134681112141516[[#This Row],[PMI]]-B96</f>
        <v>-0.60000000000000142</v>
      </c>
    </row>
    <row r="98" spans="1:3" x14ac:dyDescent="0.2">
      <c r="A98" s="15">
        <v>42461</v>
      </c>
      <c r="B98" s="14">
        <v>48</v>
      </c>
      <c r="C98" s="14">
        <f>Table134681112141516[[#This Row],[PMI]]-B97</f>
        <v>-1.6000000000000014</v>
      </c>
    </row>
    <row r="99" spans="1:3" x14ac:dyDescent="0.2">
      <c r="A99" s="15">
        <v>42491</v>
      </c>
      <c r="B99" s="14">
        <v>48.4</v>
      </c>
      <c r="C99" s="14">
        <f>Table134681112141516[[#This Row],[PMI]]-B98</f>
        <v>0.39999999999999858</v>
      </c>
    </row>
    <row r="100" spans="1:3" x14ac:dyDescent="0.2">
      <c r="A100" s="15">
        <v>42522</v>
      </c>
      <c r="B100" s="14">
        <v>48.3</v>
      </c>
      <c r="C100" s="14">
        <f>Table134681112141516[[#This Row],[PMI]]-B99</f>
        <v>-0.10000000000000142</v>
      </c>
    </row>
    <row r="101" spans="1:3" x14ac:dyDescent="0.2">
      <c r="A101" s="15">
        <v>42552</v>
      </c>
      <c r="B101" s="14">
        <v>48.6</v>
      </c>
      <c r="C101" s="14">
        <f>Table134681112141516[[#This Row],[PMI]]-B100</f>
        <v>0.30000000000000426</v>
      </c>
    </row>
    <row r="102" spans="1:3" x14ac:dyDescent="0.2">
      <c r="A102" s="15">
        <v>42583</v>
      </c>
      <c r="B102" s="14">
        <v>48.3</v>
      </c>
      <c r="C102" s="14">
        <f>Table134681112141516[[#This Row],[PMI]]-B101</f>
        <v>-0.30000000000000426</v>
      </c>
    </row>
    <row r="103" spans="1:3" x14ac:dyDescent="0.2">
      <c r="A103" s="15">
        <v>42614</v>
      </c>
      <c r="B103" s="14">
        <v>49.7</v>
      </c>
      <c r="C103" s="14">
        <f>Table134681112141516[[#This Row],[PMI]]-B102</f>
        <v>1.4000000000000057</v>
      </c>
    </row>
    <row r="104" spans="1:3" x14ac:dyDescent="0.2">
      <c r="A104" s="15">
        <v>42644</v>
      </c>
      <c r="B104" s="14">
        <v>51.8</v>
      </c>
      <c r="C104" s="14">
        <f>Table134681112141516[[#This Row],[PMI]]-B103</f>
        <v>2.0999999999999943</v>
      </c>
    </row>
    <row r="105" spans="1:3" x14ac:dyDescent="0.2">
      <c r="A105" s="15">
        <v>42675</v>
      </c>
      <c r="B105" s="14">
        <v>51.7</v>
      </c>
      <c r="C105" s="14">
        <f>Table134681112141516[[#This Row],[PMI]]-B104</f>
        <v>-9.9999999999994316E-2</v>
      </c>
    </row>
    <row r="106" spans="1:3" x14ac:dyDescent="0.2">
      <c r="A106" s="15">
        <v>42705</v>
      </c>
      <c r="B106" s="14">
        <v>53.5</v>
      </c>
      <c r="C106" s="14">
        <f>Table134681112141516[[#This Row],[PMI]]-B105</f>
        <v>1.7999999999999972</v>
      </c>
    </row>
    <row r="107" spans="1:3" x14ac:dyDescent="0.2">
      <c r="A107" s="15">
        <v>42736</v>
      </c>
      <c r="B107" s="14">
        <v>53.6</v>
      </c>
      <c r="C107" s="30">
        <f>Table134681112141516[[#This Row],[PMI]]-B106</f>
        <v>0.10000000000000142</v>
      </c>
    </row>
    <row r="108" spans="1:3" x14ac:dyDescent="0.2">
      <c r="A108" s="15">
        <v>42767</v>
      </c>
      <c r="B108" s="14">
        <v>52.2</v>
      </c>
      <c r="C108" s="30">
        <f>Table134681112141516[[#This Row],[PMI]]-B107</f>
        <v>-1.3999999999999986</v>
      </c>
    </row>
    <row r="109" spans="1:3" x14ac:dyDescent="0.2">
      <c r="A109" s="15">
        <v>42795</v>
      </c>
      <c r="B109" s="14">
        <v>53.3</v>
      </c>
      <c r="C109" s="30">
        <f>Table134681112141516[[#This Row],[PMI]]-B108</f>
        <v>1.0999999999999943</v>
      </c>
    </row>
    <row r="110" spans="1:3" x14ac:dyDescent="0.2">
      <c r="A110" s="15">
        <v>42826</v>
      </c>
      <c r="B110" s="14">
        <v>55.1</v>
      </c>
      <c r="C110" s="30">
        <f>Table134681112141516[[#This Row],[PMI]]-B109</f>
        <v>1.8000000000000043</v>
      </c>
    </row>
    <row r="111" spans="1:3" x14ac:dyDescent="0.2">
      <c r="A111" s="15">
        <v>42856</v>
      </c>
      <c r="B111" s="14">
        <v>53.8</v>
      </c>
      <c r="C111" s="30">
        <f>Table134681112141516[[#This Row],[PMI]]-B110</f>
        <v>-1.3000000000000043</v>
      </c>
    </row>
    <row r="112" spans="1:3" x14ac:dyDescent="0.2">
      <c r="A112" s="15">
        <v>42887</v>
      </c>
      <c r="B112" s="14">
        <v>54.8</v>
      </c>
      <c r="C112" s="30">
        <f>Table134681112141516[[#This Row],[PMI]]-B111</f>
        <v>1</v>
      </c>
    </row>
    <row r="113" spans="1:3" x14ac:dyDescent="0.2">
      <c r="A113" s="15">
        <v>42917</v>
      </c>
      <c r="B113" s="14">
        <v>54.9</v>
      </c>
      <c r="C113" s="30">
        <f>Table134681112141516[[#This Row],[PMI]]-B112</f>
        <v>0.10000000000000142</v>
      </c>
    </row>
    <row r="114" spans="1:3" x14ac:dyDescent="0.2">
      <c r="A114" s="15">
        <v>42948</v>
      </c>
      <c r="B114" s="14">
        <v>55.8</v>
      </c>
      <c r="C114" s="30">
        <f>Table134681112141516[[#This Row],[PMI]]-B113</f>
        <v>0.89999999999999858</v>
      </c>
    </row>
    <row r="115" spans="1:3" x14ac:dyDescent="0.2">
      <c r="A115" s="15">
        <v>42979</v>
      </c>
      <c r="B115" s="14">
        <v>56.1</v>
      </c>
      <c r="C115" s="30">
        <f>Table134681112141516[[#This Row],[PMI]]-B114</f>
        <v>0.30000000000000426</v>
      </c>
    </row>
    <row r="116" spans="1:3" x14ac:dyDescent="0.2">
      <c r="A116" s="15">
        <v>43009</v>
      </c>
      <c r="B116" s="14">
        <v>56.1</v>
      </c>
      <c r="C116" s="30">
        <f>Table134681112141516[[#This Row],[PMI]]-B115</f>
        <v>0</v>
      </c>
    </row>
    <row r="117" spans="1:3" x14ac:dyDescent="0.2">
      <c r="A117" s="15">
        <v>43040</v>
      </c>
      <c r="B117" s="14">
        <v>57.7</v>
      </c>
      <c r="C117" s="30">
        <f>Table134681112141516[[#This Row],[PMI]]-B116</f>
        <v>1.6000000000000014</v>
      </c>
    </row>
    <row r="118" spans="1:3" x14ac:dyDescent="0.2">
      <c r="A118" s="15">
        <v>43070</v>
      </c>
      <c r="B118" s="14">
        <v>58.8</v>
      </c>
      <c r="C118" s="30">
        <f>Table134681112141516[[#This Row],[PMI]]-B117</f>
        <v>1.0999999999999943</v>
      </c>
    </row>
    <row r="119" spans="1:3" x14ac:dyDescent="0.2">
      <c r="A119" s="15">
        <v>43101</v>
      </c>
      <c r="B119" s="14">
        <v>58.4</v>
      </c>
      <c r="C119" s="30">
        <f>Table134681112141516[[#This Row],[PMI]]-B118</f>
        <v>-0.39999999999999858</v>
      </c>
    </row>
    <row r="120" spans="1:3" x14ac:dyDescent="0.2">
      <c r="A120" s="15">
        <v>43132</v>
      </c>
      <c r="B120" s="14">
        <v>55.9</v>
      </c>
      <c r="C120" s="30">
        <f>Table134681112141516[[#This Row],[PMI]]-B119</f>
        <v>-2.5</v>
      </c>
    </row>
    <row r="121" spans="1:3" x14ac:dyDescent="0.2">
      <c r="A121" s="15">
        <v>43160</v>
      </c>
      <c r="B121" s="14">
        <v>53.7</v>
      </c>
      <c r="C121" s="30">
        <f>Table134681112141516[[#This Row],[PMI]]-B120</f>
        <v>-2.1999999999999957</v>
      </c>
    </row>
    <row r="122" spans="1:3" x14ac:dyDescent="0.2">
      <c r="A122" s="15">
        <v>43191</v>
      </c>
      <c r="B122" s="14">
        <v>53.8</v>
      </c>
      <c r="C122" s="30">
        <f>Table134681112141516[[#This Row],[PMI]]-B121</f>
        <v>9.9999999999994316E-2</v>
      </c>
    </row>
    <row r="123" spans="1:3" x14ac:dyDescent="0.2">
      <c r="A123" s="15">
        <v>43221</v>
      </c>
      <c r="B123" s="14">
        <v>55.1</v>
      </c>
      <c r="C123" s="30">
        <f>Table134681112141516[[#This Row],[PMI]]-B122</f>
        <v>1.3000000000000043</v>
      </c>
    </row>
    <row r="124" spans="1:3" x14ac:dyDescent="0.2">
      <c r="A124" s="15">
        <v>43252</v>
      </c>
      <c r="B124" s="14">
        <v>52.5</v>
      </c>
      <c r="C124" s="30">
        <f>Table134681112141516[[#This Row],[PMI]]-B123</f>
        <v>-2.6000000000000014</v>
      </c>
    </row>
    <row r="125" spans="1:3" x14ac:dyDescent="0.2">
      <c r="A125" s="15">
        <v>43282</v>
      </c>
      <c r="B125" s="14">
        <v>53.3</v>
      </c>
      <c r="C125" s="30">
        <f>Table134681112141516[[#This Row],[PMI]]-B124</f>
        <v>0.79999999999999716</v>
      </c>
    </row>
    <row r="126" spans="1:3" x14ac:dyDescent="0.2">
      <c r="A126" s="15">
        <v>43313</v>
      </c>
      <c r="B126" s="14">
        <v>53.5</v>
      </c>
      <c r="C126" s="30">
        <f>Table134681112141516[[#This Row],[PMI]]-B125</f>
        <v>0.20000000000000284</v>
      </c>
    </row>
    <row r="127" spans="1:3" x14ac:dyDescent="0.2">
      <c r="A127" s="15">
        <v>43344</v>
      </c>
      <c r="B127" s="14">
        <v>52.5</v>
      </c>
      <c r="C127" s="30">
        <f>Table134681112141516[[#This Row],[PMI]]-B126</f>
        <v>-1</v>
      </c>
    </row>
    <row r="128" spans="1:3" x14ac:dyDescent="0.2">
      <c r="A128" s="15">
        <v>43374</v>
      </c>
      <c r="B128" s="14">
        <v>51.2</v>
      </c>
      <c r="C128" s="30">
        <f>Table134681112141516[[#This Row],[PMI]]-B127</f>
        <v>-1.2999999999999972</v>
      </c>
    </row>
    <row r="129" spans="1:3" x14ac:dyDescent="0.2">
      <c r="A129" s="15">
        <v>43405</v>
      </c>
      <c r="B129" s="14">
        <v>50.8</v>
      </c>
      <c r="C129" s="30">
        <f>Table134681112141516[[#This Row],[PMI]]-B128</f>
        <v>-0.40000000000000568</v>
      </c>
    </row>
    <row r="130" spans="1:3" x14ac:dyDescent="0.2">
      <c r="A130" s="15">
        <v>43435</v>
      </c>
      <c r="B130" s="14">
        <v>49.7</v>
      </c>
      <c r="C130" s="30">
        <f>Table134681112141516[[#This Row],[PMI]]-B129</f>
        <v>-1.0999999999999943</v>
      </c>
    </row>
    <row r="131" spans="1:3" x14ac:dyDescent="0.2">
      <c r="A131" s="15">
        <v>43466</v>
      </c>
      <c r="B131" s="14">
        <v>51.2</v>
      </c>
      <c r="C131" s="30">
        <f>Table134681112141516[[#This Row],[PMI]]-B130</f>
        <v>1.5</v>
      </c>
    </row>
    <row r="132" spans="1:3" x14ac:dyDescent="0.2">
      <c r="A132" s="15">
        <v>43497</v>
      </c>
      <c r="B132" s="14">
        <v>51.5</v>
      </c>
      <c r="C132" s="30">
        <f>Table134681112141516[[#This Row],[PMI]]-B131</f>
        <v>0.29999999999999716</v>
      </c>
    </row>
    <row r="133" spans="1:3" x14ac:dyDescent="0.2">
      <c r="A133" s="15">
        <v>43525</v>
      </c>
      <c r="B133" s="14">
        <v>49.7</v>
      </c>
      <c r="C133" s="30">
        <f>Table134681112141516[[#This Row],[PMI]]-B132</f>
        <v>-1.7999999999999972</v>
      </c>
    </row>
    <row r="134" spans="1:3" x14ac:dyDescent="0.2">
      <c r="A134" s="15">
        <v>43556</v>
      </c>
      <c r="B134" s="14">
        <v>50</v>
      </c>
      <c r="C134" s="30">
        <f>Table134681112141516[[#This Row],[PMI]]-B133</f>
        <v>0.29999999999999716</v>
      </c>
    </row>
    <row r="135" spans="1:3" x14ac:dyDescent="0.2">
      <c r="A135" s="15">
        <v>43586</v>
      </c>
      <c r="B135" s="14">
        <v>50.6</v>
      </c>
      <c r="C135" s="30">
        <f>Table134681112141516[[#This Row],[PMI]]-B134</f>
        <v>0.60000000000000142</v>
      </c>
    </row>
    <row r="136" spans="1:3" x14ac:dyDescent="0.2">
      <c r="A136" s="15">
        <v>43617</v>
      </c>
      <c r="B136" s="14">
        <v>51.9</v>
      </c>
      <c r="C136" s="30">
        <f>Table134681112141516[[#This Row],[PMI]]-B135</f>
        <v>1.2999999999999972</v>
      </c>
    </row>
    <row r="137" spans="1:3" x14ac:dyDescent="0.2">
      <c r="A137" s="15">
        <v>43647</v>
      </c>
      <c r="B137" s="14">
        <v>49.7</v>
      </c>
      <c r="C137" s="30">
        <f>Table134681112141516[[#This Row],[PMI]]-B136</f>
        <v>-2.1999999999999957</v>
      </c>
    </row>
    <row r="138" spans="1:3" x14ac:dyDescent="0.2">
      <c r="A138" s="15">
        <v>43678</v>
      </c>
      <c r="B138" s="14">
        <v>51.1</v>
      </c>
      <c r="C138" s="30">
        <f>Table134681112141516[[#This Row],[PMI]]-B137</f>
        <v>1.3999999999999986</v>
      </c>
    </row>
    <row r="139" spans="1:3" x14ac:dyDescent="0.2">
      <c r="A139" s="15">
        <v>43709</v>
      </c>
      <c r="B139" s="14">
        <v>50.1</v>
      </c>
      <c r="C139" s="30">
        <f>Table134681112141516[[#This Row],[PMI]]-B138</f>
        <v>-1</v>
      </c>
    </row>
    <row r="140" spans="1:3" x14ac:dyDescent="0.2">
      <c r="A140" s="15">
        <v>43739</v>
      </c>
      <c r="B140" s="14">
        <v>50.7</v>
      </c>
      <c r="C140" s="30">
        <f>Table134681112141516[[#This Row],[PMI]]-B139</f>
        <v>0.60000000000000142</v>
      </c>
    </row>
    <row r="141" spans="1:3" x14ac:dyDescent="0.2">
      <c r="A141" s="15">
        <v>43770</v>
      </c>
      <c r="B141" s="14">
        <v>51.7</v>
      </c>
      <c r="C141" s="30">
        <f>Table134681112141516[[#This Row],[PMI]]-B140</f>
        <v>1</v>
      </c>
    </row>
    <row r="142" spans="1:3" x14ac:dyDescent="0.2">
      <c r="A142" s="15">
        <v>43800</v>
      </c>
      <c r="B142" s="14">
        <v>50.4</v>
      </c>
      <c r="C142" s="30">
        <f>Table134681112141516[[#This Row],[PMI]]-B141</f>
        <v>-1.3000000000000043</v>
      </c>
    </row>
    <row r="143" spans="1:3" x14ac:dyDescent="0.2">
      <c r="A143" s="15">
        <v>43831</v>
      </c>
      <c r="B143" s="14">
        <v>51.1</v>
      </c>
      <c r="C143" s="30">
        <f>Table134681112141516[[#This Row],[PMI]]-B142</f>
        <v>0.70000000000000284</v>
      </c>
    </row>
    <row r="144" spans="1:3" x14ac:dyDescent="0.2">
      <c r="A144" s="15">
        <v>43862</v>
      </c>
      <c r="B144" s="14">
        <v>49.8</v>
      </c>
      <c r="C144" s="30">
        <f>Table134681112141516[[#This Row],[PMI]]-B143</f>
        <v>-1.3000000000000043</v>
      </c>
    </row>
    <row r="145" spans="1:3" x14ac:dyDescent="0.2">
      <c r="A145" s="15">
        <v>43891</v>
      </c>
      <c r="B145" s="14">
        <v>43.2</v>
      </c>
      <c r="C145" s="30">
        <f>Table134681112141516[[#This Row],[PMI]]-B144</f>
        <v>-6.5999999999999943</v>
      </c>
    </row>
    <row r="146" spans="1:3" x14ac:dyDescent="0.2">
      <c r="A146" s="15">
        <v>43922</v>
      </c>
      <c r="B146" s="14">
        <v>31.5</v>
      </c>
      <c r="C146" s="30">
        <f>Table134681112141516[[#This Row],[PMI]]-B145</f>
        <v>-11.700000000000003</v>
      </c>
    </row>
    <row r="147" spans="1:3" x14ac:dyDescent="0.2">
      <c r="A147" s="15">
        <v>43952</v>
      </c>
      <c r="B147" s="14">
        <v>40.6</v>
      </c>
      <c r="C147" s="30">
        <f>Table134681112141516[[#This Row],[PMI]]-B146</f>
        <v>9.1000000000000014</v>
      </c>
    </row>
    <row r="148" spans="1:3" x14ac:dyDescent="0.2">
      <c r="A148" s="15">
        <v>43983</v>
      </c>
      <c r="B148" s="14">
        <v>52.3</v>
      </c>
      <c r="C148" s="30">
        <f>Table134681112141516[[#This Row],[PMI]]-B147</f>
        <v>11.699999999999996</v>
      </c>
    </row>
    <row r="149" spans="1:3" x14ac:dyDescent="0.2">
      <c r="A149" s="15">
        <v>44013</v>
      </c>
      <c r="B149" s="14">
        <v>52.4</v>
      </c>
      <c r="C149" s="30">
        <f>Table134681112141516[[#This Row],[PMI]]-B148</f>
        <v>0.10000000000000142</v>
      </c>
    </row>
    <row r="150" spans="1:3" x14ac:dyDescent="0.2">
      <c r="A150" s="15">
        <v>44044</v>
      </c>
      <c r="B150" s="14">
        <v>49.8</v>
      </c>
      <c r="C150" s="30">
        <f>Table134681112141516[[#This Row],[PMI]]-B149</f>
        <v>-2.6000000000000014</v>
      </c>
    </row>
    <row r="151" spans="1:3" x14ac:dyDescent="0.2">
      <c r="A151" s="15">
        <v>44075</v>
      </c>
      <c r="B151" s="14">
        <v>51.2</v>
      </c>
      <c r="C151" s="30">
        <f>Table134681112141516[[#This Row],[PMI]]-B150</f>
        <v>1.4000000000000057</v>
      </c>
    </row>
    <row r="152" spans="1:3" x14ac:dyDescent="0.2">
      <c r="A152" s="15">
        <v>44105</v>
      </c>
      <c r="B152" s="14">
        <v>51.3</v>
      </c>
      <c r="C152" s="30">
        <f>Table134681112141516[[#This Row],[PMI]]-B151</f>
        <v>9.9999999999994316E-2</v>
      </c>
    </row>
    <row r="153" spans="1:3" x14ac:dyDescent="0.2">
      <c r="A153" s="15">
        <v>44136</v>
      </c>
      <c r="B153" s="14">
        <v>49.6</v>
      </c>
      <c r="C153" s="30">
        <f>Table134681112141516[[#This Row],[PMI]]-B152</f>
        <v>-1.6999999999999957</v>
      </c>
    </row>
    <row r="154" spans="1:3" x14ac:dyDescent="0.2">
      <c r="A154" s="15">
        <v>44166</v>
      </c>
      <c r="B154" s="14">
        <v>51.1</v>
      </c>
      <c r="C154" s="30">
        <f>Table134681112141516[[#This Row],[PMI]]-B153</f>
        <v>1.5</v>
      </c>
    </row>
    <row r="155" spans="1:3" x14ac:dyDescent="0.2">
      <c r="A155" s="15">
        <v>44197</v>
      </c>
      <c r="B155" s="14">
        <v>51.6</v>
      </c>
      <c r="C155" s="30">
        <f>Table134681112141516[[#This Row],[PMI]]-B154</f>
        <v>0.5</v>
      </c>
    </row>
    <row r="156" spans="1:3" x14ac:dyDescent="0.2">
      <c r="A156" s="15">
        <v>44228</v>
      </c>
      <c r="B156" s="14">
        <v>56.1</v>
      </c>
      <c r="C156" s="30">
        <f>Table134681112141516[[#This Row],[PMI]]-B155</f>
        <v>4.5</v>
      </c>
    </row>
    <row r="157" spans="1:3" x14ac:dyDescent="0.2">
      <c r="A157" s="15">
        <v>44256</v>
      </c>
      <c r="B157" s="14">
        <v>59.3</v>
      </c>
      <c r="C157" s="30">
        <f>Table134681112141516[[#This Row],[PMI]]-B156</f>
        <v>3.1999999999999957</v>
      </c>
    </row>
    <row r="158" spans="1:3" x14ac:dyDescent="0.2">
      <c r="A158" s="15">
        <v>44287</v>
      </c>
      <c r="B158" s="14">
        <v>58.9</v>
      </c>
      <c r="C158" s="30">
        <f>Table134681112141516[[#This Row],[PMI]]-B157</f>
        <v>-0.39999999999999858</v>
      </c>
    </row>
    <row r="159" spans="1:3" x14ac:dyDescent="0.2">
      <c r="A159" s="15">
        <v>44317</v>
      </c>
      <c r="B159" s="14">
        <v>59.4</v>
      </c>
      <c r="C159" s="30">
        <f>Table134681112141516[[#This Row],[PMI]]-B158</f>
        <v>0.5</v>
      </c>
    </row>
    <row r="160" spans="1:3" x14ac:dyDescent="0.2">
      <c r="A160" s="15">
        <v>44348</v>
      </c>
      <c r="B160" s="14">
        <v>59</v>
      </c>
      <c r="C160" s="30">
        <f>Table134681112141516[[#This Row],[PMI]]-B159</f>
        <v>-0.39999999999999858</v>
      </c>
    </row>
    <row r="161" spans="1:3" x14ac:dyDescent="0.2">
      <c r="A161" s="15">
        <v>44378</v>
      </c>
      <c r="B161" s="14">
        <v>58</v>
      </c>
      <c r="C161" s="30">
        <f>Table134681112141516[[#This Row],[PMI]]-B160</f>
        <v>-1</v>
      </c>
    </row>
    <row r="162" spans="1:3" x14ac:dyDescent="0.2">
      <c r="A162" s="15">
        <v>44409</v>
      </c>
      <c r="B162" s="14">
        <v>57.5</v>
      </c>
      <c r="C162" s="30">
        <f>Table134681112141516[[#This Row],[PMI]]-B161</f>
        <v>-0.5</v>
      </c>
    </row>
    <row r="163" spans="1:3" x14ac:dyDescent="0.2">
      <c r="A163" s="15">
        <v>44440</v>
      </c>
      <c r="B163" s="14">
        <v>55</v>
      </c>
      <c r="C163" s="30">
        <f>Table134681112141516[[#This Row],[PMI]]-B162</f>
        <v>-2.5</v>
      </c>
    </row>
    <row r="164" spans="1:3" x14ac:dyDescent="0.2">
      <c r="A164" s="15">
        <v>44470</v>
      </c>
      <c r="B164" s="14">
        <v>53.6</v>
      </c>
      <c r="C164" s="30">
        <f>Table134681112141516[[#This Row],[PMI]]-B163</f>
        <v>-1.3999999999999986</v>
      </c>
    </row>
    <row r="165" spans="1:3" x14ac:dyDescent="0.2">
      <c r="A165" s="15">
        <v>44501</v>
      </c>
      <c r="B165" s="14">
        <v>55.9</v>
      </c>
      <c r="C165" s="30">
        <f>Table134681112141516[[#This Row],[PMI]]-B164</f>
        <v>2.2999999999999972</v>
      </c>
    </row>
    <row r="166" spans="1:3" x14ac:dyDescent="0.2">
      <c r="A166" s="15">
        <v>44531</v>
      </c>
      <c r="B166" s="14">
        <v>55.6</v>
      </c>
      <c r="C166" s="30">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9E2FA-1443-435C-82AA-CBBB17546400}">
  <dimension ref="A1:K210"/>
  <sheetViews>
    <sheetView zoomScale="160" zoomScaleNormal="160" workbookViewId="0">
      <pane ySplit="5" topLeftCell="A170" activePane="bottomLeft" state="frozen"/>
      <selection pane="bottomLeft" activeCell="V201" sqref="V20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29</v>
      </c>
      <c r="K1" s="10" t="s">
        <v>21</v>
      </c>
    </row>
    <row r="2" spans="1:11" x14ac:dyDescent="0.2">
      <c r="K2" s="10" t="str">
        <f>A1&amp;K1</f>
        <v>U.K. Manufacturing PMI</v>
      </c>
    </row>
    <row r="4" spans="1:11" ht="16" thickBot="1" x14ac:dyDescent="0.25"/>
    <row r="5" spans="1:11" ht="16" thickBot="1" x14ac:dyDescent="0.25">
      <c r="A5" s="27" t="s">
        <v>10</v>
      </c>
      <c r="B5" s="28" t="s">
        <v>11</v>
      </c>
      <c r="C5" s="28" t="s">
        <v>14</v>
      </c>
      <c r="D5" s="32" t="s">
        <v>77</v>
      </c>
      <c r="E5" s="32" t="s">
        <v>15</v>
      </c>
      <c r="F5" s="32" t="s">
        <v>78</v>
      </c>
    </row>
    <row r="6" spans="1:11" x14ac:dyDescent="0.2">
      <c r="A6" s="23">
        <v>38322</v>
      </c>
      <c r="B6" s="24">
        <v>53.7</v>
      </c>
      <c r="C6" s="24"/>
      <c r="D6" s="16">
        <v>18.609272000000001</v>
      </c>
      <c r="E6" s="14"/>
      <c r="F6" s="14"/>
    </row>
    <row r="7" spans="1:11" x14ac:dyDescent="0.2">
      <c r="A7" s="15">
        <v>38353</v>
      </c>
      <c r="B7" s="14">
        <v>51.8</v>
      </c>
      <c r="C7" s="14">
        <f>Table134681112[[#This Row],[PMI]]-B6</f>
        <v>-1.9000000000000057</v>
      </c>
      <c r="D7" s="16">
        <v>18.507078</v>
      </c>
      <c r="E7" s="14"/>
      <c r="F7" s="14"/>
    </row>
    <row r="8" spans="1:11" x14ac:dyDescent="0.2">
      <c r="A8" s="15">
        <v>38384</v>
      </c>
      <c r="B8" s="14">
        <v>51.8</v>
      </c>
      <c r="C8" s="14">
        <f>Table134681112[[#This Row],[PMI]]-B7</f>
        <v>0</v>
      </c>
      <c r="D8" s="16">
        <v>19.482234999999999</v>
      </c>
      <c r="E8" s="14"/>
      <c r="F8" s="14"/>
    </row>
    <row r="9" spans="1:11" x14ac:dyDescent="0.2">
      <c r="A9" s="15">
        <v>38412</v>
      </c>
      <c r="B9" s="14">
        <v>52</v>
      </c>
      <c r="C9" s="14">
        <f>Table134681112[[#This Row],[PMI]]-B8</f>
        <v>0.20000000000000284</v>
      </c>
      <c r="D9" s="16">
        <v>19.010383999999998</v>
      </c>
      <c r="E9" s="14"/>
      <c r="F9" s="14"/>
    </row>
    <row r="10" spans="1:11" x14ac:dyDescent="0.2">
      <c r="A10" s="15">
        <v>38443</v>
      </c>
      <c r="B10" s="14">
        <v>49.5</v>
      </c>
      <c r="C10" s="14">
        <f>Table134681112[[#This Row],[PMI]]-B9</f>
        <v>-2.5</v>
      </c>
      <c r="D10" s="16">
        <v>18.779703000000001</v>
      </c>
      <c r="E10" s="14"/>
      <c r="F10" s="14"/>
    </row>
    <row r="11" spans="1:11" x14ac:dyDescent="0.2">
      <c r="A11" s="15">
        <v>38473</v>
      </c>
      <c r="B11" s="14">
        <v>47.3</v>
      </c>
      <c r="C11" s="14">
        <f>Table134681112[[#This Row],[PMI]]-B10</f>
        <v>-2.2000000000000028</v>
      </c>
      <c r="D11" s="16">
        <v>18.632905999999998</v>
      </c>
      <c r="E11" s="14"/>
      <c r="F11" s="14"/>
    </row>
    <row r="12" spans="1:11" x14ac:dyDescent="0.2">
      <c r="A12" s="15">
        <v>38504</v>
      </c>
      <c r="B12" s="14">
        <v>49.6</v>
      </c>
      <c r="C12" s="14">
        <f>Table134681112[[#This Row],[PMI]]-B11</f>
        <v>2.3000000000000043</v>
      </c>
      <c r="D12" s="16">
        <v>18.842617000000001</v>
      </c>
      <c r="E12" s="14"/>
      <c r="F12" s="14"/>
    </row>
    <row r="13" spans="1:11" x14ac:dyDescent="0.2">
      <c r="A13" s="15">
        <v>38534</v>
      </c>
      <c r="B13" s="14">
        <v>49.2</v>
      </c>
      <c r="C13" s="14">
        <f>Table134681112[[#This Row],[PMI]]-B12</f>
        <v>-0.39999999999999858</v>
      </c>
      <c r="D13" s="16">
        <v>18.978930999999999</v>
      </c>
      <c r="E13" s="14"/>
      <c r="F13" s="14"/>
    </row>
    <row r="14" spans="1:11" x14ac:dyDescent="0.2">
      <c r="A14" s="15">
        <v>38565</v>
      </c>
      <c r="B14" s="14">
        <v>50.1</v>
      </c>
      <c r="C14" s="14">
        <f>Table134681112[[#This Row],[PMI]]-B13</f>
        <v>0.89999999999999858</v>
      </c>
      <c r="D14" s="16">
        <v>19.733891</v>
      </c>
      <c r="E14" s="14"/>
      <c r="F14" s="14"/>
    </row>
    <row r="15" spans="1:11" x14ac:dyDescent="0.2">
      <c r="A15" s="15">
        <v>38596</v>
      </c>
      <c r="B15" s="14">
        <v>51.5</v>
      </c>
      <c r="C15" s="14">
        <f>Table134681112[[#This Row],[PMI]]-B14</f>
        <v>1.3999999999999986</v>
      </c>
      <c r="D15" s="16">
        <v>19.880693000000001</v>
      </c>
      <c r="E15" s="14"/>
      <c r="F15" s="14"/>
    </row>
    <row r="16" spans="1:11" x14ac:dyDescent="0.2">
      <c r="A16" s="15">
        <v>38626</v>
      </c>
      <c r="B16" s="14">
        <v>51.7</v>
      </c>
      <c r="C16" s="14">
        <f>Table134681112[[#This Row],[PMI]]-B15</f>
        <v>0.20000000000000284</v>
      </c>
      <c r="D16" s="16">
        <v>19.398354000000001</v>
      </c>
      <c r="E16" s="14"/>
      <c r="F16" s="14"/>
    </row>
    <row r="17" spans="1:6" x14ac:dyDescent="0.2">
      <c r="A17" s="15">
        <v>38657</v>
      </c>
      <c r="B17" s="14">
        <v>51</v>
      </c>
      <c r="C17" s="14">
        <f>Table134681112[[#This Row],[PMI]]-B16</f>
        <v>-0.70000000000000284</v>
      </c>
      <c r="D17" s="16">
        <v>19.429812999999999</v>
      </c>
      <c r="E17" s="14"/>
      <c r="F17" s="14"/>
    </row>
    <row r="18" spans="1:6" x14ac:dyDescent="0.2">
      <c r="A18" s="15">
        <v>38687</v>
      </c>
      <c r="B18" s="14">
        <v>51.1</v>
      </c>
      <c r="C18" s="14">
        <f>Table134681112[[#This Row],[PMI]]-B17</f>
        <v>0.10000000000000142</v>
      </c>
      <c r="D18" s="16">
        <v>19.482234999999999</v>
      </c>
      <c r="E18" s="14">
        <f>Table134681112[[#This Row],[PMI]]-B6</f>
        <v>-2.6000000000000014</v>
      </c>
      <c r="F18" s="61">
        <f>(Table134681112[[#This Row],[EWU]]-D6)/D6</f>
        <v>4.6910110185933045E-2</v>
      </c>
    </row>
    <row r="19" spans="1:6" x14ac:dyDescent="0.2">
      <c r="A19" s="15">
        <v>38718</v>
      </c>
      <c r="B19" s="14">
        <v>51.7</v>
      </c>
      <c r="C19" s="14">
        <f>Table134681112[[#This Row],[PMI]]-B18</f>
        <v>0.60000000000000142</v>
      </c>
      <c r="D19" s="16">
        <v>21.306636999999998</v>
      </c>
      <c r="E19" s="14">
        <f>Table134681112[[#This Row],[PMI]]-B7</f>
        <v>-9.9999999999994316E-2</v>
      </c>
      <c r="F19" s="61">
        <f>(Table134681112[[#This Row],[EWU]]-D7)/D7</f>
        <v>0.15126963856747125</v>
      </c>
    </row>
    <row r="20" spans="1:6" x14ac:dyDescent="0.2">
      <c r="A20" s="15">
        <v>38749</v>
      </c>
      <c r="B20" s="14">
        <v>51.7</v>
      </c>
      <c r="C20" s="14">
        <f>Table134681112[[#This Row],[PMI]]-B19</f>
        <v>0</v>
      </c>
      <c r="D20" s="16">
        <v>21.187733000000001</v>
      </c>
      <c r="E20" s="14">
        <f>Table134681112[[#This Row],[PMI]]-B8</f>
        <v>-9.9999999999994316E-2</v>
      </c>
      <c r="F20" s="61">
        <f>(Table134681112[[#This Row],[EWU]]-D8)/D8</f>
        <v>8.7541188164499725E-2</v>
      </c>
    </row>
    <row r="21" spans="1:6" x14ac:dyDescent="0.2">
      <c r="A21" s="15">
        <v>38777</v>
      </c>
      <c r="B21" s="14">
        <v>50.8</v>
      </c>
      <c r="C21" s="14">
        <f>Table134681112[[#This Row],[PMI]]-B20</f>
        <v>-0.90000000000000568</v>
      </c>
      <c r="D21" s="16">
        <v>21.793092999999999</v>
      </c>
      <c r="E21" s="14">
        <f>Table134681112[[#This Row],[PMI]]-B9</f>
        <v>-1.2000000000000028</v>
      </c>
      <c r="F21" s="61">
        <f>(Table134681112[[#This Row],[EWU]]-D9)/D9</f>
        <v>0.14637836879044636</v>
      </c>
    </row>
    <row r="22" spans="1:6" x14ac:dyDescent="0.2">
      <c r="A22" s="15">
        <v>38808</v>
      </c>
      <c r="B22" s="14">
        <v>54.1</v>
      </c>
      <c r="C22" s="14">
        <f>Table134681112[[#This Row],[PMI]]-B21</f>
        <v>3.3000000000000043</v>
      </c>
      <c r="D22" s="16">
        <v>23.187591999999999</v>
      </c>
      <c r="E22" s="14">
        <f>Table134681112[[#This Row],[PMI]]-B10</f>
        <v>4.6000000000000014</v>
      </c>
      <c r="F22" s="61">
        <f>(Table134681112[[#This Row],[EWU]]-D10)/D10</f>
        <v>0.23471558629015576</v>
      </c>
    </row>
    <row r="23" spans="1:6" x14ac:dyDescent="0.2">
      <c r="A23" s="15">
        <v>38838</v>
      </c>
      <c r="B23" s="14">
        <v>53.2</v>
      </c>
      <c r="C23" s="14">
        <f>Table134681112[[#This Row],[PMI]]-B22</f>
        <v>-0.89999999999999858</v>
      </c>
      <c r="D23" s="16">
        <v>22.571417</v>
      </c>
      <c r="E23" s="14">
        <f>Table134681112[[#This Row],[PMI]]-B11</f>
        <v>5.9000000000000057</v>
      </c>
      <c r="F23" s="61">
        <f>(Table134681112[[#This Row],[EWU]]-D11)/D11</f>
        <v>0.21137395315577731</v>
      </c>
    </row>
    <row r="24" spans="1:6" x14ac:dyDescent="0.2">
      <c r="A24" s="15">
        <v>38869</v>
      </c>
      <c r="B24" s="14">
        <v>55.1</v>
      </c>
      <c r="C24" s="14">
        <f>Table134681112[[#This Row],[PMI]]-B23</f>
        <v>1.8999999999999986</v>
      </c>
      <c r="D24" s="16">
        <v>22.755189999999999</v>
      </c>
      <c r="E24" s="14">
        <f>Table134681112[[#This Row],[PMI]]-B12</f>
        <v>5.5</v>
      </c>
      <c r="F24" s="61">
        <f>(Table134681112[[#This Row],[EWU]]-D12)/D12</f>
        <v>0.20764488287375357</v>
      </c>
    </row>
    <row r="25" spans="1:6" x14ac:dyDescent="0.2">
      <c r="A25" s="15">
        <v>38899</v>
      </c>
      <c r="B25" s="14">
        <v>53.8</v>
      </c>
      <c r="C25" s="14">
        <f>Table134681112[[#This Row],[PMI]]-B24</f>
        <v>-1.3000000000000043</v>
      </c>
      <c r="D25" s="16">
        <v>23.349747000000001</v>
      </c>
      <c r="E25" s="14">
        <f>Table134681112[[#This Row],[PMI]]-B13</f>
        <v>4.5999999999999943</v>
      </c>
      <c r="F25" s="61">
        <f>(Table134681112[[#This Row],[EWU]]-D13)/D13</f>
        <v>0.23029832396777256</v>
      </c>
    </row>
    <row r="26" spans="1:6" x14ac:dyDescent="0.2">
      <c r="A26" s="15">
        <v>38930</v>
      </c>
      <c r="B26" s="14">
        <v>53.1</v>
      </c>
      <c r="C26" s="14">
        <f>Table134681112[[#This Row],[PMI]]-B25</f>
        <v>-0.69999999999999574</v>
      </c>
      <c r="D26" s="16">
        <v>23.857818999999999</v>
      </c>
      <c r="E26" s="14">
        <f>Table134681112[[#This Row],[PMI]]-B14</f>
        <v>3</v>
      </c>
      <c r="F26" s="61">
        <f>(Table134681112[[#This Row],[EWU]]-D14)/D14</f>
        <v>0.20897693212149593</v>
      </c>
    </row>
    <row r="27" spans="1:6" x14ac:dyDescent="0.2">
      <c r="A27" s="15">
        <v>38961</v>
      </c>
      <c r="B27" s="14">
        <v>54.4</v>
      </c>
      <c r="C27" s="14">
        <f>Table134681112[[#This Row],[PMI]]-B26</f>
        <v>1.2999999999999972</v>
      </c>
      <c r="D27" s="16">
        <v>23.663239999999998</v>
      </c>
      <c r="E27" s="14">
        <f>Table134681112[[#This Row],[PMI]]-B15</f>
        <v>2.8999999999999986</v>
      </c>
      <c r="F27" s="61">
        <f>(Table134681112[[#This Row],[EWU]]-D15)/D15</f>
        <v>0.19026233139860854</v>
      </c>
    </row>
    <row r="28" spans="1:6" x14ac:dyDescent="0.2">
      <c r="A28" s="15">
        <v>38991</v>
      </c>
      <c r="B28" s="14">
        <v>53.7</v>
      </c>
      <c r="C28" s="14">
        <f>Table134681112[[#This Row],[PMI]]-B27</f>
        <v>-0.69999999999999574</v>
      </c>
      <c r="D28" s="16">
        <v>24.75506</v>
      </c>
      <c r="E28" s="14">
        <f>Table134681112[[#This Row],[PMI]]-B16</f>
        <v>2</v>
      </c>
      <c r="F28" s="61">
        <f>(Table134681112[[#This Row],[EWU]]-D16)/D16</f>
        <v>0.27614229537207119</v>
      </c>
    </row>
    <row r="29" spans="1:6" x14ac:dyDescent="0.2">
      <c r="A29" s="15">
        <v>39022</v>
      </c>
      <c r="B29" s="14">
        <v>53.6</v>
      </c>
      <c r="C29" s="14">
        <f>Table134681112[[#This Row],[PMI]]-B28</f>
        <v>-0.10000000000000142</v>
      </c>
      <c r="D29" s="16">
        <v>25.457708</v>
      </c>
      <c r="E29" s="14">
        <f>Table134681112[[#This Row],[PMI]]-B17</f>
        <v>2.6000000000000014</v>
      </c>
      <c r="F29" s="61">
        <f>(Table134681112[[#This Row],[EWU]]-D17)/D17</f>
        <v>0.31023947579938116</v>
      </c>
    </row>
    <row r="30" spans="1:6" x14ac:dyDescent="0.2">
      <c r="A30" s="15">
        <v>39052</v>
      </c>
      <c r="B30" s="14">
        <v>51.9</v>
      </c>
      <c r="C30" s="14">
        <f>Table134681112[[#This Row],[PMI]]-B29</f>
        <v>-1.7000000000000028</v>
      </c>
      <c r="D30" s="16">
        <v>25.306370000000001</v>
      </c>
      <c r="E30" s="14">
        <f>Table134681112[[#This Row],[PMI]]-B18</f>
        <v>0.79999999999999716</v>
      </c>
      <c r="F30" s="61">
        <f>(Table134681112[[#This Row],[EWU]]-D18)/D18</f>
        <v>0.29894593715762086</v>
      </c>
    </row>
    <row r="31" spans="1:6" x14ac:dyDescent="0.2">
      <c r="A31" s="15">
        <v>39083</v>
      </c>
      <c r="B31" s="14">
        <v>52.8</v>
      </c>
      <c r="C31" s="14">
        <f>Table134681112[[#This Row],[PMI]]-B30</f>
        <v>0.89999999999999858</v>
      </c>
      <c r="D31" s="16">
        <v>26.362037999999998</v>
      </c>
      <c r="E31" s="14">
        <f>Table134681112[[#This Row],[PMI]]-B19</f>
        <v>1.0999999999999943</v>
      </c>
      <c r="F31" s="61">
        <f>(Table134681112[[#This Row],[EWU]]-D19)/D19</f>
        <v>0.23726883787432057</v>
      </c>
    </row>
    <row r="32" spans="1:6" x14ac:dyDescent="0.2">
      <c r="A32" s="15">
        <v>39114</v>
      </c>
      <c r="B32" s="14">
        <v>55.4</v>
      </c>
      <c r="C32" s="14">
        <f>Table134681112[[#This Row],[PMI]]-B31</f>
        <v>2.6000000000000014</v>
      </c>
      <c r="D32" s="16">
        <v>25.970585</v>
      </c>
      <c r="E32" s="14">
        <f>Table134681112[[#This Row],[PMI]]-B20</f>
        <v>3.6999999999999957</v>
      </c>
      <c r="F32" s="61">
        <f>(Table134681112[[#This Row],[EWU]]-D20)/D20</f>
        <v>0.2257368449942237</v>
      </c>
    </row>
    <row r="33" spans="1:6" x14ac:dyDescent="0.2">
      <c r="A33" s="15">
        <v>39142</v>
      </c>
      <c r="B33" s="14">
        <v>54.4</v>
      </c>
      <c r="C33" s="14">
        <f>Table134681112[[#This Row],[PMI]]-B32</f>
        <v>-1</v>
      </c>
      <c r="D33" s="16">
        <v>26.92127</v>
      </c>
      <c r="E33" s="14">
        <f>Table134681112[[#This Row],[PMI]]-B21</f>
        <v>3.6000000000000014</v>
      </c>
      <c r="F33" s="61">
        <f>(Table134681112[[#This Row],[EWU]]-D21)/D21</f>
        <v>0.23531203211953444</v>
      </c>
    </row>
    <row r="34" spans="1:6" x14ac:dyDescent="0.2">
      <c r="A34" s="15">
        <v>39173</v>
      </c>
      <c r="B34" s="14">
        <v>53.9</v>
      </c>
      <c r="C34" s="14">
        <f>Table134681112[[#This Row],[PMI]]-B33</f>
        <v>-0.5</v>
      </c>
      <c r="D34" s="16">
        <v>27.793662999999999</v>
      </c>
      <c r="E34" s="14">
        <f>Table134681112[[#This Row],[PMI]]-B22</f>
        <v>-0.20000000000000284</v>
      </c>
      <c r="F34" s="61">
        <f>(Table134681112[[#This Row],[EWU]]-D22)/D22</f>
        <v>0.19864378327857418</v>
      </c>
    </row>
    <row r="35" spans="1:6" x14ac:dyDescent="0.2">
      <c r="A35" s="15">
        <v>39203</v>
      </c>
      <c r="B35" s="14">
        <v>54.9</v>
      </c>
      <c r="C35" s="14">
        <f>Table134681112[[#This Row],[PMI]]-B34</f>
        <v>1</v>
      </c>
      <c r="D35" s="16">
        <v>28.38645</v>
      </c>
      <c r="E35" s="14">
        <f>Table134681112[[#This Row],[PMI]]-B23</f>
        <v>1.6999999999999957</v>
      </c>
      <c r="F35" s="61">
        <f>(Table134681112[[#This Row],[EWU]]-D23)/D23</f>
        <v>0.25762817637900182</v>
      </c>
    </row>
    <row r="36" spans="1:6" x14ac:dyDescent="0.2">
      <c r="A36" s="15">
        <v>39234</v>
      </c>
      <c r="B36" s="14">
        <v>54.3</v>
      </c>
      <c r="C36" s="14">
        <f>Table134681112[[#This Row],[PMI]]-B35</f>
        <v>-0.60000000000000142</v>
      </c>
      <c r="D36" s="16">
        <v>28.576595000000001</v>
      </c>
      <c r="E36" s="14">
        <f>Table134681112[[#This Row],[PMI]]-B24</f>
        <v>-0.80000000000000426</v>
      </c>
      <c r="F36" s="61">
        <f>(Table134681112[[#This Row],[EWU]]-D24)/D24</f>
        <v>0.25582757164409536</v>
      </c>
    </row>
    <row r="37" spans="1:6" x14ac:dyDescent="0.2">
      <c r="A37" s="15">
        <v>39264</v>
      </c>
      <c r="B37" s="14">
        <v>55.7</v>
      </c>
      <c r="C37" s="14">
        <f>Table134681112[[#This Row],[PMI]]-B36</f>
        <v>1.4000000000000057</v>
      </c>
      <c r="D37" s="16">
        <v>27.614719000000001</v>
      </c>
      <c r="E37" s="14">
        <f>Table134681112[[#This Row],[PMI]]-B25</f>
        <v>1.9000000000000057</v>
      </c>
      <c r="F37" s="61">
        <f>(Table134681112[[#This Row],[EWU]]-D25)/D25</f>
        <v>0.18265602620876364</v>
      </c>
    </row>
    <row r="38" spans="1:6" x14ac:dyDescent="0.2">
      <c r="A38" s="15">
        <v>39295</v>
      </c>
      <c r="B38" s="14">
        <v>56.3</v>
      </c>
      <c r="C38" s="14">
        <f>Table134681112[[#This Row],[PMI]]-B37</f>
        <v>0.59999999999999432</v>
      </c>
      <c r="D38" s="16">
        <v>27.670639000000001</v>
      </c>
      <c r="E38" s="14">
        <f>Table134681112[[#This Row],[PMI]]-B26</f>
        <v>3.1999999999999957</v>
      </c>
      <c r="F38" s="61">
        <f>(Table134681112[[#This Row],[EWU]]-D26)/D26</f>
        <v>0.15981427304817772</v>
      </c>
    </row>
    <row r="39" spans="1:6" x14ac:dyDescent="0.2">
      <c r="A39" s="15">
        <v>39326</v>
      </c>
      <c r="B39" s="14">
        <v>55.1</v>
      </c>
      <c r="C39" s="14">
        <f>Table134681112[[#This Row],[PMI]]-B38</f>
        <v>-1.1999999999999957</v>
      </c>
      <c r="D39" s="16">
        <v>28.777901</v>
      </c>
      <c r="E39" s="14">
        <f>Table134681112[[#This Row],[PMI]]-B27</f>
        <v>0.70000000000000284</v>
      </c>
      <c r="F39" s="61">
        <f>(Table134681112[[#This Row],[EWU]]-D27)/D27</f>
        <v>0.21614373179666022</v>
      </c>
    </row>
    <row r="40" spans="1:6" x14ac:dyDescent="0.2">
      <c r="A40" s="15">
        <v>39356</v>
      </c>
      <c r="B40" s="14">
        <v>52.9</v>
      </c>
      <c r="C40" s="14">
        <f>Table134681112[[#This Row],[PMI]]-B39</f>
        <v>-2.2000000000000028</v>
      </c>
      <c r="D40" s="16">
        <v>30.444413999999998</v>
      </c>
      <c r="E40" s="14">
        <f>Table134681112[[#This Row],[PMI]]-B28</f>
        <v>-0.80000000000000426</v>
      </c>
      <c r="F40" s="61">
        <f>(Table134681112[[#This Row],[EWU]]-D28)/D28</f>
        <v>0.22982590225998231</v>
      </c>
    </row>
    <row r="41" spans="1:6" x14ac:dyDescent="0.2">
      <c r="A41" s="15">
        <v>39387</v>
      </c>
      <c r="B41" s="14">
        <v>54.4</v>
      </c>
      <c r="C41" s="14">
        <f>Table134681112[[#This Row],[PMI]]-B40</f>
        <v>1.5</v>
      </c>
      <c r="D41" s="16">
        <v>28.654876999999999</v>
      </c>
      <c r="E41" s="14">
        <f>Table134681112[[#This Row],[PMI]]-B29</f>
        <v>0.79999999999999716</v>
      </c>
      <c r="F41" s="61">
        <f>(Table134681112[[#This Row],[EWU]]-D29)/D29</f>
        <v>0.12558746451173056</v>
      </c>
    </row>
    <row r="42" spans="1:6" x14ac:dyDescent="0.2">
      <c r="A42" s="15">
        <v>39417</v>
      </c>
      <c r="B42" s="14">
        <v>52.9</v>
      </c>
      <c r="C42" s="14">
        <f>Table134681112[[#This Row],[PMI]]-B41</f>
        <v>-1.5</v>
      </c>
      <c r="D42" s="16">
        <v>26.932455000000001</v>
      </c>
      <c r="E42" s="14">
        <f>Table134681112[[#This Row],[PMI]]-B30</f>
        <v>1</v>
      </c>
      <c r="F42" s="61">
        <f>(Table134681112[[#This Row],[EWU]]-D30)/D30</f>
        <v>6.4255956109074502E-2</v>
      </c>
    </row>
    <row r="43" spans="1:6" x14ac:dyDescent="0.2">
      <c r="A43" s="15">
        <v>39448</v>
      </c>
      <c r="B43" s="14">
        <v>50.6</v>
      </c>
      <c r="C43" s="14">
        <f>Table134681112[[#This Row],[PMI]]-B42</f>
        <v>-2.2999999999999972</v>
      </c>
      <c r="D43" s="16">
        <v>25.648848999999998</v>
      </c>
      <c r="E43" s="14">
        <f>Table134681112[[#This Row],[PMI]]-B31</f>
        <v>-2.1999999999999957</v>
      </c>
      <c r="F43" s="61">
        <f>(Table134681112[[#This Row],[EWU]]-D31)/D31</f>
        <v>-2.7053636748418309E-2</v>
      </c>
    </row>
    <row r="44" spans="1:6" x14ac:dyDescent="0.2">
      <c r="A44" s="15">
        <v>39479</v>
      </c>
      <c r="B44" s="14">
        <v>51.3</v>
      </c>
      <c r="C44" s="14">
        <f>Table134681112[[#This Row],[PMI]]-B43</f>
        <v>0.69999999999999574</v>
      </c>
      <c r="D44" s="16">
        <v>25.347913999999999</v>
      </c>
      <c r="E44" s="14">
        <f>Table134681112[[#This Row],[PMI]]-B32</f>
        <v>-4.1000000000000014</v>
      </c>
      <c r="F44" s="61">
        <f>(Table134681112[[#This Row],[EWU]]-D32)/D32</f>
        <v>-2.3976009781835891E-2</v>
      </c>
    </row>
    <row r="45" spans="1:6" x14ac:dyDescent="0.2">
      <c r="A45" s="15">
        <v>39508</v>
      </c>
      <c r="B45" s="14">
        <v>51.3</v>
      </c>
      <c r="C45" s="14">
        <f>Table134681112[[#This Row],[PMI]]-B44</f>
        <v>0</v>
      </c>
      <c r="D45" s="16">
        <v>24.95439</v>
      </c>
      <c r="E45" s="14">
        <f>Table134681112[[#This Row],[PMI]]-B33</f>
        <v>-3.1000000000000014</v>
      </c>
      <c r="F45" s="61">
        <f>(Table134681112[[#This Row],[EWU]]-D33)/D33</f>
        <v>-7.306044625680734E-2</v>
      </c>
    </row>
    <row r="46" spans="1:6" x14ac:dyDescent="0.2">
      <c r="A46" s="15">
        <v>39539</v>
      </c>
      <c r="B46" s="14">
        <v>51</v>
      </c>
      <c r="C46" s="14">
        <f>Table134681112[[#This Row],[PMI]]-B45</f>
        <v>-0.29999999999999716</v>
      </c>
      <c r="D46" s="16">
        <v>26.435904000000001</v>
      </c>
      <c r="E46" s="14">
        <f>Table134681112[[#This Row],[PMI]]-B34</f>
        <v>-2.8999999999999986</v>
      </c>
      <c r="F46" s="61">
        <f>(Table134681112[[#This Row],[EWU]]-D34)/D34</f>
        <v>-4.8851387454758949E-2</v>
      </c>
    </row>
    <row r="47" spans="1:6" x14ac:dyDescent="0.2">
      <c r="A47" s="15">
        <v>39569</v>
      </c>
      <c r="B47" s="14">
        <v>50</v>
      </c>
      <c r="C47" s="14">
        <f>Table134681112[[#This Row],[PMI]]-B46</f>
        <v>-1</v>
      </c>
      <c r="D47" s="16">
        <v>26.378036000000002</v>
      </c>
      <c r="E47" s="14">
        <f>Table134681112[[#This Row],[PMI]]-B35</f>
        <v>-4.8999999999999986</v>
      </c>
      <c r="F47" s="61">
        <f>(Table134681112[[#This Row],[EWU]]-D35)/D35</f>
        <v>-7.0752559760026298E-2</v>
      </c>
    </row>
    <row r="48" spans="1:6" x14ac:dyDescent="0.2">
      <c r="A48" s="15">
        <v>39600</v>
      </c>
      <c r="B48" s="14">
        <v>45.8</v>
      </c>
      <c r="C48" s="14">
        <f>Table134681112[[#This Row],[PMI]]-B47</f>
        <v>-4.2000000000000028</v>
      </c>
      <c r="D48" s="16">
        <v>23.982136000000001</v>
      </c>
      <c r="E48" s="14">
        <f>Table134681112[[#This Row],[PMI]]-B36</f>
        <v>-8.5</v>
      </c>
      <c r="F48" s="61">
        <f>(Table134681112[[#This Row],[EWU]]-D36)/D36</f>
        <v>-0.16077699250033115</v>
      </c>
    </row>
    <row r="49" spans="1:6" x14ac:dyDescent="0.2">
      <c r="A49" s="15">
        <v>39630</v>
      </c>
      <c r="B49" s="14">
        <v>44.3</v>
      </c>
      <c r="C49" s="14">
        <f>Table134681112[[#This Row],[PMI]]-B48</f>
        <v>-1.5</v>
      </c>
      <c r="D49" s="16">
        <v>23.523266</v>
      </c>
      <c r="E49" s="14">
        <f>Table134681112[[#This Row],[PMI]]-B37</f>
        <v>-11.400000000000006</v>
      </c>
      <c r="F49" s="61">
        <f>(Table134681112[[#This Row],[EWU]]-D37)/D37</f>
        <v>-0.14816203634011271</v>
      </c>
    </row>
    <row r="50" spans="1:6" x14ac:dyDescent="0.2">
      <c r="A50" s="15">
        <v>39661</v>
      </c>
      <c r="B50" s="14">
        <v>45.9</v>
      </c>
      <c r="C50" s="14">
        <f>Table134681112[[#This Row],[PMI]]-B49</f>
        <v>1.6000000000000014</v>
      </c>
      <c r="D50" s="16">
        <v>22.730083</v>
      </c>
      <c r="E50" s="14">
        <f>Table134681112[[#This Row],[PMI]]-B38</f>
        <v>-10.399999999999999</v>
      </c>
      <c r="F50" s="61">
        <f>(Table134681112[[#This Row],[EWU]]-D38)/D38</f>
        <v>-0.17854867753505804</v>
      </c>
    </row>
    <row r="51" spans="1:6" x14ac:dyDescent="0.2">
      <c r="A51" s="15">
        <v>39692</v>
      </c>
      <c r="B51" s="14">
        <v>41</v>
      </c>
      <c r="C51" s="14">
        <f>Table134681112[[#This Row],[PMI]]-B50</f>
        <v>-4.8999999999999986</v>
      </c>
      <c r="D51" s="16">
        <v>19.711241000000001</v>
      </c>
      <c r="E51" s="14">
        <f>Table134681112[[#This Row],[PMI]]-B39</f>
        <v>-14.100000000000001</v>
      </c>
      <c r="F51" s="61">
        <f>(Table134681112[[#This Row],[EWU]]-D39)/D39</f>
        <v>-0.31505633437268404</v>
      </c>
    </row>
    <row r="52" spans="1:6" x14ac:dyDescent="0.2">
      <c r="A52" s="15">
        <v>39722</v>
      </c>
      <c r="B52" s="14">
        <v>41.5</v>
      </c>
      <c r="C52" s="14">
        <f>Table134681112[[#This Row],[PMI]]-B51</f>
        <v>0.5</v>
      </c>
      <c r="D52" s="16">
        <v>15.816350999999999</v>
      </c>
      <c r="E52" s="14">
        <f>Table134681112[[#This Row],[PMI]]-B40</f>
        <v>-11.399999999999999</v>
      </c>
      <c r="F52" s="61">
        <f>(Table134681112[[#This Row],[EWU]]-D40)/D40</f>
        <v>-0.48048430165218486</v>
      </c>
    </row>
    <row r="53" spans="1:6" x14ac:dyDescent="0.2">
      <c r="A53" s="15">
        <v>39753</v>
      </c>
      <c r="B53" s="14">
        <v>34.4</v>
      </c>
      <c r="C53" s="14">
        <f>Table134681112[[#This Row],[PMI]]-B52</f>
        <v>-7.1000000000000014</v>
      </c>
      <c r="D53" s="16">
        <v>14.798230999999999</v>
      </c>
      <c r="E53" s="14">
        <f>Table134681112[[#This Row],[PMI]]-B41</f>
        <v>-20</v>
      </c>
      <c r="F53" s="61">
        <f>(Table134681112[[#This Row],[EWU]]-D41)/D41</f>
        <v>-0.48357024879220384</v>
      </c>
    </row>
    <row r="54" spans="1:6" x14ac:dyDescent="0.2">
      <c r="A54" s="15">
        <v>39783</v>
      </c>
      <c r="B54" s="14">
        <v>34.9</v>
      </c>
      <c r="C54" s="14">
        <f>Table134681112[[#This Row],[PMI]]-B53</f>
        <v>0.5</v>
      </c>
      <c r="D54" s="16">
        <v>14.502268000000001</v>
      </c>
      <c r="E54" s="14">
        <f>Table134681112[[#This Row],[PMI]]-B42</f>
        <v>-18</v>
      </c>
      <c r="F54" s="61">
        <f>(Table134681112[[#This Row],[EWU]]-D42)/D42</f>
        <v>-0.46153189525425736</v>
      </c>
    </row>
    <row r="55" spans="1:6" x14ac:dyDescent="0.2">
      <c r="A55" s="15">
        <v>39814</v>
      </c>
      <c r="B55" s="14">
        <v>35.799999999999997</v>
      </c>
      <c r="C55" s="14">
        <f>Table134681112[[#This Row],[PMI]]-B54</f>
        <v>0.89999999999999858</v>
      </c>
      <c r="D55" s="16">
        <v>13.519698</v>
      </c>
      <c r="E55" s="14">
        <f>Table134681112[[#This Row],[PMI]]-B43</f>
        <v>-14.800000000000004</v>
      </c>
      <c r="F55" s="61">
        <f>(Table134681112[[#This Row],[EWU]]-D43)/D43</f>
        <v>-0.47289260426462021</v>
      </c>
    </row>
    <row r="56" spans="1:6" x14ac:dyDescent="0.2">
      <c r="A56" s="15">
        <v>39845</v>
      </c>
      <c r="B56" s="14">
        <v>34.700000000000003</v>
      </c>
      <c r="C56" s="14">
        <f>Table134681112[[#This Row],[PMI]]-B55</f>
        <v>-1.0999999999999943</v>
      </c>
      <c r="D56" s="16">
        <v>12.204268000000001</v>
      </c>
      <c r="E56" s="14">
        <f>Table134681112[[#This Row],[PMI]]-B44</f>
        <v>-16.599999999999994</v>
      </c>
      <c r="F56" s="61">
        <f>(Table134681112[[#This Row],[EWU]]-D44)/D44</f>
        <v>-0.51852969045105646</v>
      </c>
    </row>
    <row r="57" spans="1:6" x14ac:dyDescent="0.2">
      <c r="A57" s="15">
        <v>39873</v>
      </c>
      <c r="B57" s="14">
        <v>39.1</v>
      </c>
      <c r="C57" s="14">
        <f>Table134681112[[#This Row],[PMI]]-B56</f>
        <v>4.3999999999999986</v>
      </c>
      <c r="D57" s="16">
        <v>12.764542</v>
      </c>
      <c r="E57" s="14">
        <f>Table134681112[[#This Row],[PMI]]-B45</f>
        <v>-12.199999999999996</v>
      </c>
      <c r="F57" s="61">
        <f>(Table134681112[[#This Row],[EWU]]-D45)/D45</f>
        <v>-0.48848511223876839</v>
      </c>
    </row>
    <row r="58" spans="1:6" x14ac:dyDescent="0.2">
      <c r="A58" s="15">
        <v>39904</v>
      </c>
      <c r="B58" s="14">
        <v>42.9</v>
      </c>
      <c r="C58" s="14">
        <f>Table134681112[[#This Row],[PMI]]-B57</f>
        <v>3.7999999999999972</v>
      </c>
      <c r="D58" s="16">
        <v>14.287027</v>
      </c>
      <c r="E58" s="14">
        <f>Table134681112[[#This Row],[PMI]]-B46</f>
        <v>-8.1000000000000014</v>
      </c>
      <c r="F58" s="61">
        <f>(Table134681112[[#This Row],[EWU]]-D46)/D46</f>
        <v>-0.45955973361077418</v>
      </c>
    </row>
    <row r="59" spans="1:6" x14ac:dyDescent="0.2">
      <c r="A59" s="15">
        <v>39934</v>
      </c>
      <c r="B59" s="14">
        <v>45.4</v>
      </c>
      <c r="C59" s="14">
        <f>Table134681112[[#This Row],[PMI]]-B58</f>
        <v>2.5</v>
      </c>
      <c r="D59" s="16">
        <v>16.723016999999999</v>
      </c>
      <c r="E59" s="14">
        <f>Table134681112[[#This Row],[PMI]]-B47</f>
        <v>-4.6000000000000014</v>
      </c>
      <c r="F59" s="61">
        <f>(Table134681112[[#This Row],[EWU]]-D47)/D47</f>
        <v>-0.36602493832368727</v>
      </c>
    </row>
    <row r="60" spans="1:6" x14ac:dyDescent="0.2">
      <c r="A60" s="15">
        <v>39965</v>
      </c>
      <c r="B60" s="14">
        <v>47</v>
      </c>
      <c r="C60" s="14">
        <f>Table134681112[[#This Row],[PMI]]-B59</f>
        <v>1.6000000000000014</v>
      </c>
      <c r="D60" s="16">
        <v>16.089655</v>
      </c>
      <c r="E60" s="14">
        <f>Table134681112[[#This Row],[PMI]]-B48</f>
        <v>1.2000000000000028</v>
      </c>
      <c r="F60" s="61">
        <f>(Table134681112[[#This Row],[EWU]]-D48)/D48</f>
        <v>-0.32909833385983633</v>
      </c>
    </row>
    <row r="61" spans="1:6" x14ac:dyDescent="0.2">
      <c r="A61" s="15">
        <v>39995</v>
      </c>
      <c r="B61" s="14">
        <v>50.8</v>
      </c>
      <c r="C61" s="14">
        <f>Table134681112[[#This Row],[PMI]]-B60</f>
        <v>3.7999999999999972</v>
      </c>
      <c r="D61" s="16">
        <v>17.770754</v>
      </c>
      <c r="E61" s="14">
        <f>Table134681112[[#This Row],[PMI]]-B49</f>
        <v>6.5</v>
      </c>
      <c r="F61" s="61">
        <f>(Table134681112[[#This Row],[EWU]]-D49)/D49</f>
        <v>-0.24454563409689792</v>
      </c>
    </row>
    <row r="62" spans="1:6" x14ac:dyDescent="0.2">
      <c r="A62" s="15">
        <v>40026</v>
      </c>
      <c r="B62" s="14">
        <v>49.7</v>
      </c>
      <c r="C62" s="14">
        <f>Table134681112[[#This Row],[PMI]]-B61</f>
        <v>-1.0999999999999943</v>
      </c>
      <c r="D62" s="16">
        <v>18.539618999999998</v>
      </c>
      <c r="E62" s="14">
        <f>Table134681112[[#This Row],[PMI]]-B50</f>
        <v>3.8000000000000043</v>
      </c>
      <c r="F62" s="61">
        <f>(Table134681112[[#This Row],[EWU]]-D50)/D50</f>
        <v>-0.18435761981159515</v>
      </c>
    </row>
    <row r="63" spans="1:6" x14ac:dyDescent="0.2">
      <c r="A63" s="15">
        <v>40057</v>
      </c>
      <c r="B63" s="14">
        <v>49.5</v>
      </c>
      <c r="C63" s="14">
        <f>Table134681112[[#This Row],[PMI]]-B62</f>
        <v>-0.20000000000000284</v>
      </c>
      <c r="D63" s="16">
        <v>19.234082999999998</v>
      </c>
      <c r="E63" s="14">
        <f>Table134681112[[#This Row],[PMI]]-B51</f>
        <v>8.5</v>
      </c>
      <c r="F63" s="61">
        <f>(Table134681112[[#This Row],[EWU]]-D51)/D51</f>
        <v>-2.4207405307458969E-2</v>
      </c>
    </row>
    <row r="64" spans="1:6" x14ac:dyDescent="0.2">
      <c r="A64" s="15">
        <v>40087</v>
      </c>
      <c r="B64" s="14">
        <v>53.7</v>
      </c>
      <c r="C64" s="14">
        <f>Table134681112[[#This Row],[PMI]]-B63</f>
        <v>4.2000000000000028</v>
      </c>
      <c r="D64" s="16">
        <v>19.20928</v>
      </c>
      <c r="E64" s="14">
        <f>Table134681112[[#This Row],[PMI]]-B52</f>
        <v>12.200000000000003</v>
      </c>
      <c r="F64" s="61">
        <f>(Table134681112[[#This Row],[EWU]]-D52)/D52</f>
        <v>0.21452034037433798</v>
      </c>
    </row>
    <row r="65" spans="1:6" x14ac:dyDescent="0.2">
      <c r="A65" s="15">
        <v>40118</v>
      </c>
      <c r="B65" s="14">
        <v>51.8</v>
      </c>
      <c r="C65" s="14">
        <f>Table134681112[[#This Row],[PMI]]-B64</f>
        <v>-1.9000000000000057</v>
      </c>
      <c r="D65" s="16">
        <v>20.176565</v>
      </c>
      <c r="E65" s="14">
        <f>Table134681112[[#This Row],[PMI]]-B53</f>
        <v>17.399999999999999</v>
      </c>
      <c r="F65" s="61">
        <f>(Table134681112[[#This Row],[EWU]]-D53)/D53</f>
        <v>0.36344438737305834</v>
      </c>
    </row>
    <row r="66" spans="1:6" x14ac:dyDescent="0.2">
      <c r="A66" s="15">
        <v>40148</v>
      </c>
      <c r="B66" s="14">
        <v>54.1</v>
      </c>
      <c r="C66" s="14">
        <f>Table134681112[[#This Row],[PMI]]-B65</f>
        <v>2.3000000000000043</v>
      </c>
      <c r="D66" s="16">
        <v>20.089762</v>
      </c>
      <c r="E66" s="14">
        <f>Table134681112[[#This Row],[PMI]]-B54</f>
        <v>19.200000000000003</v>
      </c>
      <c r="F66" s="61">
        <f>(Table134681112[[#This Row],[EWU]]-D54)/D54</f>
        <v>0.38528415003777333</v>
      </c>
    </row>
    <row r="67" spans="1:6" x14ac:dyDescent="0.2">
      <c r="A67" s="15">
        <v>40179</v>
      </c>
      <c r="B67" s="14">
        <v>56.7</v>
      </c>
      <c r="C67" s="14">
        <f>Table134681112[[#This Row],[PMI]]-B66</f>
        <v>2.6000000000000014</v>
      </c>
      <c r="D67" s="16">
        <v>19.358706999999999</v>
      </c>
      <c r="E67" s="14">
        <f>Table134681112[[#This Row],[PMI]]-B55</f>
        <v>20.900000000000006</v>
      </c>
      <c r="F67" s="61">
        <f>(Table134681112[[#This Row],[EWU]]-D55)/D55</f>
        <v>0.43188901113027811</v>
      </c>
    </row>
    <row r="68" spans="1:6" x14ac:dyDescent="0.2">
      <c r="A68" s="15">
        <v>40210</v>
      </c>
      <c r="B68" s="14">
        <v>56.6</v>
      </c>
      <c r="C68" s="14">
        <f>Table134681112[[#This Row],[PMI]]-B67</f>
        <v>-0.10000000000000142</v>
      </c>
      <c r="D68" s="16">
        <v>19.195612000000001</v>
      </c>
      <c r="E68" s="14">
        <f>Table134681112[[#This Row],[PMI]]-B56</f>
        <v>21.9</v>
      </c>
      <c r="F68" s="61">
        <f>(Table134681112[[#This Row],[EWU]]-D56)/D56</f>
        <v>0.57286057631641651</v>
      </c>
    </row>
    <row r="69" spans="1:6" x14ac:dyDescent="0.2">
      <c r="A69" s="15">
        <v>40238</v>
      </c>
      <c r="B69" s="14">
        <v>57.2</v>
      </c>
      <c r="C69" s="14">
        <f>Table134681112[[#This Row],[PMI]]-B68</f>
        <v>0.60000000000000142</v>
      </c>
      <c r="D69" s="16">
        <v>20.412583999999999</v>
      </c>
      <c r="E69" s="14">
        <f>Table134681112[[#This Row],[PMI]]-B57</f>
        <v>18.100000000000001</v>
      </c>
      <c r="F69" s="61">
        <f>(Table134681112[[#This Row],[EWU]]-D57)/D57</f>
        <v>0.59916305653583168</v>
      </c>
    </row>
    <row r="70" spans="1:6" x14ac:dyDescent="0.2">
      <c r="A70" s="15">
        <v>40269</v>
      </c>
      <c r="B70" s="14">
        <v>58</v>
      </c>
      <c r="C70" s="14">
        <f>Table134681112[[#This Row],[PMI]]-B69</f>
        <v>0.79999999999999716</v>
      </c>
      <c r="D70" s="16">
        <v>19.973471</v>
      </c>
      <c r="E70" s="14">
        <f>Table134681112[[#This Row],[PMI]]-B58</f>
        <v>15.100000000000001</v>
      </c>
      <c r="F70" s="61">
        <f>(Table134681112[[#This Row],[EWU]]-D58)/D58</f>
        <v>0.39801450644700259</v>
      </c>
    </row>
    <row r="71" spans="1:6" x14ac:dyDescent="0.2">
      <c r="A71" s="15">
        <v>40299</v>
      </c>
      <c r="B71" s="14">
        <v>58</v>
      </c>
      <c r="C71" s="14">
        <f>Table134681112[[#This Row],[PMI]]-B70</f>
        <v>0</v>
      </c>
      <c r="D71" s="16">
        <v>17.777896999999999</v>
      </c>
      <c r="E71" s="14">
        <f>Table134681112[[#This Row],[PMI]]-B59</f>
        <v>12.600000000000001</v>
      </c>
      <c r="F71" s="61">
        <f>(Table134681112[[#This Row],[EWU]]-D59)/D59</f>
        <v>6.3079526858102267E-2</v>
      </c>
    </row>
    <row r="72" spans="1:6" x14ac:dyDescent="0.2">
      <c r="A72" s="15">
        <v>40330</v>
      </c>
      <c r="B72" s="14">
        <v>57.5</v>
      </c>
      <c r="C72" s="14">
        <f>Table134681112[[#This Row],[PMI]]-B71</f>
        <v>-0.5</v>
      </c>
      <c r="D72" s="16">
        <v>16.862024000000002</v>
      </c>
      <c r="E72" s="14">
        <f>Table134681112[[#This Row],[PMI]]-B60</f>
        <v>10.5</v>
      </c>
      <c r="F72" s="61">
        <f>(Table134681112[[#This Row],[EWU]]-D60)/D60</f>
        <v>4.8004074667853426E-2</v>
      </c>
    </row>
    <row r="73" spans="1:6" x14ac:dyDescent="0.2">
      <c r="A73" s="15">
        <v>40360</v>
      </c>
      <c r="B73" s="14">
        <v>57.3</v>
      </c>
      <c r="C73" s="14">
        <f>Table134681112[[#This Row],[PMI]]-B72</f>
        <v>-0.20000000000000284</v>
      </c>
      <c r="D73" s="16">
        <v>19.648413000000001</v>
      </c>
      <c r="E73" s="14">
        <f>Table134681112[[#This Row],[PMI]]-B61</f>
        <v>6.5</v>
      </c>
      <c r="F73" s="61">
        <f>(Table134681112[[#This Row],[EWU]]-D61)/D61</f>
        <v>0.10566006372042522</v>
      </c>
    </row>
    <row r="74" spans="1:6" x14ac:dyDescent="0.2">
      <c r="A74" s="15">
        <v>40391</v>
      </c>
      <c r="B74" s="14">
        <v>54.3</v>
      </c>
      <c r="C74" s="14">
        <f>Table134681112[[#This Row],[PMI]]-B73</f>
        <v>-3</v>
      </c>
      <c r="D74" s="16">
        <v>19.099432</v>
      </c>
      <c r="E74" s="14">
        <f>Table134681112[[#This Row],[PMI]]-B62</f>
        <v>4.5999999999999943</v>
      </c>
      <c r="F74" s="61">
        <f>(Table134681112[[#This Row],[EWU]]-D62)/D62</f>
        <v>3.019549646624356E-2</v>
      </c>
    </row>
    <row r="75" spans="1:6" x14ac:dyDescent="0.2">
      <c r="A75" s="15">
        <v>40422</v>
      </c>
      <c r="B75" s="14">
        <v>53.4</v>
      </c>
      <c r="C75" s="14">
        <f>Table134681112[[#This Row],[PMI]]-B74</f>
        <v>-0.89999999999999858</v>
      </c>
      <c r="D75" s="16">
        <v>20.886810000000001</v>
      </c>
      <c r="E75" s="14">
        <f>Table134681112[[#This Row],[PMI]]-B63</f>
        <v>3.8999999999999986</v>
      </c>
      <c r="F75" s="61">
        <f>(Table134681112[[#This Row],[EWU]]-D63)/D63</f>
        <v>8.5926997403515545E-2</v>
      </c>
    </row>
    <row r="76" spans="1:6" x14ac:dyDescent="0.2">
      <c r="A76" s="15">
        <v>40452</v>
      </c>
      <c r="B76" s="14">
        <v>54.9</v>
      </c>
      <c r="C76" s="14">
        <f>Table134681112[[#This Row],[PMI]]-B75</f>
        <v>1.5</v>
      </c>
      <c r="D76" s="16">
        <v>21.767728999999999</v>
      </c>
      <c r="E76" s="14">
        <f>Table134681112[[#This Row],[PMI]]-B64</f>
        <v>1.1999999999999957</v>
      </c>
      <c r="F76" s="61">
        <f>(Table134681112[[#This Row],[EWU]]-D64)/D64</f>
        <v>0.13318817779739789</v>
      </c>
    </row>
    <row r="77" spans="1:6" x14ac:dyDescent="0.2">
      <c r="A77" s="15">
        <v>40483</v>
      </c>
      <c r="B77" s="14">
        <v>58</v>
      </c>
      <c r="C77" s="14">
        <f>Table134681112[[#This Row],[PMI]]-B76</f>
        <v>3.1000000000000014</v>
      </c>
      <c r="D77" s="16">
        <v>20.631474000000001</v>
      </c>
      <c r="E77" s="14">
        <f>Table134681112[[#This Row],[PMI]]-B65</f>
        <v>6.2000000000000028</v>
      </c>
      <c r="F77" s="61">
        <f>(Table134681112[[#This Row],[EWU]]-D65)/D65</f>
        <v>2.2546404702683567E-2</v>
      </c>
    </row>
    <row r="78" spans="1:6" x14ac:dyDescent="0.2">
      <c r="A78" s="15">
        <v>40513</v>
      </c>
      <c r="B78" s="14">
        <v>58.3</v>
      </c>
      <c r="C78" s="14">
        <f>Table134681112[[#This Row],[PMI]]-B77</f>
        <v>0.29999999999999716</v>
      </c>
      <c r="D78" s="16">
        <v>22.176280999999999</v>
      </c>
      <c r="E78" s="14">
        <f>Table134681112[[#This Row],[PMI]]-B66</f>
        <v>4.1999999999999957</v>
      </c>
      <c r="F78" s="61">
        <f>(Table134681112[[#This Row],[EWU]]-D66)/D66</f>
        <v>0.10385981675641548</v>
      </c>
    </row>
    <row r="79" spans="1:6" x14ac:dyDescent="0.2">
      <c r="A79" s="15">
        <v>40544</v>
      </c>
      <c r="B79" s="14">
        <v>62</v>
      </c>
      <c r="C79" s="14">
        <f>Table134681112[[#This Row],[PMI]]-B78</f>
        <v>3.7000000000000028</v>
      </c>
      <c r="D79" s="16">
        <v>22.644908999999998</v>
      </c>
      <c r="E79" s="14">
        <f>Table134681112[[#This Row],[PMI]]-B67</f>
        <v>5.2999999999999972</v>
      </c>
      <c r="F79" s="61">
        <f>(Table134681112[[#This Row],[EWU]]-D67)/D67</f>
        <v>0.16975317618061989</v>
      </c>
    </row>
    <row r="80" spans="1:6" x14ac:dyDescent="0.2">
      <c r="A80" s="15">
        <v>40575</v>
      </c>
      <c r="B80" s="14">
        <v>64.5</v>
      </c>
      <c r="C80" s="14">
        <f>Table134681112[[#This Row],[PMI]]-B79</f>
        <v>2.5</v>
      </c>
      <c r="D80" s="16">
        <v>23.676569000000001</v>
      </c>
      <c r="E80" s="14">
        <f>Table134681112[[#This Row],[PMI]]-B68</f>
        <v>7.8999999999999986</v>
      </c>
      <c r="F80" s="61">
        <f>(Table134681112[[#This Row],[EWU]]-D68)/D68</f>
        <v>0.23343652705628765</v>
      </c>
    </row>
    <row r="81" spans="1:6" x14ac:dyDescent="0.2">
      <c r="A81" s="15">
        <v>40603</v>
      </c>
      <c r="B81" s="14">
        <v>57.1</v>
      </c>
      <c r="C81" s="14">
        <f>Table134681112[[#This Row],[PMI]]-B80</f>
        <v>-7.3999999999999986</v>
      </c>
      <c r="D81" s="16">
        <v>23.096256</v>
      </c>
      <c r="E81" s="14">
        <f>Table134681112[[#This Row],[PMI]]-B69</f>
        <v>-0.10000000000000142</v>
      </c>
      <c r="F81" s="61">
        <f>(Table134681112[[#This Row],[EWU]]-D69)/D69</f>
        <v>0.13147144918056439</v>
      </c>
    </row>
    <row r="82" spans="1:6" x14ac:dyDescent="0.2">
      <c r="A82" s="15">
        <v>40634</v>
      </c>
      <c r="B82" s="14">
        <v>54.6</v>
      </c>
      <c r="C82" s="14">
        <f>Table134681112[[#This Row],[PMI]]-B81</f>
        <v>-2.5</v>
      </c>
      <c r="D82" s="16">
        <v>24.643744000000002</v>
      </c>
      <c r="E82" s="14">
        <f>Table134681112[[#This Row],[PMI]]-B70</f>
        <v>-3.3999999999999986</v>
      </c>
      <c r="F82" s="61">
        <f>(Table134681112[[#This Row],[EWU]]-D70)/D70</f>
        <v>0.23382380558692087</v>
      </c>
    </row>
    <row r="83" spans="1:6" x14ac:dyDescent="0.2">
      <c r="A83" s="15">
        <v>40664</v>
      </c>
      <c r="B83" s="14">
        <v>52.1</v>
      </c>
      <c r="C83" s="14">
        <f>Table134681112[[#This Row],[PMI]]-B82</f>
        <v>-2.5</v>
      </c>
      <c r="D83" s="16">
        <v>24.063437</v>
      </c>
      <c r="E83" s="14">
        <f>Table134681112[[#This Row],[PMI]]-B71</f>
        <v>-5.8999999999999986</v>
      </c>
      <c r="F83" s="61">
        <f>(Table134681112[[#This Row],[EWU]]-D71)/D71</f>
        <v>0.35355925394325333</v>
      </c>
    </row>
    <row r="84" spans="1:6" x14ac:dyDescent="0.2">
      <c r="A84" s="15">
        <v>40695</v>
      </c>
      <c r="B84" s="14">
        <v>51.3</v>
      </c>
      <c r="C84" s="14">
        <f>Table134681112[[#This Row],[PMI]]-B83</f>
        <v>-0.80000000000000426</v>
      </c>
      <c r="D84" s="16">
        <v>22.967296999999999</v>
      </c>
      <c r="E84" s="14">
        <f>Table134681112[[#This Row],[PMI]]-B72</f>
        <v>-6.2000000000000028</v>
      </c>
      <c r="F84" s="61">
        <f>(Table134681112[[#This Row],[EWU]]-D72)/D72</f>
        <v>0.36207237043429641</v>
      </c>
    </row>
    <row r="85" spans="1:6" x14ac:dyDescent="0.2">
      <c r="A85" s="15">
        <v>40725</v>
      </c>
      <c r="B85" s="14">
        <v>49.1</v>
      </c>
      <c r="C85" s="14">
        <f>Table134681112[[#This Row],[PMI]]-B84</f>
        <v>-2.1999999999999957</v>
      </c>
      <c r="D85" s="16">
        <v>23.272286999999999</v>
      </c>
      <c r="E85" s="14">
        <f>Table134681112[[#This Row],[PMI]]-B73</f>
        <v>-8.1999999999999957</v>
      </c>
      <c r="F85" s="61">
        <f>(Table134681112[[#This Row],[EWU]]-D73)/D73</f>
        <v>0.18443596437025203</v>
      </c>
    </row>
    <row r="86" spans="1:6" x14ac:dyDescent="0.2">
      <c r="A86" s="15">
        <v>40756</v>
      </c>
      <c r="B86" s="14">
        <v>49</v>
      </c>
      <c r="C86" s="14">
        <f>Table134681112[[#This Row],[PMI]]-B85</f>
        <v>-0.10000000000000142</v>
      </c>
      <c r="D86" s="16">
        <v>21.488168999999999</v>
      </c>
      <c r="E86" s="14">
        <f>Table134681112[[#This Row],[PMI]]-B74</f>
        <v>-5.2999999999999972</v>
      </c>
      <c r="F86" s="61">
        <f>(Table134681112[[#This Row],[EWU]]-D74)/D74</f>
        <v>0.12506848371197629</v>
      </c>
    </row>
    <row r="87" spans="1:6" x14ac:dyDescent="0.2">
      <c r="A87" s="15">
        <v>40787</v>
      </c>
      <c r="B87" s="14">
        <v>51.1</v>
      </c>
      <c r="C87" s="14">
        <f>Table134681112[[#This Row],[PMI]]-B86</f>
        <v>2.1000000000000014</v>
      </c>
      <c r="D87" s="16">
        <v>19.376085</v>
      </c>
      <c r="E87" s="14">
        <f>Table134681112[[#This Row],[PMI]]-B75</f>
        <v>-2.2999999999999972</v>
      </c>
      <c r="F87" s="61">
        <f>(Table134681112[[#This Row],[EWU]]-D75)/D75</f>
        <v>-7.2329139777687484E-2</v>
      </c>
    </row>
    <row r="88" spans="1:6" x14ac:dyDescent="0.2">
      <c r="A88" s="15">
        <v>40817</v>
      </c>
      <c r="B88" s="14">
        <v>47.4</v>
      </c>
      <c r="C88" s="14">
        <f>Table134681112[[#This Row],[PMI]]-B87</f>
        <v>-3.7000000000000028</v>
      </c>
      <c r="D88" s="16">
        <v>21.881729</v>
      </c>
      <c r="E88" s="14">
        <f>Table134681112[[#This Row],[PMI]]-B76</f>
        <v>-7.5</v>
      </c>
      <c r="F88" s="61">
        <f>(Table134681112[[#This Row],[EWU]]-D76)/D76</f>
        <v>5.2371104032028683E-3</v>
      </c>
    </row>
    <row r="89" spans="1:6" x14ac:dyDescent="0.2">
      <c r="A89" s="15">
        <v>40848</v>
      </c>
      <c r="B89" s="14">
        <v>47.6</v>
      </c>
      <c r="C89" s="14">
        <f>Table134681112[[#This Row],[PMI]]-B88</f>
        <v>0.20000000000000284</v>
      </c>
      <c r="D89" s="16">
        <v>21.527525000000001</v>
      </c>
      <c r="E89" s="14">
        <f>Table134681112[[#This Row],[PMI]]-B77</f>
        <v>-10.399999999999999</v>
      </c>
      <c r="F89" s="61">
        <f>(Table134681112[[#This Row],[EWU]]-D77)/D77</f>
        <v>4.3431264290665801E-2</v>
      </c>
    </row>
    <row r="90" spans="1:6" x14ac:dyDescent="0.2">
      <c r="A90" s="15">
        <v>40878</v>
      </c>
      <c r="B90" s="14">
        <v>49.6</v>
      </c>
      <c r="C90" s="14">
        <f>Table134681112[[#This Row],[PMI]]-B89</f>
        <v>2</v>
      </c>
      <c r="D90" s="16">
        <v>21.199560000000002</v>
      </c>
      <c r="E90" s="14">
        <f>Table134681112[[#This Row],[PMI]]-B78</f>
        <v>-8.6999999999999957</v>
      </c>
      <c r="F90" s="61">
        <f>(Table134681112[[#This Row],[EWU]]-D78)/D78</f>
        <v>-4.4043498546938405E-2</v>
      </c>
    </row>
    <row r="91" spans="1:6" x14ac:dyDescent="0.2">
      <c r="A91" s="15">
        <v>40909</v>
      </c>
      <c r="B91" s="14">
        <v>50.8</v>
      </c>
      <c r="C91" s="14">
        <f>Table134681112[[#This Row],[PMI]]-B90</f>
        <v>1.1999999999999957</v>
      </c>
      <c r="D91" s="16">
        <v>22.209337000000001</v>
      </c>
      <c r="E91" s="14">
        <f>Table134681112[[#This Row],[PMI]]-B79</f>
        <v>-11.200000000000003</v>
      </c>
      <c r="F91" s="61">
        <f>(Table134681112[[#This Row],[EWU]]-D79)/D79</f>
        <v>-1.9234875264899365E-2</v>
      </c>
    </row>
    <row r="92" spans="1:6" x14ac:dyDescent="0.2">
      <c r="A92" s="15">
        <v>40940</v>
      </c>
      <c r="B92" s="14">
        <v>51.1</v>
      </c>
      <c r="C92" s="14">
        <f>Table134681112[[#This Row],[PMI]]-B91</f>
        <v>0.30000000000000426</v>
      </c>
      <c r="D92" s="16">
        <v>23.341106</v>
      </c>
      <c r="E92" s="14">
        <f>Table134681112[[#This Row],[PMI]]-B80</f>
        <v>-13.399999999999999</v>
      </c>
      <c r="F92" s="61">
        <f>(Table134681112[[#This Row],[EWU]]-D80)/D80</f>
        <v>-1.4168564710537271E-2</v>
      </c>
    </row>
    <row r="93" spans="1:6" x14ac:dyDescent="0.2">
      <c r="A93" s="15">
        <v>40969</v>
      </c>
      <c r="B93" s="14">
        <v>52</v>
      </c>
      <c r="C93" s="14">
        <f>Table134681112[[#This Row],[PMI]]-B92</f>
        <v>0.89999999999999858</v>
      </c>
      <c r="D93" s="16">
        <v>23.034859000000001</v>
      </c>
      <c r="E93" s="14">
        <f>Table134681112[[#This Row],[PMI]]-B81</f>
        <v>-5.1000000000000014</v>
      </c>
      <c r="F93" s="61">
        <f>(Table134681112[[#This Row],[EWU]]-D81)/D81</f>
        <v>-2.6583096411816479E-3</v>
      </c>
    </row>
    <row r="94" spans="1:6" x14ac:dyDescent="0.2">
      <c r="A94" s="15">
        <v>41000</v>
      </c>
      <c r="B94" s="14">
        <v>50.2</v>
      </c>
      <c r="C94" s="14">
        <f>Table134681112[[#This Row],[PMI]]-B93</f>
        <v>-1.7999999999999972</v>
      </c>
      <c r="D94" s="16">
        <v>23.367737000000002</v>
      </c>
      <c r="E94" s="14">
        <f>Table134681112[[#This Row],[PMI]]-B82</f>
        <v>-4.3999999999999986</v>
      </c>
      <c r="F94" s="61">
        <f>(Table134681112[[#This Row],[EWU]]-D82)/D82</f>
        <v>-5.1778130790516241E-2</v>
      </c>
    </row>
    <row r="95" spans="1:6" x14ac:dyDescent="0.2">
      <c r="A95" s="15">
        <v>41030</v>
      </c>
      <c r="B95" s="14">
        <v>46.8</v>
      </c>
      <c r="C95" s="14">
        <f>Table134681112[[#This Row],[PMI]]-B94</f>
        <v>-3.4000000000000057</v>
      </c>
      <c r="D95" s="16">
        <v>20.704746</v>
      </c>
      <c r="E95" s="14">
        <f>Table134681112[[#This Row],[PMI]]-B83</f>
        <v>-5.3000000000000043</v>
      </c>
      <c r="F95" s="61">
        <f>(Table134681112[[#This Row],[EWU]]-D83)/D83</f>
        <v>-0.13957652849009061</v>
      </c>
    </row>
    <row r="96" spans="1:6" x14ac:dyDescent="0.2">
      <c r="A96" s="15">
        <v>41061</v>
      </c>
      <c r="B96" s="14">
        <v>48.8</v>
      </c>
      <c r="C96" s="14">
        <f>Table134681112[[#This Row],[PMI]]-B95</f>
        <v>2</v>
      </c>
      <c r="D96" s="16">
        <v>21.690054</v>
      </c>
      <c r="E96" s="14">
        <f>Table134681112[[#This Row],[PMI]]-B84</f>
        <v>-2.5</v>
      </c>
      <c r="F96" s="61">
        <f>(Table134681112[[#This Row],[EWU]]-D84)/D84</f>
        <v>-5.5611376471510716E-2</v>
      </c>
    </row>
    <row r="97" spans="1:6" x14ac:dyDescent="0.2">
      <c r="A97" s="15">
        <v>41091</v>
      </c>
      <c r="B97" s="14">
        <v>45.5</v>
      </c>
      <c r="C97" s="14">
        <f>Table134681112[[#This Row],[PMI]]-B96</f>
        <v>-3.2999999999999972</v>
      </c>
      <c r="D97" s="16">
        <v>22.394911</v>
      </c>
      <c r="E97" s="14">
        <f>Table134681112[[#This Row],[PMI]]-B85</f>
        <v>-3.6000000000000014</v>
      </c>
      <c r="F97" s="61">
        <f>(Table134681112[[#This Row],[EWU]]-D85)/D85</f>
        <v>-3.7700463216184907E-2</v>
      </c>
    </row>
    <row r="98" spans="1:6" x14ac:dyDescent="0.2">
      <c r="A98" s="15">
        <v>41122</v>
      </c>
      <c r="B98" s="14">
        <v>49.1</v>
      </c>
      <c r="C98" s="14">
        <f>Table134681112[[#This Row],[PMI]]-B97</f>
        <v>3.6000000000000014</v>
      </c>
      <c r="D98" s="16">
        <v>23.130956999999999</v>
      </c>
      <c r="E98" s="14">
        <f>Table134681112[[#This Row],[PMI]]-B86</f>
        <v>0.10000000000000142</v>
      </c>
      <c r="F98" s="61">
        <f>(Table134681112[[#This Row],[EWU]]-D86)/D86</f>
        <v>7.6450813468564929E-2</v>
      </c>
    </row>
    <row r="99" spans="1:6" x14ac:dyDescent="0.2">
      <c r="A99" s="15">
        <v>41153</v>
      </c>
      <c r="B99" s="14">
        <v>48.2</v>
      </c>
      <c r="C99" s="14">
        <f>Table134681112[[#This Row],[PMI]]-B98</f>
        <v>-0.89999999999999858</v>
      </c>
      <c r="D99" s="16">
        <v>23.71707</v>
      </c>
      <c r="E99" s="14">
        <f>Table134681112[[#This Row],[PMI]]-B87</f>
        <v>-2.8999999999999986</v>
      </c>
      <c r="F99" s="61">
        <f>(Table134681112[[#This Row],[EWU]]-D87)/D87</f>
        <v>0.22403829256529376</v>
      </c>
    </row>
    <row r="100" spans="1:6" x14ac:dyDescent="0.2">
      <c r="A100" s="15">
        <v>41183</v>
      </c>
      <c r="B100" s="14">
        <v>48</v>
      </c>
      <c r="C100" s="14">
        <f>Table134681112[[#This Row],[PMI]]-B99</f>
        <v>-0.20000000000000284</v>
      </c>
      <c r="D100" s="16">
        <v>23.826112999999999</v>
      </c>
      <c r="E100" s="14">
        <f>Table134681112[[#This Row],[PMI]]-B88</f>
        <v>0.60000000000000142</v>
      </c>
      <c r="F100" s="61">
        <f>(Table134681112[[#This Row],[EWU]]-D88)/D88</f>
        <v>8.8858791734419129E-2</v>
      </c>
    </row>
    <row r="101" spans="1:6" x14ac:dyDescent="0.2">
      <c r="A101" s="15">
        <v>41214</v>
      </c>
      <c r="B101" s="14">
        <v>48.4</v>
      </c>
      <c r="C101" s="14">
        <f>Table134681112[[#This Row],[PMI]]-B100</f>
        <v>0.39999999999999858</v>
      </c>
      <c r="D101" s="16">
        <v>24.098724000000001</v>
      </c>
      <c r="E101" s="14">
        <f>Table134681112[[#This Row],[PMI]]-B89</f>
        <v>0.79999999999999716</v>
      </c>
      <c r="F101" s="61">
        <f>(Table134681112[[#This Row],[EWU]]-D89)/D89</f>
        <v>0.11943774307543482</v>
      </c>
    </row>
    <row r="102" spans="1:6" x14ac:dyDescent="0.2">
      <c r="A102" s="15">
        <v>41244</v>
      </c>
      <c r="B102" s="14">
        <v>50.7</v>
      </c>
      <c r="C102" s="14">
        <f>Table134681112[[#This Row],[PMI]]-B101</f>
        <v>2.3000000000000043</v>
      </c>
      <c r="D102" s="16">
        <v>24.453116999999999</v>
      </c>
      <c r="E102" s="14">
        <f>Table134681112[[#This Row],[PMI]]-B90</f>
        <v>1.1000000000000014</v>
      </c>
      <c r="F102" s="61">
        <f>(Table134681112[[#This Row],[EWU]]-D90)/D90</f>
        <v>0.15347285509699243</v>
      </c>
    </row>
    <row r="103" spans="1:6" x14ac:dyDescent="0.2">
      <c r="A103" s="15">
        <v>41275</v>
      </c>
      <c r="B103" s="14">
        <v>50.9</v>
      </c>
      <c r="C103" s="14">
        <f>Table134681112[[#This Row],[PMI]]-B102</f>
        <v>0.19999999999999574</v>
      </c>
      <c r="D103" s="16">
        <v>25.533629999999999</v>
      </c>
      <c r="E103" s="14">
        <f>Table134681112[[#This Row],[PMI]]-B91</f>
        <v>0.10000000000000142</v>
      </c>
      <c r="F103" s="61">
        <f>(Table134681112[[#This Row],[EWU]]-D91)/D91</f>
        <v>0.14967997468812316</v>
      </c>
    </row>
    <row r="104" spans="1:6" x14ac:dyDescent="0.2">
      <c r="A104" s="15">
        <v>41306</v>
      </c>
      <c r="B104" s="14">
        <v>48.2</v>
      </c>
      <c r="C104" s="14">
        <f>Table134681112[[#This Row],[PMI]]-B103</f>
        <v>-2.6999999999999957</v>
      </c>
      <c r="D104" s="16">
        <v>24.842403000000001</v>
      </c>
      <c r="E104" s="14">
        <f>Table134681112[[#This Row],[PMI]]-B92</f>
        <v>-2.8999999999999986</v>
      </c>
      <c r="F104" s="61">
        <f>(Table134681112[[#This Row],[EWU]]-D92)/D92</f>
        <v>6.4319874131071639E-2</v>
      </c>
    </row>
    <row r="105" spans="1:6" x14ac:dyDescent="0.2">
      <c r="A105" s="15">
        <v>41334</v>
      </c>
      <c r="B105" s="14">
        <v>49.3</v>
      </c>
      <c r="C105" s="14">
        <f>Table134681112[[#This Row],[PMI]]-B104</f>
        <v>1.0999999999999943</v>
      </c>
      <c r="D105" s="16">
        <v>25.257137</v>
      </c>
      <c r="E105" s="14">
        <f>Table134681112[[#This Row],[PMI]]-B93</f>
        <v>-2.7000000000000028</v>
      </c>
      <c r="F105" s="61">
        <f>(Table134681112[[#This Row],[EWU]]-D93)/D93</f>
        <v>9.647456491919483E-2</v>
      </c>
    </row>
    <row r="106" spans="1:6" x14ac:dyDescent="0.2">
      <c r="A106" s="15">
        <v>41365</v>
      </c>
      <c r="B106" s="14">
        <v>50.6</v>
      </c>
      <c r="C106" s="14">
        <f>Table134681112[[#This Row],[PMI]]-B105</f>
        <v>1.3000000000000043</v>
      </c>
      <c r="D106" s="16">
        <v>25.976015</v>
      </c>
      <c r="E106" s="14">
        <f>Table134681112[[#This Row],[PMI]]-B94</f>
        <v>0.39999999999999858</v>
      </c>
      <c r="F106" s="61">
        <f>(Table134681112[[#This Row],[EWU]]-D94)/D94</f>
        <v>0.1116187673628815</v>
      </c>
    </row>
    <row r="107" spans="1:6" x14ac:dyDescent="0.2">
      <c r="A107" s="15">
        <v>41395</v>
      </c>
      <c r="B107" s="14">
        <v>52.1</v>
      </c>
      <c r="C107" s="30">
        <f>Table134681112[[#This Row],[PMI]]-B106</f>
        <v>1.5</v>
      </c>
      <c r="D107" s="16">
        <v>25.948360000000001</v>
      </c>
      <c r="E107" s="14">
        <f>Table134681112[[#This Row],[PMI]]-B95</f>
        <v>5.3000000000000043</v>
      </c>
      <c r="F107" s="61">
        <f>(Table134681112[[#This Row],[EWU]]-D95)/D95</f>
        <v>0.25325662048691644</v>
      </c>
    </row>
    <row r="108" spans="1:6" x14ac:dyDescent="0.2">
      <c r="A108" s="15">
        <v>41426</v>
      </c>
      <c r="B108" s="14">
        <v>53</v>
      </c>
      <c r="C108" s="30">
        <f>Table134681112[[#This Row],[PMI]]-B107</f>
        <v>0.89999999999999858</v>
      </c>
      <c r="D108" s="16">
        <v>24.413853</v>
      </c>
      <c r="E108" s="14">
        <f>Table134681112[[#This Row],[PMI]]-B96</f>
        <v>4.2000000000000028</v>
      </c>
      <c r="F108" s="61">
        <f>(Table134681112[[#This Row],[EWU]]-D96)/D96</f>
        <v>0.12557824890615762</v>
      </c>
    </row>
    <row r="109" spans="1:6" x14ac:dyDescent="0.2">
      <c r="A109" s="15">
        <v>41456</v>
      </c>
      <c r="B109" s="14">
        <v>54.7</v>
      </c>
      <c r="C109" s="30">
        <f>Table134681112[[#This Row],[PMI]]-B108</f>
        <v>1.7000000000000028</v>
      </c>
      <c r="D109" s="16">
        <v>26.360989</v>
      </c>
      <c r="E109" s="14">
        <f>Table134681112[[#This Row],[PMI]]-B97</f>
        <v>9.2000000000000028</v>
      </c>
      <c r="F109" s="61">
        <f>(Table134681112[[#This Row],[EWU]]-D97)/D97</f>
        <v>0.17709728786151457</v>
      </c>
    </row>
    <row r="110" spans="1:6" x14ac:dyDescent="0.2">
      <c r="A110" s="15">
        <v>41487</v>
      </c>
      <c r="B110" s="14">
        <v>57.3</v>
      </c>
      <c r="C110" s="30">
        <f>Table134681112[[#This Row],[PMI]]-B109</f>
        <v>2.5999999999999943</v>
      </c>
      <c r="D110" s="16">
        <v>26.164579</v>
      </c>
      <c r="E110" s="14">
        <f>Table134681112[[#This Row],[PMI]]-B98</f>
        <v>8.1999999999999957</v>
      </c>
      <c r="F110" s="61">
        <f>(Table134681112[[#This Row],[EWU]]-D98)/D98</f>
        <v>0.13114986984758137</v>
      </c>
    </row>
    <row r="111" spans="1:6" x14ac:dyDescent="0.2">
      <c r="A111" s="15">
        <v>41518</v>
      </c>
      <c r="B111" s="14">
        <v>56.7</v>
      </c>
      <c r="C111" s="30">
        <f>Table134681112[[#This Row],[PMI]]-B110</f>
        <v>-0.59999999999999432</v>
      </c>
      <c r="D111" s="16">
        <v>27.525414999999999</v>
      </c>
      <c r="E111" s="14">
        <f>Table134681112[[#This Row],[PMI]]-B99</f>
        <v>8.5</v>
      </c>
      <c r="F111" s="61">
        <f>(Table134681112[[#This Row],[EWU]]-D99)/D99</f>
        <v>0.16057400850948281</v>
      </c>
    </row>
    <row r="112" spans="1:6" x14ac:dyDescent="0.2">
      <c r="A112" s="15">
        <v>41548</v>
      </c>
      <c r="B112" s="14">
        <v>56.5</v>
      </c>
      <c r="C112" s="30">
        <f>Table134681112[[#This Row],[PMI]]-B111</f>
        <v>-0.20000000000000284</v>
      </c>
      <c r="D112" s="16">
        <v>28.549548999999999</v>
      </c>
      <c r="E112" s="14">
        <f>Table134681112[[#This Row],[PMI]]-B100</f>
        <v>8.5</v>
      </c>
      <c r="F112" s="61">
        <f>(Table134681112[[#This Row],[EWU]]-D100)/D100</f>
        <v>0.19824618476375058</v>
      </c>
    </row>
    <row r="113" spans="1:6" x14ac:dyDescent="0.2">
      <c r="A113" s="15">
        <v>41579</v>
      </c>
      <c r="B113" s="14">
        <v>58.1</v>
      </c>
      <c r="C113" s="30">
        <f>Table134681112[[#This Row],[PMI]]-B112</f>
        <v>1.6000000000000014</v>
      </c>
      <c r="D113" s="16">
        <v>28.774027</v>
      </c>
      <c r="E113" s="14">
        <f>Table134681112[[#This Row],[PMI]]-B101</f>
        <v>9.7000000000000028</v>
      </c>
      <c r="F113" s="61">
        <f>(Table134681112[[#This Row],[EWU]]-D101)/D101</f>
        <v>0.19400624696975655</v>
      </c>
    </row>
    <row r="114" spans="1:6" x14ac:dyDescent="0.2">
      <c r="A114" s="15">
        <v>41609</v>
      </c>
      <c r="B114" s="14">
        <v>57.3</v>
      </c>
      <c r="C114" s="30">
        <f>Table134681112[[#This Row],[PMI]]-B113</f>
        <v>-0.80000000000000426</v>
      </c>
      <c r="D114" s="16">
        <v>29.293106000000002</v>
      </c>
      <c r="E114" s="14">
        <f>Table134681112[[#This Row],[PMI]]-B102</f>
        <v>6.5999999999999943</v>
      </c>
      <c r="F114" s="61">
        <f>(Table134681112[[#This Row],[EWU]]-D102)/D102</f>
        <v>0.19792932737368421</v>
      </c>
    </row>
    <row r="115" spans="1:6" x14ac:dyDescent="0.2">
      <c r="A115" s="15">
        <v>41640</v>
      </c>
      <c r="B115" s="14">
        <v>56.7</v>
      </c>
      <c r="C115" s="30">
        <f>Table134681112[[#This Row],[PMI]]-B114</f>
        <v>-0.59999999999999432</v>
      </c>
      <c r="D115" s="16">
        <v>28.268082</v>
      </c>
      <c r="E115" s="14">
        <f>Table134681112[[#This Row],[PMI]]-B103</f>
        <v>5.8000000000000043</v>
      </c>
      <c r="F115" s="61">
        <f>(Table134681112[[#This Row],[EWU]]-D103)/D103</f>
        <v>0.10709217608307166</v>
      </c>
    </row>
    <row r="116" spans="1:6" x14ac:dyDescent="0.2">
      <c r="A116" s="15">
        <v>41671</v>
      </c>
      <c r="B116" s="14">
        <v>56.9</v>
      </c>
      <c r="C116" s="30">
        <f>Table134681112[[#This Row],[PMI]]-B115</f>
        <v>0.19999999999999574</v>
      </c>
      <c r="D116" s="16">
        <v>30.184797</v>
      </c>
      <c r="E116" s="14">
        <f>Table134681112[[#This Row],[PMI]]-B104</f>
        <v>8.6999999999999957</v>
      </c>
      <c r="F116" s="61">
        <f>(Table134681112[[#This Row],[EWU]]-D104)/D104</f>
        <v>0.21505141833501368</v>
      </c>
    </row>
    <row r="117" spans="1:6" x14ac:dyDescent="0.2">
      <c r="A117" s="15">
        <v>41699</v>
      </c>
      <c r="B117" s="14">
        <v>55.3</v>
      </c>
      <c r="C117" s="30">
        <f>Table134681112[[#This Row],[PMI]]-B116</f>
        <v>-1.6000000000000014</v>
      </c>
      <c r="D117" s="16">
        <v>29.233540999999999</v>
      </c>
      <c r="E117" s="14">
        <f>Table134681112[[#This Row],[PMI]]-B105</f>
        <v>6</v>
      </c>
      <c r="F117" s="61">
        <f>(Table134681112[[#This Row],[EWU]]-D105)/D105</f>
        <v>0.15743684646442702</v>
      </c>
    </row>
    <row r="118" spans="1:6" x14ac:dyDescent="0.2">
      <c r="A118" s="15">
        <v>41730</v>
      </c>
      <c r="B118" s="14">
        <v>57.3</v>
      </c>
      <c r="C118" s="30">
        <f>Table134681112[[#This Row],[PMI]]-B117</f>
        <v>2</v>
      </c>
      <c r="D118" s="16">
        <v>30.553951000000001</v>
      </c>
      <c r="E118" s="14">
        <f>Table134681112[[#This Row],[PMI]]-B106</f>
        <v>6.6999999999999957</v>
      </c>
      <c r="F118" s="61">
        <f>(Table134681112[[#This Row],[EWU]]-D106)/D106</f>
        <v>0.1762370402080535</v>
      </c>
    </row>
    <row r="119" spans="1:6" x14ac:dyDescent="0.2">
      <c r="A119" s="15">
        <v>41760</v>
      </c>
      <c r="B119" s="14">
        <v>57</v>
      </c>
      <c r="C119" s="30">
        <f>Table134681112[[#This Row],[PMI]]-B118</f>
        <v>-0.29999999999999716</v>
      </c>
      <c r="D119" s="16">
        <v>30.852104000000001</v>
      </c>
      <c r="E119" s="14">
        <f>Table134681112[[#This Row],[PMI]]-B107</f>
        <v>4.8999999999999986</v>
      </c>
      <c r="F119" s="61">
        <f>(Table134681112[[#This Row],[EWU]]-D107)/D107</f>
        <v>0.18898088357029114</v>
      </c>
    </row>
    <row r="120" spans="1:6" x14ac:dyDescent="0.2">
      <c r="A120" s="15">
        <v>41791</v>
      </c>
      <c r="B120" s="14">
        <v>57.5</v>
      </c>
      <c r="C120" s="30">
        <f>Table134681112[[#This Row],[PMI]]-B119</f>
        <v>0.5</v>
      </c>
      <c r="D120" s="16">
        <v>29.645281000000001</v>
      </c>
      <c r="E120" s="14">
        <f>Table134681112[[#This Row],[PMI]]-B108</f>
        <v>4.5</v>
      </c>
      <c r="F120" s="61">
        <f>(Table134681112[[#This Row],[EWU]]-D108)/D108</f>
        <v>0.21428112965208732</v>
      </c>
    </row>
    <row r="121" spans="1:6" x14ac:dyDescent="0.2">
      <c r="A121" s="15">
        <v>41821</v>
      </c>
      <c r="B121" s="14">
        <v>55.4</v>
      </c>
      <c r="C121" s="30">
        <f>Table134681112[[#This Row],[PMI]]-B120</f>
        <v>-2.1000000000000014</v>
      </c>
      <c r="D121" s="16">
        <v>30.356290999999999</v>
      </c>
      <c r="E121" s="14">
        <f>Table134681112[[#This Row],[PMI]]-B109</f>
        <v>0.69999999999999574</v>
      </c>
      <c r="F121" s="61">
        <f>(Table134681112[[#This Row],[EWU]]-D109)/D109</f>
        <v>0.15156115728434918</v>
      </c>
    </row>
    <row r="122" spans="1:6" x14ac:dyDescent="0.2">
      <c r="A122" s="15">
        <v>41852</v>
      </c>
      <c r="B122" s="14">
        <v>52.5</v>
      </c>
      <c r="C122" s="30">
        <f>Table134681112[[#This Row],[PMI]]-B121</f>
        <v>-2.8999999999999986</v>
      </c>
      <c r="D122" s="16">
        <v>30.594605999999999</v>
      </c>
      <c r="E122" s="14">
        <f>Table134681112[[#This Row],[PMI]]-B110</f>
        <v>-4.7999999999999972</v>
      </c>
      <c r="F122" s="61">
        <f>(Table134681112[[#This Row],[EWU]]-D110)/D110</f>
        <v>0.16931390335002139</v>
      </c>
    </row>
    <row r="123" spans="1:6" x14ac:dyDescent="0.2">
      <c r="A123" s="15">
        <v>41883</v>
      </c>
      <c r="B123" s="14">
        <v>51.6</v>
      </c>
      <c r="C123" s="30">
        <f>Table134681112[[#This Row],[PMI]]-B122</f>
        <v>-0.89999999999999858</v>
      </c>
      <c r="D123" s="16">
        <v>28.866773999999999</v>
      </c>
      <c r="E123" s="14">
        <f>Table134681112[[#This Row],[PMI]]-B111</f>
        <v>-5.1000000000000014</v>
      </c>
      <c r="F123" s="61">
        <f>(Table134681112[[#This Row],[EWU]]-D111)/D111</f>
        <v>4.873165400049375E-2</v>
      </c>
    </row>
    <row r="124" spans="1:6" x14ac:dyDescent="0.2">
      <c r="A124" s="15">
        <v>41913</v>
      </c>
      <c r="B124" s="14">
        <v>53.2</v>
      </c>
      <c r="C124" s="30">
        <f>Table134681112[[#This Row],[PMI]]-B123</f>
        <v>1.6000000000000014</v>
      </c>
      <c r="D124" s="16">
        <v>28.315653000000001</v>
      </c>
      <c r="E124" s="14">
        <f>Table134681112[[#This Row],[PMI]]-B112</f>
        <v>-3.2999999999999972</v>
      </c>
      <c r="F124" s="61">
        <f>(Table134681112[[#This Row],[EWU]]-D112)/D112</f>
        <v>-8.1926337960714513E-3</v>
      </c>
    </row>
    <row r="125" spans="1:6" x14ac:dyDescent="0.2">
      <c r="A125" s="15">
        <v>41944</v>
      </c>
      <c r="B125" s="14">
        <v>53.5</v>
      </c>
      <c r="C125" s="30">
        <f>Table134681112[[#This Row],[PMI]]-B124</f>
        <v>0.29999999999999716</v>
      </c>
      <c r="D125" s="16">
        <v>28.345448000000001</v>
      </c>
      <c r="E125" s="14">
        <f>Table134681112[[#This Row],[PMI]]-B113</f>
        <v>-4.6000000000000014</v>
      </c>
      <c r="F125" s="61">
        <f>(Table134681112[[#This Row],[EWU]]-D113)/D113</f>
        <v>-1.489464787115127E-2</v>
      </c>
    </row>
    <row r="126" spans="1:6" x14ac:dyDescent="0.2">
      <c r="A126" s="15">
        <v>41974</v>
      </c>
      <c r="B126" s="14">
        <v>52.5</v>
      </c>
      <c r="C126" s="30">
        <f>Table134681112[[#This Row],[PMI]]-B125</f>
        <v>-1</v>
      </c>
      <c r="D126" s="16">
        <v>26.855930000000001</v>
      </c>
      <c r="E126" s="14">
        <f>Table134681112[[#This Row],[PMI]]-B114</f>
        <v>-4.7999999999999972</v>
      </c>
      <c r="F126" s="61">
        <f>(Table134681112[[#This Row],[EWU]]-D114)/D114</f>
        <v>-8.3199644312214646E-2</v>
      </c>
    </row>
    <row r="127" spans="1:6" x14ac:dyDescent="0.2">
      <c r="A127" s="15">
        <v>42005</v>
      </c>
      <c r="B127" s="14">
        <v>53</v>
      </c>
      <c r="C127" s="30">
        <f>Table134681112[[#This Row],[PMI]]-B126</f>
        <v>0.5</v>
      </c>
      <c r="D127" s="16">
        <v>27.40794</v>
      </c>
      <c r="E127" s="14">
        <f>Table134681112[[#This Row],[PMI]]-B115</f>
        <v>-3.7000000000000028</v>
      </c>
      <c r="F127" s="61">
        <f>(Table134681112[[#This Row],[EWU]]-D115)/D115</f>
        <v>-3.042802833244929E-2</v>
      </c>
    </row>
    <row r="128" spans="1:6" x14ac:dyDescent="0.2">
      <c r="A128" s="15">
        <v>42036</v>
      </c>
      <c r="B128" s="14">
        <v>54.1</v>
      </c>
      <c r="C128" s="30">
        <f>Table134681112[[#This Row],[PMI]]-B127</f>
        <v>1.1000000000000014</v>
      </c>
      <c r="D128" s="16">
        <v>29.018381000000002</v>
      </c>
      <c r="E128" s="14">
        <f>Table134681112[[#This Row],[PMI]]-B116</f>
        <v>-2.7999999999999972</v>
      </c>
      <c r="F128" s="61">
        <f>(Table134681112[[#This Row],[EWU]]-D116)/D116</f>
        <v>-3.8642499401271381E-2</v>
      </c>
    </row>
    <row r="129" spans="1:6" x14ac:dyDescent="0.2">
      <c r="A129" s="15">
        <v>42064</v>
      </c>
      <c r="B129" s="14">
        <v>54.4</v>
      </c>
      <c r="C129" s="30">
        <f>Table134681112[[#This Row],[PMI]]-B128</f>
        <v>0.29999999999999716</v>
      </c>
      <c r="D129" s="16">
        <v>27.362354</v>
      </c>
      <c r="E129" s="14">
        <f>Table134681112[[#This Row],[PMI]]-B117</f>
        <v>-0.89999999999999858</v>
      </c>
      <c r="F129" s="61">
        <f>(Table134681112[[#This Row],[EWU]]-D117)/D117</f>
        <v>-6.4008222609775497E-2</v>
      </c>
    </row>
    <row r="130" spans="1:6" x14ac:dyDescent="0.2">
      <c r="A130" s="15">
        <v>42095</v>
      </c>
      <c r="B130" s="14">
        <v>51.9</v>
      </c>
      <c r="C130" s="30">
        <f>Table134681112[[#This Row],[PMI]]-B129</f>
        <v>-2.5</v>
      </c>
      <c r="D130" s="16">
        <v>29.185503000000001</v>
      </c>
      <c r="E130" s="14">
        <f>Table134681112[[#This Row],[PMI]]-B118</f>
        <v>-5.3999999999999986</v>
      </c>
      <c r="F130" s="61">
        <f>(Table134681112[[#This Row],[EWU]]-D118)/D118</f>
        <v>-4.4787922845068405E-2</v>
      </c>
    </row>
    <row r="131" spans="1:6" x14ac:dyDescent="0.2">
      <c r="A131" s="15">
        <v>42125</v>
      </c>
      <c r="B131" s="14">
        <v>52.2</v>
      </c>
      <c r="C131" s="30">
        <f>Table134681112[[#This Row],[PMI]]-B130</f>
        <v>0.30000000000000426</v>
      </c>
      <c r="D131" s="16">
        <v>29.367815</v>
      </c>
      <c r="E131" s="14">
        <f>Table134681112[[#This Row],[PMI]]-B119</f>
        <v>-4.7999999999999972</v>
      </c>
      <c r="F131" s="61">
        <f>(Table134681112[[#This Row],[EWU]]-D119)/D119</f>
        <v>-4.8109814487854716E-2</v>
      </c>
    </row>
    <row r="132" spans="1:6" x14ac:dyDescent="0.2">
      <c r="A132" s="15">
        <v>42156</v>
      </c>
      <c r="B132" s="14">
        <v>51.9</v>
      </c>
      <c r="C132" s="30">
        <f>Table134681112[[#This Row],[PMI]]-B131</f>
        <v>-0.30000000000000426</v>
      </c>
      <c r="D132" s="16">
        <v>27.726986</v>
      </c>
      <c r="E132" s="14">
        <f>Table134681112[[#This Row],[PMI]]-B120</f>
        <v>-5.6000000000000014</v>
      </c>
      <c r="F132" s="61">
        <f>(Table134681112[[#This Row],[EWU]]-D120)/D120</f>
        <v>-6.470827515515877E-2</v>
      </c>
    </row>
    <row r="133" spans="1:6" x14ac:dyDescent="0.2">
      <c r="A133" s="15">
        <v>42186</v>
      </c>
      <c r="B133" s="14">
        <v>52.5</v>
      </c>
      <c r="C133" s="30">
        <f>Table134681112[[#This Row],[PMI]]-B132</f>
        <v>0.60000000000000142</v>
      </c>
      <c r="D133" s="16">
        <v>28.681118000000001</v>
      </c>
      <c r="E133" s="14">
        <f>Table134681112[[#This Row],[PMI]]-B121</f>
        <v>-2.8999999999999986</v>
      </c>
      <c r="F133" s="61">
        <f>(Table134681112[[#This Row],[EWU]]-D121)/D121</f>
        <v>-5.5183717931811808E-2</v>
      </c>
    </row>
    <row r="134" spans="1:6" x14ac:dyDescent="0.2">
      <c r="A134" s="15">
        <v>42217</v>
      </c>
      <c r="B134" s="14">
        <v>51.6</v>
      </c>
      <c r="C134" s="30">
        <f>Table134681112[[#This Row],[PMI]]-B133</f>
        <v>-0.89999999999999858</v>
      </c>
      <c r="D134" s="16">
        <v>26.391573000000001</v>
      </c>
      <c r="E134" s="14">
        <f>Table134681112[[#This Row],[PMI]]-B122</f>
        <v>-0.89999999999999858</v>
      </c>
      <c r="F134" s="61">
        <f>(Table134681112[[#This Row],[EWU]]-D122)/D122</f>
        <v>-0.13737823588903214</v>
      </c>
    </row>
    <row r="135" spans="1:6" x14ac:dyDescent="0.2">
      <c r="A135" s="15">
        <v>42248</v>
      </c>
      <c r="B135" s="14">
        <v>51.6</v>
      </c>
      <c r="C135" s="30">
        <f>Table134681112[[#This Row],[PMI]]-B134</f>
        <v>0</v>
      </c>
      <c r="D135" s="16">
        <v>25.355098999999999</v>
      </c>
      <c r="E135" s="14">
        <f>Table134681112[[#This Row],[PMI]]-B123</f>
        <v>0</v>
      </c>
      <c r="F135" s="61">
        <f>(Table134681112[[#This Row],[EWU]]-D123)/D123</f>
        <v>-0.12165110656286014</v>
      </c>
    </row>
    <row r="136" spans="1:6" x14ac:dyDescent="0.2">
      <c r="A136" s="15">
        <v>42278</v>
      </c>
      <c r="B136" s="14">
        <v>54.3</v>
      </c>
      <c r="C136" s="30">
        <f>Table134681112[[#This Row],[PMI]]-B135</f>
        <v>2.6999999999999957</v>
      </c>
      <c r="D136" s="16">
        <v>27.025841</v>
      </c>
      <c r="E136" s="14">
        <f>Table134681112[[#This Row],[PMI]]-B124</f>
        <v>1.0999999999999943</v>
      </c>
      <c r="F136" s="61">
        <f>(Table134681112[[#This Row],[EWU]]-D124)/D124</f>
        <v>-4.5551200955881228E-2</v>
      </c>
    </row>
    <row r="137" spans="1:6" x14ac:dyDescent="0.2">
      <c r="A137" s="15">
        <v>42309</v>
      </c>
      <c r="B137" s="14">
        <v>52.3</v>
      </c>
      <c r="C137" s="30">
        <f>Table134681112[[#This Row],[PMI]]-B136</f>
        <v>-2</v>
      </c>
      <c r="D137" s="16">
        <v>26.577214999999999</v>
      </c>
      <c r="E137" s="14">
        <f>Table134681112[[#This Row],[PMI]]-B125</f>
        <v>-1.2000000000000028</v>
      </c>
      <c r="F137" s="61">
        <f>(Table134681112[[#This Row],[EWU]]-D125)/D125</f>
        <v>-6.2381550646156733E-2</v>
      </c>
    </row>
    <row r="138" spans="1:6" x14ac:dyDescent="0.2">
      <c r="A138" s="15">
        <v>42339</v>
      </c>
      <c r="B138" s="14">
        <v>51</v>
      </c>
      <c r="C138" s="30">
        <f>Table134681112[[#This Row],[PMI]]-B137</f>
        <v>-1.2999999999999972</v>
      </c>
      <c r="D138" s="16">
        <v>24.968349</v>
      </c>
      <c r="E138" s="14">
        <f>Table134681112[[#This Row],[PMI]]-B126</f>
        <v>-1.5</v>
      </c>
      <c r="F138" s="61">
        <f>(Table134681112[[#This Row],[EWU]]-D126)/D126</f>
        <v>-7.0285445337398514E-2</v>
      </c>
    </row>
    <row r="139" spans="1:6" x14ac:dyDescent="0.2">
      <c r="A139" s="15">
        <v>42370</v>
      </c>
      <c r="B139" s="14">
        <v>52.2</v>
      </c>
      <c r="C139" s="30">
        <f>Table134681112[[#This Row],[PMI]]-B138</f>
        <v>1.2000000000000028</v>
      </c>
      <c r="D139" s="16">
        <v>24.239232999999999</v>
      </c>
      <c r="E139" s="14">
        <f>Table134681112[[#This Row],[PMI]]-B127</f>
        <v>-0.79999999999999716</v>
      </c>
      <c r="F139" s="61">
        <f>(Table134681112[[#This Row],[EWU]]-D127)/D127</f>
        <v>-0.11561273849840599</v>
      </c>
    </row>
    <row r="140" spans="1:6" x14ac:dyDescent="0.2">
      <c r="A140" s="15">
        <v>42401</v>
      </c>
      <c r="B140" s="14">
        <v>50.8</v>
      </c>
      <c r="C140" s="30">
        <f>Table134681112[[#This Row],[PMI]]-B139</f>
        <v>-1.4000000000000057</v>
      </c>
      <c r="D140" s="16">
        <v>23.481757999999999</v>
      </c>
      <c r="E140" s="14">
        <f>Table134681112[[#This Row],[PMI]]-B128</f>
        <v>-3.3000000000000043</v>
      </c>
      <c r="F140" s="61">
        <f>(Table134681112[[#This Row],[EWU]]-D128)/D128</f>
        <v>-0.19079710201613254</v>
      </c>
    </row>
    <row r="141" spans="1:6" x14ac:dyDescent="0.2">
      <c r="A141" s="15">
        <v>42430</v>
      </c>
      <c r="B141" s="14">
        <v>51.1</v>
      </c>
      <c r="C141" s="30">
        <f>Table134681112[[#This Row],[PMI]]-B140</f>
        <v>0.30000000000000426</v>
      </c>
      <c r="D141" s="16">
        <v>24.744221</v>
      </c>
      <c r="E141" s="14">
        <f>Table134681112[[#This Row],[PMI]]-B129</f>
        <v>-3.2999999999999972</v>
      </c>
      <c r="F141" s="61">
        <f>(Table134681112[[#This Row],[EWU]]-D129)/D129</f>
        <v>-9.5683763173300088E-2</v>
      </c>
    </row>
    <row r="142" spans="1:6" x14ac:dyDescent="0.2">
      <c r="A142" s="15">
        <v>42461</v>
      </c>
      <c r="B142" s="14">
        <v>50</v>
      </c>
      <c r="C142" s="30">
        <f>Table134681112[[#This Row],[PMI]]-B141</f>
        <v>-1.1000000000000014</v>
      </c>
      <c r="D142" s="16">
        <v>25.738405</v>
      </c>
      <c r="E142" s="14">
        <f>Table134681112[[#This Row],[PMI]]-B130</f>
        <v>-1.8999999999999986</v>
      </c>
      <c r="F142" s="61">
        <f>(Table134681112[[#This Row],[EWU]]-D130)/D130</f>
        <v>-0.11810993971904478</v>
      </c>
    </row>
    <row r="143" spans="1:6" x14ac:dyDescent="0.2">
      <c r="A143" s="15">
        <v>42491</v>
      </c>
      <c r="B143" s="14">
        <v>50.7</v>
      </c>
      <c r="C143" s="30">
        <f>Table134681112[[#This Row],[PMI]]-B142</f>
        <v>0.70000000000000284</v>
      </c>
      <c r="D143" s="16">
        <v>25.438572000000001</v>
      </c>
      <c r="E143" s="14">
        <f>Table134681112[[#This Row],[PMI]]-B131</f>
        <v>-1.5</v>
      </c>
      <c r="F143" s="61">
        <f>(Table134681112[[#This Row],[EWU]]-D131)/D131</f>
        <v>-0.13379418931915771</v>
      </c>
    </row>
    <row r="144" spans="1:6" x14ac:dyDescent="0.2">
      <c r="A144" s="15">
        <v>42522</v>
      </c>
      <c r="B144" s="14">
        <v>53.2</v>
      </c>
      <c r="C144" s="30">
        <f>Table134681112[[#This Row],[PMI]]-B143</f>
        <v>2.5</v>
      </c>
      <c r="D144" s="16">
        <v>24.255013000000002</v>
      </c>
      <c r="E144" s="14">
        <f>Table134681112[[#This Row],[PMI]]-B132</f>
        <v>1.3000000000000043</v>
      </c>
      <c r="F144" s="61">
        <f>(Table134681112[[#This Row],[EWU]]-D132)/D132</f>
        <v>-0.12521999325855318</v>
      </c>
    </row>
    <row r="145" spans="1:6" x14ac:dyDescent="0.2">
      <c r="A145" s="15">
        <v>42552</v>
      </c>
      <c r="B145" s="14">
        <v>48.5</v>
      </c>
      <c r="C145" s="30">
        <f>Table134681112[[#This Row],[PMI]]-B144</f>
        <v>-4.7000000000000028</v>
      </c>
      <c r="D145" s="16">
        <v>25.230651999999999</v>
      </c>
      <c r="E145" s="14">
        <f>Table134681112[[#This Row],[PMI]]-B133</f>
        <v>-4</v>
      </c>
      <c r="F145" s="61">
        <f>(Table134681112[[#This Row],[EWU]]-D133)/D133</f>
        <v>-0.1203044455937876</v>
      </c>
    </row>
    <row r="146" spans="1:6" x14ac:dyDescent="0.2">
      <c r="A146" s="15">
        <v>42583</v>
      </c>
      <c r="B146" s="14">
        <v>53.2</v>
      </c>
      <c r="C146" s="30">
        <f>Table134681112[[#This Row],[PMI]]-B145</f>
        <v>4.7000000000000028</v>
      </c>
      <c r="D146" s="16">
        <v>25.505602</v>
      </c>
      <c r="E146" s="14">
        <f>Table134681112[[#This Row],[PMI]]-B134</f>
        <v>1.6000000000000014</v>
      </c>
      <c r="F146" s="61">
        <f>(Table134681112[[#This Row],[EWU]]-D134)/D134</f>
        <v>-3.3570223343640841E-2</v>
      </c>
    </row>
    <row r="147" spans="1:6" x14ac:dyDescent="0.2">
      <c r="A147" s="15">
        <v>42614</v>
      </c>
      <c r="B147" s="14">
        <v>55.6</v>
      </c>
      <c r="C147" s="30">
        <f>Table134681112[[#This Row],[PMI]]-B146</f>
        <v>2.3999999999999986</v>
      </c>
      <c r="D147" s="16">
        <v>25.618811000000001</v>
      </c>
      <c r="E147" s="14">
        <f>Table134681112[[#This Row],[PMI]]-B135</f>
        <v>4</v>
      </c>
      <c r="F147" s="61">
        <f>(Table134681112[[#This Row],[EWU]]-D135)/D135</f>
        <v>1.0400748188756893E-2</v>
      </c>
    </row>
    <row r="148" spans="1:6" x14ac:dyDescent="0.2">
      <c r="A148" s="15">
        <v>42644</v>
      </c>
      <c r="B148" s="14">
        <v>53.8</v>
      </c>
      <c r="C148" s="30">
        <f>Table134681112[[#This Row],[PMI]]-B147</f>
        <v>-1.8000000000000043</v>
      </c>
      <c r="D148" s="16">
        <v>24.260242000000002</v>
      </c>
      <c r="E148" s="14">
        <f>Table134681112[[#This Row],[PMI]]-B136</f>
        <v>-0.5</v>
      </c>
      <c r="F148" s="61">
        <f>(Table134681112[[#This Row],[EWU]]-D136)/D136</f>
        <v>-0.10233165361995573</v>
      </c>
    </row>
    <row r="149" spans="1:6" x14ac:dyDescent="0.2">
      <c r="A149" s="15">
        <v>42675</v>
      </c>
      <c r="B149" s="14">
        <v>53.2</v>
      </c>
      <c r="C149" s="30">
        <f>Table134681112[[#This Row],[PMI]]-B148</f>
        <v>-0.59999999999999432</v>
      </c>
      <c r="D149" s="16">
        <v>24.308758000000001</v>
      </c>
      <c r="E149" s="14">
        <f>Table134681112[[#This Row],[PMI]]-B137</f>
        <v>0.90000000000000568</v>
      </c>
      <c r="F149" s="61">
        <f>(Table134681112[[#This Row],[EWU]]-D137)/D137</f>
        <v>-8.5353450314489238E-2</v>
      </c>
    </row>
    <row r="150" spans="1:6" x14ac:dyDescent="0.2">
      <c r="A150" s="15">
        <v>42705</v>
      </c>
      <c r="B150" s="14">
        <v>55.6</v>
      </c>
      <c r="C150" s="30">
        <f>Table134681112[[#This Row],[PMI]]-B149</f>
        <v>2.3999999999999986</v>
      </c>
      <c r="D150" s="16">
        <v>24.818224000000001</v>
      </c>
      <c r="E150" s="14">
        <f>Table134681112[[#This Row],[PMI]]-B138</f>
        <v>4.6000000000000014</v>
      </c>
      <c r="F150" s="61">
        <f>(Table134681112[[#This Row],[EWU]]-D138)/D138</f>
        <v>-6.0126122075592255E-3</v>
      </c>
    </row>
    <row r="151" spans="1:6" x14ac:dyDescent="0.2">
      <c r="A151" s="15">
        <v>42736</v>
      </c>
      <c r="B151" s="14">
        <v>55.2</v>
      </c>
      <c r="C151" s="30">
        <f>Table134681112[[#This Row],[PMI]]-B150</f>
        <v>-0.39999999999999858</v>
      </c>
      <c r="D151" s="16">
        <v>25.784966000000001</v>
      </c>
      <c r="E151" s="14">
        <f>Table134681112[[#This Row],[PMI]]-B139</f>
        <v>3</v>
      </c>
      <c r="F151" s="61">
        <f>(Table134681112[[#This Row],[EWU]]-D139)/D139</f>
        <v>6.3769880837401177E-2</v>
      </c>
    </row>
    <row r="152" spans="1:6" x14ac:dyDescent="0.2">
      <c r="A152" s="15">
        <v>42767</v>
      </c>
      <c r="B152" s="14">
        <v>54.5</v>
      </c>
      <c r="C152" s="30">
        <f>Table134681112[[#This Row],[PMI]]-B151</f>
        <v>-0.70000000000000284</v>
      </c>
      <c r="D152" s="16">
        <v>26.162106000000001</v>
      </c>
      <c r="E152" s="14">
        <f>Table134681112[[#This Row],[PMI]]-B140</f>
        <v>3.7000000000000028</v>
      </c>
      <c r="F152" s="61">
        <f>(Table134681112[[#This Row],[EWU]]-D140)/D140</f>
        <v>0.114145968117038</v>
      </c>
    </row>
    <row r="153" spans="1:6" x14ac:dyDescent="0.2">
      <c r="A153" s="15">
        <v>42795</v>
      </c>
      <c r="B153" s="14">
        <v>54.1</v>
      </c>
      <c r="C153" s="30">
        <f>Table134681112[[#This Row],[PMI]]-B152</f>
        <v>-0.39999999999999858</v>
      </c>
      <c r="D153" s="16">
        <v>26.686820999999998</v>
      </c>
      <c r="E153" s="14">
        <f>Table134681112[[#This Row],[PMI]]-B141</f>
        <v>3</v>
      </c>
      <c r="F153" s="61">
        <f>(Table134681112[[#This Row],[EWU]]-D141)/D141</f>
        <v>7.8507219928240973E-2</v>
      </c>
    </row>
    <row r="154" spans="1:6" x14ac:dyDescent="0.2">
      <c r="A154" s="15">
        <v>42826</v>
      </c>
      <c r="B154" s="14">
        <v>57.8</v>
      </c>
      <c r="C154" s="30">
        <f>Table134681112[[#This Row],[PMI]]-B153</f>
        <v>3.6999999999999957</v>
      </c>
      <c r="D154" s="16">
        <v>27.137748999999999</v>
      </c>
      <c r="E154" s="14">
        <f>Table134681112[[#This Row],[PMI]]-B142</f>
        <v>7.7999999999999972</v>
      </c>
      <c r="F154" s="61">
        <f>(Table134681112[[#This Row],[EWU]]-D142)/D142</f>
        <v>5.4367937717974338E-2</v>
      </c>
    </row>
    <row r="155" spans="1:6" x14ac:dyDescent="0.2">
      <c r="A155" s="15">
        <v>42856</v>
      </c>
      <c r="B155" s="14">
        <v>56.6</v>
      </c>
      <c r="C155" s="30">
        <f>Table134681112[[#This Row],[PMI]]-B154</f>
        <v>-1.1999999999999957</v>
      </c>
      <c r="D155" s="16">
        <v>28.375755000000002</v>
      </c>
      <c r="E155" s="14">
        <f>Table134681112[[#This Row],[PMI]]-B143</f>
        <v>5.8999999999999986</v>
      </c>
      <c r="F155" s="61">
        <f>(Table134681112[[#This Row],[EWU]]-D143)/D143</f>
        <v>0.11546178771355566</v>
      </c>
    </row>
    <row r="156" spans="1:6" x14ac:dyDescent="0.2">
      <c r="A156" s="15">
        <v>42887</v>
      </c>
      <c r="B156" s="14">
        <v>54.4</v>
      </c>
      <c r="C156" s="30">
        <f>Table134681112[[#This Row],[PMI]]-B155</f>
        <v>-2.2000000000000028</v>
      </c>
      <c r="D156" s="16">
        <v>27.326324</v>
      </c>
      <c r="E156" s="14">
        <f>Table134681112[[#This Row],[PMI]]-B144</f>
        <v>1.1999999999999957</v>
      </c>
      <c r="F156" s="61">
        <f>(Table134681112[[#This Row],[EWU]]-D144)/D144</f>
        <v>0.12662582370085712</v>
      </c>
    </row>
    <row r="157" spans="1:6" x14ac:dyDescent="0.2">
      <c r="A157" s="15">
        <v>42917</v>
      </c>
      <c r="B157" s="14">
        <v>55.3</v>
      </c>
      <c r="C157" s="30">
        <f>Table134681112[[#This Row],[PMI]]-B156</f>
        <v>0.89999999999999858</v>
      </c>
      <c r="D157" s="16">
        <v>28.59103</v>
      </c>
      <c r="E157" s="14">
        <f>Table134681112[[#This Row],[PMI]]-B145</f>
        <v>6.7999999999999972</v>
      </c>
      <c r="F157" s="61">
        <f>(Table134681112[[#This Row],[EWU]]-D145)/D145</f>
        <v>0.13318633224381204</v>
      </c>
    </row>
    <row r="158" spans="1:6" x14ac:dyDescent="0.2">
      <c r="A158" s="15">
        <v>42948</v>
      </c>
      <c r="B158" s="14">
        <v>56.8</v>
      </c>
      <c r="C158" s="30">
        <f>Table134681112[[#This Row],[PMI]]-B157</f>
        <v>1.5</v>
      </c>
      <c r="D158" s="16">
        <v>28.356411000000001</v>
      </c>
      <c r="E158" s="14">
        <f>Table134681112[[#This Row],[PMI]]-B146</f>
        <v>3.5999999999999943</v>
      </c>
      <c r="F158" s="61">
        <f>(Table134681112[[#This Row],[EWU]]-D146)/D146</f>
        <v>0.11177187662537828</v>
      </c>
    </row>
    <row r="159" spans="1:6" x14ac:dyDescent="0.2">
      <c r="A159" s="15">
        <v>42979</v>
      </c>
      <c r="B159" s="14">
        <v>56</v>
      </c>
      <c r="C159" s="30">
        <f>Table134681112[[#This Row],[PMI]]-B158</f>
        <v>-0.79999999999999716</v>
      </c>
      <c r="D159" s="16">
        <v>29.202745</v>
      </c>
      <c r="E159" s="14">
        <f>Table134681112[[#This Row],[PMI]]-B147</f>
        <v>0.39999999999999858</v>
      </c>
      <c r="F159" s="61">
        <f>(Table134681112[[#This Row],[EWU]]-D147)/D147</f>
        <v>0.13989462664758326</v>
      </c>
    </row>
    <row r="160" spans="1:6" x14ac:dyDescent="0.2">
      <c r="A160" s="15">
        <v>43009</v>
      </c>
      <c r="B160" s="14">
        <v>56.2</v>
      </c>
      <c r="C160" s="30">
        <f>Table134681112[[#This Row],[PMI]]-B159</f>
        <v>0.20000000000000284</v>
      </c>
      <c r="D160" s="16">
        <v>29.378710000000002</v>
      </c>
      <c r="E160" s="14">
        <f>Table134681112[[#This Row],[PMI]]-B148</f>
        <v>2.4000000000000057</v>
      </c>
      <c r="F160" s="61">
        <f>(Table134681112[[#This Row],[EWU]]-D148)/D148</f>
        <v>0.21098173711540055</v>
      </c>
    </row>
    <row r="161" spans="1:6" x14ac:dyDescent="0.2">
      <c r="A161" s="15">
        <v>43040</v>
      </c>
      <c r="B161" s="14">
        <v>58.3</v>
      </c>
      <c r="C161" s="30">
        <f>Table134681112[[#This Row],[PMI]]-B160</f>
        <v>2.0999999999999943</v>
      </c>
      <c r="D161" s="16">
        <v>29.345196000000001</v>
      </c>
      <c r="E161" s="14">
        <f>Table134681112[[#This Row],[PMI]]-B149</f>
        <v>5.0999999999999943</v>
      </c>
      <c r="F161" s="61">
        <f>(Table134681112[[#This Row],[EWU]]-D149)/D149</f>
        <v>0.20718615076920013</v>
      </c>
    </row>
    <row r="162" spans="1:6" x14ac:dyDescent="0.2">
      <c r="A162" s="15">
        <v>43070</v>
      </c>
      <c r="B162" s="14">
        <v>56</v>
      </c>
      <c r="C162" s="30">
        <f>Table134681112[[#This Row],[PMI]]-B161</f>
        <v>-2.2999999999999972</v>
      </c>
      <c r="D162" s="16">
        <v>30.015556</v>
      </c>
      <c r="E162" s="14">
        <f>Table134681112[[#This Row],[PMI]]-B150</f>
        <v>0.39999999999999858</v>
      </c>
      <c r="F162" s="61">
        <f>(Table134681112[[#This Row],[EWU]]-D150)/D150</f>
        <v>0.20941595176189881</v>
      </c>
    </row>
    <row r="163" spans="1:6" x14ac:dyDescent="0.2">
      <c r="A163" s="15">
        <v>43101</v>
      </c>
      <c r="B163" s="14">
        <v>55</v>
      </c>
      <c r="C163" s="30">
        <f>Table134681112[[#This Row],[PMI]]-B162</f>
        <v>-1</v>
      </c>
      <c r="D163" s="16">
        <v>31.725663999999998</v>
      </c>
      <c r="E163" s="14">
        <f>Table134681112[[#This Row],[PMI]]-B151</f>
        <v>-0.20000000000000284</v>
      </c>
      <c r="F163" s="61">
        <f>(Table134681112[[#This Row],[EWU]]-D151)/D151</f>
        <v>0.23039386594498504</v>
      </c>
    </row>
    <row r="164" spans="1:6" x14ac:dyDescent="0.2">
      <c r="A164" s="15">
        <v>43132</v>
      </c>
      <c r="B164" s="14">
        <v>54.9</v>
      </c>
      <c r="C164" s="30">
        <f>Table134681112[[#This Row],[PMI]]-B163</f>
        <v>-0.10000000000000142</v>
      </c>
      <c r="D164" s="16">
        <v>29.599810000000002</v>
      </c>
      <c r="E164" s="14">
        <f>Table134681112[[#This Row],[PMI]]-B152</f>
        <v>0.39999999999999858</v>
      </c>
      <c r="F164" s="61">
        <f>(Table134681112[[#This Row],[EWU]]-D152)/D152</f>
        <v>0.13140012505109488</v>
      </c>
    </row>
    <row r="165" spans="1:6" x14ac:dyDescent="0.2">
      <c r="A165" s="15">
        <v>43160</v>
      </c>
      <c r="B165" s="14">
        <v>54.9</v>
      </c>
      <c r="C165" s="30">
        <f>Table134681112[[#This Row],[PMI]]-B164</f>
        <v>0</v>
      </c>
      <c r="D165" s="16">
        <v>29.668108</v>
      </c>
      <c r="E165" s="14">
        <f>Table134681112[[#This Row],[PMI]]-B153</f>
        <v>0.79999999999999716</v>
      </c>
      <c r="F165" s="61">
        <f>(Table134681112[[#This Row],[EWU]]-D153)/D153</f>
        <v>0.11171383058326813</v>
      </c>
    </row>
    <row r="166" spans="1:6" x14ac:dyDescent="0.2">
      <c r="A166" s="15">
        <v>43191</v>
      </c>
      <c r="B166" s="14">
        <v>53.9</v>
      </c>
      <c r="C166" s="30">
        <f>Table134681112[[#This Row],[PMI]]-B165</f>
        <v>-1</v>
      </c>
      <c r="D166" s="16">
        <v>30.948746</v>
      </c>
      <c r="E166" s="14">
        <f>Table134681112[[#This Row],[PMI]]-B154</f>
        <v>-3.8999999999999986</v>
      </c>
      <c r="F166" s="61">
        <f>(Table134681112[[#This Row],[EWU]]-D154)/D154</f>
        <v>0.14043158111603141</v>
      </c>
    </row>
    <row r="167" spans="1:6" x14ac:dyDescent="0.2">
      <c r="A167" s="15">
        <v>43221</v>
      </c>
      <c r="B167" s="14">
        <v>54.4</v>
      </c>
      <c r="C167" s="30">
        <f>Table134681112[[#This Row],[PMI]]-B166</f>
        <v>0.5</v>
      </c>
      <c r="D167" s="16">
        <v>30.760918</v>
      </c>
      <c r="E167" s="14">
        <f>Table134681112[[#This Row],[PMI]]-B155</f>
        <v>-2.2000000000000028</v>
      </c>
      <c r="F167" s="61">
        <f>(Table134681112[[#This Row],[EWU]]-D155)/D155</f>
        <v>8.4056371363510796E-2</v>
      </c>
    </row>
    <row r="168" spans="1:6" x14ac:dyDescent="0.2">
      <c r="A168" s="15">
        <v>43252</v>
      </c>
      <c r="B168" s="14">
        <v>54.4</v>
      </c>
      <c r="C168" s="30">
        <f>Table134681112[[#This Row],[PMI]]-B167</f>
        <v>0</v>
      </c>
      <c r="D168" s="16">
        <v>29.693722000000001</v>
      </c>
      <c r="E168" s="14">
        <f>Table134681112[[#This Row],[PMI]]-B156</f>
        <v>0</v>
      </c>
      <c r="F168" s="61">
        <f>(Table134681112[[#This Row],[EWU]]-D156)/D156</f>
        <v>8.6634338376431516E-2</v>
      </c>
    </row>
    <row r="169" spans="1:6" x14ac:dyDescent="0.2">
      <c r="A169" s="15">
        <v>43282</v>
      </c>
      <c r="B169" s="14">
        <v>54</v>
      </c>
      <c r="C169" s="30">
        <f>Table134681112[[#This Row],[PMI]]-B168</f>
        <v>-0.39999999999999858</v>
      </c>
      <c r="D169" s="16">
        <v>30.683813000000001</v>
      </c>
      <c r="E169" s="14">
        <f>Table134681112[[#This Row],[PMI]]-B157</f>
        <v>-1.2999999999999972</v>
      </c>
      <c r="F169" s="61">
        <f>(Table134681112[[#This Row],[EWU]]-D157)/D157</f>
        <v>7.3197188069125202E-2</v>
      </c>
    </row>
    <row r="170" spans="1:6" x14ac:dyDescent="0.2">
      <c r="A170" s="15">
        <v>43313</v>
      </c>
      <c r="B170" s="14">
        <v>52.8</v>
      </c>
      <c r="C170" s="30">
        <f>Table134681112[[#This Row],[PMI]]-B169</f>
        <v>-1.2000000000000028</v>
      </c>
      <c r="D170" s="16">
        <v>29.337955000000001</v>
      </c>
      <c r="E170" s="14">
        <f>Table134681112[[#This Row],[PMI]]-B158</f>
        <v>-4</v>
      </c>
      <c r="F170" s="61">
        <f>(Table134681112[[#This Row],[EWU]]-D158)/D158</f>
        <v>3.4614535668847493E-2</v>
      </c>
    </row>
    <row r="171" spans="1:6" x14ac:dyDescent="0.2">
      <c r="A171" s="15">
        <v>43344</v>
      </c>
      <c r="B171" s="14">
        <v>53.8</v>
      </c>
      <c r="C171" s="30">
        <f>Table134681112[[#This Row],[PMI]]-B170</f>
        <v>1</v>
      </c>
      <c r="D171" s="16">
        <v>29.818615000000001</v>
      </c>
      <c r="E171" s="14">
        <f>Table134681112[[#This Row],[PMI]]-B159</f>
        <v>-2.2000000000000028</v>
      </c>
      <c r="F171" s="61">
        <f>(Table134681112[[#This Row],[EWU]]-D159)/D159</f>
        <v>2.1089455802870621E-2</v>
      </c>
    </row>
    <row r="172" spans="1:6" x14ac:dyDescent="0.2">
      <c r="A172" s="15">
        <v>43374</v>
      </c>
      <c r="B172" s="14">
        <v>51.1</v>
      </c>
      <c r="C172" s="30">
        <f>Table134681112[[#This Row],[PMI]]-B171</f>
        <v>-2.6999999999999957</v>
      </c>
      <c r="D172" s="16">
        <v>27.799833</v>
      </c>
      <c r="E172" s="14">
        <f>Table134681112[[#This Row],[PMI]]-B160</f>
        <v>-5.1000000000000014</v>
      </c>
      <c r="F172" s="61">
        <f>(Table134681112[[#This Row],[EWU]]-D160)/D160</f>
        <v>-5.3742216727691652E-2</v>
      </c>
    </row>
    <row r="173" spans="1:6" x14ac:dyDescent="0.2">
      <c r="A173" s="15">
        <v>43405</v>
      </c>
      <c r="B173" s="14">
        <v>53.1</v>
      </c>
      <c r="C173" s="30">
        <f>Table134681112[[#This Row],[PMI]]-B172</f>
        <v>2</v>
      </c>
      <c r="D173" s="16">
        <v>27.467735000000001</v>
      </c>
      <c r="E173" s="14">
        <f>Table134681112[[#This Row],[PMI]]-B161</f>
        <v>-5.1999999999999957</v>
      </c>
      <c r="F173" s="61">
        <f>(Table134681112[[#This Row],[EWU]]-D161)/D161</f>
        <v>-6.3978478794280341E-2</v>
      </c>
    </row>
    <row r="174" spans="1:6" x14ac:dyDescent="0.2">
      <c r="A174" s="15">
        <v>43435</v>
      </c>
      <c r="B174" s="14">
        <v>54.2</v>
      </c>
      <c r="C174" s="30">
        <f>Table134681112[[#This Row],[PMI]]-B173</f>
        <v>1.1000000000000014</v>
      </c>
      <c r="D174" s="16">
        <v>25.649958000000002</v>
      </c>
      <c r="E174" s="14">
        <f>Table134681112[[#This Row],[PMI]]-B162</f>
        <v>-1.7999999999999972</v>
      </c>
      <c r="F174" s="61">
        <f>(Table134681112[[#This Row],[EWU]]-D162)/D162</f>
        <v>-0.14544451550389401</v>
      </c>
    </row>
    <row r="175" spans="1:6" x14ac:dyDescent="0.2">
      <c r="A175" s="15">
        <v>43466</v>
      </c>
      <c r="B175" s="14">
        <v>52.8</v>
      </c>
      <c r="C175" s="30">
        <f>Table134681112[[#This Row],[PMI]]-B174</f>
        <v>-1.4000000000000057</v>
      </c>
      <c r="D175" s="16">
        <v>28.120259999999998</v>
      </c>
      <c r="E175" s="14">
        <f>Table134681112[[#This Row],[PMI]]-B163</f>
        <v>-2.2000000000000028</v>
      </c>
      <c r="F175" s="61">
        <f>(Table134681112[[#This Row],[EWU]]-D163)/D163</f>
        <v>-0.11364313761880603</v>
      </c>
    </row>
    <row r="176" spans="1:6" x14ac:dyDescent="0.2">
      <c r="A176" s="15">
        <v>43497</v>
      </c>
      <c r="B176" s="14">
        <v>52</v>
      </c>
      <c r="C176" s="30">
        <f>Table134681112[[#This Row],[PMI]]-B175</f>
        <v>-0.79999999999999716</v>
      </c>
      <c r="D176" s="16">
        <v>29.084688</v>
      </c>
      <c r="E176" s="14">
        <f>Table134681112[[#This Row],[PMI]]-B164</f>
        <v>-2.8999999999999986</v>
      </c>
      <c r="F176" s="61">
        <f>(Table134681112[[#This Row],[EWU]]-D164)/D164</f>
        <v>-1.7402881977958695E-2</v>
      </c>
    </row>
    <row r="177" spans="1:6" x14ac:dyDescent="0.2">
      <c r="A177" s="15">
        <v>43525</v>
      </c>
      <c r="B177" s="14">
        <v>55.1</v>
      </c>
      <c r="C177" s="30">
        <f>Table134681112[[#This Row],[PMI]]-B176</f>
        <v>3.1000000000000014</v>
      </c>
      <c r="D177" s="16">
        <v>29.477606000000002</v>
      </c>
      <c r="E177" s="14">
        <f>Table134681112[[#This Row],[PMI]]-B165</f>
        <v>0.20000000000000284</v>
      </c>
      <c r="F177" s="61">
        <f>(Table134681112[[#This Row],[EWU]]-D165)/D165</f>
        <v>-6.4211037657001457E-3</v>
      </c>
    </row>
    <row r="178" spans="1:6" x14ac:dyDescent="0.2">
      <c r="A178" s="15">
        <v>43556</v>
      </c>
      <c r="B178" s="14">
        <v>53.1</v>
      </c>
      <c r="C178" s="30">
        <f>Table134681112[[#This Row],[PMI]]-B177</f>
        <v>-2</v>
      </c>
      <c r="D178" s="16">
        <v>30.147345999999999</v>
      </c>
      <c r="E178" s="14">
        <f>Table134681112[[#This Row],[PMI]]-B166</f>
        <v>-0.79999999999999716</v>
      </c>
      <c r="F178" s="61">
        <f>(Table134681112[[#This Row],[EWU]]-D166)/D166</f>
        <v>-2.5894425577049261E-2</v>
      </c>
    </row>
    <row r="179" spans="1:6" x14ac:dyDescent="0.2">
      <c r="A179" s="15">
        <v>43586</v>
      </c>
      <c r="B179" s="14">
        <v>49.4</v>
      </c>
      <c r="C179" s="30">
        <f>Table134681112[[#This Row],[PMI]]-B178</f>
        <v>-3.7000000000000028</v>
      </c>
      <c r="D179" s="16">
        <v>28.298859</v>
      </c>
      <c r="E179" s="14">
        <f>Table134681112[[#This Row],[PMI]]-B167</f>
        <v>-5</v>
      </c>
      <c r="F179" s="61">
        <f>(Table134681112[[#This Row],[EWU]]-D167)/D167</f>
        <v>-8.0038541112459644E-2</v>
      </c>
    </row>
    <row r="180" spans="1:6" x14ac:dyDescent="0.2">
      <c r="A180" s="15">
        <v>43617</v>
      </c>
      <c r="B180" s="14">
        <v>48</v>
      </c>
      <c r="C180" s="30">
        <f>Table134681112[[#This Row],[PMI]]-B179</f>
        <v>-1.3999999999999986</v>
      </c>
      <c r="D180" s="16">
        <v>28.861443000000001</v>
      </c>
      <c r="E180" s="14">
        <f>Table134681112[[#This Row],[PMI]]-B168</f>
        <v>-6.3999999999999986</v>
      </c>
      <c r="F180" s="61">
        <f>(Table134681112[[#This Row],[EWU]]-D168)/D168</f>
        <v>-2.8028786691004913E-2</v>
      </c>
    </row>
    <row r="181" spans="1:6" x14ac:dyDescent="0.2">
      <c r="A181" s="15">
        <v>43647</v>
      </c>
      <c r="B181" s="14">
        <v>48</v>
      </c>
      <c r="C181" s="30">
        <f>Table134681112[[#This Row],[PMI]]-B180</f>
        <v>0</v>
      </c>
      <c r="D181" s="16">
        <v>28.885262000000001</v>
      </c>
      <c r="E181" s="14">
        <f>Table134681112[[#This Row],[PMI]]-B169</f>
        <v>-6</v>
      </c>
      <c r="F181" s="61">
        <f>(Table134681112[[#This Row],[EWU]]-D169)/D169</f>
        <v>-5.8615629028895458E-2</v>
      </c>
    </row>
    <row r="182" spans="1:6" x14ac:dyDescent="0.2">
      <c r="A182" s="15">
        <v>43678</v>
      </c>
      <c r="B182" s="14">
        <v>47.4</v>
      </c>
      <c r="C182" s="30">
        <f>Table134681112[[#This Row],[PMI]]-B181</f>
        <v>-0.60000000000000142</v>
      </c>
      <c r="D182" s="16">
        <v>27.786266000000001</v>
      </c>
      <c r="E182" s="14">
        <f>Table134681112[[#This Row],[PMI]]-B170</f>
        <v>-5.3999999999999986</v>
      </c>
      <c r="F182" s="61">
        <f>(Table134681112[[#This Row],[EWU]]-D170)/D170</f>
        <v>-5.2890155431760656E-2</v>
      </c>
    </row>
    <row r="183" spans="1:6" x14ac:dyDescent="0.2">
      <c r="A183" s="15">
        <v>43709</v>
      </c>
      <c r="B183" s="14">
        <v>48.3</v>
      </c>
      <c r="C183" s="30">
        <f>Table134681112[[#This Row],[PMI]]-B182</f>
        <v>0.89999999999999858</v>
      </c>
      <c r="D183" s="16">
        <v>28.784521000000002</v>
      </c>
      <c r="E183" s="14">
        <f>Table134681112[[#This Row],[PMI]]-B171</f>
        <v>-5.5</v>
      </c>
      <c r="F183" s="61">
        <f>(Table134681112[[#This Row],[EWU]]-D171)/D171</f>
        <v>-3.4679477903316422E-2</v>
      </c>
    </row>
    <row r="184" spans="1:6" x14ac:dyDescent="0.2">
      <c r="A184" s="15">
        <v>43739</v>
      </c>
      <c r="B184" s="14">
        <v>49.6</v>
      </c>
      <c r="C184" s="30">
        <f>Table134681112[[#This Row],[PMI]]-B183</f>
        <v>1.3000000000000043</v>
      </c>
      <c r="D184" s="16">
        <v>29.791929</v>
      </c>
      <c r="E184" s="14">
        <f>Table134681112[[#This Row],[PMI]]-B172</f>
        <v>-1.5</v>
      </c>
      <c r="F184" s="61">
        <f>(Table134681112[[#This Row],[EWU]]-D172)/D172</f>
        <v>7.1658559963291873E-2</v>
      </c>
    </row>
    <row r="185" spans="1:6" x14ac:dyDescent="0.2">
      <c r="A185" s="15">
        <v>43770</v>
      </c>
      <c r="B185" s="14">
        <v>48.9</v>
      </c>
      <c r="C185" s="30">
        <f>Table134681112[[#This Row],[PMI]]-B184</f>
        <v>-0.70000000000000284</v>
      </c>
      <c r="D185" s="16">
        <v>30.158266000000001</v>
      </c>
      <c r="E185" s="14">
        <f>Table134681112[[#This Row],[PMI]]-B173</f>
        <v>-4.2000000000000028</v>
      </c>
      <c r="F185" s="61">
        <f>(Table134681112[[#This Row],[EWU]]-D173)/D173</f>
        <v>9.7952415807127893E-2</v>
      </c>
    </row>
    <row r="186" spans="1:6" x14ac:dyDescent="0.2">
      <c r="A186" s="15">
        <v>43800</v>
      </c>
      <c r="B186" s="14">
        <v>47.5</v>
      </c>
      <c r="C186" s="30">
        <f>Table134681112[[#This Row],[PMI]]-B185</f>
        <v>-1.3999999999999986</v>
      </c>
      <c r="D186" s="16">
        <v>31.229786000000001</v>
      </c>
      <c r="E186" s="14">
        <f>Table134681112[[#This Row],[PMI]]-B174</f>
        <v>-6.7000000000000028</v>
      </c>
      <c r="F186" s="61">
        <f>(Table134681112[[#This Row],[EWU]]-D174)/D174</f>
        <v>0.2175375101978724</v>
      </c>
    </row>
    <row r="187" spans="1:6" x14ac:dyDescent="0.2">
      <c r="A187" s="15">
        <v>43831</v>
      </c>
      <c r="B187" s="14">
        <v>50</v>
      </c>
      <c r="C187" s="30">
        <f>Table134681112[[#This Row],[PMI]]-B186</f>
        <v>2.5</v>
      </c>
      <c r="D187" s="16">
        <v>30.427157999999999</v>
      </c>
      <c r="E187" s="14">
        <f>Table134681112[[#This Row],[PMI]]-B175</f>
        <v>-2.7999999999999972</v>
      </c>
      <c r="F187" s="61">
        <f>(Table134681112[[#This Row],[EWU]]-D175)/D175</f>
        <v>8.2036865946474191E-2</v>
      </c>
    </row>
    <row r="188" spans="1:6" x14ac:dyDescent="0.2">
      <c r="A188" s="15">
        <v>43862</v>
      </c>
      <c r="B188" s="14">
        <v>51.7</v>
      </c>
      <c r="C188" s="30">
        <f>Table134681112[[#This Row],[PMI]]-B187</f>
        <v>1.7000000000000028</v>
      </c>
      <c r="D188" s="16">
        <v>27.313594999999999</v>
      </c>
      <c r="E188" s="14">
        <f>Table134681112[[#This Row],[PMI]]-B176</f>
        <v>-0.29999999999999716</v>
      </c>
      <c r="F188" s="61">
        <f>(Table134681112[[#This Row],[EWU]]-D176)/D176</f>
        <v>-6.0894344130492321E-2</v>
      </c>
    </row>
    <row r="189" spans="1:6" x14ac:dyDescent="0.2">
      <c r="A189" s="15">
        <v>43891</v>
      </c>
      <c r="B189" s="14">
        <v>47.8</v>
      </c>
      <c r="C189" s="30">
        <f>Table134681112[[#This Row],[PMI]]-B188</f>
        <v>-3.9000000000000057</v>
      </c>
      <c r="D189" s="16">
        <v>22.261043999999998</v>
      </c>
      <c r="E189" s="14">
        <f>Table134681112[[#This Row],[PMI]]-B177</f>
        <v>-7.3000000000000043</v>
      </c>
      <c r="F189" s="61">
        <f>(Table134681112[[#This Row],[EWU]]-D177)/D177</f>
        <v>-0.24481506401842817</v>
      </c>
    </row>
    <row r="190" spans="1:6" x14ac:dyDescent="0.2">
      <c r="A190" s="15">
        <v>43922</v>
      </c>
      <c r="B190" s="14">
        <v>32.6</v>
      </c>
      <c r="C190" s="30">
        <f>Table134681112[[#This Row],[PMI]]-B189</f>
        <v>-15.199999999999996</v>
      </c>
      <c r="D190" s="16">
        <v>23.538166</v>
      </c>
      <c r="E190" s="14">
        <f>Table134681112[[#This Row],[PMI]]-B178</f>
        <v>-20.5</v>
      </c>
      <c r="F190" s="61">
        <f>(Table134681112[[#This Row],[EWU]]-D178)/D178</f>
        <v>-0.21922924823962942</v>
      </c>
    </row>
    <row r="191" spans="1:6" x14ac:dyDescent="0.2">
      <c r="A191" s="15">
        <v>43952</v>
      </c>
      <c r="B191" s="14">
        <v>40.700000000000003</v>
      </c>
      <c r="C191" s="30">
        <f>Table134681112[[#This Row],[PMI]]-B190</f>
        <v>8.1000000000000014</v>
      </c>
      <c r="D191" s="16">
        <v>23.985626</v>
      </c>
      <c r="E191" s="14">
        <f>Table134681112[[#This Row],[PMI]]-B179</f>
        <v>-8.6999999999999957</v>
      </c>
      <c r="F191" s="61">
        <f>(Table134681112[[#This Row],[EWU]]-D179)/D179</f>
        <v>-0.15241720523078334</v>
      </c>
    </row>
    <row r="192" spans="1:6" x14ac:dyDescent="0.2">
      <c r="A192" s="15">
        <v>43983</v>
      </c>
      <c r="B192" s="14">
        <v>50.1</v>
      </c>
      <c r="C192" s="30">
        <f>Table134681112[[#This Row],[PMI]]-B191</f>
        <v>9.3999999999999986</v>
      </c>
      <c r="D192" s="16">
        <v>24.013587999999999</v>
      </c>
      <c r="E192" s="14">
        <f>Table134681112[[#This Row],[PMI]]-B180</f>
        <v>2.1000000000000014</v>
      </c>
      <c r="F192" s="61">
        <f>(Table134681112[[#This Row],[EWU]]-D180)/D180</f>
        <v>-0.16796994523108225</v>
      </c>
    </row>
    <row r="193" spans="1:6" x14ac:dyDescent="0.2">
      <c r="A193" s="15">
        <v>44013</v>
      </c>
      <c r="B193" s="14">
        <v>53.3</v>
      </c>
      <c r="C193" s="30">
        <f>Table134681112[[#This Row],[PMI]]-B192</f>
        <v>3.1999999999999957</v>
      </c>
      <c r="D193" s="16">
        <v>24.541494</v>
      </c>
      <c r="E193" s="14">
        <f>Table134681112[[#This Row],[PMI]]-B181</f>
        <v>5.2999999999999972</v>
      </c>
      <c r="F193" s="61">
        <f>(Table134681112[[#This Row],[EWU]]-D181)/D181</f>
        <v>-0.15038007964061398</v>
      </c>
    </row>
    <row r="194" spans="1:6" x14ac:dyDescent="0.2">
      <c r="A194" s="15">
        <v>44044</v>
      </c>
      <c r="B194" s="14">
        <v>55.2</v>
      </c>
      <c r="C194" s="30">
        <f>Table134681112[[#This Row],[PMI]]-B193</f>
        <v>1.9000000000000057</v>
      </c>
      <c r="D194" s="16">
        <v>25.213474000000001</v>
      </c>
      <c r="E194" s="14">
        <f>Table134681112[[#This Row],[PMI]]-B182</f>
        <v>7.8000000000000043</v>
      </c>
      <c r="F194" s="61">
        <f>(Table134681112[[#This Row],[EWU]]-D182)/D182</f>
        <v>-9.2592218040380078E-2</v>
      </c>
    </row>
    <row r="195" spans="1:6" x14ac:dyDescent="0.2">
      <c r="A195" s="15">
        <v>44075</v>
      </c>
      <c r="B195" s="14">
        <v>54.1</v>
      </c>
      <c r="C195" s="30">
        <f>Table134681112[[#This Row],[PMI]]-B194</f>
        <v>-1.1000000000000014</v>
      </c>
      <c r="D195" s="16">
        <v>24.125057000000002</v>
      </c>
      <c r="E195" s="14">
        <f>Table134681112[[#This Row],[PMI]]-B183</f>
        <v>5.8000000000000043</v>
      </c>
      <c r="F195" s="61">
        <f>(Table134681112[[#This Row],[EWU]]-D183)/D183</f>
        <v>-0.16187394606983385</v>
      </c>
    </row>
    <row r="196" spans="1:6" x14ac:dyDescent="0.2">
      <c r="A196" s="15">
        <v>44105</v>
      </c>
      <c r="B196" s="14">
        <v>53.7</v>
      </c>
      <c r="C196" s="30">
        <f>Table134681112[[#This Row],[PMI]]-B195</f>
        <v>-0.39999999999999858</v>
      </c>
      <c r="D196" s="16">
        <v>23.036636000000001</v>
      </c>
      <c r="E196" s="14">
        <f>Table134681112[[#This Row],[PMI]]-B184</f>
        <v>4.1000000000000014</v>
      </c>
      <c r="F196" s="61">
        <f>(Table134681112[[#This Row],[EWU]]-D184)/D184</f>
        <v>-0.22674909704571322</v>
      </c>
    </row>
    <row r="197" spans="1:6" x14ac:dyDescent="0.2">
      <c r="A197" s="15">
        <v>44136</v>
      </c>
      <c r="B197" s="14">
        <v>55.6</v>
      </c>
      <c r="C197" s="30">
        <f>Table134681112[[#This Row],[PMI]]-B196</f>
        <v>1.8999999999999986</v>
      </c>
      <c r="D197" s="16">
        <v>26.746728999999998</v>
      </c>
      <c r="E197" s="14">
        <f>Table134681112[[#This Row],[PMI]]-B185</f>
        <v>6.7000000000000028</v>
      </c>
      <c r="F197" s="61">
        <f>(Table134681112[[#This Row],[EWU]]-D185)/D185</f>
        <v>-0.11312112573050462</v>
      </c>
    </row>
    <row r="198" spans="1:6" x14ac:dyDescent="0.2">
      <c r="A198" s="15">
        <v>44166</v>
      </c>
      <c r="B198" s="14">
        <v>57.5</v>
      </c>
      <c r="C198" s="30">
        <f>Table134681112[[#This Row],[PMI]]-B197</f>
        <v>1.8999999999999986</v>
      </c>
      <c r="D198" s="16">
        <v>27.721575000000001</v>
      </c>
      <c r="E198" s="14">
        <f>Table134681112[[#This Row],[PMI]]-B186</f>
        <v>10</v>
      </c>
      <c r="F198" s="61">
        <f>(Table134681112[[#This Row],[EWU]]-D186)/D186</f>
        <v>-0.11233541593912937</v>
      </c>
    </row>
    <row r="199" spans="1:6" x14ac:dyDescent="0.2">
      <c r="A199" s="15">
        <v>44197</v>
      </c>
      <c r="B199" s="14">
        <v>54.1</v>
      </c>
      <c r="C199" s="30">
        <f>Table134681112[[#This Row],[PMI]]-B198</f>
        <v>-3.3999999999999986</v>
      </c>
      <c r="D199" s="16">
        <v>27.971512000000001</v>
      </c>
      <c r="E199" s="14">
        <f>Table134681112[[#This Row],[PMI]]-B187</f>
        <v>4.1000000000000014</v>
      </c>
      <c r="F199" s="61">
        <f>(Table134681112[[#This Row],[EWU]]-D187)/D187</f>
        <v>-8.070573005865346E-2</v>
      </c>
    </row>
    <row r="200" spans="1:6" x14ac:dyDescent="0.2">
      <c r="A200" s="15">
        <v>44228</v>
      </c>
      <c r="B200" s="14">
        <v>55.1</v>
      </c>
      <c r="C200" s="30">
        <f>Table134681112[[#This Row],[PMI]]-B199</f>
        <v>1</v>
      </c>
      <c r="D200" s="16">
        <v>29.072375999999998</v>
      </c>
      <c r="E200" s="14">
        <f>Table134681112[[#This Row],[PMI]]-B188</f>
        <v>3.3999999999999986</v>
      </c>
      <c r="F200" s="61">
        <f>(Table134681112[[#This Row],[EWU]]-D188)/D188</f>
        <v>6.4392146108924839E-2</v>
      </c>
    </row>
    <row r="201" spans="1:6" x14ac:dyDescent="0.2">
      <c r="A201" s="15">
        <v>44256</v>
      </c>
      <c r="B201" s="14">
        <v>58.9</v>
      </c>
      <c r="C201" s="30">
        <f>Table134681112[[#This Row],[PMI]]-B200</f>
        <v>3.7999999999999972</v>
      </c>
      <c r="D201" s="16">
        <v>29.972211999999999</v>
      </c>
      <c r="E201" s="14">
        <f>Table134681112[[#This Row],[PMI]]-B189</f>
        <v>11.100000000000001</v>
      </c>
      <c r="F201" s="61">
        <f>(Table134681112[[#This Row],[EWU]]-D189)/D189</f>
        <v>0.34639741065154001</v>
      </c>
    </row>
    <row r="202" spans="1:6" x14ac:dyDescent="0.2">
      <c r="A202" s="15">
        <v>44287</v>
      </c>
      <c r="B202" s="14">
        <v>60.9</v>
      </c>
      <c r="C202" s="30">
        <f>Table134681112[[#This Row],[PMI]]-B201</f>
        <v>2</v>
      </c>
      <c r="D202" s="16">
        <v>31.140083000000001</v>
      </c>
      <c r="E202" s="14">
        <f>Table134681112[[#This Row],[PMI]]-B190</f>
        <v>28.299999999999997</v>
      </c>
      <c r="F202" s="61">
        <f>(Table134681112[[#This Row],[EWU]]-D190)/D190</f>
        <v>0.3229613131286439</v>
      </c>
    </row>
    <row r="203" spans="1:6" x14ac:dyDescent="0.2">
      <c r="A203" s="15">
        <v>44317</v>
      </c>
      <c r="B203" s="14">
        <v>65.599999999999994</v>
      </c>
      <c r="C203" s="30">
        <f>Table134681112[[#This Row],[PMI]]-B202</f>
        <v>4.6999999999999957</v>
      </c>
      <c r="D203" s="16">
        <v>32.346252</v>
      </c>
      <c r="E203" s="14">
        <f>Table134681112[[#This Row],[PMI]]-B191</f>
        <v>24.899999999999991</v>
      </c>
      <c r="F203" s="61">
        <f>(Table134681112[[#This Row],[EWU]]-D191)/D191</f>
        <v>0.34856817995911382</v>
      </c>
    </row>
    <row r="204" spans="1:6" x14ac:dyDescent="0.2">
      <c r="A204" s="15">
        <v>44348</v>
      </c>
      <c r="B204" s="14">
        <v>63.9</v>
      </c>
      <c r="C204" s="30">
        <f>Table134681112[[#This Row],[PMI]]-B203</f>
        <v>-1.6999999999999957</v>
      </c>
      <c r="D204" s="16">
        <v>31.302821999999999</v>
      </c>
      <c r="E204" s="14">
        <f>Table134681112[[#This Row],[PMI]]-B192</f>
        <v>13.799999999999997</v>
      </c>
      <c r="F204" s="61">
        <f>(Table134681112[[#This Row],[EWU]]-D192)/D192</f>
        <v>0.30354622557861827</v>
      </c>
    </row>
    <row r="205" spans="1:6" x14ac:dyDescent="0.2">
      <c r="A205" s="15">
        <v>44378</v>
      </c>
      <c r="B205" s="14">
        <v>60.4</v>
      </c>
      <c r="C205" s="30">
        <f>Table134681112[[#This Row],[PMI]]-B204</f>
        <v>-3.5</v>
      </c>
      <c r="D205" s="16">
        <v>31.921154000000001</v>
      </c>
      <c r="E205" s="14">
        <f>Table134681112[[#This Row],[PMI]]-B193</f>
        <v>7.1000000000000014</v>
      </c>
      <c r="F205" s="61">
        <f>(Table134681112[[#This Row],[EWU]]-D193)/D193</f>
        <v>0.30070133464572291</v>
      </c>
    </row>
    <row r="206" spans="1:6" x14ac:dyDescent="0.2">
      <c r="A206" s="15">
        <v>44409</v>
      </c>
      <c r="B206" s="14">
        <v>60.3</v>
      </c>
      <c r="C206" s="30">
        <f>Table134681112[[#This Row],[PMI]]-B205</f>
        <v>-0.10000000000000142</v>
      </c>
      <c r="D206" s="16">
        <v>32.135323</v>
      </c>
      <c r="E206" s="14">
        <f>Table134681112[[#This Row],[PMI]]-B194</f>
        <v>5.0999999999999943</v>
      </c>
      <c r="F206" s="61">
        <f>(Table134681112[[#This Row],[EWU]]-D194)/D194</f>
        <v>0.27452976134903101</v>
      </c>
    </row>
    <row r="207" spans="1:6" x14ac:dyDescent="0.2">
      <c r="A207" s="15">
        <v>44440</v>
      </c>
      <c r="B207" s="14">
        <v>57.1</v>
      </c>
      <c r="C207" s="30">
        <f>Table134681112[[#This Row],[PMI]]-B206</f>
        <v>-3.1999999999999957</v>
      </c>
      <c r="D207" s="16">
        <v>31.395461999999998</v>
      </c>
      <c r="E207" s="14">
        <f>Table134681112[[#This Row],[PMI]]-B195</f>
        <v>3</v>
      </c>
      <c r="F207" s="61">
        <f>(Table134681112[[#This Row],[EWU]]-D195)/D195</f>
        <v>0.30136322579465807</v>
      </c>
    </row>
    <row r="208" spans="1:6" x14ac:dyDescent="0.2">
      <c r="A208" s="15">
        <v>44470</v>
      </c>
      <c r="B208" s="14">
        <v>57.8</v>
      </c>
      <c r="C208" s="30">
        <f>Table134681112[[#This Row],[PMI]]-B207</f>
        <v>0.69999999999999574</v>
      </c>
      <c r="D208" s="16">
        <v>32.787571</v>
      </c>
      <c r="E208" s="14">
        <f>Table134681112[[#This Row],[PMI]]-B196</f>
        <v>4.0999999999999943</v>
      </c>
      <c r="F208" s="61">
        <f>(Table134681112[[#This Row],[EWU]]-D196)/D196</f>
        <v>0.42327946667213034</v>
      </c>
    </row>
    <row r="209" spans="1:6" x14ac:dyDescent="0.2">
      <c r="A209" s="15">
        <v>44501</v>
      </c>
      <c r="B209" s="14">
        <v>58.1</v>
      </c>
      <c r="C209" s="30">
        <f>Table134681112[[#This Row],[PMI]]-B208</f>
        <v>0.30000000000000426</v>
      </c>
      <c r="D209" s="16">
        <v>31.191026999999998</v>
      </c>
      <c r="E209" s="14">
        <f>Table134681112[[#This Row],[PMI]]-B197</f>
        <v>2.5</v>
      </c>
      <c r="F209" s="61">
        <f>(Table134681112[[#This Row],[EWU]]-D197)/D197</f>
        <v>0.16616229969653487</v>
      </c>
    </row>
    <row r="210" spans="1:6" x14ac:dyDescent="0.2">
      <c r="A210" s="15">
        <v>44531</v>
      </c>
      <c r="B210" s="14">
        <v>57.9</v>
      </c>
      <c r="C210" s="30">
        <f>Table134681112[[#This Row],[PMI]]-B209</f>
        <v>-0.20000000000000284</v>
      </c>
      <c r="D210" s="16">
        <v>32.261879</v>
      </c>
      <c r="E210" s="14">
        <f>Table134681112[[#This Row],[PMI]]-B198</f>
        <v>0.39999999999999858</v>
      </c>
      <c r="F210" s="61">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6CB26-F7B7-4518-A1E4-3BFF20F47284}">
  <dimension ref="A1:K186"/>
  <sheetViews>
    <sheetView zoomScale="170" zoomScaleNormal="170" workbookViewId="0">
      <pane ySplit="5" topLeftCell="A149" activePane="bottomLeft" state="frozen"/>
      <selection pane="bottomLeft" activeCell="S171" sqref="S17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33</v>
      </c>
      <c r="K1" s="10" t="s">
        <v>21</v>
      </c>
    </row>
    <row r="2" spans="1:11" x14ac:dyDescent="0.2">
      <c r="K2" s="10" t="str">
        <f>A1&amp;K1</f>
        <v>Italy Manufacturing PMI</v>
      </c>
    </row>
    <row r="4" spans="1:11" ht="16" thickBot="1" x14ac:dyDescent="0.25"/>
    <row r="5" spans="1:11" ht="16" thickBot="1" x14ac:dyDescent="0.25">
      <c r="A5" s="27" t="s">
        <v>10</v>
      </c>
      <c r="B5" s="28" t="s">
        <v>11</v>
      </c>
      <c r="C5" s="28" t="s">
        <v>14</v>
      </c>
    </row>
    <row r="6" spans="1:11" x14ac:dyDescent="0.2">
      <c r="A6" s="23">
        <v>39052</v>
      </c>
      <c r="B6" s="24">
        <v>55</v>
      </c>
      <c r="C6" s="24"/>
    </row>
    <row r="7" spans="1:11" x14ac:dyDescent="0.2">
      <c r="A7" s="15">
        <v>39083</v>
      </c>
      <c r="B7" s="14">
        <v>53.5</v>
      </c>
      <c r="C7" s="14">
        <f>Table13468111214151617[[#This Row],[PMI]]-B6</f>
        <v>-1.5</v>
      </c>
    </row>
    <row r="8" spans="1:11" x14ac:dyDescent="0.2">
      <c r="A8" s="15">
        <v>39114</v>
      </c>
      <c r="B8" s="14">
        <v>54.2</v>
      </c>
      <c r="C8" s="14">
        <f>Table13468111214151617[[#This Row],[PMI]]-B7</f>
        <v>0.70000000000000284</v>
      </c>
    </row>
    <row r="9" spans="1:11" x14ac:dyDescent="0.2">
      <c r="A9" s="15">
        <v>39142</v>
      </c>
      <c r="B9" s="14">
        <v>53.8</v>
      </c>
      <c r="C9" s="14">
        <f>Table13468111214151617[[#This Row],[PMI]]-B8</f>
        <v>-0.40000000000000568</v>
      </c>
    </row>
    <row r="10" spans="1:11" x14ac:dyDescent="0.2">
      <c r="A10" s="15">
        <v>39173</v>
      </c>
      <c r="B10" s="14">
        <v>53.9</v>
      </c>
      <c r="C10" s="14">
        <f>Table13468111214151617[[#This Row],[PMI]]-B9</f>
        <v>0.10000000000000142</v>
      </c>
    </row>
    <row r="11" spans="1:11" x14ac:dyDescent="0.2">
      <c r="A11" s="15">
        <v>39203</v>
      </c>
      <c r="B11" s="14">
        <v>55</v>
      </c>
      <c r="C11" s="14">
        <f>Table13468111214151617[[#This Row],[PMI]]-B10</f>
        <v>1.1000000000000014</v>
      </c>
    </row>
    <row r="12" spans="1:11" x14ac:dyDescent="0.2">
      <c r="A12" s="15">
        <v>39234</v>
      </c>
      <c r="B12" s="14">
        <v>54</v>
      </c>
      <c r="C12" s="14">
        <f>Table13468111214151617[[#This Row],[PMI]]-B11</f>
        <v>-1</v>
      </c>
    </row>
    <row r="13" spans="1:11" x14ac:dyDescent="0.2">
      <c r="A13" s="15">
        <v>39264</v>
      </c>
      <c r="B13" s="14">
        <v>53.3</v>
      </c>
      <c r="C13" s="14">
        <f>Table13468111214151617[[#This Row],[PMI]]-B12</f>
        <v>-0.70000000000000284</v>
      </c>
    </row>
    <row r="14" spans="1:11" x14ac:dyDescent="0.2">
      <c r="A14" s="15">
        <v>39295</v>
      </c>
      <c r="B14" s="14">
        <v>53.6</v>
      </c>
      <c r="C14" s="14">
        <f>Table13468111214151617[[#This Row],[PMI]]-B13</f>
        <v>0.30000000000000426</v>
      </c>
    </row>
    <row r="15" spans="1:11" x14ac:dyDescent="0.2">
      <c r="A15" s="15">
        <v>39326</v>
      </c>
      <c r="B15" s="14">
        <v>52.4</v>
      </c>
      <c r="C15" s="14">
        <f>Table13468111214151617[[#This Row],[PMI]]-B14</f>
        <v>-1.2000000000000028</v>
      </c>
    </row>
    <row r="16" spans="1:11" x14ac:dyDescent="0.2">
      <c r="A16" s="15">
        <v>39356</v>
      </c>
      <c r="B16" s="14">
        <v>51.3</v>
      </c>
      <c r="C16" s="14">
        <f>Table13468111214151617[[#This Row],[PMI]]-B15</f>
        <v>-1.1000000000000014</v>
      </c>
    </row>
    <row r="17" spans="1:3" x14ac:dyDescent="0.2">
      <c r="A17" s="15">
        <v>39387</v>
      </c>
      <c r="B17" s="14">
        <v>51.3</v>
      </c>
      <c r="C17" s="14">
        <f>Table13468111214151617[[#This Row],[PMI]]-B16</f>
        <v>0</v>
      </c>
    </row>
    <row r="18" spans="1:3" x14ac:dyDescent="0.2">
      <c r="A18" s="15">
        <v>39417</v>
      </c>
      <c r="B18" s="14">
        <v>50.7</v>
      </c>
      <c r="C18" s="14">
        <f>Table13468111214151617[[#This Row],[PMI]]-B17</f>
        <v>-0.59999999999999432</v>
      </c>
    </row>
    <row r="19" spans="1:3" x14ac:dyDescent="0.2">
      <c r="A19" s="15">
        <v>39448</v>
      </c>
      <c r="B19" s="14">
        <v>50.8</v>
      </c>
      <c r="C19" s="14">
        <f>Table13468111214151617[[#This Row],[PMI]]-B18</f>
        <v>9.9999999999994316E-2</v>
      </c>
    </row>
    <row r="20" spans="1:3" x14ac:dyDescent="0.2">
      <c r="A20" s="15">
        <v>39479</v>
      </c>
      <c r="B20" s="14">
        <v>50.6</v>
      </c>
      <c r="C20" s="14">
        <f>Table13468111214151617[[#This Row],[PMI]]-B19</f>
        <v>-0.19999999999999574</v>
      </c>
    </row>
    <row r="21" spans="1:3" x14ac:dyDescent="0.2">
      <c r="A21" s="15">
        <v>39508</v>
      </c>
      <c r="B21" s="14">
        <v>49.4</v>
      </c>
      <c r="C21" s="14">
        <f>Table13468111214151617[[#This Row],[PMI]]-B20</f>
        <v>-1.2000000000000028</v>
      </c>
    </row>
    <row r="22" spans="1:3" x14ac:dyDescent="0.2">
      <c r="A22" s="15">
        <v>39539</v>
      </c>
      <c r="B22" s="14">
        <v>48.2</v>
      </c>
      <c r="C22" s="14">
        <f>Table13468111214151617[[#This Row],[PMI]]-B21</f>
        <v>-1.1999999999999957</v>
      </c>
    </row>
    <row r="23" spans="1:3" x14ac:dyDescent="0.2">
      <c r="A23" s="15">
        <v>39569</v>
      </c>
      <c r="B23" s="14">
        <v>48</v>
      </c>
      <c r="C23" s="14">
        <f>Table13468111214151617[[#This Row],[PMI]]-B22</f>
        <v>-0.20000000000000284</v>
      </c>
    </row>
    <row r="24" spans="1:3" x14ac:dyDescent="0.2">
      <c r="A24" s="15">
        <v>39600</v>
      </c>
      <c r="B24" s="14">
        <v>46.9</v>
      </c>
      <c r="C24" s="14">
        <f>Table13468111214151617[[#This Row],[PMI]]-B23</f>
        <v>-1.1000000000000014</v>
      </c>
    </row>
    <row r="25" spans="1:3" x14ac:dyDescent="0.2">
      <c r="A25" s="15">
        <v>39630</v>
      </c>
      <c r="B25" s="14">
        <v>45.3</v>
      </c>
      <c r="C25" s="14">
        <f>Table13468111214151617[[#This Row],[PMI]]-B24</f>
        <v>-1.6000000000000014</v>
      </c>
    </row>
    <row r="26" spans="1:3" x14ac:dyDescent="0.2">
      <c r="A26" s="15">
        <v>39661</v>
      </c>
      <c r="B26" s="14">
        <v>47.1</v>
      </c>
      <c r="C26" s="14">
        <f>Table13468111214151617[[#This Row],[PMI]]-B25</f>
        <v>1.8000000000000043</v>
      </c>
    </row>
    <row r="27" spans="1:3" x14ac:dyDescent="0.2">
      <c r="A27" s="15">
        <v>39692</v>
      </c>
      <c r="B27" s="14">
        <v>44.4</v>
      </c>
      <c r="C27" s="14">
        <f>Table13468111214151617[[#This Row],[PMI]]-B26</f>
        <v>-2.7000000000000028</v>
      </c>
    </row>
    <row r="28" spans="1:3" x14ac:dyDescent="0.2">
      <c r="A28" s="15">
        <v>39722</v>
      </c>
      <c r="B28" s="14">
        <v>39.700000000000003</v>
      </c>
      <c r="C28" s="14">
        <f>Table13468111214151617[[#This Row],[PMI]]-B27</f>
        <v>-4.6999999999999957</v>
      </c>
    </row>
    <row r="29" spans="1:3" x14ac:dyDescent="0.2">
      <c r="A29" s="15">
        <v>39753</v>
      </c>
      <c r="B29" s="14">
        <v>34.9</v>
      </c>
      <c r="C29" s="14">
        <f>Table13468111214151617[[#This Row],[PMI]]-B28</f>
        <v>-4.8000000000000043</v>
      </c>
    </row>
    <row r="30" spans="1:3" x14ac:dyDescent="0.2">
      <c r="A30" s="15">
        <v>39783</v>
      </c>
      <c r="B30" s="14">
        <v>35.5</v>
      </c>
      <c r="C30" s="14">
        <f>Table13468111214151617[[#This Row],[PMI]]-B29</f>
        <v>0.60000000000000142</v>
      </c>
    </row>
    <row r="31" spans="1:3" x14ac:dyDescent="0.2">
      <c r="A31" s="15">
        <v>39814</v>
      </c>
      <c r="B31" s="14">
        <v>36.1</v>
      </c>
      <c r="C31" s="14">
        <f>Table13468111214151617[[#This Row],[PMI]]-B30</f>
        <v>0.60000000000000142</v>
      </c>
    </row>
    <row r="32" spans="1:3" x14ac:dyDescent="0.2">
      <c r="A32" s="15">
        <v>39845</v>
      </c>
      <c r="B32" s="14">
        <v>35</v>
      </c>
      <c r="C32" s="14">
        <f>Table13468111214151617[[#This Row],[PMI]]-B31</f>
        <v>-1.1000000000000014</v>
      </c>
    </row>
    <row r="33" spans="1:3" x14ac:dyDescent="0.2">
      <c r="A33" s="15">
        <v>39873</v>
      </c>
      <c r="B33" s="14">
        <v>34.6</v>
      </c>
      <c r="C33" s="14">
        <f>Table13468111214151617[[#This Row],[PMI]]-B32</f>
        <v>-0.39999999999999858</v>
      </c>
    </row>
    <row r="34" spans="1:3" x14ac:dyDescent="0.2">
      <c r="A34" s="15">
        <v>39904</v>
      </c>
      <c r="B34" s="14">
        <v>37.200000000000003</v>
      </c>
      <c r="C34" s="14">
        <f>Table13468111214151617[[#This Row],[PMI]]-B33</f>
        <v>2.6000000000000014</v>
      </c>
    </row>
    <row r="35" spans="1:3" x14ac:dyDescent="0.2">
      <c r="A35" s="15">
        <v>39934</v>
      </c>
      <c r="B35" s="14">
        <v>41.1</v>
      </c>
      <c r="C35" s="14">
        <f>Table13468111214151617[[#This Row],[PMI]]-B34</f>
        <v>3.8999999999999986</v>
      </c>
    </row>
    <row r="36" spans="1:3" x14ac:dyDescent="0.2">
      <c r="A36" s="15">
        <v>39965</v>
      </c>
      <c r="B36" s="14">
        <v>42.7</v>
      </c>
      <c r="C36" s="14">
        <f>Table13468111214151617[[#This Row],[PMI]]-B35</f>
        <v>1.6000000000000014</v>
      </c>
    </row>
    <row r="37" spans="1:3" x14ac:dyDescent="0.2">
      <c r="A37" s="15">
        <v>39995</v>
      </c>
      <c r="B37" s="14">
        <v>45.4</v>
      </c>
      <c r="C37" s="14">
        <f>Table13468111214151617[[#This Row],[PMI]]-B36</f>
        <v>2.6999999999999957</v>
      </c>
    </row>
    <row r="38" spans="1:3" x14ac:dyDescent="0.2">
      <c r="A38" s="15">
        <v>40026</v>
      </c>
      <c r="B38" s="14">
        <v>44.2</v>
      </c>
      <c r="C38" s="14">
        <f>Table13468111214151617[[#This Row],[PMI]]-B37</f>
        <v>-1.1999999999999957</v>
      </c>
    </row>
    <row r="39" spans="1:3" x14ac:dyDescent="0.2">
      <c r="A39" s="15">
        <v>40057</v>
      </c>
      <c r="B39" s="14">
        <v>47.6</v>
      </c>
      <c r="C39" s="14">
        <f>Table13468111214151617[[#This Row],[PMI]]-B38</f>
        <v>3.3999999999999986</v>
      </c>
    </row>
    <row r="40" spans="1:3" x14ac:dyDescent="0.2">
      <c r="A40" s="15">
        <v>40087</v>
      </c>
      <c r="B40" s="14">
        <v>49.2</v>
      </c>
      <c r="C40" s="14">
        <f>Table13468111214151617[[#This Row],[PMI]]-B39</f>
        <v>1.6000000000000014</v>
      </c>
    </row>
    <row r="41" spans="1:3" x14ac:dyDescent="0.2">
      <c r="A41" s="15">
        <v>40118</v>
      </c>
      <c r="B41" s="14">
        <v>50.1</v>
      </c>
      <c r="C41" s="14">
        <f>Table13468111214151617[[#This Row],[PMI]]-B40</f>
        <v>0.89999999999999858</v>
      </c>
    </row>
    <row r="42" spans="1:3" x14ac:dyDescent="0.2">
      <c r="A42" s="15">
        <v>40148</v>
      </c>
      <c r="B42" s="14">
        <v>50.8</v>
      </c>
      <c r="C42" s="14">
        <f>Table13468111214151617[[#This Row],[PMI]]-B41</f>
        <v>0.69999999999999574</v>
      </c>
    </row>
    <row r="43" spans="1:3" x14ac:dyDescent="0.2">
      <c r="A43" s="15">
        <v>40179</v>
      </c>
      <c r="B43" s="14">
        <v>51.7</v>
      </c>
      <c r="C43" s="14">
        <f>Table13468111214151617[[#This Row],[PMI]]-B42</f>
        <v>0.90000000000000568</v>
      </c>
    </row>
    <row r="44" spans="1:3" x14ac:dyDescent="0.2">
      <c r="A44" s="15">
        <v>40210</v>
      </c>
      <c r="B44" s="14">
        <v>51.6</v>
      </c>
      <c r="C44" s="14">
        <f>Table13468111214151617[[#This Row],[PMI]]-B43</f>
        <v>-0.10000000000000142</v>
      </c>
    </row>
    <row r="45" spans="1:3" x14ac:dyDescent="0.2">
      <c r="A45" s="15">
        <v>40238</v>
      </c>
      <c r="B45" s="14">
        <v>53.7</v>
      </c>
      <c r="C45" s="14">
        <f>Table13468111214151617[[#This Row],[PMI]]-B44</f>
        <v>2.1000000000000014</v>
      </c>
    </row>
    <row r="46" spans="1:3" x14ac:dyDescent="0.2">
      <c r="A46" s="15">
        <v>40269</v>
      </c>
      <c r="B46" s="14">
        <v>54.3</v>
      </c>
      <c r="C46" s="14">
        <f>Table13468111214151617[[#This Row],[PMI]]-B45</f>
        <v>0.59999999999999432</v>
      </c>
    </row>
    <row r="47" spans="1:3" x14ac:dyDescent="0.2">
      <c r="A47" s="15">
        <v>40299</v>
      </c>
      <c r="B47" s="14">
        <v>54</v>
      </c>
      <c r="C47" s="14">
        <f>Table13468111214151617[[#This Row],[PMI]]-B46</f>
        <v>-0.29999999999999716</v>
      </c>
    </row>
    <row r="48" spans="1:3" x14ac:dyDescent="0.2">
      <c r="A48" s="15">
        <v>40330</v>
      </c>
      <c r="B48" s="14">
        <v>54.3</v>
      </c>
      <c r="C48" s="14">
        <f>Table13468111214151617[[#This Row],[PMI]]-B47</f>
        <v>0.29999999999999716</v>
      </c>
    </row>
    <row r="49" spans="1:3" x14ac:dyDescent="0.2">
      <c r="A49" s="15">
        <v>40360</v>
      </c>
      <c r="B49" s="14">
        <v>54.4</v>
      </c>
      <c r="C49" s="14">
        <f>Table13468111214151617[[#This Row],[PMI]]-B48</f>
        <v>0.10000000000000142</v>
      </c>
    </row>
    <row r="50" spans="1:3" x14ac:dyDescent="0.2">
      <c r="A50" s="15">
        <v>40391</v>
      </c>
      <c r="B50" s="14">
        <v>52.8</v>
      </c>
      <c r="C50" s="14">
        <f>Table13468111214151617[[#This Row],[PMI]]-B49</f>
        <v>-1.6000000000000014</v>
      </c>
    </row>
    <row r="51" spans="1:3" x14ac:dyDescent="0.2">
      <c r="A51" s="15">
        <v>40422</v>
      </c>
      <c r="B51" s="14">
        <v>52.6</v>
      </c>
      <c r="C51" s="14">
        <f>Table13468111214151617[[#This Row],[PMI]]-B50</f>
        <v>-0.19999999999999574</v>
      </c>
    </row>
    <row r="52" spans="1:3" x14ac:dyDescent="0.2">
      <c r="A52" s="15">
        <v>40452</v>
      </c>
      <c r="B52" s="14">
        <v>53</v>
      </c>
      <c r="C52" s="14">
        <f>Table13468111214151617[[#This Row],[PMI]]-B51</f>
        <v>0.39999999999999858</v>
      </c>
    </row>
    <row r="53" spans="1:3" x14ac:dyDescent="0.2">
      <c r="A53" s="15">
        <v>40483</v>
      </c>
      <c r="B53" s="14">
        <v>52</v>
      </c>
      <c r="C53" s="14">
        <f>Table13468111214151617[[#This Row],[PMI]]-B52</f>
        <v>-1</v>
      </c>
    </row>
    <row r="54" spans="1:3" x14ac:dyDescent="0.2">
      <c r="A54" s="15">
        <v>40513</v>
      </c>
      <c r="B54" s="14">
        <v>54.7</v>
      </c>
      <c r="C54" s="14">
        <f>Table13468111214151617[[#This Row],[PMI]]-B53</f>
        <v>2.7000000000000028</v>
      </c>
    </row>
    <row r="55" spans="1:3" x14ac:dyDescent="0.2">
      <c r="A55" s="15">
        <v>40544</v>
      </c>
      <c r="B55" s="14">
        <v>56.6</v>
      </c>
      <c r="C55" s="14">
        <f>Table13468111214151617[[#This Row],[PMI]]-B54</f>
        <v>1.8999999999999986</v>
      </c>
    </row>
    <row r="56" spans="1:3" x14ac:dyDescent="0.2">
      <c r="A56" s="15">
        <v>40575</v>
      </c>
      <c r="B56" s="14">
        <v>59</v>
      </c>
      <c r="C56" s="14">
        <f>Table13468111214151617[[#This Row],[PMI]]-B55</f>
        <v>2.3999999999999986</v>
      </c>
    </row>
    <row r="57" spans="1:3" x14ac:dyDescent="0.2">
      <c r="A57" s="15">
        <v>40603</v>
      </c>
      <c r="B57" s="14">
        <v>56.2</v>
      </c>
      <c r="C57" s="14">
        <f>Table13468111214151617[[#This Row],[PMI]]-B56</f>
        <v>-2.7999999999999972</v>
      </c>
    </row>
    <row r="58" spans="1:3" x14ac:dyDescent="0.2">
      <c r="A58" s="15">
        <v>40634</v>
      </c>
      <c r="B58" s="14">
        <v>55.5</v>
      </c>
      <c r="C58" s="14">
        <f>Table13468111214151617[[#This Row],[PMI]]-B57</f>
        <v>-0.70000000000000284</v>
      </c>
    </row>
    <row r="59" spans="1:3" x14ac:dyDescent="0.2">
      <c r="A59" s="15">
        <v>40664</v>
      </c>
      <c r="B59" s="14">
        <v>52.8</v>
      </c>
      <c r="C59" s="14">
        <f>Table13468111214151617[[#This Row],[PMI]]-B58</f>
        <v>-2.7000000000000028</v>
      </c>
    </row>
    <row r="60" spans="1:3" x14ac:dyDescent="0.2">
      <c r="A60" s="15">
        <v>40695</v>
      </c>
      <c r="B60" s="14">
        <v>49.9</v>
      </c>
      <c r="C60" s="14">
        <f>Table13468111214151617[[#This Row],[PMI]]-B59</f>
        <v>-2.8999999999999986</v>
      </c>
    </row>
    <row r="61" spans="1:3" x14ac:dyDescent="0.2">
      <c r="A61" s="15">
        <v>40725</v>
      </c>
      <c r="B61" s="14">
        <v>50.1</v>
      </c>
      <c r="C61" s="14">
        <f>Table13468111214151617[[#This Row],[PMI]]-B60</f>
        <v>0.20000000000000284</v>
      </c>
    </row>
    <row r="62" spans="1:3" x14ac:dyDescent="0.2">
      <c r="A62" s="15">
        <v>40756</v>
      </c>
      <c r="B62" s="14">
        <v>47</v>
      </c>
      <c r="C62" s="14">
        <f>Table13468111214151617[[#This Row],[PMI]]-B61</f>
        <v>-3.1000000000000014</v>
      </c>
    </row>
    <row r="63" spans="1:3" x14ac:dyDescent="0.2">
      <c r="A63" s="15">
        <v>40787</v>
      </c>
      <c r="B63" s="14">
        <v>48.3</v>
      </c>
      <c r="C63" s="14">
        <f>Table13468111214151617[[#This Row],[PMI]]-B62</f>
        <v>1.2999999999999972</v>
      </c>
    </row>
    <row r="64" spans="1:3" x14ac:dyDescent="0.2">
      <c r="A64" s="15">
        <v>40817</v>
      </c>
      <c r="B64" s="14">
        <v>43.3</v>
      </c>
      <c r="C64" s="14">
        <f>Table13468111214151617[[#This Row],[PMI]]-B63</f>
        <v>-5</v>
      </c>
    </row>
    <row r="65" spans="1:3" x14ac:dyDescent="0.2">
      <c r="A65" s="15">
        <v>40848</v>
      </c>
      <c r="B65" s="14">
        <v>44</v>
      </c>
      <c r="C65" s="14">
        <f>Table13468111214151617[[#This Row],[PMI]]-B64</f>
        <v>0.70000000000000284</v>
      </c>
    </row>
    <row r="66" spans="1:3" x14ac:dyDescent="0.2">
      <c r="A66" s="15">
        <v>40878</v>
      </c>
      <c r="B66" s="14">
        <v>44.3</v>
      </c>
      <c r="C66" s="14">
        <f>Table13468111214151617[[#This Row],[PMI]]-B65</f>
        <v>0.29999999999999716</v>
      </c>
    </row>
    <row r="67" spans="1:3" x14ac:dyDescent="0.2">
      <c r="A67" s="15">
        <v>40909</v>
      </c>
      <c r="B67" s="14">
        <v>46.8</v>
      </c>
      <c r="C67" s="14">
        <f>Table13468111214151617[[#This Row],[PMI]]-B66</f>
        <v>2.5</v>
      </c>
    </row>
    <row r="68" spans="1:3" x14ac:dyDescent="0.2">
      <c r="A68" s="15">
        <v>40940</v>
      </c>
      <c r="B68" s="14">
        <v>47.8</v>
      </c>
      <c r="C68" s="14">
        <f>Table13468111214151617[[#This Row],[PMI]]-B67</f>
        <v>1</v>
      </c>
    </row>
    <row r="69" spans="1:3" x14ac:dyDescent="0.2">
      <c r="A69" s="15">
        <v>40969</v>
      </c>
      <c r="B69" s="14">
        <v>47.9</v>
      </c>
      <c r="C69" s="14">
        <f>Table13468111214151617[[#This Row],[PMI]]-B68</f>
        <v>0.10000000000000142</v>
      </c>
    </row>
    <row r="70" spans="1:3" x14ac:dyDescent="0.2">
      <c r="A70" s="15">
        <v>41000</v>
      </c>
      <c r="B70" s="14">
        <v>43.8</v>
      </c>
      <c r="C70" s="14">
        <f>Table13468111214151617[[#This Row],[PMI]]-B69</f>
        <v>-4.1000000000000014</v>
      </c>
    </row>
    <row r="71" spans="1:3" x14ac:dyDescent="0.2">
      <c r="A71" s="15">
        <v>41030</v>
      </c>
      <c r="B71" s="14">
        <v>44.8</v>
      </c>
      <c r="C71" s="14">
        <f>Table13468111214151617[[#This Row],[PMI]]-B70</f>
        <v>1</v>
      </c>
    </row>
    <row r="72" spans="1:3" x14ac:dyDescent="0.2">
      <c r="A72" s="15">
        <v>41061</v>
      </c>
      <c r="B72" s="14">
        <v>44.6</v>
      </c>
      <c r="C72" s="14">
        <f>Table13468111214151617[[#This Row],[PMI]]-B71</f>
        <v>-0.19999999999999574</v>
      </c>
    </row>
    <row r="73" spans="1:3" x14ac:dyDescent="0.2">
      <c r="A73" s="15">
        <v>41091</v>
      </c>
      <c r="B73" s="14">
        <v>44.3</v>
      </c>
      <c r="C73" s="14">
        <f>Table13468111214151617[[#This Row],[PMI]]-B72</f>
        <v>-0.30000000000000426</v>
      </c>
    </row>
    <row r="74" spans="1:3" x14ac:dyDescent="0.2">
      <c r="A74" s="15">
        <v>41122</v>
      </c>
      <c r="B74" s="14">
        <v>43.6</v>
      </c>
      <c r="C74" s="14">
        <f>Table13468111214151617[[#This Row],[PMI]]-B73</f>
        <v>-0.69999999999999574</v>
      </c>
    </row>
    <row r="75" spans="1:3" x14ac:dyDescent="0.2">
      <c r="A75" s="15">
        <v>41153</v>
      </c>
      <c r="B75" s="14">
        <v>45.7</v>
      </c>
      <c r="C75" s="14">
        <f>Table13468111214151617[[#This Row],[PMI]]-B74</f>
        <v>2.1000000000000014</v>
      </c>
    </row>
    <row r="76" spans="1:3" x14ac:dyDescent="0.2">
      <c r="A76" s="15">
        <v>41183</v>
      </c>
      <c r="B76" s="14">
        <v>45.5</v>
      </c>
      <c r="C76" s="14">
        <f>Table13468111214151617[[#This Row],[PMI]]-B75</f>
        <v>-0.20000000000000284</v>
      </c>
    </row>
    <row r="77" spans="1:3" x14ac:dyDescent="0.2">
      <c r="A77" s="15">
        <v>41214</v>
      </c>
      <c r="B77" s="14">
        <v>45.1</v>
      </c>
      <c r="C77" s="14">
        <f>Table13468111214151617[[#This Row],[PMI]]-B76</f>
        <v>-0.39999999999999858</v>
      </c>
    </row>
    <row r="78" spans="1:3" x14ac:dyDescent="0.2">
      <c r="A78" s="15">
        <v>41244</v>
      </c>
      <c r="B78" s="14">
        <v>46.7</v>
      </c>
      <c r="C78" s="14">
        <f>Table13468111214151617[[#This Row],[PMI]]-B77</f>
        <v>1.6000000000000014</v>
      </c>
    </row>
    <row r="79" spans="1:3" x14ac:dyDescent="0.2">
      <c r="A79" s="15">
        <v>41275</v>
      </c>
      <c r="B79" s="14">
        <v>47.8</v>
      </c>
      <c r="C79" s="14">
        <f>Table13468111214151617[[#This Row],[PMI]]-B78</f>
        <v>1.0999999999999943</v>
      </c>
    </row>
    <row r="80" spans="1:3" x14ac:dyDescent="0.2">
      <c r="A80" s="15">
        <v>41306</v>
      </c>
      <c r="B80" s="14">
        <v>45.8</v>
      </c>
      <c r="C80" s="14">
        <f>Table13468111214151617[[#This Row],[PMI]]-B79</f>
        <v>-2</v>
      </c>
    </row>
    <row r="81" spans="1:3" x14ac:dyDescent="0.2">
      <c r="A81" s="15">
        <v>41334</v>
      </c>
      <c r="B81" s="14">
        <v>44.5</v>
      </c>
      <c r="C81" s="14">
        <f>Table13468111214151617[[#This Row],[PMI]]-B80</f>
        <v>-1.2999999999999972</v>
      </c>
    </row>
    <row r="82" spans="1:3" x14ac:dyDescent="0.2">
      <c r="A82" s="15">
        <v>41365</v>
      </c>
      <c r="B82" s="14">
        <v>45.5</v>
      </c>
      <c r="C82" s="14">
        <f>Table13468111214151617[[#This Row],[PMI]]-B81</f>
        <v>1</v>
      </c>
    </row>
    <row r="83" spans="1:3" x14ac:dyDescent="0.2">
      <c r="A83" s="15">
        <v>41395</v>
      </c>
      <c r="B83" s="14">
        <v>47.3</v>
      </c>
      <c r="C83" s="14">
        <f>Table13468111214151617[[#This Row],[PMI]]-B82</f>
        <v>1.7999999999999972</v>
      </c>
    </row>
    <row r="84" spans="1:3" x14ac:dyDescent="0.2">
      <c r="A84" s="15">
        <v>41426</v>
      </c>
      <c r="B84" s="14">
        <v>49.1</v>
      </c>
      <c r="C84" s="14">
        <f>Table13468111214151617[[#This Row],[PMI]]-B83</f>
        <v>1.8000000000000043</v>
      </c>
    </row>
    <row r="85" spans="1:3" x14ac:dyDescent="0.2">
      <c r="A85" s="15">
        <v>41456</v>
      </c>
      <c r="B85" s="14">
        <v>50.4</v>
      </c>
      <c r="C85" s="14">
        <f>Table13468111214151617[[#This Row],[PMI]]-B84</f>
        <v>1.2999999999999972</v>
      </c>
    </row>
    <row r="86" spans="1:3" x14ac:dyDescent="0.2">
      <c r="A86" s="15">
        <v>41487</v>
      </c>
      <c r="B86" s="14">
        <v>51.3</v>
      </c>
      <c r="C86" s="14">
        <f>Table13468111214151617[[#This Row],[PMI]]-B85</f>
        <v>0.89999999999999858</v>
      </c>
    </row>
    <row r="87" spans="1:3" x14ac:dyDescent="0.2">
      <c r="A87" s="15">
        <v>41518</v>
      </c>
      <c r="B87" s="14">
        <v>50.8</v>
      </c>
      <c r="C87" s="14">
        <f>Table13468111214151617[[#This Row],[PMI]]-B86</f>
        <v>-0.5</v>
      </c>
    </row>
    <row r="88" spans="1:3" x14ac:dyDescent="0.2">
      <c r="A88" s="15">
        <v>41548</v>
      </c>
      <c r="B88" s="14">
        <v>50.7</v>
      </c>
      <c r="C88" s="14">
        <f>Table13468111214151617[[#This Row],[PMI]]-B87</f>
        <v>-9.9999999999994316E-2</v>
      </c>
    </row>
    <row r="89" spans="1:3" x14ac:dyDescent="0.2">
      <c r="A89" s="15">
        <v>41579</v>
      </c>
      <c r="B89" s="14">
        <v>51.4</v>
      </c>
      <c r="C89" s="14">
        <f>Table13468111214151617[[#This Row],[PMI]]-B88</f>
        <v>0.69999999999999574</v>
      </c>
    </row>
    <row r="90" spans="1:3" x14ac:dyDescent="0.2">
      <c r="A90" s="15">
        <v>41609</v>
      </c>
      <c r="B90" s="14">
        <v>53.3</v>
      </c>
      <c r="C90" s="14">
        <f>Table13468111214151617[[#This Row],[PMI]]-B89</f>
        <v>1.8999999999999986</v>
      </c>
    </row>
    <row r="91" spans="1:3" x14ac:dyDescent="0.2">
      <c r="A91" s="15">
        <v>41640</v>
      </c>
      <c r="B91" s="14">
        <v>53.1</v>
      </c>
      <c r="C91" s="14">
        <f>Table13468111214151617[[#This Row],[PMI]]-B90</f>
        <v>-0.19999999999999574</v>
      </c>
    </row>
    <row r="92" spans="1:3" x14ac:dyDescent="0.2">
      <c r="A92" s="15">
        <v>41671</v>
      </c>
      <c r="B92" s="14">
        <v>52.3</v>
      </c>
      <c r="C92" s="14">
        <f>Table13468111214151617[[#This Row],[PMI]]-B91</f>
        <v>-0.80000000000000426</v>
      </c>
    </row>
    <row r="93" spans="1:3" x14ac:dyDescent="0.2">
      <c r="A93" s="15">
        <v>41699</v>
      </c>
      <c r="B93" s="14">
        <v>52.4</v>
      </c>
      <c r="C93" s="14">
        <f>Table13468111214151617[[#This Row],[PMI]]-B92</f>
        <v>0.10000000000000142</v>
      </c>
    </row>
    <row r="94" spans="1:3" x14ac:dyDescent="0.2">
      <c r="A94" s="15">
        <v>41730</v>
      </c>
      <c r="B94" s="14">
        <v>54</v>
      </c>
      <c r="C94" s="14">
        <f>Table13468111214151617[[#This Row],[PMI]]-B93</f>
        <v>1.6000000000000014</v>
      </c>
    </row>
    <row r="95" spans="1:3" x14ac:dyDescent="0.2">
      <c r="A95" s="15">
        <v>41760</v>
      </c>
      <c r="B95" s="14">
        <v>53.2</v>
      </c>
      <c r="C95" s="14">
        <f>Table13468111214151617[[#This Row],[PMI]]-B94</f>
        <v>-0.79999999999999716</v>
      </c>
    </row>
    <row r="96" spans="1:3" x14ac:dyDescent="0.2">
      <c r="A96" s="15">
        <v>41791</v>
      </c>
      <c r="B96" s="14">
        <v>52.6</v>
      </c>
      <c r="C96" s="14">
        <f>Table13468111214151617[[#This Row],[PMI]]-B95</f>
        <v>-0.60000000000000142</v>
      </c>
    </row>
    <row r="97" spans="1:3" x14ac:dyDescent="0.2">
      <c r="A97" s="15">
        <v>41821</v>
      </c>
      <c r="B97" s="14">
        <v>51.9</v>
      </c>
      <c r="C97" s="14">
        <f>Table13468111214151617[[#This Row],[PMI]]-B96</f>
        <v>-0.70000000000000284</v>
      </c>
    </row>
    <row r="98" spans="1:3" x14ac:dyDescent="0.2">
      <c r="A98" s="15">
        <v>41852</v>
      </c>
      <c r="B98" s="14">
        <v>49.8</v>
      </c>
      <c r="C98" s="14">
        <f>Table13468111214151617[[#This Row],[PMI]]-B97</f>
        <v>-2.1000000000000014</v>
      </c>
    </row>
    <row r="99" spans="1:3" x14ac:dyDescent="0.2">
      <c r="A99" s="15">
        <v>41883</v>
      </c>
      <c r="B99" s="14">
        <v>50.7</v>
      </c>
      <c r="C99" s="14">
        <f>Table13468111214151617[[#This Row],[PMI]]-B98</f>
        <v>0.90000000000000568</v>
      </c>
    </row>
    <row r="100" spans="1:3" x14ac:dyDescent="0.2">
      <c r="A100" s="15">
        <v>41913</v>
      </c>
      <c r="B100" s="14">
        <v>49</v>
      </c>
      <c r="C100" s="14">
        <f>Table13468111214151617[[#This Row],[PMI]]-B99</f>
        <v>-1.7000000000000028</v>
      </c>
    </row>
    <row r="101" spans="1:3" x14ac:dyDescent="0.2">
      <c r="A101" s="15">
        <v>41944</v>
      </c>
      <c r="B101" s="14">
        <v>49</v>
      </c>
      <c r="C101" s="14">
        <f>Table13468111214151617[[#This Row],[PMI]]-B100</f>
        <v>0</v>
      </c>
    </row>
    <row r="102" spans="1:3" x14ac:dyDescent="0.2">
      <c r="A102" s="15">
        <v>41974</v>
      </c>
      <c r="B102" s="14">
        <v>48.4</v>
      </c>
      <c r="C102" s="14">
        <f>Table13468111214151617[[#This Row],[PMI]]-B101</f>
        <v>-0.60000000000000142</v>
      </c>
    </row>
    <row r="103" spans="1:3" x14ac:dyDescent="0.2">
      <c r="A103" s="15">
        <v>42005</v>
      </c>
      <c r="B103" s="14">
        <v>49.9</v>
      </c>
      <c r="C103" s="14">
        <f>Table13468111214151617[[#This Row],[PMI]]-B102</f>
        <v>1.5</v>
      </c>
    </row>
    <row r="104" spans="1:3" x14ac:dyDescent="0.2">
      <c r="A104" s="15">
        <v>42036</v>
      </c>
      <c r="B104" s="14">
        <v>51.9</v>
      </c>
      <c r="C104" s="14">
        <f>Table13468111214151617[[#This Row],[PMI]]-B103</f>
        <v>2</v>
      </c>
    </row>
    <row r="105" spans="1:3" x14ac:dyDescent="0.2">
      <c r="A105" s="15">
        <v>42064</v>
      </c>
      <c r="B105" s="14">
        <v>53.3</v>
      </c>
      <c r="C105" s="14">
        <f>Table13468111214151617[[#This Row],[PMI]]-B104</f>
        <v>1.3999999999999986</v>
      </c>
    </row>
    <row r="106" spans="1:3" x14ac:dyDescent="0.2">
      <c r="A106" s="15">
        <v>42095</v>
      </c>
      <c r="B106" s="14">
        <v>53.8</v>
      </c>
      <c r="C106" s="14">
        <f>Table13468111214151617[[#This Row],[PMI]]-B105</f>
        <v>0.5</v>
      </c>
    </row>
    <row r="107" spans="1:3" x14ac:dyDescent="0.2">
      <c r="A107" s="15">
        <v>42125</v>
      </c>
      <c r="B107" s="14">
        <v>54.8</v>
      </c>
      <c r="C107" s="30">
        <f>Table13468111214151617[[#This Row],[PMI]]-B106</f>
        <v>1</v>
      </c>
    </row>
    <row r="108" spans="1:3" x14ac:dyDescent="0.2">
      <c r="A108" s="15">
        <v>42156</v>
      </c>
      <c r="B108" s="14">
        <v>54.1</v>
      </c>
      <c r="C108" s="30">
        <f>Table13468111214151617[[#This Row],[PMI]]-B107</f>
        <v>-0.69999999999999574</v>
      </c>
    </row>
    <row r="109" spans="1:3" x14ac:dyDescent="0.2">
      <c r="A109" s="15">
        <v>42186</v>
      </c>
      <c r="B109" s="14">
        <v>55.3</v>
      </c>
      <c r="C109" s="30">
        <f>Table13468111214151617[[#This Row],[PMI]]-B108</f>
        <v>1.1999999999999957</v>
      </c>
    </row>
    <row r="110" spans="1:3" x14ac:dyDescent="0.2">
      <c r="A110" s="15">
        <v>42217</v>
      </c>
      <c r="B110" s="14">
        <v>53.8</v>
      </c>
      <c r="C110" s="30">
        <f>Table13468111214151617[[#This Row],[PMI]]-B109</f>
        <v>-1.5</v>
      </c>
    </row>
    <row r="111" spans="1:3" x14ac:dyDescent="0.2">
      <c r="A111" s="15">
        <v>42248</v>
      </c>
      <c r="B111" s="14">
        <v>52.7</v>
      </c>
      <c r="C111" s="30">
        <f>Table13468111214151617[[#This Row],[PMI]]-B110</f>
        <v>-1.0999999999999943</v>
      </c>
    </row>
    <row r="112" spans="1:3" x14ac:dyDescent="0.2">
      <c r="A112" s="15">
        <v>42278</v>
      </c>
      <c r="B112" s="14">
        <v>54.1</v>
      </c>
      <c r="C112" s="30">
        <f>Table13468111214151617[[#This Row],[PMI]]-B111</f>
        <v>1.3999999999999986</v>
      </c>
    </row>
    <row r="113" spans="1:3" x14ac:dyDescent="0.2">
      <c r="A113" s="15">
        <v>42309</v>
      </c>
      <c r="B113" s="14">
        <v>54.9</v>
      </c>
      <c r="C113" s="30">
        <f>Table13468111214151617[[#This Row],[PMI]]-B112</f>
        <v>0.79999999999999716</v>
      </c>
    </row>
    <row r="114" spans="1:3" x14ac:dyDescent="0.2">
      <c r="A114" s="15">
        <v>42339</v>
      </c>
      <c r="B114" s="14">
        <v>55.6</v>
      </c>
      <c r="C114" s="30">
        <f>Table13468111214151617[[#This Row],[PMI]]-B113</f>
        <v>0.70000000000000284</v>
      </c>
    </row>
    <row r="115" spans="1:3" x14ac:dyDescent="0.2">
      <c r="A115" s="15">
        <v>42370</v>
      </c>
      <c r="B115" s="14">
        <v>53.2</v>
      </c>
      <c r="C115" s="30">
        <f>Table13468111214151617[[#This Row],[PMI]]-B114</f>
        <v>-2.3999999999999986</v>
      </c>
    </row>
    <row r="116" spans="1:3" x14ac:dyDescent="0.2">
      <c r="A116" s="15">
        <v>42401</v>
      </c>
      <c r="B116" s="14">
        <v>52.2</v>
      </c>
      <c r="C116" s="30">
        <f>Table13468111214151617[[#This Row],[PMI]]-B115</f>
        <v>-1</v>
      </c>
    </row>
    <row r="117" spans="1:3" x14ac:dyDescent="0.2">
      <c r="A117" s="15">
        <v>42430</v>
      </c>
      <c r="B117" s="14">
        <v>53.5</v>
      </c>
      <c r="C117" s="30">
        <f>Table13468111214151617[[#This Row],[PMI]]-B116</f>
        <v>1.2999999999999972</v>
      </c>
    </row>
    <row r="118" spans="1:3" x14ac:dyDescent="0.2">
      <c r="A118" s="15">
        <v>42461</v>
      </c>
      <c r="B118" s="14">
        <v>53.9</v>
      </c>
      <c r="C118" s="30">
        <f>Table13468111214151617[[#This Row],[PMI]]-B117</f>
        <v>0.39999999999999858</v>
      </c>
    </row>
    <row r="119" spans="1:3" x14ac:dyDescent="0.2">
      <c r="A119" s="15">
        <v>42491</v>
      </c>
      <c r="B119" s="14">
        <v>52.4</v>
      </c>
      <c r="C119" s="30">
        <f>Table13468111214151617[[#This Row],[PMI]]-B118</f>
        <v>-1.5</v>
      </c>
    </row>
    <row r="120" spans="1:3" x14ac:dyDescent="0.2">
      <c r="A120" s="15">
        <v>42522</v>
      </c>
      <c r="B120" s="14">
        <v>53.5</v>
      </c>
      <c r="C120" s="30">
        <f>Table13468111214151617[[#This Row],[PMI]]-B119</f>
        <v>1.1000000000000014</v>
      </c>
    </row>
    <row r="121" spans="1:3" x14ac:dyDescent="0.2">
      <c r="A121" s="15">
        <v>42552</v>
      </c>
      <c r="B121" s="14">
        <v>51.2</v>
      </c>
      <c r="C121" s="30">
        <f>Table13468111214151617[[#This Row],[PMI]]-B120</f>
        <v>-2.2999999999999972</v>
      </c>
    </row>
    <row r="122" spans="1:3" x14ac:dyDescent="0.2">
      <c r="A122" s="15">
        <v>42583</v>
      </c>
      <c r="B122" s="14">
        <v>49.8</v>
      </c>
      <c r="C122" s="30">
        <f>Table13468111214151617[[#This Row],[PMI]]-B121</f>
        <v>-1.4000000000000057</v>
      </c>
    </row>
    <row r="123" spans="1:3" x14ac:dyDescent="0.2">
      <c r="A123" s="15">
        <v>42614</v>
      </c>
      <c r="B123" s="14">
        <v>51</v>
      </c>
      <c r="C123" s="30">
        <f>Table13468111214151617[[#This Row],[PMI]]-B122</f>
        <v>1.2000000000000028</v>
      </c>
    </row>
    <row r="124" spans="1:3" x14ac:dyDescent="0.2">
      <c r="A124" s="15">
        <v>42644</v>
      </c>
      <c r="B124" s="14">
        <v>50.9</v>
      </c>
      <c r="C124" s="30">
        <f>Table13468111214151617[[#This Row],[PMI]]-B123</f>
        <v>-0.10000000000000142</v>
      </c>
    </row>
    <row r="125" spans="1:3" x14ac:dyDescent="0.2">
      <c r="A125" s="15">
        <v>42675</v>
      </c>
      <c r="B125" s="14">
        <v>52.2</v>
      </c>
      <c r="C125" s="30">
        <f>Table13468111214151617[[#This Row],[PMI]]-B124</f>
        <v>1.3000000000000043</v>
      </c>
    </row>
    <row r="126" spans="1:3" x14ac:dyDescent="0.2">
      <c r="A126" s="15">
        <v>42705</v>
      </c>
      <c r="B126" s="14">
        <v>53.2</v>
      </c>
      <c r="C126" s="30">
        <f>Table13468111214151617[[#This Row],[PMI]]-B125</f>
        <v>1</v>
      </c>
    </row>
    <row r="127" spans="1:3" x14ac:dyDescent="0.2">
      <c r="A127" s="15">
        <v>42736</v>
      </c>
      <c r="B127" s="14">
        <v>53</v>
      </c>
      <c r="C127" s="30">
        <f>Table13468111214151617[[#This Row],[PMI]]-B126</f>
        <v>-0.20000000000000284</v>
      </c>
    </row>
    <row r="128" spans="1:3" x14ac:dyDescent="0.2">
      <c r="A128" s="15">
        <v>42767</v>
      </c>
      <c r="B128" s="14">
        <v>55</v>
      </c>
      <c r="C128" s="30">
        <f>Table13468111214151617[[#This Row],[PMI]]-B127</f>
        <v>2</v>
      </c>
    </row>
    <row r="129" spans="1:3" x14ac:dyDescent="0.2">
      <c r="A129" s="15">
        <v>42795</v>
      </c>
      <c r="B129" s="14">
        <v>55.7</v>
      </c>
      <c r="C129" s="30">
        <f>Table13468111214151617[[#This Row],[PMI]]-B128</f>
        <v>0.70000000000000284</v>
      </c>
    </row>
    <row r="130" spans="1:3" x14ac:dyDescent="0.2">
      <c r="A130" s="15">
        <v>42826</v>
      </c>
      <c r="B130" s="14">
        <v>56.2</v>
      </c>
      <c r="C130" s="30">
        <f>Table13468111214151617[[#This Row],[PMI]]-B129</f>
        <v>0.5</v>
      </c>
    </row>
    <row r="131" spans="1:3" x14ac:dyDescent="0.2">
      <c r="A131" s="15">
        <v>42856</v>
      </c>
      <c r="B131" s="14">
        <v>55.1</v>
      </c>
      <c r="C131" s="30">
        <f>Table13468111214151617[[#This Row],[PMI]]-B130</f>
        <v>-1.1000000000000014</v>
      </c>
    </row>
    <row r="132" spans="1:3" x14ac:dyDescent="0.2">
      <c r="A132" s="15">
        <v>42887</v>
      </c>
      <c r="B132" s="14">
        <v>55.2</v>
      </c>
      <c r="C132" s="30">
        <f>Table13468111214151617[[#This Row],[PMI]]-B131</f>
        <v>0.10000000000000142</v>
      </c>
    </row>
    <row r="133" spans="1:3" x14ac:dyDescent="0.2">
      <c r="A133" s="15">
        <v>42917</v>
      </c>
      <c r="B133" s="14">
        <v>55.1</v>
      </c>
      <c r="C133" s="30">
        <f>Table13468111214151617[[#This Row],[PMI]]-B132</f>
        <v>-0.10000000000000142</v>
      </c>
    </row>
    <row r="134" spans="1:3" x14ac:dyDescent="0.2">
      <c r="A134" s="15">
        <v>42948</v>
      </c>
      <c r="B134" s="14">
        <v>56.3</v>
      </c>
      <c r="C134" s="30">
        <f>Table13468111214151617[[#This Row],[PMI]]-B133</f>
        <v>1.1999999999999957</v>
      </c>
    </row>
    <row r="135" spans="1:3" x14ac:dyDescent="0.2">
      <c r="A135" s="15">
        <v>42979</v>
      </c>
      <c r="B135" s="14">
        <v>56.3</v>
      </c>
      <c r="C135" s="30">
        <f>Table13468111214151617[[#This Row],[PMI]]-B134</f>
        <v>0</v>
      </c>
    </row>
    <row r="136" spans="1:3" x14ac:dyDescent="0.2">
      <c r="A136" s="15">
        <v>43009</v>
      </c>
      <c r="B136" s="14">
        <v>57.8</v>
      </c>
      <c r="C136" s="30">
        <f>Table13468111214151617[[#This Row],[PMI]]-B135</f>
        <v>1.5</v>
      </c>
    </row>
    <row r="137" spans="1:3" x14ac:dyDescent="0.2">
      <c r="A137" s="15">
        <v>43040</v>
      </c>
      <c r="B137" s="14">
        <v>58.3</v>
      </c>
      <c r="C137" s="30">
        <f>Table13468111214151617[[#This Row],[PMI]]-B136</f>
        <v>0.5</v>
      </c>
    </row>
    <row r="138" spans="1:3" x14ac:dyDescent="0.2">
      <c r="A138" s="15">
        <v>43070</v>
      </c>
      <c r="B138" s="14">
        <v>57.4</v>
      </c>
      <c r="C138" s="30">
        <f>Table13468111214151617[[#This Row],[PMI]]-B137</f>
        <v>-0.89999999999999858</v>
      </c>
    </row>
    <row r="139" spans="1:3" x14ac:dyDescent="0.2">
      <c r="A139" s="15">
        <v>43101</v>
      </c>
      <c r="B139" s="14">
        <v>59</v>
      </c>
      <c r="C139" s="30">
        <f>Table13468111214151617[[#This Row],[PMI]]-B138</f>
        <v>1.6000000000000014</v>
      </c>
    </row>
    <row r="140" spans="1:3" x14ac:dyDescent="0.2">
      <c r="A140" s="15">
        <v>43132</v>
      </c>
      <c r="B140" s="14">
        <v>56.8</v>
      </c>
      <c r="C140" s="30">
        <f>Table13468111214151617[[#This Row],[PMI]]-B139</f>
        <v>-2.2000000000000028</v>
      </c>
    </row>
    <row r="141" spans="1:3" x14ac:dyDescent="0.2">
      <c r="A141" s="15">
        <v>43160</v>
      </c>
      <c r="B141" s="14">
        <v>55.1</v>
      </c>
      <c r="C141" s="30">
        <f>Table13468111214151617[[#This Row],[PMI]]-B140</f>
        <v>-1.6999999999999957</v>
      </c>
    </row>
    <row r="142" spans="1:3" x14ac:dyDescent="0.2">
      <c r="A142" s="15">
        <v>43191</v>
      </c>
      <c r="B142" s="14">
        <v>53.5</v>
      </c>
      <c r="C142" s="30">
        <f>Table13468111214151617[[#This Row],[PMI]]-B141</f>
        <v>-1.6000000000000014</v>
      </c>
    </row>
    <row r="143" spans="1:3" x14ac:dyDescent="0.2">
      <c r="A143" s="15">
        <v>43221</v>
      </c>
      <c r="B143" s="14">
        <v>52.7</v>
      </c>
      <c r="C143" s="30">
        <f>Table13468111214151617[[#This Row],[PMI]]-B142</f>
        <v>-0.79999999999999716</v>
      </c>
    </row>
    <row r="144" spans="1:3" x14ac:dyDescent="0.2">
      <c r="A144" s="15">
        <v>43252</v>
      </c>
      <c r="B144" s="14">
        <v>53.3</v>
      </c>
      <c r="C144" s="30">
        <f>Table13468111214151617[[#This Row],[PMI]]-B143</f>
        <v>0.59999999999999432</v>
      </c>
    </row>
    <row r="145" spans="1:3" x14ac:dyDescent="0.2">
      <c r="A145" s="15">
        <v>43282</v>
      </c>
      <c r="B145" s="14">
        <v>51.5</v>
      </c>
      <c r="C145" s="30">
        <f>Table13468111214151617[[#This Row],[PMI]]-B144</f>
        <v>-1.7999999999999972</v>
      </c>
    </row>
    <row r="146" spans="1:3" x14ac:dyDescent="0.2">
      <c r="A146" s="15">
        <v>43313</v>
      </c>
      <c r="B146" s="14">
        <v>50.1</v>
      </c>
      <c r="C146" s="30">
        <f>Table13468111214151617[[#This Row],[PMI]]-B145</f>
        <v>-1.3999999999999986</v>
      </c>
    </row>
    <row r="147" spans="1:3" x14ac:dyDescent="0.2">
      <c r="A147" s="15">
        <v>43344</v>
      </c>
      <c r="B147" s="14">
        <v>50</v>
      </c>
      <c r="C147" s="30">
        <f>Table13468111214151617[[#This Row],[PMI]]-B146</f>
        <v>-0.10000000000000142</v>
      </c>
    </row>
    <row r="148" spans="1:3" x14ac:dyDescent="0.2">
      <c r="A148" s="15">
        <v>43374</v>
      </c>
      <c r="B148" s="14">
        <v>49.2</v>
      </c>
      <c r="C148" s="30">
        <f>Table13468111214151617[[#This Row],[PMI]]-B147</f>
        <v>-0.79999999999999716</v>
      </c>
    </row>
    <row r="149" spans="1:3" x14ac:dyDescent="0.2">
      <c r="A149" s="15">
        <v>43405</v>
      </c>
      <c r="B149" s="14">
        <v>48.6</v>
      </c>
      <c r="C149" s="30">
        <f>Table13468111214151617[[#This Row],[PMI]]-B148</f>
        <v>-0.60000000000000142</v>
      </c>
    </row>
    <row r="150" spans="1:3" x14ac:dyDescent="0.2">
      <c r="A150" s="15">
        <v>43435</v>
      </c>
      <c r="B150" s="14">
        <v>49.2</v>
      </c>
      <c r="C150" s="30">
        <f>Table13468111214151617[[#This Row],[PMI]]-B149</f>
        <v>0.60000000000000142</v>
      </c>
    </row>
    <row r="151" spans="1:3" x14ac:dyDescent="0.2">
      <c r="A151" s="15">
        <v>43466</v>
      </c>
      <c r="B151" s="14">
        <v>47.8</v>
      </c>
      <c r="C151" s="30">
        <f>Table13468111214151617[[#This Row],[PMI]]-B150</f>
        <v>-1.4000000000000057</v>
      </c>
    </row>
    <row r="152" spans="1:3" x14ac:dyDescent="0.2">
      <c r="A152" s="15">
        <v>43497</v>
      </c>
      <c r="B152" s="14">
        <v>47.7</v>
      </c>
      <c r="C152" s="30">
        <f>Table13468111214151617[[#This Row],[PMI]]-B151</f>
        <v>-9.9999999999994316E-2</v>
      </c>
    </row>
    <row r="153" spans="1:3" x14ac:dyDescent="0.2">
      <c r="A153" s="15">
        <v>43525</v>
      </c>
      <c r="B153" s="14">
        <v>47.4</v>
      </c>
      <c r="C153" s="30">
        <f>Table13468111214151617[[#This Row],[PMI]]-B152</f>
        <v>-0.30000000000000426</v>
      </c>
    </row>
    <row r="154" spans="1:3" x14ac:dyDescent="0.2">
      <c r="A154" s="15">
        <v>43556</v>
      </c>
      <c r="B154" s="14">
        <v>49.1</v>
      </c>
      <c r="C154" s="30">
        <f>Table13468111214151617[[#This Row],[PMI]]-B153</f>
        <v>1.7000000000000028</v>
      </c>
    </row>
    <row r="155" spans="1:3" x14ac:dyDescent="0.2">
      <c r="A155" s="15">
        <v>43586</v>
      </c>
      <c r="B155" s="14">
        <v>49.7</v>
      </c>
      <c r="C155" s="30">
        <f>Table13468111214151617[[#This Row],[PMI]]-B154</f>
        <v>0.60000000000000142</v>
      </c>
    </row>
    <row r="156" spans="1:3" x14ac:dyDescent="0.2">
      <c r="A156" s="15">
        <v>43617</v>
      </c>
      <c r="B156" s="14">
        <v>48.4</v>
      </c>
      <c r="C156" s="30">
        <f>Table13468111214151617[[#This Row],[PMI]]-B155</f>
        <v>-1.3000000000000043</v>
      </c>
    </row>
    <row r="157" spans="1:3" x14ac:dyDescent="0.2">
      <c r="A157" s="15">
        <v>43647</v>
      </c>
      <c r="B157" s="14">
        <v>48.5</v>
      </c>
      <c r="C157" s="30">
        <f>Table13468111214151617[[#This Row],[PMI]]-B156</f>
        <v>0.10000000000000142</v>
      </c>
    </row>
    <row r="158" spans="1:3" x14ac:dyDescent="0.2">
      <c r="A158" s="15">
        <v>43678</v>
      </c>
      <c r="B158" s="14">
        <v>48.7</v>
      </c>
      <c r="C158" s="30">
        <f>Table13468111214151617[[#This Row],[PMI]]-B157</f>
        <v>0.20000000000000284</v>
      </c>
    </row>
    <row r="159" spans="1:3" x14ac:dyDescent="0.2">
      <c r="A159" s="15">
        <v>43709</v>
      </c>
      <c r="B159" s="14">
        <v>47.8</v>
      </c>
      <c r="C159" s="30">
        <f>Table13468111214151617[[#This Row],[PMI]]-B158</f>
        <v>-0.90000000000000568</v>
      </c>
    </row>
    <row r="160" spans="1:3" x14ac:dyDescent="0.2">
      <c r="A160" s="15">
        <v>43739</v>
      </c>
      <c r="B160" s="14">
        <v>47.7</v>
      </c>
      <c r="C160" s="30">
        <f>Table13468111214151617[[#This Row],[PMI]]-B159</f>
        <v>-9.9999999999994316E-2</v>
      </c>
    </row>
    <row r="161" spans="1:3" x14ac:dyDescent="0.2">
      <c r="A161" s="15">
        <v>43770</v>
      </c>
      <c r="B161" s="14">
        <v>47.6</v>
      </c>
      <c r="C161" s="30">
        <f>Table13468111214151617[[#This Row],[PMI]]-B160</f>
        <v>-0.10000000000000142</v>
      </c>
    </row>
    <row r="162" spans="1:3" x14ac:dyDescent="0.2">
      <c r="A162" s="15">
        <v>43800</v>
      </c>
      <c r="B162" s="14">
        <v>46.2</v>
      </c>
      <c r="C162" s="30">
        <f>Table13468111214151617[[#This Row],[PMI]]-B161</f>
        <v>-1.3999999999999986</v>
      </c>
    </row>
    <row r="163" spans="1:3" x14ac:dyDescent="0.2">
      <c r="A163" s="15">
        <v>43831</v>
      </c>
      <c r="B163" s="14">
        <v>48.9</v>
      </c>
      <c r="C163" s="30">
        <f>Table13468111214151617[[#This Row],[PMI]]-B162</f>
        <v>2.6999999999999957</v>
      </c>
    </row>
    <row r="164" spans="1:3" x14ac:dyDescent="0.2">
      <c r="A164" s="15">
        <v>43862</v>
      </c>
      <c r="B164" s="14">
        <v>48.7</v>
      </c>
      <c r="C164" s="30">
        <f>Table13468111214151617[[#This Row],[PMI]]-B163</f>
        <v>-0.19999999999999574</v>
      </c>
    </row>
    <row r="165" spans="1:3" x14ac:dyDescent="0.2">
      <c r="A165" s="15">
        <v>43891</v>
      </c>
      <c r="B165" s="14">
        <v>40.299999999999997</v>
      </c>
      <c r="C165" s="30">
        <f>Table13468111214151617[[#This Row],[PMI]]-B164</f>
        <v>-8.4000000000000057</v>
      </c>
    </row>
    <row r="166" spans="1:3" x14ac:dyDescent="0.2">
      <c r="A166" s="15">
        <v>43922</v>
      </c>
      <c r="B166" s="14">
        <v>31.1</v>
      </c>
      <c r="C166" s="30">
        <f>Table13468111214151617[[#This Row],[PMI]]-B165</f>
        <v>-9.1999999999999957</v>
      </c>
    </row>
    <row r="167" spans="1:3" x14ac:dyDescent="0.2">
      <c r="A167" s="15">
        <v>43952</v>
      </c>
      <c r="B167" s="14">
        <v>45.4</v>
      </c>
      <c r="C167" s="30">
        <f>Table13468111214151617[[#This Row],[PMI]]-B166</f>
        <v>14.299999999999997</v>
      </c>
    </row>
    <row r="168" spans="1:3" x14ac:dyDescent="0.2">
      <c r="A168" s="15">
        <v>43983</v>
      </c>
      <c r="B168" s="14">
        <v>47.5</v>
      </c>
      <c r="C168" s="30">
        <f>Table13468111214151617[[#This Row],[PMI]]-B167</f>
        <v>2.1000000000000014</v>
      </c>
    </row>
    <row r="169" spans="1:3" x14ac:dyDescent="0.2">
      <c r="A169" s="15">
        <v>44013</v>
      </c>
      <c r="B169" s="14">
        <v>51.9</v>
      </c>
      <c r="C169" s="30">
        <f>Table13468111214151617[[#This Row],[PMI]]-B168</f>
        <v>4.3999999999999986</v>
      </c>
    </row>
    <row r="170" spans="1:3" x14ac:dyDescent="0.2">
      <c r="A170" s="15">
        <v>44044</v>
      </c>
      <c r="B170" s="14">
        <v>53.1</v>
      </c>
      <c r="C170" s="30">
        <f>Table13468111214151617[[#This Row],[PMI]]-B169</f>
        <v>1.2000000000000028</v>
      </c>
    </row>
    <row r="171" spans="1:3" x14ac:dyDescent="0.2">
      <c r="A171" s="15">
        <v>44075</v>
      </c>
      <c r="B171" s="14">
        <v>53.2</v>
      </c>
      <c r="C171" s="30">
        <f>Table13468111214151617[[#This Row],[PMI]]-B170</f>
        <v>0.10000000000000142</v>
      </c>
    </row>
    <row r="172" spans="1:3" x14ac:dyDescent="0.2">
      <c r="A172" s="15">
        <v>44105</v>
      </c>
      <c r="B172" s="14">
        <v>53.8</v>
      </c>
      <c r="C172" s="30">
        <f>Table13468111214151617[[#This Row],[PMI]]-B171</f>
        <v>0.59999999999999432</v>
      </c>
    </row>
    <row r="173" spans="1:3" x14ac:dyDescent="0.2">
      <c r="A173" s="15">
        <v>44136</v>
      </c>
      <c r="B173" s="14">
        <v>51.5</v>
      </c>
      <c r="C173" s="30">
        <f>Table13468111214151617[[#This Row],[PMI]]-B172</f>
        <v>-2.2999999999999972</v>
      </c>
    </row>
    <row r="174" spans="1:3" x14ac:dyDescent="0.2">
      <c r="A174" s="15">
        <v>44166</v>
      </c>
      <c r="B174" s="14">
        <v>52.8</v>
      </c>
      <c r="C174" s="30">
        <f>Table13468111214151617[[#This Row],[PMI]]-B173</f>
        <v>1.2999999999999972</v>
      </c>
    </row>
    <row r="175" spans="1:3" x14ac:dyDescent="0.2">
      <c r="A175" s="15">
        <v>44197</v>
      </c>
      <c r="B175" s="14">
        <v>55.1</v>
      </c>
      <c r="C175" s="30">
        <f>Table13468111214151617[[#This Row],[PMI]]-B174</f>
        <v>2.3000000000000043</v>
      </c>
    </row>
    <row r="176" spans="1:3" x14ac:dyDescent="0.2">
      <c r="A176" s="15">
        <v>44228</v>
      </c>
      <c r="B176" s="14">
        <v>56.9</v>
      </c>
      <c r="C176" s="30">
        <f>Table13468111214151617[[#This Row],[PMI]]-B175</f>
        <v>1.7999999999999972</v>
      </c>
    </row>
    <row r="177" spans="1:3" x14ac:dyDescent="0.2">
      <c r="A177" s="15">
        <v>44256</v>
      </c>
      <c r="B177" s="14">
        <v>59.8</v>
      </c>
      <c r="C177" s="30">
        <f>Table13468111214151617[[#This Row],[PMI]]-B176</f>
        <v>2.8999999999999986</v>
      </c>
    </row>
    <row r="178" spans="1:3" x14ac:dyDescent="0.2">
      <c r="A178" s="15">
        <v>44287</v>
      </c>
      <c r="B178" s="14">
        <v>60.7</v>
      </c>
      <c r="C178" s="30">
        <f>Table13468111214151617[[#This Row],[PMI]]-B177</f>
        <v>0.90000000000000568</v>
      </c>
    </row>
    <row r="179" spans="1:3" x14ac:dyDescent="0.2">
      <c r="A179" s="15">
        <v>44317</v>
      </c>
      <c r="B179" s="14">
        <v>62.3</v>
      </c>
      <c r="C179" s="30">
        <f>Table13468111214151617[[#This Row],[PMI]]-B178</f>
        <v>1.5999999999999943</v>
      </c>
    </row>
    <row r="180" spans="1:3" x14ac:dyDescent="0.2">
      <c r="A180" s="15">
        <v>44348</v>
      </c>
      <c r="B180" s="14">
        <v>62.2</v>
      </c>
      <c r="C180" s="30">
        <f>Table13468111214151617[[#This Row],[PMI]]-B179</f>
        <v>-9.9999999999994316E-2</v>
      </c>
    </row>
    <row r="181" spans="1:3" x14ac:dyDescent="0.2">
      <c r="A181" s="15">
        <v>44378</v>
      </c>
      <c r="B181" s="14">
        <v>60.3</v>
      </c>
      <c r="C181" s="30">
        <f>Table13468111214151617[[#This Row],[PMI]]-B180</f>
        <v>-1.9000000000000057</v>
      </c>
    </row>
    <row r="182" spans="1:3" x14ac:dyDescent="0.2">
      <c r="A182" s="15">
        <v>44409</v>
      </c>
      <c r="B182" s="14">
        <v>60.9</v>
      </c>
      <c r="C182" s="30">
        <f>Table13468111214151617[[#This Row],[PMI]]-B181</f>
        <v>0.60000000000000142</v>
      </c>
    </row>
    <row r="183" spans="1:3" x14ac:dyDescent="0.2">
      <c r="A183" s="15">
        <v>44440</v>
      </c>
      <c r="B183" s="14">
        <v>59.7</v>
      </c>
      <c r="C183" s="30">
        <f>Table13468111214151617[[#This Row],[PMI]]-B182</f>
        <v>-1.1999999999999957</v>
      </c>
    </row>
    <row r="184" spans="1:3" x14ac:dyDescent="0.2">
      <c r="A184" s="15">
        <v>44470</v>
      </c>
      <c r="B184" s="14">
        <v>61.1</v>
      </c>
      <c r="C184" s="30">
        <f>Table13468111214151617[[#This Row],[PMI]]-B183</f>
        <v>1.3999999999999986</v>
      </c>
    </row>
    <row r="185" spans="1:3" x14ac:dyDescent="0.2">
      <c r="A185" s="15">
        <v>44501</v>
      </c>
      <c r="B185" s="14">
        <v>62.8</v>
      </c>
      <c r="C185" s="30">
        <f>Table13468111214151617[[#This Row],[PMI]]-B184</f>
        <v>1.6999999999999957</v>
      </c>
    </row>
    <row r="186" spans="1:3" x14ac:dyDescent="0.2">
      <c r="A186" s="15">
        <v>44531</v>
      </c>
      <c r="B186" s="14">
        <v>62</v>
      </c>
      <c r="C186" s="30">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D2B4C-5844-425A-A47B-0232C199FAC4}">
  <dimension ref="A1:K186"/>
  <sheetViews>
    <sheetView zoomScale="170" zoomScaleNormal="170" workbookViewId="0">
      <pane ySplit="5" topLeftCell="A153" activePane="bottomLeft" state="frozen"/>
      <selection pane="bottomLeft" activeCell="P174" sqref="P17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34</v>
      </c>
      <c r="K1" s="10" t="s">
        <v>21</v>
      </c>
    </row>
    <row r="2" spans="1:11" x14ac:dyDescent="0.2">
      <c r="K2" s="10" t="str">
        <f>A1&amp;K1</f>
        <v>Spain Manufacturing PMI</v>
      </c>
    </row>
    <row r="4" spans="1:11" ht="16" thickBot="1" x14ac:dyDescent="0.25"/>
    <row r="5" spans="1:11" ht="16" thickBot="1" x14ac:dyDescent="0.25">
      <c r="A5" s="27" t="s">
        <v>10</v>
      </c>
      <c r="B5" s="28" t="s">
        <v>11</v>
      </c>
      <c r="C5" s="28" t="s">
        <v>14</v>
      </c>
    </row>
    <row r="6" spans="1:11" x14ac:dyDescent="0.2">
      <c r="A6" s="23">
        <v>39052</v>
      </c>
      <c r="B6" s="24">
        <v>57.2</v>
      </c>
      <c r="C6" s="24"/>
    </row>
    <row r="7" spans="1:11" x14ac:dyDescent="0.2">
      <c r="A7" s="15">
        <v>39083</v>
      </c>
      <c r="B7" s="14">
        <v>56.2</v>
      </c>
      <c r="C7" s="14">
        <f>Table1346811121415161718[[#This Row],[PMI]]-B6</f>
        <v>-1</v>
      </c>
    </row>
    <row r="8" spans="1:11" x14ac:dyDescent="0.2">
      <c r="A8" s="15">
        <v>39114</v>
      </c>
      <c r="B8" s="14">
        <v>56.2</v>
      </c>
      <c r="C8" s="14">
        <f>Table1346811121415161718[[#This Row],[PMI]]-B7</f>
        <v>0</v>
      </c>
    </row>
    <row r="9" spans="1:11" x14ac:dyDescent="0.2">
      <c r="A9" s="15">
        <v>39142</v>
      </c>
      <c r="B9" s="14">
        <v>55.4</v>
      </c>
      <c r="C9" s="14">
        <f>Table1346811121415161718[[#This Row],[PMI]]-B8</f>
        <v>-0.80000000000000426</v>
      </c>
    </row>
    <row r="10" spans="1:11" x14ac:dyDescent="0.2">
      <c r="A10" s="15">
        <v>39173</v>
      </c>
      <c r="B10" s="14">
        <v>56</v>
      </c>
      <c r="C10" s="14">
        <f>Table1346811121415161718[[#This Row],[PMI]]-B9</f>
        <v>0.60000000000000142</v>
      </c>
    </row>
    <row r="11" spans="1:11" x14ac:dyDescent="0.2">
      <c r="A11" s="15">
        <v>39203</v>
      </c>
      <c r="B11" s="14">
        <v>53.3</v>
      </c>
      <c r="C11" s="14">
        <f>Table1346811121415161718[[#This Row],[PMI]]-B10</f>
        <v>-2.7000000000000028</v>
      </c>
    </row>
    <row r="12" spans="1:11" x14ac:dyDescent="0.2">
      <c r="A12" s="15">
        <v>39234</v>
      </c>
      <c r="B12" s="14">
        <v>55.1</v>
      </c>
      <c r="C12" s="14">
        <f>Table1346811121415161718[[#This Row],[PMI]]-B11</f>
        <v>1.8000000000000043</v>
      </c>
    </row>
    <row r="13" spans="1:11" x14ac:dyDescent="0.2">
      <c r="A13" s="15">
        <v>39264</v>
      </c>
      <c r="B13" s="14">
        <v>53.2</v>
      </c>
      <c r="C13" s="14">
        <f>Table1346811121415161718[[#This Row],[PMI]]-B12</f>
        <v>-1.8999999999999986</v>
      </c>
    </row>
    <row r="14" spans="1:11" x14ac:dyDescent="0.2">
      <c r="A14" s="15">
        <v>39295</v>
      </c>
      <c r="B14" s="14">
        <v>52.2</v>
      </c>
      <c r="C14" s="14">
        <f>Table1346811121415161718[[#This Row],[PMI]]-B13</f>
        <v>-1</v>
      </c>
    </row>
    <row r="15" spans="1:11" x14ac:dyDescent="0.2">
      <c r="A15" s="15">
        <v>39326</v>
      </c>
      <c r="B15" s="14">
        <v>50.8</v>
      </c>
      <c r="C15" s="14">
        <f>Table1346811121415161718[[#This Row],[PMI]]-B14</f>
        <v>-1.4000000000000057</v>
      </c>
    </row>
    <row r="16" spans="1:11" x14ac:dyDescent="0.2">
      <c r="A16" s="15">
        <v>39356</v>
      </c>
      <c r="B16" s="14">
        <v>49.6</v>
      </c>
      <c r="C16" s="14">
        <f>Table1346811121415161718[[#This Row],[PMI]]-B15</f>
        <v>-1.1999999999999957</v>
      </c>
    </row>
    <row r="17" spans="1:3" x14ac:dyDescent="0.2">
      <c r="A17" s="15">
        <v>39387</v>
      </c>
      <c r="B17" s="14">
        <v>50.7</v>
      </c>
      <c r="C17" s="14">
        <f>Table1346811121415161718[[#This Row],[PMI]]-B16</f>
        <v>1.1000000000000014</v>
      </c>
    </row>
    <row r="18" spans="1:3" x14ac:dyDescent="0.2">
      <c r="A18" s="15">
        <v>39417</v>
      </c>
      <c r="B18" s="14">
        <v>49.5</v>
      </c>
      <c r="C18" s="14">
        <f>Table1346811121415161718[[#This Row],[PMI]]-B17</f>
        <v>-1.2000000000000028</v>
      </c>
    </row>
    <row r="19" spans="1:3" x14ac:dyDescent="0.2">
      <c r="A19" s="15">
        <v>39448</v>
      </c>
      <c r="B19" s="14">
        <v>49.8</v>
      </c>
      <c r="C19" s="14">
        <f>Table1346811121415161718[[#This Row],[PMI]]-B18</f>
        <v>0.29999999999999716</v>
      </c>
    </row>
    <row r="20" spans="1:3" x14ac:dyDescent="0.2">
      <c r="A20" s="15">
        <v>39479</v>
      </c>
      <c r="B20" s="14">
        <v>46.7</v>
      </c>
      <c r="C20" s="14">
        <f>Table1346811121415161718[[#This Row],[PMI]]-B19</f>
        <v>-3.0999999999999943</v>
      </c>
    </row>
    <row r="21" spans="1:3" x14ac:dyDescent="0.2">
      <c r="A21" s="15">
        <v>39508</v>
      </c>
      <c r="B21" s="14">
        <v>46.4</v>
      </c>
      <c r="C21" s="14">
        <f>Table1346811121415161718[[#This Row],[PMI]]-B20</f>
        <v>-0.30000000000000426</v>
      </c>
    </row>
    <row r="22" spans="1:3" x14ac:dyDescent="0.2">
      <c r="A22" s="15">
        <v>39539</v>
      </c>
      <c r="B22" s="14">
        <v>45.2</v>
      </c>
      <c r="C22" s="14">
        <f>Table1346811121415161718[[#This Row],[PMI]]-B21</f>
        <v>-1.1999999999999957</v>
      </c>
    </row>
    <row r="23" spans="1:3" x14ac:dyDescent="0.2">
      <c r="A23" s="15">
        <v>39569</v>
      </c>
      <c r="B23" s="14">
        <v>43.8</v>
      </c>
      <c r="C23" s="14">
        <f>Table1346811121415161718[[#This Row],[PMI]]-B22</f>
        <v>-1.4000000000000057</v>
      </c>
    </row>
    <row r="24" spans="1:3" x14ac:dyDescent="0.2">
      <c r="A24" s="15">
        <v>39600</v>
      </c>
      <c r="B24" s="14">
        <v>40.6</v>
      </c>
      <c r="C24" s="14">
        <f>Table1346811121415161718[[#This Row],[PMI]]-B23</f>
        <v>-3.1999999999999957</v>
      </c>
    </row>
    <row r="25" spans="1:3" x14ac:dyDescent="0.2">
      <c r="A25" s="15">
        <v>39630</v>
      </c>
      <c r="B25" s="14">
        <v>39.200000000000003</v>
      </c>
      <c r="C25" s="14">
        <f>Table1346811121415161718[[#This Row],[PMI]]-B24</f>
        <v>-1.3999999999999986</v>
      </c>
    </row>
    <row r="26" spans="1:3" x14ac:dyDescent="0.2">
      <c r="A26" s="15">
        <v>39661</v>
      </c>
      <c r="B26" s="14">
        <v>42.4</v>
      </c>
      <c r="C26" s="14">
        <f>Table1346811121415161718[[#This Row],[PMI]]-B25</f>
        <v>3.1999999999999957</v>
      </c>
    </row>
    <row r="27" spans="1:3" x14ac:dyDescent="0.2">
      <c r="A27" s="15">
        <v>39692</v>
      </c>
      <c r="B27" s="14">
        <v>38.299999999999997</v>
      </c>
      <c r="C27" s="14">
        <f>Table1346811121415161718[[#This Row],[PMI]]-B26</f>
        <v>-4.1000000000000014</v>
      </c>
    </row>
    <row r="28" spans="1:3" x14ac:dyDescent="0.2">
      <c r="A28" s="15">
        <v>39722</v>
      </c>
      <c r="B28" s="14">
        <v>34.6</v>
      </c>
      <c r="C28" s="14">
        <f>Table1346811121415161718[[#This Row],[PMI]]-B27</f>
        <v>-3.6999999999999957</v>
      </c>
    </row>
    <row r="29" spans="1:3" x14ac:dyDescent="0.2">
      <c r="A29" s="15">
        <v>39753</v>
      </c>
      <c r="B29" s="14">
        <v>29.4</v>
      </c>
      <c r="C29" s="14">
        <f>Table1346811121415161718[[#This Row],[PMI]]-B28</f>
        <v>-5.2000000000000028</v>
      </c>
    </row>
    <row r="30" spans="1:3" x14ac:dyDescent="0.2">
      <c r="A30" s="15">
        <v>39783</v>
      </c>
      <c r="B30" s="14">
        <v>28.5</v>
      </c>
      <c r="C30" s="14">
        <f>Table1346811121415161718[[#This Row],[PMI]]-B29</f>
        <v>-0.89999999999999858</v>
      </c>
    </row>
    <row r="31" spans="1:3" x14ac:dyDescent="0.2">
      <c r="A31" s="15">
        <v>39814</v>
      </c>
      <c r="B31" s="14">
        <v>31.5</v>
      </c>
      <c r="C31" s="14">
        <f>Table1346811121415161718[[#This Row],[PMI]]-B30</f>
        <v>3</v>
      </c>
    </row>
    <row r="32" spans="1:3" x14ac:dyDescent="0.2">
      <c r="A32" s="15">
        <v>39845</v>
      </c>
      <c r="B32" s="14">
        <v>31.8</v>
      </c>
      <c r="C32" s="14">
        <f>Table1346811121415161718[[#This Row],[PMI]]-B31</f>
        <v>0.30000000000000071</v>
      </c>
    </row>
    <row r="33" spans="1:3" x14ac:dyDescent="0.2">
      <c r="A33" s="15">
        <v>39873</v>
      </c>
      <c r="B33" s="14">
        <v>32.9</v>
      </c>
      <c r="C33" s="14">
        <f>Table1346811121415161718[[#This Row],[PMI]]-B32</f>
        <v>1.0999999999999979</v>
      </c>
    </row>
    <row r="34" spans="1:3" x14ac:dyDescent="0.2">
      <c r="A34" s="15">
        <v>39904</v>
      </c>
      <c r="B34" s="14">
        <v>34.6</v>
      </c>
      <c r="C34" s="14">
        <f>Table1346811121415161718[[#This Row],[PMI]]-B33</f>
        <v>1.7000000000000028</v>
      </c>
    </row>
    <row r="35" spans="1:3" x14ac:dyDescent="0.2">
      <c r="A35" s="15">
        <v>39934</v>
      </c>
      <c r="B35" s="14">
        <v>39.799999999999997</v>
      </c>
      <c r="C35" s="14">
        <f>Table1346811121415161718[[#This Row],[PMI]]-B34</f>
        <v>5.1999999999999957</v>
      </c>
    </row>
    <row r="36" spans="1:3" x14ac:dyDescent="0.2">
      <c r="A36" s="15">
        <v>39965</v>
      </c>
      <c r="B36" s="14">
        <v>42.8</v>
      </c>
      <c r="C36" s="14">
        <f>Table1346811121415161718[[#This Row],[PMI]]-B35</f>
        <v>3</v>
      </c>
    </row>
    <row r="37" spans="1:3" x14ac:dyDescent="0.2">
      <c r="A37" s="15">
        <v>39995</v>
      </c>
      <c r="B37" s="14">
        <v>47.3</v>
      </c>
      <c r="C37" s="14">
        <f>Table1346811121415161718[[#This Row],[PMI]]-B36</f>
        <v>4.5</v>
      </c>
    </row>
    <row r="38" spans="1:3" x14ac:dyDescent="0.2">
      <c r="A38" s="15">
        <v>40026</v>
      </c>
      <c r="B38" s="14">
        <v>47.2</v>
      </c>
      <c r="C38" s="14">
        <f>Table1346811121415161718[[#This Row],[PMI]]-B37</f>
        <v>-9.9999999999994316E-2</v>
      </c>
    </row>
    <row r="39" spans="1:3" x14ac:dyDescent="0.2">
      <c r="A39" s="15">
        <v>40057</v>
      </c>
      <c r="B39" s="14">
        <v>45.8</v>
      </c>
      <c r="C39" s="14">
        <f>Table1346811121415161718[[#This Row],[PMI]]-B38</f>
        <v>-1.4000000000000057</v>
      </c>
    </row>
    <row r="40" spans="1:3" x14ac:dyDescent="0.2">
      <c r="A40" s="15">
        <v>40087</v>
      </c>
      <c r="B40" s="14">
        <v>46.3</v>
      </c>
      <c r="C40" s="14">
        <f>Table1346811121415161718[[#This Row],[PMI]]-B39</f>
        <v>0.5</v>
      </c>
    </row>
    <row r="41" spans="1:3" x14ac:dyDescent="0.2">
      <c r="A41" s="15">
        <v>40118</v>
      </c>
      <c r="B41" s="14">
        <v>45.3</v>
      </c>
      <c r="C41" s="14">
        <f>Table1346811121415161718[[#This Row],[PMI]]-B40</f>
        <v>-1</v>
      </c>
    </row>
    <row r="42" spans="1:3" x14ac:dyDescent="0.2">
      <c r="A42" s="15">
        <v>40148</v>
      </c>
      <c r="B42" s="14">
        <v>45.2</v>
      </c>
      <c r="C42" s="14">
        <f>Table1346811121415161718[[#This Row],[PMI]]-B41</f>
        <v>-9.9999999999994316E-2</v>
      </c>
    </row>
    <row r="43" spans="1:3" x14ac:dyDescent="0.2">
      <c r="A43" s="15">
        <v>40179</v>
      </c>
      <c r="B43" s="14">
        <v>45.3</v>
      </c>
      <c r="C43" s="14">
        <f>Table1346811121415161718[[#This Row],[PMI]]-B42</f>
        <v>9.9999999999994316E-2</v>
      </c>
    </row>
    <row r="44" spans="1:3" x14ac:dyDescent="0.2">
      <c r="A44" s="15">
        <v>40210</v>
      </c>
      <c r="B44" s="14">
        <v>49.1</v>
      </c>
      <c r="C44" s="14">
        <f>Table1346811121415161718[[#This Row],[PMI]]-B43</f>
        <v>3.8000000000000043</v>
      </c>
    </row>
    <row r="45" spans="1:3" x14ac:dyDescent="0.2">
      <c r="A45" s="15">
        <v>40238</v>
      </c>
      <c r="B45" s="14">
        <v>51.8</v>
      </c>
      <c r="C45" s="14">
        <f>Table1346811121415161718[[#This Row],[PMI]]-B44</f>
        <v>2.6999999999999957</v>
      </c>
    </row>
    <row r="46" spans="1:3" x14ac:dyDescent="0.2">
      <c r="A46" s="15">
        <v>40269</v>
      </c>
      <c r="B46" s="14">
        <v>53.3</v>
      </c>
      <c r="C46" s="14">
        <f>Table1346811121415161718[[#This Row],[PMI]]-B45</f>
        <v>1.5</v>
      </c>
    </row>
    <row r="47" spans="1:3" x14ac:dyDescent="0.2">
      <c r="A47" s="15">
        <v>40299</v>
      </c>
      <c r="B47" s="14">
        <v>51.5</v>
      </c>
      <c r="C47" s="14">
        <f>Table1346811121415161718[[#This Row],[PMI]]-B46</f>
        <v>-1.7999999999999972</v>
      </c>
    </row>
    <row r="48" spans="1:3" x14ac:dyDescent="0.2">
      <c r="A48" s="15">
        <v>40330</v>
      </c>
      <c r="B48" s="14">
        <v>51.2</v>
      </c>
      <c r="C48" s="14">
        <f>Table1346811121415161718[[#This Row],[PMI]]-B47</f>
        <v>-0.29999999999999716</v>
      </c>
    </row>
    <row r="49" spans="1:3" x14ac:dyDescent="0.2">
      <c r="A49" s="15">
        <v>40360</v>
      </c>
      <c r="B49" s="14">
        <v>51.6</v>
      </c>
      <c r="C49" s="14">
        <f>Table1346811121415161718[[#This Row],[PMI]]-B48</f>
        <v>0.39999999999999858</v>
      </c>
    </row>
    <row r="50" spans="1:3" x14ac:dyDescent="0.2">
      <c r="A50" s="15">
        <v>40391</v>
      </c>
      <c r="B50" s="14">
        <v>51.2</v>
      </c>
      <c r="C50" s="14">
        <f>Table1346811121415161718[[#This Row],[PMI]]-B49</f>
        <v>-0.39999999999999858</v>
      </c>
    </row>
    <row r="51" spans="1:3" x14ac:dyDescent="0.2">
      <c r="A51" s="15">
        <v>40422</v>
      </c>
      <c r="B51" s="14">
        <v>49.6</v>
      </c>
      <c r="C51" s="14">
        <f>Table1346811121415161718[[#This Row],[PMI]]-B50</f>
        <v>-1.6000000000000014</v>
      </c>
    </row>
    <row r="52" spans="1:3" x14ac:dyDescent="0.2">
      <c r="A52" s="15">
        <v>40452</v>
      </c>
      <c r="B52" s="14">
        <v>51.2</v>
      </c>
      <c r="C52" s="14">
        <f>Table1346811121415161718[[#This Row],[PMI]]-B51</f>
        <v>1.6000000000000014</v>
      </c>
    </row>
    <row r="53" spans="1:3" x14ac:dyDescent="0.2">
      <c r="A53" s="15">
        <v>40483</v>
      </c>
      <c r="B53" s="14">
        <v>50</v>
      </c>
      <c r="C53" s="14">
        <f>Table1346811121415161718[[#This Row],[PMI]]-B52</f>
        <v>-1.2000000000000028</v>
      </c>
    </row>
    <row r="54" spans="1:3" x14ac:dyDescent="0.2">
      <c r="A54" s="15">
        <v>40513</v>
      </c>
      <c r="B54" s="14">
        <v>51.5</v>
      </c>
      <c r="C54" s="14">
        <f>Table1346811121415161718[[#This Row],[PMI]]-B53</f>
        <v>1.5</v>
      </c>
    </row>
    <row r="55" spans="1:3" x14ac:dyDescent="0.2">
      <c r="A55" s="15">
        <v>40544</v>
      </c>
      <c r="B55" s="14">
        <v>52</v>
      </c>
      <c r="C55" s="14">
        <f>Table1346811121415161718[[#This Row],[PMI]]-B54</f>
        <v>0.5</v>
      </c>
    </row>
    <row r="56" spans="1:3" x14ac:dyDescent="0.2">
      <c r="A56" s="15">
        <v>40575</v>
      </c>
      <c r="B56" s="14">
        <v>52.1</v>
      </c>
      <c r="C56" s="14">
        <f>Table1346811121415161718[[#This Row],[PMI]]-B55</f>
        <v>0.10000000000000142</v>
      </c>
    </row>
    <row r="57" spans="1:3" x14ac:dyDescent="0.2">
      <c r="A57" s="15">
        <v>40603</v>
      </c>
      <c r="B57" s="14">
        <v>51.6</v>
      </c>
      <c r="C57" s="14">
        <f>Table1346811121415161718[[#This Row],[PMI]]-B56</f>
        <v>-0.5</v>
      </c>
    </row>
    <row r="58" spans="1:3" x14ac:dyDescent="0.2">
      <c r="A58" s="15">
        <v>40634</v>
      </c>
      <c r="B58" s="14">
        <v>50.6</v>
      </c>
      <c r="C58" s="14">
        <f>Table1346811121415161718[[#This Row],[PMI]]-B57</f>
        <v>-1</v>
      </c>
    </row>
    <row r="59" spans="1:3" x14ac:dyDescent="0.2">
      <c r="A59" s="15">
        <v>40664</v>
      </c>
      <c r="B59" s="14">
        <v>48.2</v>
      </c>
      <c r="C59" s="14">
        <f>Table1346811121415161718[[#This Row],[PMI]]-B58</f>
        <v>-2.3999999999999986</v>
      </c>
    </row>
    <row r="60" spans="1:3" x14ac:dyDescent="0.2">
      <c r="A60" s="15">
        <v>40695</v>
      </c>
      <c r="B60" s="14">
        <v>47.3</v>
      </c>
      <c r="C60" s="14">
        <f>Table1346811121415161718[[#This Row],[PMI]]-B59</f>
        <v>-0.90000000000000568</v>
      </c>
    </row>
    <row r="61" spans="1:3" x14ac:dyDescent="0.2">
      <c r="A61" s="15">
        <v>40725</v>
      </c>
      <c r="B61" s="14">
        <v>45.6</v>
      </c>
      <c r="C61" s="14">
        <f>Table1346811121415161718[[#This Row],[PMI]]-B60</f>
        <v>-1.6999999999999957</v>
      </c>
    </row>
    <row r="62" spans="1:3" x14ac:dyDescent="0.2">
      <c r="A62" s="15">
        <v>40756</v>
      </c>
      <c r="B62" s="14">
        <v>45.3</v>
      </c>
      <c r="C62" s="14">
        <f>Table1346811121415161718[[#This Row],[PMI]]-B61</f>
        <v>-0.30000000000000426</v>
      </c>
    </row>
    <row r="63" spans="1:3" x14ac:dyDescent="0.2">
      <c r="A63" s="15">
        <v>40787</v>
      </c>
      <c r="B63" s="14">
        <v>43.7</v>
      </c>
      <c r="C63" s="14">
        <f>Table1346811121415161718[[#This Row],[PMI]]-B62</f>
        <v>-1.5999999999999943</v>
      </c>
    </row>
    <row r="64" spans="1:3" x14ac:dyDescent="0.2">
      <c r="A64" s="15">
        <v>40817</v>
      </c>
      <c r="B64" s="14">
        <v>43.9</v>
      </c>
      <c r="C64" s="14">
        <f>Table1346811121415161718[[#This Row],[PMI]]-B63</f>
        <v>0.19999999999999574</v>
      </c>
    </row>
    <row r="65" spans="1:3" x14ac:dyDescent="0.2">
      <c r="A65" s="15">
        <v>40848</v>
      </c>
      <c r="B65" s="14">
        <v>43.8</v>
      </c>
      <c r="C65" s="14">
        <f>Table1346811121415161718[[#This Row],[PMI]]-B64</f>
        <v>-0.10000000000000142</v>
      </c>
    </row>
    <row r="66" spans="1:3" x14ac:dyDescent="0.2">
      <c r="A66" s="15">
        <v>40878</v>
      </c>
      <c r="B66" s="14">
        <v>43.7</v>
      </c>
      <c r="C66" s="14">
        <f>Table1346811121415161718[[#This Row],[PMI]]-B65</f>
        <v>-9.9999999999994316E-2</v>
      </c>
    </row>
    <row r="67" spans="1:3" x14ac:dyDescent="0.2">
      <c r="A67" s="15">
        <v>40909</v>
      </c>
      <c r="B67" s="14">
        <v>45.1</v>
      </c>
      <c r="C67" s="14">
        <f>Table1346811121415161718[[#This Row],[PMI]]-B66</f>
        <v>1.3999999999999986</v>
      </c>
    </row>
    <row r="68" spans="1:3" x14ac:dyDescent="0.2">
      <c r="A68" s="15">
        <v>40940</v>
      </c>
      <c r="B68" s="14">
        <v>45</v>
      </c>
      <c r="C68" s="14">
        <f>Table1346811121415161718[[#This Row],[PMI]]-B67</f>
        <v>-0.10000000000000142</v>
      </c>
    </row>
    <row r="69" spans="1:3" x14ac:dyDescent="0.2">
      <c r="A69" s="15">
        <v>40969</v>
      </c>
      <c r="B69" s="14">
        <v>44.5</v>
      </c>
      <c r="C69" s="14">
        <f>Table1346811121415161718[[#This Row],[PMI]]-B68</f>
        <v>-0.5</v>
      </c>
    </row>
    <row r="70" spans="1:3" x14ac:dyDescent="0.2">
      <c r="A70" s="15">
        <v>41000</v>
      </c>
      <c r="B70" s="14">
        <v>43.5</v>
      </c>
      <c r="C70" s="14">
        <f>Table1346811121415161718[[#This Row],[PMI]]-B69</f>
        <v>-1</v>
      </c>
    </row>
    <row r="71" spans="1:3" x14ac:dyDescent="0.2">
      <c r="A71" s="15">
        <v>41030</v>
      </c>
      <c r="B71" s="14">
        <v>42</v>
      </c>
      <c r="C71" s="14">
        <f>Table1346811121415161718[[#This Row],[PMI]]-B70</f>
        <v>-1.5</v>
      </c>
    </row>
    <row r="72" spans="1:3" x14ac:dyDescent="0.2">
      <c r="A72" s="15">
        <v>41061</v>
      </c>
      <c r="B72" s="14">
        <v>41.1</v>
      </c>
      <c r="C72" s="14">
        <f>Table1346811121415161718[[#This Row],[PMI]]-B71</f>
        <v>-0.89999999999999858</v>
      </c>
    </row>
    <row r="73" spans="1:3" x14ac:dyDescent="0.2">
      <c r="A73" s="15">
        <v>41091</v>
      </c>
      <c r="B73" s="14">
        <v>42.3</v>
      </c>
      <c r="C73" s="14">
        <f>Table1346811121415161718[[#This Row],[PMI]]-B72</f>
        <v>1.1999999999999957</v>
      </c>
    </row>
    <row r="74" spans="1:3" x14ac:dyDescent="0.2">
      <c r="A74" s="15">
        <v>41122</v>
      </c>
      <c r="B74" s="14">
        <v>44</v>
      </c>
      <c r="C74" s="14">
        <f>Table1346811121415161718[[#This Row],[PMI]]-B73</f>
        <v>1.7000000000000028</v>
      </c>
    </row>
    <row r="75" spans="1:3" x14ac:dyDescent="0.2">
      <c r="A75" s="15">
        <v>41153</v>
      </c>
      <c r="B75" s="14">
        <v>44.5</v>
      </c>
      <c r="C75" s="14">
        <f>Table1346811121415161718[[#This Row],[PMI]]-B74</f>
        <v>0.5</v>
      </c>
    </row>
    <row r="76" spans="1:3" x14ac:dyDescent="0.2">
      <c r="A76" s="15">
        <v>41183</v>
      </c>
      <c r="B76" s="14">
        <v>43.5</v>
      </c>
      <c r="C76" s="14">
        <f>Table1346811121415161718[[#This Row],[PMI]]-B75</f>
        <v>-1</v>
      </c>
    </row>
    <row r="77" spans="1:3" x14ac:dyDescent="0.2">
      <c r="A77" s="15">
        <v>41214</v>
      </c>
      <c r="B77" s="14">
        <v>45.3</v>
      </c>
      <c r="C77" s="14">
        <f>Table1346811121415161718[[#This Row],[PMI]]-B76</f>
        <v>1.7999999999999972</v>
      </c>
    </row>
    <row r="78" spans="1:3" x14ac:dyDescent="0.2">
      <c r="A78" s="15">
        <v>41244</v>
      </c>
      <c r="B78" s="14">
        <v>44.6</v>
      </c>
      <c r="C78" s="14">
        <f>Table1346811121415161718[[#This Row],[PMI]]-B77</f>
        <v>-0.69999999999999574</v>
      </c>
    </row>
    <row r="79" spans="1:3" x14ac:dyDescent="0.2">
      <c r="A79" s="15">
        <v>41275</v>
      </c>
      <c r="B79" s="14">
        <v>46.1</v>
      </c>
      <c r="C79" s="14">
        <f>Table1346811121415161718[[#This Row],[PMI]]-B78</f>
        <v>1.5</v>
      </c>
    </row>
    <row r="80" spans="1:3" x14ac:dyDescent="0.2">
      <c r="A80" s="15">
        <v>41306</v>
      </c>
      <c r="B80" s="14">
        <v>46.8</v>
      </c>
      <c r="C80" s="14">
        <f>Table1346811121415161718[[#This Row],[PMI]]-B79</f>
        <v>0.69999999999999574</v>
      </c>
    </row>
    <row r="81" spans="1:3" x14ac:dyDescent="0.2">
      <c r="A81" s="15">
        <v>41334</v>
      </c>
      <c r="B81" s="14">
        <v>44.2</v>
      </c>
      <c r="C81" s="14">
        <f>Table1346811121415161718[[#This Row],[PMI]]-B80</f>
        <v>-2.5999999999999943</v>
      </c>
    </row>
    <row r="82" spans="1:3" x14ac:dyDescent="0.2">
      <c r="A82" s="15">
        <v>41365</v>
      </c>
      <c r="B82" s="14">
        <v>44.7</v>
      </c>
      <c r="C82" s="14">
        <f>Table1346811121415161718[[#This Row],[PMI]]-B81</f>
        <v>0.5</v>
      </c>
    </row>
    <row r="83" spans="1:3" x14ac:dyDescent="0.2">
      <c r="A83" s="15">
        <v>41395</v>
      </c>
      <c r="B83" s="14">
        <v>48.1</v>
      </c>
      <c r="C83" s="14">
        <f>Table1346811121415161718[[#This Row],[PMI]]-B82</f>
        <v>3.3999999999999986</v>
      </c>
    </row>
    <row r="84" spans="1:3" x14ac:dyDescent="0.2">
      <c r="A84" s="15">
        <v>41426</v>
      </c>
      <c r="B84" s="14">
        <v>50</v>
      </c>
      <c r="C84" s="14">
        <f>Table1346811121415161718[[#This Row],[PMI]]-B83</f>
        <v>1.8999999999999986</v>
      </c>
    </row>
    <row r="85" spans="1:3" x14ac:dyDescent="0.2">
      <c r="A85" s="15">
        <v>41456</v>
      </c>
      <c r="B85" s="14">
        <v>49.8</v>
      </c>
      <c r="C85" s="14">
        <f>Table1346811121415161718[[#This Row],[PMI]]-B84</f>
        <v>-0.20000000000000284</v>
      </c>
    </row>
    <row r="86" spans="1:3" x14ac:dyDescent="0.2">
      <c r="A86" s="15">
        <v>41487</v>
      </c>
      <c r="B86" s="14">
        <v>51.1</v>
      </c>
      <c r="C86" s="14">
        <f>Table1346811121415161718[[#This Row],[PMI]]-B85</f>
        <v>1.3000000000000043</v>
      </c>
    </row>
    <row r="87" spans="1:3" x14ac:dyDescent="0.2">
      <c r="A87" s="15">
        <v>41518</v>
      </c>
      <c r="B87" s="14">
        <v>50.7</v>
      </c>
      <c r="C87" s="14">
        <f>Table1346811121415161718[[#This Row],[PMI]]-B86</f>
        <v>-0.39999999999999858</v>
      </c>
    </row>
    <row r="88" spans="1:3" x14ac:dyDescent="0.2">
      <c r="A88" s="15">
        <v>41548</v>
      </c>
      <c r="B88" s="14">
        <v>50.9</v>
      </c>
      <c r="C88" s="14">
        <f>Table1346811121415161718[[#This Row],[PMI]]-B87</f>
        <v>0.19999999999999574</v>
      </c>
    </row>
    <row r="89" spans="1:3" x14ac:dyDescent="0.2">
      <c r="A89" s="15">
        <v>41579</v>
      </c>
      <c r="B89" s="14">
        <v>48.6</v>
      </c>
      <c r="C89" s="14">
        <f>Table1346811121415161718[[#This Row],[PMI]]-B88</f>
        <v>-2.2999999999999972</v>
      </c>
    </row>
    <row r="90" spans="1:3" x14ac:dyDescent="0.2">
      <c r="A90" s="15">
        <v>41609</v>
      </c>
      <c r="B90" s="14">
        <v>50.8</v>
      </c>
      <c r="C90" s="14">
        <f>Table1346811121415161718[[#This Row],[PMI]]-B89</f>
        <v>2.1999999999999957</v>
      </c>
    </row>
    <row r="91" spans="1:3" x14ac:dyDescent="0.2">
      <c r="A91" s="15">
        <v>41640</v>
      </c>
      <c r="B91" s="14">
        <v>52.2</v>
      </c>
      <c r="C91" s="14">
        <f>Table1346811121415161718[[#This Row],[PMI]]-B90</f>
        <v>1.4000000000000057</v>
      </c>
    </row>
    <row r="92" spans="1:3" x14ac:dyDescent="0.2">
      <c r="A92" s="15">
        <v>41671</v>
      </c>
      <c r="B92" s="14">
        <v>52.5</v>
      </c>
      <c r="C92" s="14">
        <f>Table1346811121415161718[[#This Row],[PMI]]-B91</f>
        <v>0.29999999999999716</v>
      </c>
    </row>
    <row r="93" spans="1:3" x14ac:dyDescent="0.2">
      <c r="A93" s="15">
        <v>41699</v>
      </c>
      <c r="B93" s="14">
        <v>52.8</v>
      </c>
      <c r="C93" s="14">
        <f>Table1346811121415161718[[#This Row],[PMI]]-B92</f>
        <v>0.29999999999999716</v>
      </c>
    </row>
    <row r="94" spans="1:3" x14ac:dyDescent="0.2">
      <c r="A94" s="15">
        <v>41730</v>
      </c>
      <c r="B94" s="14">
        <v>52.7</v>
      </c>
      <c r="C94" s="14">
        <f>Table1346811121415161718[[#This Row],[PMI]]-B93</f>
        <v>-9.9999999999994316E-2</v>
      </c>
    </row>
    <row r="95" spans="1:3" x14ac:dyDescent="0.2">
      <c r="A95" s="15">
        <v>41760</v>
      </c>
      <c r="B95" s="14">
        <v>52.9</v>
      </c>
      <c r="C95" s="14">
        <f>Table1346811121415161718[[#This Row],[PMI]]-B94</f>
        <v>0.19999999999999574</v>
      </c>
    </row>
    <row r="96" spans="1:3" x14ac:dyDescent="0.2">
      <c r="A96" s="15">
        <v>41791</v>
      </c>
      <c r="B96" s="14">
        <v>54.6</v>
      </c>
      <c r="C96" s="14">
        <f>Table1346811121415161718[[#This Row],[PMI]]-B95</f>
        <v>1.7000000000000028</v>
      </c>
    </row>
    <row r="97" spans="1:3" x14ac:dyDescent="0.2">
      <c r="A97" s="15">
        <v>41821</v>
      </c>
      <c r="B97" s="14">
        <v>53.9</v>
      </c>
      <c r="C97" s="14">
        <f>Table1346811121415161718[[#This Row],[PMI]]-B96</f>
        <v>-0.70000000000000284</v>
      </c>
    </row>
    <row r="98" spans="1:3" x14ac:dyDescent="0.2">
      <c r="A98" s="15">
        <v>41852</v>
      </c>
      <c r="B98" s="14">
        <v>52.8</v>
      </c>
      <c r="C98" s="14">
        <f>Table1346811121415161718[[#This Row],[PMI]]-B97</f>
        <v>-1.1000000000000014</v>
      </c>
    </row>
    <row r="99" spans="1:3" x14ac:dyDescent="0.2">
      <c r="A99" s="15">
        <v>41883</v>
      </c>
      <c r="B99" s="14">
        <v>52.6</v>
      </c>
      <c r="C99" s="14">
        <f>Table1346811121415161718[[#This Row],[PMI]]-B98</f>
        <v>-0.19999999999999574</v>
      </c>
    </row>
    <row r="100" spans="1:3" x14ac:dyDescent="0.2">
      <c r="A100" s="15">
        <v>41913</v>
      </c>
      <c r="B100" s="14">
        <v>52.6</v>
      </c>
      <c r="C100" s="14">
        <f>Table1346811121415161718[[#This Row],[PMI]]-B99</f>
        <v>0</v>
      </c>
    </row>
    <row r="101" spans="1:3" x14ac:dyDescent="0.2">
      <c r="A101" s="15">
        <v>41944</v>
      </c>
      <c r="B101" s="14">
        <v>54.7</v>
      </c>
      <c r="C101" s="14">
        <f>Table1346811121415161718[[#This Row],[PMI]]-B100</f>
        <v>2.1000000000000014</v>
      </c>
    </row>
    <row r="102" spans="1:3" x14ac:dyDescent="0.2">
      <c r="A102" s="15">
        <v>41974</v>
      </c>
      <c r="B102" s="14">
        <v>53.8</v>
      </c>
      <c r="C102" s="14">
        <f>Table1346811121415161718[[#This Row],[PMI]]-B101</f>
        <v>-0.90000000000000568</v>
      </c>
    </row>
    <row r="103" spans="1:3" x14ac:dyDescent="0.2">
      <c r="A103" s="15">
        <v>42005</v>
      </c>
      <c r="B103" s="14">
        <v>54.7</v>
      </c>
      <c r="C103" s="14">
        <f>Table1346811121415161718[[#This Row],[PMI]]-B102</f>
        <v>0.90000000000000568</v>
      </c>
    </row>
    <row r="104" spans="1:3" x14ac:dyDescent="0.2">
      <c r="A104" s="15">
        <v>42036</v>
      </c>
      <c r="B104" s="14">
        <v>54.2</v>
      </c>
      <c r="C104" s="14">
        <f>Table1346811121415161718[[#This Row],[PMI]]-B103</f>
        <v>-0.5</v>
      </c>
    </row>
    <row r="105" spans="1:3" x14ac:dyDescent="0.2">
      <c r="A105" s="15">
        <v>42064</v>
      </c>
      <c r="B105" s="14">
        <v>54.3</v>
      </c>
      <c r="C105" s="14">
        <f>Table1346811121415161718[[#This Row],[PMI]]-B104</f>
        <v>9.9999999999994316E-2</v>
      </c>
    </row>
    <row r="106" spans="1:3" x14ac:dyDescent="0.2">
      <c r="A106" s="15">
        <v>42095</v>
      </c>
      <c r="B106" s="14">
        <v>54.2</v>
      </c>
      <c r="C106" s="14">
        <f>Table1346811121415161718[[#This Row],[PMI]]-B105</f>
        <v>-9.9999999999994316E-2</v>
      </c>
    </row>
    <row r="107" spans="1:3" x14ac:dyDescent="0.2">
      <c r="A107" s="15">
        <v>42125</v>
      </c>
      <c r="B107" s="14">
        <v>55.8</v>
      </c>
      <c r="C107" s="30">
        <f>Table1346811121415161718[[#This Row],[PMI]]-B106</f>
        <v>1.5999999999999943</v>
      </c>
    </row>
    <row r="108" spans="1:3" x14ac:dyDescent="0.2">
      <c r="A108" s="15">
        <v>42156</v>
      </c>
      <c r="B108" s="14">
        <v>54.5</v>
      </c>
      <c r="C108" s="30">
        <f>Table1346811121415161718[[#This Row],[PMI]]-B107</f>
        <v>-1.2999999999999972</v>
      </c>
    </row>
    <row r="109" spans="1:3" x14ac:dyDescent="0.2">
      <c r="A109" s="15">
        <v>42186</v>
      </c>
      <c r="B109" s="14">
        <v>53.6</v>
      </c>
      <c r="C109" s="30">
        <f>Table1346811121415161718[[#This Row],[PMI]]-B108</f>
        <v>-0.89999999999999858</v>
      </c>
    </row>
    <row r="110" spans="1:3" x14ac:dyDescent="0.2">
      <c r="A110" s="15">
        <v>42217</v>
      </c>
      <c r="B110" s="14">
        <v>53.2</v>
      </c>
      <c r="C110" s="30">
        <f>Table1346811121415161718[[#This Row],[PMI]]-B109</f>
        <v>-0.39999999999999858</v>
      </c>
    </row>
    <row r="111" spans="1:3" x14ac:dyDescent="0.2">
      <c r="A111" s="15">
        <v>42248</v>
      </c>
      <c r="B111" s="14">
        <v>51.7</v>
      </c>
      <c r="C111" s="30">
        <f>Table1346811121415161718[[#This Row],[PMI]]-B110</f>
        <v>-1.5</v>
      </c>
    </row>
    <row r="112" spans="1:3" x14ac:dyDescent="0.2">
      <c r="A112" s="15">
        <v>42278</v>
      </c>
      <c r="B112" s="14">
        <v>51.3</v>
      </c>
      <c r="C112" s="30">
        <f>Table1346811121415161718[[#This Row],[PMI]]-B111</f>
        <v>-0.40000000000000568</v>
      </c>
    </row>
    <row r="113" spans="1:3" x14ac:dyDescent="0.2">
      <c r="A113" s="15">
        <v>42309</v>
      </c>
      <c r="B113" s="14">
        <v>53.1</v>
      </c>
      <c r="C113" s="30">
        <f>Table1346811121415161718[[#This Row],[PMI]]-B112</f>
        <v>1.8000000000000043</v>
      </c>
    </row>
    <row r="114" spans="1:3" x14ac:dyDescent="0.2">
      <c r="A114" s="15">
        <v>42339</v>
      </c>
      <c r="B114" s="14">
        <v>53</v>
      </c>
      <c r="C114" s="30">
        <f>Table1346811121415161718[[#This Row],[PMI]]-B113</f>
        <v>-0.10000000000000142</v>
      </c>
    </row>
    <row r="115" spans="1:3" x14ac:dyDescent="0.2">
      <c r="A115" s="15">
        <v>42370</v>
      </c>
      <c r="B115" s="14">
        <v>55.4</v>
      </c>
      <c r="C115" s="30">
        <f>Table1346811121415161718[[#This Row],[PMI]]-B114</f>
        <v>2.3999999999999986</v>
      </c>
    </row>
    <row r="116" spans="1:3" x14ac:dyDescent="0.2">
      <c r="A116" s="15">
        <v>42401</v>
      </c>
      <c r="B116" s="14">
        <v>54.1</v>
      </c>
      <c r="C116" s="30">
        <f>Table1346811121415161718[[#This Row],[PMI]]-B115</f>
        <v>-1.2999999999999972</v>
      </c>
    </row>
    <row r="117" spans="1:3" x14ac:dyDescent="0.2">
      <c r="A117" s="15">
        <v>42430</v>
      </c>
      <c r="B117" s="14">
        <v>53.4</v>
      </c>
      <c r="C117" s="30">
        <f>Table1346811121415161718[[#This Row],[PMI]]-B116</f>
        <v>-0.70000000000000284</v>
      </c>
    </row>
    <row r="118" spans="1:3" x14ac:dyDescent="0.2">
      <c r="A118" s="15">
        <v>42461</v>
      </c>
      <c r="B118" s="14">
        <v>53.5</v>
      </c>
      <c r="C118" s="30">
        <f>Table1346811121415161718[[#This Row],[PMI]]-B117</f>
        <v>0.10000000000000142</v>
      </c>
    </row>
    <row r="119" spans="1:3" x14ac:dyDescent="0.2">
      <c r="A119" s="15">
        <v>42491</v>
      </c>
      <c r="B119" s="14">
        <v>51.8</v>
      </c>
      <c r="C119" s="30">
        <f>Table1346811121415161718[[#This Row],[PMI]]-B118</f>
        <v>-1.7000000000000028</v>
      </c>
    </row>
    <row r="120" spans="1:3" x14ac:dyDescent="0.2">
      <c r="A120" s="15">
        <v>42522</v>
      </c>
      <c r="B120" s="14">
        <v>52.2</v>
      </c>
      <c r="C120" s="30">
        <f>Table1346811121415161718[[#This Row],[PMI]]-B119</f>
        <v>0.40000000000000568</v>
      </c>
    </row>
    <row r="121" spans="1:3" x14ac:dyDescent="0.2">
      <c r="A121" s="15">
        <v>42552</v>
      </c>
      <c r="B121" s="14">
        <v>51</v>
      </c>
      <c r="C121" s="30">
        <f>Table1346811121415161718[[#This Row],[PMI]]-B120</f>
        <v>-1.2000000000000028</v>
      </c>
    </row>
    <row r="122" spans="1:3" x14ac:dyDescent="0.2">
      <c r="A122" s="15">
        <v>42583</v>
      </c>
      <c r="B122" s="14">
        <v>51</v>
      </c>
      <c r="C122" s="30">
        <f>Table1346811121415161718[[#This Row],[PMI]]-B121</f>
        <v>0</v>
      </c>
    </row>
    <row r="123" spans="1:3" x14ac:dyDescent="0.2">
      <c r="A123" s="15">
        <v>42614</v>
      </c>
      <c r="B123" s="14">
        <v>52.3</v>
      </c>
      <c r="C123" s="30">
        <f>Table1346811121415161718[[#This Row],[PMI]]-B122</f>
        <v>1.2999999999999972</v>
      </c>
    </row>
    <row r="124" spans="1:3" x14ac:dyDescent="0.2">
      <c r="A124" s="15">
        <v>42644</v>
      </c>
      <c r="B124" s="14">
        <v>53.3</v>
      </c>
      <c r="C124" s="30">
        <f>Table1346811121415161718[[#This Row],[PMI]]-B123</f>
        <v>1</v>
      </c>
    </row>
    <row r="125" spans="1:3" x14ac:dyDescent="0.2">
      <c r="A125" s="15">
        <v>42675</v>
      </c>
      <c r="B125" s="14">
        <v>54.5</v>
      </c>
      <c r="C125" s="30">
        <f>Table1346811121415161718[[#This Row],[PMI]]-B124</f>
        <v>1.2000000000000028</v>
      </c>
    </row>
    <row r="126" spans="1:3" x14ac:dyDescent="0.2">
      <c r="A126" s="15">
        <v>42705</v>
      </c>
      <c r="B126" s="14">
        <v>55.3</v>
      </c>
      <c r="C126" s="30">
        <f>Table1346811121415161718[[#This Row],[PMI]]-B125</f>
        <v>0.79999999999999716</v>
      </c>
    </row>
    <row r="127" spans="1:3" x14ac:dyDescent="0.2">
      <c r="A127" s="15">
        <v>42736</v>
      </c>
      <c r="B127" s="14">
        <v>55.6</v>
      </c>
      <c r="C127" s="30">
        <f>Table1346811121415161718[[#This Row],[PMI]]-B126</f>
        <v>0.30000000000000426</v>
      </c>
    </row>
    <row r="128" spans="1:3" x14ac:dyDescent="0.2">
      <c r="A128" s="15">
        <v>42767</v>
      </c>
      <c r="B128" s="14">
        <v>54.8</v>
      </c>
      <c r="C128" s="30">
        <f>Table1346811121415161718[[#This Row],[PMI]]-B127</f>
        <v>-0.80000000000000426</v>
      </c>
    </row>
    <row r="129" spans="1:3" x14ac:dyDescent="0.2">
      <c r="A129" s="15">
        <v>42795</v>
      </c>
      <c r="B129" s="14">
        <v>53.9</v>
      </c>
      <c r="C129" s="30">
        <f>Table1346811121415161718[[#This Row],[PMI]]-B128</f>
        <v>-0.89999999999999858</v>
      </c>
    </row>
    <row r="130" spans="1:3" x14ac:dyDescent="0.2">
      <c r="A130" s="15">
        <v>42826</v>
      </c>
      <c r="B130" s="14">
        <v>54.5</v>
      </c>
      <c r="C130" s="30">
        <f>Table1346811121415161718[[#This Row],[PMI]]-B129</f>
        <v>0.60000000000000142</v>
      </c>
    </row>
    <row r="131" spans="1:3" x14ac:dyDescent="0.2">
      <c r="A131" s="15">
        <v>42856</v>
      </c>
      <c r="B131" s="14">
        <v>55.4</v>
      </c>
      <c r="C131" s="30">
        <f>Table1346811121415161718[[#This Row],[PMI]]-B130</f>
        <v>0.89999999999999858</v>
      </c>
    </row>
    <row r="132" spans="1:3" x14ac:dyDescent="0.2">
      <c r="A132" s="15">
        <v>42887</v>
      </c>
      <c r="B132" s="14">
        <v>54.7</v>
      </c>
      <c r="C132" s="30">
        <f>Table1346811121415161718[[#This Row],[PMI]]-B131</f>
        <v>-0.69999999999999574</v>
      </c>
    </row>
    <row r="133" spans="1:3" x14ac:dyDescent="0.2">
      <c r="A133" s="15">
        <v>42917</v>
      </c>
      <c r="B133" s="14">
        <v>54</v>
      </c>
      <c r="C133" s="30">
        <f>Table1346811121415161718[[#This Row],[PMI]]-B132</f>
        <v>-0.70000000000000284</v>
      </c>
    </row>
    <row r="134" spans="1:3" x14ac:dyDescent="0.2">
      <c r="A134" s="15">
        <v>42948</v>
      </c>
      <c r="B134" s="14">
        <v>52.4</v>
      </c>
      <c r="C134" s="30">
        <f>Table1346811121415161718[[#This Row],[PMI]]-B133</f>
        <v>-1.6000000000000014</v>
      </c>
    </row>
    <row r="135" spans="1:3" x14ac:dyDescent="0.2">
      <c r="A135" s="15">
        <v>42979</v>
      </c>
      <c r="B135" s="14">
        <v>54.3</v>
      </c>
      <c r="C135" s="30">
        <f>Table1346811121415161718[[#This Row],[PMI]]-B134</f>
        <v>1.8999999999999986</v>
      </c>
    </row>
    <row r="136" spans="1:3" x14ac:dyDescent="0.2">
      <c r="A136" s="15">
        <v>43009</v>
      </c>
      <c r="B136" s="14">
        <v>55.8</v>
      </c>
      <c r="C136" s="30">
        <f>Table1346811121415161718[[#This Row],[PMI]]-B135</f>
        <v>1.5</v>
      </c>
    </row>
    <row r="137" spans="1:3" x14ac:dyDescent="0.2">
      <c r="A137" s="15">
        <v>43040</v>
      </c>
      <c r="B137" s="14">
        <v>56.1</v>
      </c>
      <c r="C137" s="30">
        <f>Table1346811121415161718[[#This Row],[PMI]]-B136</f>
        <v>0.30000000000000426</v>
      </c>
    </row>
    <row r="138" spans="1:3" x14ac:dyDescent="0.2">
      <c r="A138" s="15">
        <v>43070</v>
      </c>
      <c r="B138" s="14">
        <v>55.8</v>
      </c>
      <c r="C138" s="30">
        <f>Table1346811121415161718[[#This Row],[PMI]]-B137</f>
        <v>-0.30000000000000426</v>
      </c>
    </row>
    <row r="139" spans="1:3" x14ac:dyDescent="0.2">
      <c r="A139" s="15">
        <v>43101</v>
      </c>
      <c r="B139" s="14">
        <v>55.2</v>
      </c>
      <c r="C139" s="30">
        <f>Table1346811121415161718[[#This Row],[PMI]]-B138</f>
        <v>-0.59999999999999432</v>
      </c>
    </row>
    <row r="140" spans="1:3" x14ac:dyDescent="0.2">
      <c r="A140" s="15">
        <v>43132</v>
      </c>
      <c r="B140" s="14">
        <v>56</v>
      </c>
      <c r="C140" s="30">
        <f>Table1346811121415161718[[#This Row],[PMI]]-B139</f>
        <v>0.79999999999999716</v>
      </c>
    </row>
    <row r="141" spans="1:3" x14ac:dyDescent="0.2">
      <c r="A141" s="15">
        <v>43160</v>
      </c>
      <c r="B141" s="14">
        <v>54.8</v>
      </c>
      <c r="C141" s="30">
        <f>Table1346811121415161718[[#This Row],[PMI]]-B140</f>
        <v>-1.2000000000000028</v>
      </c>
    </row>
    <row r="142" spans="1:3" x14ac:dyDescent="0.2">
      <c r="A142" s="15">
        <v>43191</v>
      </c>
      <c r="B142" s="14">
        <v>54.4</v>
      </c>
      <c r="C142" s="30">
        <f>Table1346811121415161718[[#This Row],[PMI]]-B141</f>
        <v>-0.39999999999999858</v>
      </c>
    </row>
    <row r="143" spans="1:3" x14ac:dyDescent="0.2">
      <c r="A143" s="15">
        <v>43221</v>
      </c>
      <c r="B143" s="14">
        <v>53.4</v>
      </c>
      <c r="C143" s="30">
        <f>Table1346811121415161718[[#This Row],[PMI]]-B142</f>
        <v>-1</v>
      </c>
    </row>
    <row r="144" spans="1:3" x14ac:dyDescent="0.2">
      <c r="A144" s="15">
        <v>43252</v>
      </c>
      <c r="B144" s="14">
        <v>53.4</v>
      </c>
      <c r="C144" s="30">
        <f>Table1346811121415161718[[#This Row],[PMI]]-B143</f>
        <v>0</v>
      </c>
    </row>
    <row r="145" spans="1:3" x14ac:dyDescent="0.2">
      <c r="A145" s="15">
        <v>43282</v>
      </c>
      <c r="B145" s="14">
        <v>52.9</v>
      </c>
      <c r="C145" s="30">
        <f>Table1346811121415161718[[#This Row],[PMI]]-B144</f>
        <v>-0.5</v>
      </c>
    </row>
    <row r="146" spans="1:3" x14ac:dyDescent="0.2">
      <c r="A146" s="15">
        <v>43313</v>
      </c>
      <c r="B146" s="14">
        <v>53</v>
      </c>
      <c r="C146" s="30">
        <f>Table1346811121415161718[[#This Row],[PMI]]-B145</f>
        <v>0.10000000000000142</v>
      </c>
    </row>
    <row r="147" spans="1:3" x14ac:dyDescent="0.2">
      <c r="A147" s="15">
        <v>43344</v>
      </c>
      <c r="B147" s="14">
        <v>51.4</v>
      </c>
      <c r="C147" s="30">
        <f>Table1346811121415161718[[#This Row],[PMI]]-B146</f>
        <v>-1.6000000000000014</v>
      </c>
    </row>
    <row r="148" spans="1:3" x14ac:dyDescent="0.2">
      <c r="A148" s="15">
        <v>43374</v>
      </c>
      <c r="B148" s="14">
        <v>51.8</v>
      </c>
      <c r="C148" s="30">
        <f>Table1346811121415161718[[#This Row],[PMI]]-B147</f>
        <v>0.39999999999999858</v>
      </c>
    </row>
    <row r="149" spans="1:3" x14ac:dyDescent="0.2">
      <c r="A149" s="15">
        <v>43405</v>
      </c>
      <c r="B149" s="14">
        <v>52.6</v>
      </c>
      <c r="C149" s="30">
        <f>Table1346811121415161718[[#This Row],[PMI]]-B148</f>
        <v>0.80000000000000426</v>
      </c>
    </row>
    <row r="150" spans="1:3" x14ac:dyDescent="0.2">
      <c r="A150" s="15">
        <v>43435</v>
      </c>
      <c r="B150" s="14">
        <v>51.1</v>
      </c>
      <c r="C150" s="30">
        <f>Table1346811121415161718[[#This Row],[PMI]]-B149</f>
        <v>-1.5</v>
      </c>
    </row>
    <row r="151" spans="1:3" x14ac:dyDescent="0.2">
      <c r="A151" s="15">
        <v>43466</v>
      </c>
      <c r="B151" s="14">
        <v>52.4</v>
      </c>
      <c r="C151" s="30">
        <f>Table1346811121415161718[[#This Row],[PMI]]-B150</f>
        <v>1.2999999999999972</v>
      </c>
    </row>
    <row r="152" spans="1:3" x14ac:dyDescent="0.2">
      <c r="A152" s="15">
        <v>43497</v>
      </c>
      <c r="B152" s="14">
        <v>49.9</v>
      </c>
      <c r="C152" s="30">
        <f>Table1346811121415161718[[#This Row],[PMI]]-B151</f>
        <v>-2.5</v>
      </c>
    </row>
    <row r="153" spans="1:3" x14ac:dyDescent="0.2">
      <c r="A153" s="15">
        <v>43525</v>
      </c>
      <c r="B153" s="14">
        <v>50.9</v>
      </c>
      <c r="C153" s="30">
        <f>Table1346811121415161718[[#This Row],[PMI]]-B152</f>
        <v>1</v>
      </c>
    </row>
    <row r="154" spans="1:3" x14ac:dyDescent="0.2">
      <c r="A154" s="15">
        <v>43556</v>
      </c>
      <c r="B154" s="14">
        <v>51.8</v>
      </c>
      <c r="C154" s="30">
        <f>Table1346811121415161718[[#This Row],[PMI]]-B153</f>
        <v>0.89999999999999858</v>
      </c>
    </row>
    <row r="155" spans="1:3" x14ac:dyDescent="0.2">
      <c r="A155" s="15">
        <v>43586</v>
      </c>
      <c r="B155" s="14">
        <v>50.1</v>
      </c>
      <c r="C155" s="30">
        <f>Table1346811121415161718[[#This Row],[PMI]]-B154</f>
        <v>-1.6999999999999957</v>
      </c>
    </row>
    <row r="156" spans="1:3" x14ac:dyDescent="0.2">
      <c r="A156" s="15">
        <v>43617</v>
      </c>
      <c r="B156" s="14">
        <v>47.9</v>
      </c>
      <c r="C156" s="30">
        <f>Table1346811121415161718[[#This Row],[PMI]]-B155</f>
        <v>-2.2000000000000028</v>
      </c>
    </row>
    <row r="157" spans="1:3" x14ac:dyDescent="0.2">
      <c r="A157" s="15">
        <v>43647</v>
      </c>
      <c r="B157" s="14">
        <v>48.2</v>
      </c>
      <c r="C157" s="30">
        <f>Table1346811121415161718[[#This Row],[PMI]]-B156</f>
        <v>0.30000000000000426</v>
      </c>
    </row>
    <row r="158" spans="1:3" x14ac:dyDescent="0.2">
      <c r="A158" s="15">
        <v>43678</v>
      </c>
      <c r="B158" s="14">
        <v>48.8</v>
      </c>
      <c r="C158" s="30">
        <f>Table1346811121415161718[[#This Row],[PMI]]-B157</f>
        <v>0.59999999999999432</v>
      </c>
    </row>
    <row r="159" spans="1:3" x14ac:dyDescent="0.2">
      <c r="A159" s="15">
        <v>43709</v>
      </c>
      <c r="B159" s="14">
        <v>47.7</v>
      </c>
      <c r="C159" s="30">
        <f>Table1346811121415161718[[#This Row],[PMI]]-B158</f>
        <v>-1.0999999999999943</v>
      </c>
    </row>
    <row r="160" spans="1:3" x14ac:dyDescent="0.2">
      <c r="A160" s="15">
        <v>43739</v>
      </c>
      <c r="B160" s="14">
        <v>46.8</v>
      </c>
      <c r="C160" s="30">
        <f>Table1346811121415161718[[#This Row],[PMI]]-B159</f>
        <v>-0.90000000000000568</v>
      </c>
    </row>
    <row r="161" spans="1:3" x14ac:dyDescent="0.2">
      <c r="A161" s="15">
        <v>43770</v>
      </c>
      <c r="B161" s="14">
        <v>47.5</v>
      </c>
      <c r="C161" s="30">
        <f>Table1346811121415161718[[#This Row],[PMI]]-B160</f>
        <v>0.70000000000000284</v>
      </c>
    </row>
    <row r="162" spans="1:3" x14ac:dyDescent="0.2">
      <c r="A162" s="15">
        <v>43800</v>
      </c>
      <c r="B162" s="14">
        <v>47.4</v>
      </c>
      <c r="C162" s="30">
        <f>Table1346811121415161718[[#This Row],[PMI]]-B161</f>
        <v>-0.10000000000000142</v>
      </c>
    </row>
    <row r="163" spans="1:3" x14ac:dyDescent="0.2">
      <c r="A163" s="15">
        <v>43831</v>
      </c>
      <c r="B163" s="14">
        <v>48.5</v>
      </c>
      <c r="C163" s="30">
        <f>Table1346811121415161718[[#This Row],[PMI]]-B162</f>
        <v>1.1000000000000014</v>
      </c>
    </row>
    <row r="164" spans="1:3" x14ac:dyDescent="0.2">
      <c r="A164" s="15">
        <v>43862</v>
      </c>
      <c r="B164" s="14">
        <v>50.4</v>
      </c>
      <c r="C164" s="30">
        <f>Table1346811121415161718[[#This Row],[PMI]]-B163</f>
        <v>1.8999999999999986</v>
      </c>
    </row>
    <row r="165" spans="1:3" x14ac:dyDescent="0.2">
      <c r="A165" s="15">
        <v>43891</v>
      </c>
      <c r="B165" s="14">
        <v>45.7</v>
      </c>
      <c r="C165" s="30">
        <f>Table1346811121415161718[[#This Row],[PMI]]-B164</f>
        <v>-4.6999999999999957</v>
      </c>
    </row>
    <row r="166" spans="1:3" x14ac:dyDescent="0.2">
      <c r="A166" s="15">
        <v>43922</v>
      </c>
      <c r="B166" s="14">
        <v>30.8</v>
      </c>
      <c r="C166" s="30">
        <f>Table1346811121415161718[[#This Row],[PMI]]-B165</f>
        <v>-14.900000000000002</v>
      </c>
    </row>
    <row r="167" spans="1:3" x14ac:dyDescent="0.2">
      <c r="A167" s="15">
        <v>43952</v>
      </c>
      <c r="B167" s="14">
        <v>38.299999999999997</v>
      </c>
      <c r="C167" s="30">
        <f>Table1346811121415161718[[#This Row],[PMI]]-B166</f>
        <v>7.4999999999999964</v>
      </c>
    </row>
    <row r="168" spans="1:3" x14ac:dyDescent="0.2">
      <c r="A168" s="15">
        <v>43983</v>
      </c>
      <c r="B168" s="14">
        <v>49</v>
      </c>
      <c r="C168" s="30">
        <f>Table1346811121415161718[[#This Row],[PMI]]-B167</f>
        <v>10.700000000000003</v>
      </c>
    </row>
    <row r="169" spans="1:3" x14ac:dyDescent="0.2">
      <c r="A169" s="15">
        <v>44013</v>
      </c>
      <c r="B169" s="14">
        <v>53.5</v>
      </c>
      <c r="C169" s="30">
        <f>Table1346811121415161718[[#This Row],[PMI]]-B168</f>
        <v>4.5</v>
      </c>
    </row>
    <row r="170" spans="1:3" x14ac:dyDescent="0.2">
      <c r="A170" s="15">
        <v>44044</v>
      </c>
      <c r="B170" s="14">
        <v>49.9</v>
      </c>
      <c r="C170" s="30">
        <f>Table1346811121415161718[[#This Row],[PMI]]-B169</f>
        <v>-3.6000000000000014</v>
      </c>
    </row>
    <row r="171" spans="1:3" x14ac:dyDescent="0.2">
      <c r="A171" s="15">
        <v>44075</v>
      </c>
      <c r="B171" s="14">
        <v>50.8</v>
      </c>
      <c r="C171" s="30">
        <f>Table1346811121415161718[[#This Row],[PMI]]-B170</f>
        <v>0.89999999999999858</v>
      </c>
    </row>
    <row r="172" spans="1:3" x14ac:dyDescent="0.2">
      <c r="A172" s="15">
        <v>44105</v>
      </c>
      <c r="B172" s="14">
        <v>52.5</v>
      </c>
      <c r="C172" s="30">
        <f>Table1346811121415161718[[#This Row],[PMI]]-B171</f>
        <v>1.7000000000000028</v>
      </c>
    </row>
    <row r="173" spans="1:3" x14ac:dyDescent="0.2">
      <c r="A173" s="15">
        <v>44136</v>
      </c>
      <c r="B173" s="14">
        <v>49.8</v>
      </c>
      <c r="C173" s="30">
        <f>Table1346811121415161718[[#This Row],[PMI]]-B172</f>
        <v>-2.7000000000000028</v>
      </c>
    </row>
    <row r="174" spans="1:3" x14ac:dyDescent="0.2">
      <c r="A174" s="15">
        <v>44166</v>
      </c>
      <c r="B174" s="14">
        <v>51</v>
      </c>
      <c r="C174" s="30">
        <f>Table1346811121415161718[[#This Row],[PMI]]-B173</f>
        <v>1.2000000000000028</v>
      </c>
    </row>
    <row r="175" spans="1:3" x14ac:dyDescent="0.2">
      <c r="A175" s="15">
        <v>44197</v>
      </c>
      <c r="B175" s="14">
        <v>49.3</v>
      </c>
      <c r="C175" s="30">
        <f>Table1346811121415161718[[#This Row],[PMI]]-B174</f>
        <v>-1.7000000000000028</v>
      </c>
    </row>
    <row r="176" spans="1:3" x14ac:dyDescent="0.2">
      <c r="A176" s="15">
        <v>44228</v>
      </c>
      <c r="B176" s="14">
        <v>52.9</v>
      </c>
      <c r="C176" s="30">
        <f>Table1346811121415161718[[#This Row],[PMI]]-B175</f>
        <v>3.6000000000000014</v>
      </c>
    </row>
    <row r="177" spans="1:3" x14ac:dyDescent="0.2">
      <c r="A177" s="15">
        <v>44256</v>
      </c>
      <c r="B177" s="14">
        <v>56.9</v>
      </c>
      <c r="C177" s="30">
        <f>Table1346811121415161718[[#This Row],[PMI]]-B176</f>
        <v>4</v>
      </c>
    </row>
    <row r="178" spans="1:3" x14ac:dyDescent="0.2">
      <c r="A178" s="15">
        <v>44287</v>
      </c>
      <c r="B178" s="14">
        <v>57.7</v>
      </c>
      <c r="C178" s="30">
        <f>Table1346811121415161718[[#This Row],[PMI]]-B177</f>
        <v>0.80000000000000426</v>
      </c>
    </row>
    <row r="179" spans="1:3" x14ac:dyDescent="0.2">
      <c r="A179" s="15">
        <v>44317</v>
      </c>
      <c r="B179" s="14">
        <v>59.4</v>
      </c>
      <c r="C179" s="30">
        <f>Table1346811121415161718[[#This Row],[PMI]]-B178</f>
        <v>1.6999999999999957</v>
      </c>
    </row>
    <row r="180" spans="1:3" x14ac:dyDescent="0.2">
      <c r="A180" s="15">
        <v>44348</v>
      </c>
      <c r="B180" s="14">
        <v>60.4</v>
      </c>
      <c r="C180" s="30">
        <f>Table1346811121415161718[[#This Row],[PMI]]-B179</f>
        <v>1</v>
      </c>
    </row>
    <row r="181" spans="1:3" x14ac:dyDescent="0.2">
      <c r="A181" s="15">
        <v>44378</v>
      </c>
      <c r="B181" s="14">
        <v>59</v>
      </c>
      <c r="C181" s="30">
        <f>Table1346811121415161718[[#This Row],[PMI]]-B180</f>
        <v>-1.3999999999999986</v>
      </c>
    </row>
    <row r="182" spans="1:3" x14ac:dyDescent="0.2">
      <c r="A182" s="15">
        <v>44409</v>
      </c>
      <c r="B182" s="14">
        <v>59.5</v>
      </c>
      <c r="C182" s="30">
        <f>Table1346811121415161718[[#This Row],[PMI]]-B181</f>
        <v>0.5</v>
      </c>
    </row>
    <row r="183" spans="1:3" x14ac:dyDescent="0.2">
      <c r="A183" s="15">
        <v>44440</v>
      </c>
      <c r="B183" s="14">
        <v>58.1</v>
      </c>
      <c r="C183" s="30">
        <f>Table1346811121415161718[[#This Row],[PMI]]-B182</f>
        <v>-1.3999999999999986</v>
      </c>
    </row>
    <row r="184" spans="1:3" x14ac:dyDescent="0.2">
      <c r="A184" s="15">
        <v>44470</v>
      </c>
      <c r="B184" s="14">
        <v>57.4</v>
      </c>
      <c r="C184" s="30">
        <f>Table1346811121415161718[[#This Row],[PMI]]-B183</f>
        <v>-0.70000000000000284</v>
      </c>
    </row>
    <row r="185" spans="1:3" x14ac:dyDescent="0.2">
      <c r="A185" s="15">
        <v>44501</v>
      </c>
      <c r="B185" s="14">
        <v>57.1</v>
      </c>
      <c r="C185" s="30">
        <f>Table1346811121415161718[[#This Row],[PMI]]-B184</f>
        <v>-0.29999999999999716</v>
      </c>
    </row>
    <row r="186" spans="1:3" x14ac:dyDescent="0.2">
      <c r="A186" s="15">
        <v>44531</v>
      </c>
      <c r="B186" s="14">
        <v>56.2</v>
      </c>
      <c r="C186" s="30">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31B5F-EA85-44E8-A4CD-0736667984C7}">
  <dimension ref="A1:K140"/>
  <sheetViews>
    <sheetView zoomScale="170" zoomScaleNormal="170" workbookViewId="0">
      <pane ySplit="5" topLeftCell="A109"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43</v>
      </c>
      <c r="K1" s="10" t="s">
        <v>21</v>
      </c>
    </row>
    <row r="2" spans="1:11" x14ac:dyDescent="0.2">
      <c r="K2" s="10" t="str">
        <f>A1&amp;K1</f>
        <v>Brazil Manufacturing PMI</v>
      </c>
    </row>
    <row r="4" spans="1:11" ht="16" thickBot="1" x14ac:dyDescent="0.25"/>
    <row r="5" spans="1:11" ht="16" thickBot="1" x14ac:dyDescent="0.25">
      <c r="A5" s="27" t="s">
        <v>10</v>
      </c>
      <c r="B5" s="28" t="s">
        <v>11</v>
      </c>
      <c r="C5" s="28" t="s">
        <v>14</v>
      </c>
    </row>
    <row r="6" spans="1:11" x14ac:dyDescent="0.2">
      <c r="A6" s="23">
        <v>40452</v>
      </c>
      <c r="B6" s="24">
        <v>49.5</v>
      </c>
      <c r="C6" s="24"/>
    </row>
    <row r="7" spans="1:11" x14ac:dyDescent="0.2">
      <c r="A7" s="15">
        <v>40483</v>
      </c>
      <c r="B7" s="14">
        <v>49.9</v>
      </c>
      <c r="C7" s="14">
        <f>Table134681112141516171819202223[[#This Row],[PMI]]-B6</f>
        <v>0.39999999999999858</v>
      </c>
    </row>
    <row r="8" spans="1:11" x14ac:dyDescent="0.2">
      <c r="A8" s="15">
        <v>40513</v>
      </c>
      <c r="B8" s="14">
        <v>52.4</v>
      </c>
      <c r="C8" s="14">
        <f>Table134681112141516171819202223[[#This Row],[PMI]]-B7</f>
        <v>2.5</v>
      </c>
    </row>
    <row r="9" spans="1:11" x14ac:dyDescent="0.2">
      <c r="A9" s="15">
        <v>40544</v>
      </c>
      <c r="B9" s="14">
        <v>53.1</v>
      </c>
      <c r="C9" s="14">
        <f>Table134681112141516171819202223[[#This Row],[PMI]]-B8</f>
        <v>0.70000000000000284</v>
      </c>
    </row>
    <row r="10" spans="1:11" x14ac:dyDescent="0.2">
      <c r="A10" s="15">
        <v>40575</v>
      </c>
      <c r="B10" s="14">
        <v>54.6</v>
      </c>
      <c r="C10" s="14">
        <f>Table134681112141516171819202223[[#This Row],[PMI]]-B9</f>
        <v>1.5</v>
      </c>
    </row>
    <row r="11" spans="1:11" x14ac:dyDescent="0.2">
      <c r="A11" s="15">
        <v>40603</v>
      </c>
      <c r="B11" s="14">
        <v>53.2</v>
      </c>
      <c r="C11" s="14">
        <f>Table134681112141516171819202223[[#This Row],[PMI]]-B10</f>
        <v>-1.3999999999999986</v>
      </c>
    </row>
    <row r="12" spans="1:11" x14ac:dyDescent="0.2">
      <c r="A12" s="15">
        <v>40634</v>
      </c>
      <c r="B12" s="14">
        <v>52.5</v>
      </c>
      <c r="C12" s="14">
        <f>Table134681112141516171819202223[[#This Row],[PMI]]-B11</f>
        <v>-0.70000000000000284</v>
      </c>
    </row>
    <row r="13" spans="1:11" x14ac:dyDescent="0.2">
      <c r="A13" s="15">
        <v>40664</v>
      </c>
      <c r="B13" s="14">
        <v>53</v>
      </c>
      <c r="C13" s="14">
        <f>Table134681112141516171819202223[[#This Row],[PMI]]-B12</f>
        <v>0.5</v>
      </c>
    </row>
    <row r="14" spans="1:11" x14ac:dyDescent="0.2">
      <c r="A14" s="15">
        <v>40695</v>
      </c>
      <c r="B14" s="14">
        <v>49</v>
      </c>
      <c r="C14" s="14">
        <f>Table134681112141516171819202223[[#This Row],[PMI]]-B13</f>
        <v>-4</v>
      </c>
    </row>
    <row r="15" spans="1:11" x14ac:dyDescent="0.2">
      <c r="A15" s="15">
        <v>40725</v>
      </c>
      <c r="B15" s="14">
        <v>47.8</v>
      </c>
      <c r="C15" s="14">
        <f>Table134681112141516171819202223[[#This Row],[PMI]]-B14</f>
        <v>-1.2000000000000028</v>
      </c>
    </row>
    <row r="16" spans="1:11" x14ac:dyDescent="0.2">
      <c r="A16" s="15">
        <v>40756</v>
      </c>
      <c r="B16" s="14">
        <v>46</v>
      </c>
      <c r="C16" s="14">
        <f>Table134681112141516171819202223[[#This Row],[PMI]]-B15</f>
        <v>-1.7999999999999972</v>
      </c>
    </row>
    <row r="17" spans="1:3" x14ac:dyDescent="0.2">
      <c r="A17" s="15">
        <v>40787</v>
      </c>
      <c r="B17" s="14">
        <v>45.5</v>
      </c>
      <c r="C17" s="14">
        <f>Table134681112141516171819202223[[#This Row],[PMI]]-B16</f>
        <v>-0.5</v>
      </c>
    </row>
    <row r="18" spans="1:3" x14ac:dyDescent="0.2">
      <c r="A18" s="15">
        <v>40817</v>
      </c>
      <c r="B18" s="14">
        <v>46.5</v>
      </c>
      <c r="C18" s="14">
        <f>Table134681112141516171819202223[[#This Row],[PMI]]-B17</f>
        <v>1</v>
      </c>
    </row>
    <row r="19" spans="1:3" x14ac:dyDescent="0.2">
      <c r="A19" s="15">
        <v>40848</v>
      </c>
      <c r="B19" s="14">
        <v>48.7</v>
      </c>
      <c r="C19" s="14">
        <f>Table134681112141516171819202223[[#This Row],[PMI]]-B18</f>
        <v>2.2000000000000028</v>
      </c>
    </row>
    <row r="20" spans="1:3" x14ac:dyDescent="0.2">
      <c r="A20" s="15">
        <v>40878</v>
      </c>
      <c r="B20" s="14">
        <v>49.3</v>
      </c>
      <c r="C20" s="14">
        <f>Table134681112141516171819202223[[#This Row],[PMI]]-B19</f>
        <v>0.59999999999999432</v>
      </c>
    </row>
    <row r="21" spans="1:3" x14ac:dyDescent="0.2">
      <c r="A21" s="15">
        <v>40909</v>
      </c>
      <c r="B21" s="14">
        <v>50.6</v>
      </c>
      <c r="C21" s="14">
        <f>Table134681112141516171819202223[[#This Row],[PMI]]-B20</f>
        <v>1.3000000000000043</v>
      </c>
    </row>
    <row r="22" spans="1:3" x14ac:dyDescent="0.2">
      <c r="A22" s="15">
        <v>40940</v>
      </c>
      <c r="B22" s="14">
        <v>51.4</v>
      </c>
      <c r="C22" s="14">
        <f>Table134681112141516171819202223[[#This Row],[PMI]]-B21</f>
        <v>0.79999999999999716</v>
      </c>
    </row>
    <row r="23" spans="1:3" x14ac:dyDescent="0.2">
      <c r="A23" s="15">
        <v>40969</v>
      </c>
      <c r="B23" s="14">
        <v>51.1</v>
      </c>
      <c r="C23" s="14">
        <f>Table134681112141516171819202223[[#This Row],[PMI]]-B22</f>
        <v>-0.29999999999999716</v>
      </c>
    </row>
    <row r="24" spans="1:3" x14ac:dyDescent="0.2">
      <c r="A24" s="15">
        <v>41000</v>
      </c>
      <c r="B24" s="14">
        <v>49.3</v>
      </c>
      <c r="C24" s="14">
        <f>Table134681112141516171819202223[[#This Row],[PMI]]-B23</f>
        <v>-1.8000000000000043</v>
      </c>
    </row>
    <row r="25" spans="1:3" x14ac:dyDescent="0.2">
      <c r="A25" s="15">
        <v>41030</v>
      </c>
      <c r="B25" s="14">
        <v>49.3</v>
      </c>
      <c r="C25" s="14">
        <f>Table134681112141516171819202223[[#This Row],[PMI]]-B24</f>
        <v>0</v>
      </c>
    </row>
    <row r="26" spans="1:3" x14ac:dyDescent="0.2">
      <c r="A26" s="15">
        <v>41061</v>
      </c>
      <c r="B26" s="14">
        <v>48.5</v>
      </c>
      <c r="C26" s="14">
        <f>Table134681112141516171819202223[[#This Row],[PMI]]-B25</f>
        <v>-0.79999999999999716</v>
      </c>
    </row>
    <row r="27" spans="1:3" x14ac:dyDescent="0.2">
      <c r="A27" s="15">
        <v>41091</v>
      </c>
      <c r="B27" s="14">
        <v>48.7</v>
      </c>
      <c r="C27" s="14">
        <f>Table134681112141516171819202223[[#This Row],[PMI]]-B26</f>
        <v>0.20000000000000284</v>
      </c>
    </row>
    <row r="28" spans="1:3" x14ac:dyDescent="0.2">
      <c r="A28" s="15">
        <v>41122</v>
      </c>
      <c r="B28" s="14">
        <v>49.3</v>
      </c>
      <c r="C28" s="14">
        <f>Table134681112141516171819202223[[#This Row],[PMI]]-B27</f>
        <v>0.59999999999999432</v>
      </c>
    </row>
    <row r="29" spans="1:3" x14ac:dyDescent="0.2">
      <c r="A29" s="15">
        <v>41153</v>
      </c>
      <c r="B29" s="14">
        <v>49.8</v>
      </c>
      <c r="C29" s="14">
        <f>Table134681112141516171819202223[[#This Row],[PMI]]-B28</f>
        <v>0.5</v>
      </c>
    </row>
    <row r="30" spans="1:3" x14ac:dyDescent="0.2">
      <c r="A30" s="15">
        <v>41183</v>
      </c>
      <c r="B30" s="14">
        <v>50.2</v>
      </c>
      <c r="C30" s="14">
        <f>Table134681112141516171819202223[[#This Row],[PMI]]-B29</f>
        <v>0.40000000000000568</v>
      </c>
    </row>
    <row r="31" spans="1:3" x14ac:dyDescent="0.2">
      <c r="A31" s="15">
        <v>41214</v>
      </c>
      <c r="B31" s="14">
        <v>52.2</v>
      </c>
      <c r="C31" s="14">
        <f>Table134681112141516171819202223[[#This Row],[PMI]]-B30</f>
        <v>2</v>
      </c>
    </row>
    <row r="32" spans="1:3" x14ac:dyDescent="0.2">
      <c r="A32" s="15">
        <v>41244</v>
      </c>
      <c r="B32" s="14">
        <v>51.1</v>
      </c>
      <c r="C32" s="14">
        <f>Table134681112141516171819202223[[#This Row],[PMI]]-B31</f>
        <v>-1.1000000000000014</v>
      </c>
    </row>
    <row r="33" spans="1:3" x14ac:dyDescent="0.2">
      <c r="A33" s="15">
        <v>41275</v>
      </c>
      <c r="B33" s="14">
        <v>53.2</v>
      </c>
      <c r="C33" s="14">
        <f>Table134681112141516171819202223[[#This Row],[PMI]]-B32</f>
        <v>2.1000000000000014</v>
      </c>
    </row>
    <row r="34" spans="1:3" x14ac:dyDescent="0.2">
      <c r="A34" s="15">
        <v>41306</v>
      </c>
      <c r="B34" s="14">
        <v>52.5</v>
      </c>
      <c r="C34" s="14">
        <f>Table134681112141516171819202223[[#This Row],[PMI]]-B33</f>
        <v>-0.70000000000000284</v>
      </c>
    </row>
    <row r="35" spans="1:3" x14ac:dyDescent="0.2">
      <c r="A35" s="15">
        <v>41334</v>
      </c>
      <c r="B35" s="14">
        <v>51.8</v>
      </c>
      <c r="C35" s="14">
        <f>Table134681112141516171819202223[[#This Row],[PMI]]-B34</f>
        <v>-0.70000000000000284</v>
      </c>
    </row>
    <row r="36" spans="1:3" x14ac:dyDescent="0.2">
      <c r="A36" s="15">
        <v>41365</v>
      </c>
      <c r="B36" s="14">
        <v>50.8</v>
      </c>
      <c r="C36" s="14">
        <f>Table134681112141516171819202223[[#This Row],[PMI]]-B35</f>
        <v>-1</v>
      </c>
    </row>
    <row r="37" spans="1:3" x14ac:dyDescent="0.2">
      <c r="A37" s="15">
        <v>41395</v>
      </c>
      <c r="B37" s="14">
        <v>50.4</v>
      </c>
      <c r="C37" s="14">
        <f>Table134681112141516171819202223[[#This Row],[PMI]]-B36</f>
        <v>-0.39999999999999858</v>
      </c>
    </row>
    <row r="38" spans="1:3" x14ac:dyDescent="0.2">
      <c r="A38" s="15">
        <v>41426</v>
      </c>
      <c r="B38" s="14">
        <v>50.4</v>
      </c>
      <c r="C38" s="14">
        <f>Table134681112141516171819202223[[#This Row],[PMI]]-B37</f>
        <v>0</v>
      </c>
    </row>
    <row r="39" spans="1:3" x14ac:dyDescent="0.2">
      <c r="A39" s="15">
        <v>41456</v>
      </c>
      <c r="B39" s="14">
        <v>48.5</v>
      </c>
      <c r="C39" s="14">
        <f>Table134681112141516171819202223[[#This Row],[PMI]]-B38</f>
        <v>-1.8999999999999986</v>
      </c>
    </row>
    <row r="40" spans="1:3" x14ac:dyDescent="0.2">
      <c r="A40" s="15">
        <v>41487</v>
      </c>
      <c r="B40" s="14">
        <v>49.4</v>
      </c>
      <c r="C40" s="14">
        <f>Table134681112141516171819202223[[#This Row],[PMI]]-B39</f>
        <v>0.89999999999999858</v>
      </c>
    </row>
    <row r="41" spans="1:3" x14ac:dyDescent="0.2">
      <c r="A41" s="15">
        <v>41518</v>
      </c>
      <c r="B41" s="14">
        <v>49.9</v>
      </c>
      <c r="C41" s="14">
        <f>Table134681112141516171819202223[[#This Row],[PMI]]-B40</f>
        <v>0.5</v>
      </c>
    </row>
    <row r="42" spans="1:3" x14ac:dyDescent="0.2">
      <c r="A42" s="15">
        <v>41548</v>
      </c>
      <c r="B42" s="14">
        <v>50.2</v>
      </c>
      <c r="C42" s="14">
        <f>Table134681112141516171819202223[[#This Row],[PMI]]-B41</f>
        <v>0.30000000000000426</v>
      </c>
    </row>
    <row r="43" spans="1:3" x14ac:dyDescent="0.2">
      <c r="A43" s="15">
        <v>41579</v>
      </c>
      <c r="B43" s="14">
        <v>49.7</v>
      </c>
      <c r="C43" s="14">
        <f>Table134681112141516171819202223[[#This Row],[PMI]]-B42</f>
        <v>-0.5</v>
      </c>
    </row>
    <row r="44" spans="1:3" x14ac:dyDescent="0.2">
      <c r="A44" s="15">
        <v>41609</v>
      </c>
      <c r="B44" s="14">
        <v>50.5</v>
      </c>
      <c r="C44" s="14">
        <f>Table134681112141516171819202223[[#This Row],[PMI]]-B43</f>
        <v>0.79999999999999716</v>
      </c>
    </row>
    <row r="45" spans="1:3" x14ac:dyDescent="0.2">
      <c r="A45" s="15">
        <v>41640</v>
      </c>
      <c r="B45" s="14">
        <v>51.7</v>
      </c>
      <c r="C45" s="14">
        <f>Table134681112141516171819202223[[#This Row],[PMI]]-B44</f>
        <v>1.2000000000000028</v>
      </c>
    </row>
    <row r="46" spans="1:3" x14ac:dyDescent="0.2">
      <c r="A46" s="15">
        <v>41671</v>
      </c>
      <c r="B46" s="14">
        <v>50.4</v>
      </c>
      <c r="C46" s="14">
        <f>Table134681112141516171819202223[[#This Row],[PMI]]-B45</f>
        <v>-1.3000000000000043</v>
      </c>
    </row>
    <row r="47" spans="1:3" x14ac:dyDescent="0.2">
      <c r="A47" s="15">
        <v>41699</v>
      </c>
      <c r="B47" s="14">
        <v>50.6</v>
      </c>
      <c r="C47" s="14">
        <f>Table134681112141516171819202223[[#This Row],[PMI]]-B46</f>
        <v>0.20000000000000284</v>
      </c>
    </row>
    <row r="48" spans="1:3" x14ac:dyDescent="0.2">
      <c r="A48" s="15">
        <v>41730</v>
      </c>
      <c r="B48" s="14">
        <v>49.3</v>
      </c>
      <c r="C48" s="14">
        <f>Table134681112141516171819202223[[#This Row],[PMI]]-B47</f>
        <v>-1.3000000000000043</v>
      </c>
    </row>
    <row r="49" spans="1:3" x14ac:dyDescent="0.2">
      <c r="A49" s="15">
        <v>41760</v>
      </c>
      <c r="B49" s="14">
        <v>48.8</v>
      </c>
      <c r="C49" s="14">
        <f>Table134681112141516171819202223[[#This Row],[PMI]]-B48</f>
        <v>-0.5</v>
      </c>
    </row>
    <row r="50" spans="1:3" x14ac:dyDescent="0.2">
      <c r="A50" s="15">
        <v>41791</v>
      </c>
      <c r="B50" s="14">
        <v>48.7</v>
      </c>
      <c r="C50" s="14">
        <f>Table134681112141516171819202223[[#This Row],[PMI]]-B49</f>
        <v>-9.9999999999994316E-2</v>
      </c>
    </row>
    <row r="51" spans="1:3" x14ac:dyDescent="0.2">
      <c r="A51" s="15">
        <v>41821</v>
      </c>
      <c r="B51" s="14">
        <v>49.1</v>
      </c>
      <c r="C51" s="14">
        <f>Table134681112141516171819202223[[#This Row],[PMI]]-B50</f>
        <v>0.39999999999999858</v>
      </c>
    </row>
    <row r="52" spans="1:3" x14ac:dyDescent="0.2">
      <c r="A52" s="15">
        <v>41852</v>
      </c>
      <c r="B52" s="14">
        <v>50.2</v>
      </c>
      <c r="C52" s="14">
        <f>Table134681112141516171819202223[[#This Row],[PMI]]-B51</f>
        <v>1.1000000000000014</v>
      </c>
    </row>
    <row r="53" spans="1:3" x14ac:dyDescent="0.2">
      <c r="A53" s="15">
        <v>41883</v>
      </c>
      <c r="B53" s="14">
        <v>49.3</v>
      </c>
      <c r="C53" s="14">
        <f>Table134681112141516171819202223[[#This Row],[PMI]]-B52</f>
        <v>-0.90000000000000568</v>
      </c>
    </row>
    <row r="54" spans="1:3" x14ac:dyDescent="0.2">
      <c r="A54" s="15">
        <v>41913</v>
      </c>
      <c r="B54" s="14">
        <v>49.1</v>
      </c>
      <c r="C54" s="14">
        <f>Table134681112141516171819202223[[#This Row],[PMI]]-B53</f>
        <v>-0.19999999999999574</v>
      </c>
    </row>
    <row r="55" spans="1:3" x14ac:dyDescent="0.2">
      <c r="A55" s="15">
        <v>41944</v>
      </c>
      <c r="B55" s="14">
        <v>48.7</v>
      </c>
      <c r="C55" s="14">
        <f>Table134681112141516171819202223[[#This Row],[PMI]]-B54</f>
        <v>-0.39999999999999858</v>
      </c>
    </row>
    <row r="56" spans="1:3" x14ac:dyDescent="0.2">
      <c r="A56" s="15">
        <v>41974</v>
      </c>
      <c r="B56" s="14">
        <v>50.2</v>
      </c>
      <c r="C56" s="14">
        <f>Table134681112141516171819202223[[#This Row],[PMI]]-B55</f>
        <v>1.5</v>
      </c>
    </row>
    <row r="57" spans="1:3" x14ac:dyDescent="0.2">
      <c r="A57" s="15">
        <v>42005</v>
      </c>
      <c r="B57" s="14">
        <v>50.7</v>
      </c>
      <c r="C57" s="14">
        <f>Table134681112141516171819202223[[#This Row],[PMI]]-B56</f>
        <v>0.5</v>
      </c>
    </row>
    <row r="58" spans="1:3" x14ac:dyDescent="0.2">
      <c r="A58" s="15">
        <v>42036</v>
      </c>
      <c r="B58" s="14">
        <v>49.6</v>
      </c>
      <c r="C58" s="14">
        <f>Table134681112141516171819202223[[#This Row],[PMI]]-B57</f>
        <v>-1.1000000000000014</v>
      </c>
    </row>
    <row r="59" spans="1:3" x14ac:dyDescent="0.2">
      <c r="A59" s="15">
        <v>42064</v>
      </c>
      <c r="B59" s="14">
        <v>46.2</v>
      </c>
      <c r="C59" s="14">
        <f>Table134681112141516171819202223[[#This Row],[PMI]]-B58</f>
        <v>-3.3999999999999986</v>
      </c>
    </row>
    <row r="60" spans="1:3" x14ac:dyDescent="0.2">
      <c r="A60" s="15">
        <v>42095</v>
      </c>
      <c r="B60" s="14">
        <v>46</v>
      </c>
      <c r="C60" s="14">
        <f>Table134681112141516171819202223[[#This Row],[PMI]]-B59</f>
        <v>-0.20000000000000284</v>
      </c>
    </row>
    <row r="61" spans="1:3" x14ac:dyDescent="0.2">
      <c r="A61" s="15">
        <v>42125</v>
      </c>
      <c r="B61" s="14">
        <v>45.9</v>
      </c>
      <c r="C61" s="14">
        <f>Table134681112141516171819202223[[#This Row],[PMI]]-B60</f>
        <v>-0.10000000000000142</v>
      </c>
    </row>
    <row r="62" spans="1:3" x14ac:dyDescent="0.2">
      <c r="A62" s="15">
        <v>42156</v>
      </c>
      <c r="B62" s="14">
        <v>46.5</v>
      </c>
      <c r="C62" s="14">
        <f>Table134681112141516171819202223[[#This Row],[PMI]]-B61</f>
        <v>0.60000000000000142</v>
      </c>
    </row>
    <row r="63" spans="1:3" x14ac:dyDescent="0.2">
      <c r="A63" s="15">
        <v>42186</v>
      </c>
      <c r="B63" s="14">
        <v>47.2</v>
      </c>
      <c r="C63" s="14">
        <f>Table134681112141516171819202223[[#This Row],[PMI]]-B62</f>
        <v>0.70000000000000284</v>
      </c>
    </row>
    <row r="64" spans="1:3" x14ac:dyDescent="0.2">
      <c r="A64" s="15">
        <v>42217</v>
      </c>
      <c r="B64" s="14">
        <v>45.8</v>
      </c>
      <c r="C64" s="14">
        <f>Table134681112141516171819202223[[#This Row],[PMI]]-B63</f>
        <v>-1.4000000000000057</v>
      </c>
    </row>
    <row r="65" spans="1:3" x14ac:dyDescent="0.2">
      <c r="A65" s="15">
        <v>42248</v>
      </c>
      <c r="B65" s="14">
        <v>47</v>
      </c>
      <c r="C65" s="14">
        <f>Table134681112141516171819202223[[#This Row],[PMI]]-B64</f>
        <v>1.2000000000000028</v>
      </c>
    </row>
    <row r="66" spans="1:3" x14ac:dyDescent="0.2">
      <c r="A66" s="15">
        <v>42278</v>
      </c>
      <c r="B66" s="14">
        <v>44.1</v>
      </c>
      <c r="C66" s="14">
        <f>Table134681112141516171819202223[[#This Row],[PMI]]-B65</f>
        <v>-2.8999999999999986</v>
      </c>
    </row>
    <row r="67" spans="1:3" x14ac:dyDescent="0.2">
      <c r="A67" s="15">
        <v>42309</v>
      </c>
      <c r="B67" s="14">
        <v>43.8</v>
      </c>
      <c r="C67" s="14">
        <f>Table134681112141516171819202223[[#This Row],[PMI]]-B66</f>
        <v>-0.30000000000000426</v>
      </c>
    </row>
    <row r="68" spans="1:3" x14ac:dyDescent="0.2">
      <c r="A68" s="15">
        <v>42339</v>
      </c>
      <c r="B68" s="14">
        <v>45.6</v>
      </c>
      <c r="C68" s="14">
        <f>Table134681112141516171819202223[[#This Row],[PMI]]-B67</f>
        <v>1.8000000000000043</v>
      </c>
    </row>
    <row r="69" spans="1:3" x14ac:dyDescent="0.2">
      <c r="A69" s="15">
        <v>42370</v>
      </c>
      <c r="B69" s="14">
        <v>47.4</v>
      </c>
      <c r="C69" s="14">
        <f>Table134681112141516171819202223[[#This Row],[PMI]]-B68</f>
        <v>1.7999999999999972</v>
      </c>
    </row>
    <row r="70" spans="1:3" x14ac:dyDescent="0.2">
      <c r="A70" s="15">
        <v>42401</v>
      </c>
      <c r="B70" s="14">
        <v>44.5</v>
      </c>
      <c r="C70" s="14">
        <f>Table134681112141516171819202223[[#This Row],[PMI]]-B69</f>
        <v>-2.8999999999999986</v>
      </c>
    </row>
    <row r="71" spans="1:3" x14ac:dyDescent="0.2">
      <c r="A71" s="15">
        <v>42430</v>
      </c>
      <c r="B71" s="14">
        <v>46</v>
      </c>
      <c r="C71" s="14">
        <f>Table134681112141516171819202223[[#This Row],[PMI]]-B70</f>
        <v>1.5</v>
      </c>
    </row>
    <row r="72" spans="1:3" x14ac:dyDescent="0.2">
      <c r="A72" s="15">
        <v>42461</v>
      </c>
      <c r="B72" s="14">
        <v>42.6</v>
      </c>
      <c r="C72" s="14">
        <f>Table134681112141516171819202223[[#This Row],[PMI]]-B71</f>
        <v>-3.3999999999999986</v>
      </c>
    </row>
    <row r="73" spans="1:3" x14ac:dyDescent="0.2">
      <c r="A73" s="15">
        <v>42491</v>
      </c>
      <c r="B73" s="14">
        <v>41.6</v>
      </c>
      <c r="C73" s="14">
        <f>Table134681112141516171819202223[[#This Row],[PMI]]-B72</f>
        <v>-1</v>
      </c>
    </row>
    <row r="74" spans="1:3" x14ac:dyDescent="0.2">
      <c r="A74" s="15">
        <v>42522</v>
      </c>
      <c r="B74" s="14">
        <v>43.2</v>
      </c>
      <c r="C74" s="14">
        <f>Table134681112141516171819202223[[#This Row],[PMI]]-B73</f>
        <v>1.6000000000000014</v>
      </c>
    </row>
    <row r="75" spans="1:3" x14ac:dyDescent="0.2">
      <c r="A75" s="15">
        <v>42552</v>
      </c>
      <c r="B75" s="14">
        <v>46</v>
      </c>
      <c r="C75" s="14">
        <f>Table134681112141516171819202223[[#This Row],[PMI]]-B74</f>
        <v>2.7999999999999972</v>
      </c>
    </row>
    <row r="76" spans="1:3" x14ac:dyDescent="0.2">
      <c r="A76" s="15">
        <v>42583</v>
      </c>
      <c r="B76" s="14">
        <v>45.7</v>
      </c>
      <c r="C76" s="14">
        <f>Table134681112141516171819202223[[#This Row],[PMI]]-B75</f>
        <v>-0.29999999999999716</v>
      </c>
    </row>
    <row r="77" spans="1:3" x14ac:dyDescent="0.2">
      <c r="A77" s="15">
        <v>42614</v>
      </c>
      <c r="B77" s="14">
        <v>46</v>
      </c>
      <c r="C77" s="14">
        <f>Table134681112141516171819202223[[#This Row],[PMI]]-B76</f>
        <v>0.29999999999999716</v>
      </c>
    </row>
    <row r="78" spans="1:3" x14ac:dyDescent="0.2">
      <c r="A78" s="15">
        <v>42644</v>
      </c>
      <c r="B78" s="14">
        <v>46.3</v>
      </c>
      <c r="C78" s="14">
        <f>Table134681112141516171819202223[[#This Row],[PMI]]-B77</f>
        <v>0.29999999999999716</v>
      </c>
    </row>
    <row r="79" spans="1:3" x14ac:dyDescent="0.2">
      <c r="A79" s="15">
        <v>42675</v>
      </c>
      <c r="B79" s="14">
        <v>46.2</v>
      </c>
      <c r="C79" s="14">
        <f>Table134681112141516171819202223[[#This Row],[PMI]]-B78</f>
        <v>-9.9999999999994316E-2</v>
      </c>
    </row>
    <row r="80" spans="1:3" x14ac:dyDescent="0.2">
      <c r="A80" s="15">
        <v>42705</v>
      </c>
      <c r="B80" s="14">
        <v>45.2</v>
      </c>
      <c r="C80" s="14">
        <f>Table134681112141516171819202223[[#This Row],[PMI]]-B79</f>
        <v>-1</v>
      </c>
    </row>
    <row r="81" spans="1:3" x14ac:dyDescent="0.2">
      <c r="A81" s="15">
        <v>42736</v>
      </c>
      <c r="B81" s="14">
        <v>44</v>
      </c>
      <c r="C81" s="14">
        <f>Table134681112141516171819202223[[#This Row],[PMI]]-B80</f>
        <v>-1.2000000000000028</v>
      </c>
    </row>
    <row r="82" spans="1:3" x14ac:dyDescent="0.2">
      <c r="A82" s="15">
        <v>42767</v>
      </c>
      <c r="B82" s="14">
        <v>46.9</v>
      </c>
      <c r="C82" s="14">
        <f>Table134681112141516171819202223[[#This Row],[PMI]]-B81</f>
        <v>2.8999999999999986</v>
      </c>
    </row>
    <row r="83" spans="1:3" x14ac:dyDescent="0.2">
      <c r="A83" s="15">
        <v>42795</v>
      </c>
      <c r="B83" s="14">
        <v>49.6</v>
      </c>
      <c r="C83" s="14">
        <f>Table134681112141516171819202223[[#This Row],[PMI]]-B82</f>
        <v>2.7000000000000028</v>
      </c>
    </row>
    <row r="84" spans="1:3" x14ac:dyDescent="0.2">
      <c r="A84" s="15">
        <v>42826</v>
      </c>
      <c r="B84" s="14">
        <v>50.1</v>
      </c>
      <c r="C84" s="14">
        <f>Table134681112141516171819202223[[#This Row],[PMI]]-B83</f>
        <v>0.5</v>
      </c>
    </row>
    <row r="85" spans="1:3" x14ac:dyDescent="0.2">
      <c r="A85" s="15">
        <v>42856</v>
      </c>
      <c r="B85" s="14">
        <v>52</v>
      </c>
      <c r="C85" s="14">
        <f>Table134681112141516171819202223[[#This Row],[PMI]]-B84</f>
        <v>1.8999999999999986</v>
      </c>
    </row>
    <row r="86" spans="1:3" x14ac:dyDescent="0.2">
      <c r="A86" s="15">
        <v>42887</v>
      </c>
      <c r="B86" s="14">
        <v>50.5</v>
      </c>
      <c r="C86" s="14">
        <f>Table134681112141516171819202223[[#This Row],[PMI]]-B85</f>
        <v>-1.5</v>
      </c>
    </row>
    <row r="87" spans="1:3" x14ac:dyDescent="0.2">
      <c r="A87" s="15">
        <v>42917</v>
      </c>
      <c r="B87" s="14">
        <v>50</v>
      </c>
      <c r="C87" s="14">
        <f>Table134681112141516171819202223[[#This Row],[PMI]]-B86</f>
        <v>-0.5</v>
      </c>
    </row>
    <row r="88" spans="1:3" x14ac:dyDescent="0.2">
      <c r="A88" s="15">
        <v>42948</v>
      </c>
      <c r="B88" s="14">
        <v>50.9</v>
      </c>
      <c r="C88" s="14">
        <f>Table134681112141516171819202223[[#This Row],[PMI]]-B87</f>
        <v>0.89999999999999858</v>
      </c>
    </row>
    <row r="89" spans="1:3" x14ac:dyDescent="0.2">
      <c r="A89" s="15">
        <v>42979</v>
      </c>
      <c r="B89" s="14">
        <v>50.9</v>
      </c>
      <c r="C89" s="14">
        <f>Table134681112141516171819202223[[#This Row],[PMI]]-B88</f>
        <v>0</v>
      </c>
    </row>
    <row r="90" spans="1:3" x14ac:dyDescent="0.2">
      <c r="A90" s="15">
        <v>43009</v>
      </c>
      <c r="B90" s="14">
        <v>51.2</v>
      </c>
      <c r="C90" s="14">
        <f>Table134681112141516171819202223[[#This Row],[PMI]]-B89</f>
        <v>0.30000000000000426</v>
      </c>
    </row>
    <row r="91" spans="1:3" x14ac:dyDescent="0.2">
      <c r="A91" s="15">
        <v>43040</v>
      </c>
      <c r="B91" s="14">
        <v>53.5</v>
      </c>
      <c r="C91" s="14">
        <f>Table134681112141516171819202223[[#This Row],[PMI]]-B90</f>
        <v>2.2999999999999972</v>
      </c>
    </row>
    <row r="92" spans="1:3" x14ac:dyDescent="0.2">
      <c r="A92" s="15">
        <v>43070</v>
      </c>
      <c r="B92" s="14">
        <v>52.4</v>
      </c>
      <c r="C92" s="14">
        <f>Table134681112141516171819202223[[#This Row],[PMI]]-B91</f>
        <v>-1.1000000000000014</v>
      </c>
    </row>
    <row r="93" spans="1:3" x14ac:dyDescent="0.2">
      <c r="A93" s="15">
        <v>43101</v>
      </c>
      <c r="B93" s="14">
        <v>51.2</v>
      </c>
      <c r="C93" s="14">
        <f>Table134681112141516171819202223[[#This Row],[PMI]]-B92</f>
        <v>-1.1999999999999957</v>
      </c>
    </row>
    <row r="94" spans="1:3" x14ac:dyDescent="0.2">
      <c r="A94" s="15">
        <v>43132</v>
      </c>
      <c r="B94" s="14">
        <v>53.2</v>
      </c>
      <c r="C94" s="14">
        <f>Table134681112141516171819202223[[#This Row],[PMI]]-B93</f>
        <v>2</v>
      </c>
    </row>
    <row r="95" spans="1:3" x14ac:dyDescent="0.2">
      <c r="A95" s="15">
        <v>43160</v>
      </c>
      <c r="B95" s="14">
        <v>53.4</v>
      </c>
      <c r="C95" s="14">
        <f>Table134681112141516171819202223[[#This Row],[PMI]]-B94</f>
        <v>0.19999999999999574</v>
      </c>
    </row>
    <row r="96" spans="1:3" x14ac:dyDescent="0.2">
      <c r="A96" s="15">
        <v>43191</v>
      </c>
      <c r="B96" s="14">
        <v>52.3</v>
      </c>
      <c r="C96" s="14">
        <f>Table134681112141516171819202223[[#This Row],[PMI]]-B95</f>
        <v>-1.1000000000000014</v>
      </c>
    </row>
    <row r="97" spans="1:3" x14ac:dyDescent="0.2">
      <c r="A97" s="15">
        <v>43221</v>
      </c>
      <c r="B97" s="14">
        <v>50.7</v>
      </c>
      <c r="C97" s="14">
        <f>Table134681112141516171819202223[[#This Row],[PMI]]-B96</f>
        <v>-1.5999999999999943</v>
      </c>
    </row>
    <row r="98" spans="1:3" x14ac:dyDescent="0.2">
      <c r="A98" s="15">
        <v>43252</v>
      </c>
      <c r="B98" s="14">
        <v>49.8</v>
      </c>
      <c r="C98" s="14">
        <f>Table134681112141516171819202223[[#This Row],[PMI]]-B97</f>
        <v>-0.90000000000000568</v>
      </c>
    </row>
    <row r="99" spans="1:3" x14ac:dyDescent="0.2">
      <c r="A99" s="15">
        <v>43282</v>
      </c>
      <c r="B99" s="14">
        <v>50.5</v>
      </c>
      <c r="C99" s="14">
        <f>Table134681112141516171819202223[[#This Row],[PMI]]-B98</f>
        <v>0.70000000000000284</v>
      </c>
    </row>
    <row r="100" spans="1:3" x14ac:dyDescent="0.2">
      <c r="A100" s="15">
        <v>43313</v>
      </c>
      <c r="B100" s="14">
        <v>51.1</v>
      </c>
      <c r="C100" s="14">
        <f>Table134681112141516171819202223[[#This Row],[PMI]]-B99</f>
        <v>0.60000000000000142</v>
      </c>
    </row>
    <row r="101" spans="1:3" x14ac:dyDescent="0.2">
      <c r="A101" s="15">
        <v>43344</v>
      </c>
      <c r="B101" s="14">
        <v>50.9</v>
      </c>
      <c r="C101" s="14">
        <f>Table134681112141516171819202223[[#This Row],[PMI]]-B100</f>
        <v>-0.20000000000000284</v>
      </c>
    </row>
    <row r="102" spans="1:3" x14ac:dyDescent="0.2">
      <c r="A102" s="15">
        <v>43374</v>
      </c>
      <c r="B102" s="14">
        <v>51.1</v>
      </c>
      <c r="C102" s="14">
        <f>Table134681112141516171819202223[[#This Row],[PMI]]-B101</f>
        <v>0.20000000000000284</v>
      </c>
    </row>
    <row r="103" spans="1:3" x14ac:dyDescent="0.2">
      <c r="A103" s="15">
        <v>43405</v>
      </c>
      <c r="B103" s="14">
        <v>52.7</v>
      </c>
      <c r="C103" s="14">
        <f>Table134681112141516171819202223[[#This Row],[PMI]]-B102</f>
        <v>1.6000000000000014</v>
      </c>
    </row>
    <row r="104" spans="1:3" x14ac:dyDescent="0.2">
      <c r="A104" s="15">
        <v>43435</v>
      </c>
      <c r="B104" s="14">
        <v>52.6</v>
      </c>
      <c r="C104" s="14">
        <f>Table134681112141516171819202223[[#This Row],[PMI]]-B103</f>
        <v>-0.10000000000000142</v>
      </c>
    </row>
    <row r="105" spans="1:3" x14ac:dyDescent="0.2">
      <c r="A105" s="15">
        <v>43466</v>
      </c>
      <c r="B105" s="14">
        <v>52.7</v>
      </c>
      <c r="C105" s="14">
        <f>Table134681112141516171819202223[[#This Row],[PMI]]-B104</f>
        <v>0.10000000000000142</v>
      </c>
    </row>
    <row r="106" spans="1:3" x14ac:dyDescent="0.2">
      <c r="A106" s="15">
        <v>43497</v>
      </c>
      <c r="B106" s="14">
        <v>53.4</v>
      </c>
      <c r="C106" s="14">
        <f>Table134681112141516171819202223[[#This Row],[PMI]]-B105</f>
        <v>0.69999999999999574</v>
      </c>
    </row>
    <row r="107" spans="1:3" x14ac:dyDescent="0.2">
      <c r="A107" s="15">
        <v>43525</v>
      </c>
      <c r="B107" s="14">
        <v>52.8</v>
      </c>
      <c r="C107" s="30">
        <f>Table134681112141516171819202223[[#This Row],[PMI]]-B106</f>
        <v>-0.60000000000000142</v>
      </c>
    </row>
    <row r="108" spans="1:3" x14ac:dyDescent="0.2">
      <c r="A108" s="15">
        <v>43556</v>
      </c>
      <c r="B108" s="14">
        <v>51.5</v>
      </c>
      <c r="C108" s="30">
        <f>Table134681112141516171819202223[[#This Row],[PMI]]-B107</f>
        <v>-1.2999999999999972</v>
      </c>
    </row>
    <row r="109" spans="1:3" x14ac:dyDescent="0.2">
      <c r="A109" s="15">
        <v>43586</v>
      </c>
      <c r="B109" s="14">
        <v>50.2</v>
      </c>
      <c r="C109" s="30">
        <f>Table134681112141516171819202223[[#This Row],[PMI]]-B108</f>
        <v>-1.2999999999999972</v>
      </c>
    </row>
    <row r="110" spans="1:3" x14ac:dyDescent="0.2">
      <c r="A110" s="15">
        <v>43617</v>
      </c>
      <c r="B110" s="14">
        <v>51</v>
      </c>
      <c r="C110" s="30">
        <f>Table134681112141516171819202223[[#This Row],[PMI]]-B109</f>
        <v>0.79999999999999716</v>
      </c>
    </row>
    <row r="111" spans="1:3" x14ac:dyDescent="0.2">
      <c r="A111" s="15">
        <v>43647</v>
      </c>
      <c r="B111" s="14">
        <v>49.9</v>
      </c>
      <c r="C111" s="30">
        <f>Table134681112141516171819202223[[#This Row],[PMI]]-B110</f>
        <v>-1.1000000000000014</v>
      </c>
    </row>
    <row r="112" spans="1:3" x14ac:dyDescent="0.2">
      <c r="A112" s="15">
        <v>43678</v>
      </c>
      <c r="B112" s="14">
        <v>52.5</v>
      </c>
      <c r="C112" s="30">
        <f>Table134681112141516171819202223[[#This Row],[PMI]]-B111</f>
        <v>2.6000000000000014</v>
      </c>
    </row>
    <row r="113" spans="1:3" x14ac:dyDescent="0.2">
      <c r="A113" s="15">
        <v>43709</v>
      </c>
      <c r="B113" s="14">
        <v>53.4</v>
      </c>
      <c r="C113" s="30">
        <f>Table134681112141516171819202223[[#This Row],[PMI]]-B112</f>
        <v>0.89999999999999858</v>
      </c>
    </row>
    <row r="114" spans="1:3" x14ac:dyDescent="0.2">
      <c r="A114" s="15">
        <v>43739</v>
      </c>
      <c r="B114" s="14">
        <v>52.2</v>
      </c>
      <c r="C114" s="30">
        <f>Table134681112141516171819202223[[#This Row],[PMI]]-B113</f>
        <v>-1.1999999999999957</v>
      </c>
    </row>
    <row r="115" spans="1:3" x14ac:dyDescent="0.2">
      <c r="A115" s="15">
        <v>43770</v>
      </c>
      <c r="B115" s="14">
        <v>52.9</v>
      </c>
      <c r="C115" s="30">
        <f>Table134681112141516171819202223[[#This Row],[PMI]]-B114</f>
        <v>0.69999999999999574</v>
      </c>
    </row>
    <row r="116" spans="1:3" x14ac:dyDescent="0.2">
      <c r="A116" s="15">
        <v>43800</v>
      </c>
      <c r="B116" s="14">
        <v>50.2</v>
      </c>
      <c r="C116" s="30">
        <f>Table134681112141516171819202223[[#This Row],[PMI]]-B115</f>
        <v>-2.6999999999999957</v>
      </c>
    </row>
    <row r="117" spans="1:3" x14ac:dyDescent="0.2">
      <c r="A117" s="15">
        <v>43831</v>
      </c>
      <c r="B117" s="14">
        <v>51</v>
      </c>
      <c r="C117" s="30">
        <f>Table134681112141516171819202223[[#This Row],[PMI]]-B116</f>
        <v>0.79999999999999716</v>
      </c>
    </row>
    <row r="118" spans="1:3" x14ac:dyDescent="0.2">
      <c r="A118" s="15">
        <v>43862</v>
      </c>
      <c r="B118" s="14">
        <v>52.3</v>
      </c>
      <c r="C118" s="30">
        <f>Table134681112141516171819202223[[#This Row],[PMI]]-B117</f>
        <v>1.2999999999999972</v>
      </c>
    </row>
    <row r="119" spans="1:3" x14ac:dyDescent="0.2">
      <c r="A119" s="15">
        <v>43891</v>
      </c>
      <c r="B119" s="14">
        <v>48.4</v>
      </c>
      <c r="C119" s="30">
        <f>Table134681112141516171819202223[[#This Row],[PMI]]-B118</f>
        <v>-3.8999999999999986</v>
      </c>
    </row>
    <row r="120" spans="1:3" x14ac:dyDescent="0.2">
      <c r="A120" s="15">
        <v>43922</v>
      </c>
      <c r="B120" s="14">
        <v>36</v>
      </c>
      <c r="C120" s="30">
        <f>Table134681112141516171819202223[[#This Row],[PMI]]-B119</f>
        <v>-12.399999999999999</v>
      </c>
    </row>
    <row r="121" spans="1:3" x14ac:dyDescent="0.2">
      <c r="A121" s="15">
        <v>43952</v>
      </c>
      <c r="B121" s="14">
        <v>38.299999999999997</v>
      </c>
      <c r="C121" s="30">
        <f>Table134681112141516171819202223[[#This Row],[PMI]]-B120</f>
        <v>2.2999999999999972</v>
      </c>
    </row>
    <row r="122" spans="1:3" x14ac:dyDescent="0.2">
      <c r="A122" s="15">
        <v>43983</v>
      </c>
      <c r="B122" s="14">
        <v>51.6</v>
      </c>
      <c r="C122" s="30">
        <f>Table134681112141516171819202223[[#This Row],[PMI]]-B121</f>
        <v>13.300000000000004</v>
      </c>
    </row>
    <row r="123" spans="1:3" x14ac:dyDescent="0.2">
      <c r="A123" s="15">
        <v>44013</v>
      </c>
      <c r="B123" s="14">
        <v>58.2</v>
      </c>
      <c r="C123" s="30">
        <f>Table134681112141516171819202223[[#This Row],[PMI]]-B122</f>
        <v>6.6000000000000014</v>
      </c>
    </row>
    <row r="124" spans="1:3" x14ac:dyDescent="0.2">
      <c r="A124" s="15">
        <v>44044</v>
      </c>
      <c r="B124" s="14">
        <v>64.7</v>
      </c>
      <c r="C124" s="30">
        <f>Table134681112141516171819202223[[#This Row],[PMI]]-B123</f>
        <v>6.5</v>
      </c>
    </row>
    <row r="125" spans="1:3" x14ac:dyDescent="0.2">
      <c r="A125" s="15">
        <v>44075</v>
      </c>
      <c r="B125" s="14">
        <v>64.900000000000006</v>
      </c>
      <c r="C125" s="30">
        <f>Table134681112141516171819202223[[#This Row],[PMI]]-B124</f>
        <v>0.20000000000000284</v>
      </c>
    </row>
    <row r="126" spans="1:3" x14ac:dyDescent="0.2">
      <c r="A126" s="15">
        <v>44105</v>
      </c>
      <c r="B126" s="14">
        <v>66.7</v>
      </c>
      <c r="C126" s="30">
        <f>Table134681112141516171819202223[[#This Row],[PMI]]-B125</f>
        <v>1.7999999999999972</v>
      </c>
    </row>
    <row r="127" spans="1:3" x14ac:dyDescent="0.2">
      <c r="A127" s="15">
        <v>44136</v>
      </c>
      <c r="B127" s="14">
        <v>64</v>
      </c>
      <c r="C127" s="30">
        <f>Table134681112141516171819202223[[#This Row],[PMI]]-B126</f>
        <v>-2.7000000000000028</v>
      </c>
    </row>
    <row r="128" spans="1:3" x14ac:dyDescent="0.2">
      <c r="A128" s="15">
        <v>44166</v>
      </c>
      <c r="B128" s="14">
        <v>61.5</v>
      </c>
      <c r="C128" s="30">
        <f>Table134681112141516171819202223[[#This Row],[PMI]]-B127</f>
        <v>-2.5</v>
      </c>
    </row>
    <row r="129" spans="1:3" x14ac:dyDescent="0.2">
      <c r="A129" s="15">
        <v>44197</v>
      </c>
      <c r="B129" s="14">
        <v>56.5</v>
      </c>
      <c r="C129" s="30">
        <f>Table134681112141516171819202223[[#This Row],[PMI]]-B128</f>
        <v>-5</v>
      </c>
    </row>
    <row r="130" spans="1:3" x14ac:dyDescent="0.2">
      <c r="A130" s="15">
        <v>44228</v>
      </c>
      <c r="B130" s="14">
        <v>58.4</v>
      </c>
      <c r="C130" s="30">
        <f>Table134681112141516171819202223[[#This Row],[PMI]]-B129</f>
        <v>1.8999999999999986</v>
      </c>
    </row>
    <row r="131" spans="1:3" x14ac:dyDescent="0.2">
      <c r="A131" s="15">
        <v>44256</v>
      </c>
      <c r="B131" s="14">
        <v>52.8</v>
      </c>
      <c r="C131" s="30">
        <f>Table134681112141516171819202223[[#This Row],[PMI]]-B130</f>
        <v>-5.6000000000000014</v>
      </c>
    </row>
    <row r="132" spans="1:3" x14ac:dyDescent="0.2">
      <c r="A132" s="15">
        <v>44287</v>
      </c>
      <c r="B132" s="14">
        <v>52.3</v>
      </c>
      <c r="C132" s="30">
        <f>Table134681112141516171819202223[[#This Row],[PMI]]-B131</f>
        <v>-0.5</v>
      </c>
    </row>
    <row r="133" spans="1:3" x14ac:dyDescent="0.2">
      <c r="A133" s="15">
        <v>44317</v>
      </c>
      <c r="B133" s="14">
        <v>53.7</v>
      </c>
      <c r="C133" s="30">
        <f>Table134681112141516171819202223[[#This Row],[PMI]]-B132</f>
        <v>1.4000000000000057</v>
      </c>
    </row>
    <row r="134" spans="1:3" x14ac:dyDescent="0.2">
      <c r="A134" s="15">
        <v>44348</v>
      </c>
      <c r="B134" s="14">
        <v>56.4</v>
      </c>
      <c r="C134" s="30">
        <f>Table134681112141516171819202223[[#This Row],[PMI]]-B133</f>
        <v>2.6999999999999957</v>
      </c>
    </row>
    <row r="135" spans="1:3" x14ac:dyDescent="0.2">
      <c r="A135" s="15">
        <v>44378</v>
      </c>
      <c r="B135" s="14">
        <v>56.7</v>
      </c>
      <c r="C135" s="30">
        <f>Table134681112141516171819202223[[#This Row],[PMI]]-B134</f>
        <v>0.30000000000000426</v>
      </c>
    </row>
    <row r="136" spans="1:3" x14ac:dyDescent="0.2">
      <c r="A136" s="15">
        <v>44409</v>
      </c>
      <c r="B136" s="14">
        <v>53.6</v>
      </c>
      <c r="C136" s="30">
        <f>Table134681112141516171819202223[[#This Row],[PMI]]-B135</f>
        <v>-3.1000000000000014</v>
      </c>
    </row>
    <row r="137" spans="1:3" x14ac:dyDescent="0.2">
      <c r="A137" s="15">
        <v>44440</v>
      </c>
      <c r="B137" s="14">
        <v>54.4</v>
      </c>
      <c r="C137" s="30">
        <f>Table134681112141516171819202223[[#This Row],[PMI]]-B136</f>
        <v>0.79999999999999716</v>
      </c>
    </row>
    <row r="138" spans="1:3" x14ac:dyDescent="0.2">
      <c r="A138" s="15">
        <v>44470</v>
      </c>
      <c r="B138" s="14">
        <v>51.7</v>
      </c>
      <c r="C138" s="30">
        <f>Table134681112141516171819202223[[#This Row],[PMI]]-B137</f>
        <v>-2.6999999999999957</v>
      </c>
    </row>
    <row r="139" spans="1:3" x14ac:dyDescent="0.2">
      <c r="A139" s="15">
        <v>44501</v>
      </c>
      <c r="B139" s="14">
        <v>49.8</v>
      </c>
      <c r="C139" s="30">
        <f>Table134681112141516171819202223[[#This Row],[PMI]]-B138</f>
        <v>-1.9000000000000057</v>
      </c>
    </row>
    <row r="140" spans="1:3" x14ac:dyDescent="0.2">
      <c r="A140" s="15">
        <v>44531</v>
      </c>
      <c r="B140" s="14">
        <v>49.8</v>
      </c>
      <c r="C140" s="30">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F9D68-7578-418C-8312-939C973F3948}">
  <dimension ref="A1:K134"/>
  <sheetViews>
    <sheetView zoomScale="170" zoomScaleNormal="170" workbookViewId="0">
      <pane ySplit="5" topLeftCell="A99" activePane="bottomLeft" state="frozen"/>
      <selection pane="bottomLeft" activeCell="V128" sqref="V128"/>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46</v>
      </c>
      <c r="K1" s="10" t="s">
        <v>21</v>
      </c>
    </row>
    <row r="2" spans="1:11" x14ac:dyDescent="0.2">
      <c r="K2" s="10" t="str">
        <f>A1&amp;K1</f>
        <v>Mexico Manufacturing PMI</v>
      </c>
    </row>
    <row r="4" spans="1:11" ht="16" thickBot="1" x14ac:dyDescent="0.25"/>
    <row r="5" spans="1:11" ht="16" thickBot="1" x14ac:dyDescent="0.25">
      <c r="A5" s="27" t="s">
        <v>10</v>
      </c>
      <c r="B5" s="28" t="s">
        <v>11</v>
      </c>
      <c r="C5" s="28" t="s">
        <v>14</v>
      </c>
    </row>
    <row r="6" spans="1:11" x14ac:dyDescent="0.2">
      <c r="A6" s="23">
        <v>40634</v>
      </c>
      <c r="B6" s="24">
        <v>56.1</v>
      </c>
      <c r="C6" s="24"/>
    </row>
    <row r="7" spans="1:11" x14ac:dyDescent="0.2">
      <c r="A7" s="15">
        <v>40664</v>
      </c>
      <c r="B7" s="14">
        <v>54.5</v>
      </c>
      <c r="C7" s="14">
        <f>Table13468111214151617181920222526[[#This Row],[PMI]]-B6</f>
        <v>-1.6000000000000014</v>
      </c>
    </row>
    <row r="8" spans="1:11" x14ac:dyDescent="0.2">
      <c r="A8" s="15">
        <v>40695</v>
      </c>
      <c r="B8" s="14">
        <v>55.1</v>
      </c>
      <c r="C8" s="14">
        <f>Table13468111214151617181920222526[[#This Row],[PMI]]-B7</f>
        <v>0.60000000000000142</v>
      </c>
    </row>
    <row r="9" spans="1:11" x14ac:dyDescent="0.2">
      <c r="A9" s="15">
        <v>40725</v>
      </c>
      <c r="B9" s="14">
        <v>54.8</v>
      </c>
      <c r="C9" s="14">
        <f>Table13468111214151617181920222526[[#This Row],[PMI]]-B8</f>
        <v>-0.30000000000000426</v>
      </c>
    </row>
    <row r="10" spans="1:11" x14ac:dyDescent="0.2">
      <c r="A10" s="15">
        <v>40756</v>
      </c>
      <c r="B10" s="14">
        <v>51.7</v>
      </c>
      <c r="C10" s="14">
        <f>Table13468111214151617181920222526[[#This Row],[PMI]]-B9</f>
        <v>-3.0999999999999943</v>
      </c>
    </row>
    <row r="11" spans="1:11" x14ac:dyDescent="0.2">
      <c r="A11" s="15">
        <v>40787</v>
      </c>
      <c r="B11" s="14">
        <v>53.2</v>
      </c>
      <c r="C11" s="14">
        <f>Table13468111214151617181920222526[[#This Row],[PMI]]-B10</f>
        <v>1.5</v>
      </c>
    </row>
    <row r="12" spans="1:11" x14ac:dyDescent="0.2">
      <c r="A12" s="15">
        <v>40817</v>
      </c>
      <c r="B12" s="14">
        <v>54.8</v>
      </c>
      <c r="C12" s="14">
        <f>Table13468111214151617181920222526[[#This Row],[PMI]]-B11</f>
        <v>1.5999999999999943</v>
      </c>
    </row>
    <row r="13" spans="1:11" x14ac:dyDescent="0.2">
      <c r="A13" s="15">
        <v>40848</v>
      </c>
      <c r="B13" s="14">
        <v>53.9</v>
      </c>
      <c r="C13" s="14">
        <f>Table13468111214151617181920222526[[#This Row],[PMI]]-B12</f>
        <v>-0.89999999999999858</v>
      </c>
    </row>
    <row r="14" spans="1:11" x14ac:dyDescent="0.2">
      <c r="A14" s="15">
        <v>40878</v>
      </c>
      <c r="B14" s="14">
        <v>53.1</v>
      </c>
      <c r="C14" s="14">
        <f>Table13468111214151617181920222526[[#This Row],[PMI]]-B13</f>
        <v>-0.79999999999999716</v>
      </c>
    </row>
    <row r="15" spans="1:11" x14ac:dyDescent="0.2">
      <c r="A15" s="15">
        <v>40909</v>
      </c>
      <c r="B15" s="14">
        <v>52.2</v>
      </c>
      <c r="C15" s="14">
        <f>Table13468111214151617181920222526[[#This Row],[PMI]]-B14</f>
        <v>-0.89999999999999858</v>
      </c>
    </row>
    <row r="16" spans="1:11" x14ac:dyDescent="0.2">
      <c r="A16" s="15">
        <v>40940</v>
      </c>
      <c r="B16" s="14">
        <v>53.7</v>
      </c>
      <c r="C16" s="14">
        <f>Table13468111214151617181920222526[[#This Row],[PMI]]-B15</f>
        <v>1.5</v>
      </c>
    </row>
    <row r="17" spans="1:3" x14ac:dyDescent="0.2">
      <c r="A17" s="15">
        <v>40969</v>
      </c>
      <c r="B17" s="14">
        <v>53.8</v>
      </c>
      <c r="C17" s="14">
        <f>Table13468111214151617181920222526[[#This Row],[PMI]]-B16</f>
        <v>9.9999999999994316E-2</v>
      </c>
    </row>
    <row r="18" spans="1:3" x14ac:dyDescent="0.2">
      <c r="A18" s="15">
        <v>41000</v>
      </c>
      <c r="B18" s="14">
        <v>56.3</v>
      </c>
      <c r="C18" s="14">
        <f>Table13468111214151617181920222526[[#This Row],[PMI]]-B17</f>
        <v>2.5</v>
      </c>
    </row>
    <row r="19" spans="1:3" x14ac:dyDescent="0.2">
      <c r="A19" s="15">
        <v>41030</v>
      </c>
      <c r="B19" s="14">
        <v>55.2</v>
      </c>
      <c r="C19" s="14">
        <f>Table13468111214151617181920222526[[#This Row],[PMI]]-B18</f>
        <v>-1.0999999999999943</v>
      </c>
    </row>
    <row r="20" spans="1:3" x14ac:dyDescent="0.2">
      <c r="A20" s="15">
        <v>41061</v>
      </c>
      <c r="B20" s="14">
        <v>55.9</v>
      </c>
      <c r="C20" s="14">
        <f>Table13468111214151617181920222526[[#This Row],[PMI]]-B19</f>
        <v>0.69999999999999574</v>
      </c>
    </row>
    <row r="21" spans="1:3" x14ac:dyDescent="0.2">
      <c r="A21" s="15">
        <v>41091</v>
      </c>
      <c r="B21" s="14">
        <v>55.2</v>
      </c>
      <c r="C21" s="14">
        <f>Table13468111214151617181920222526[[#This Row],[PMI]]-B20</f>
        <v>-0.69999999999999574</v>
      </c>
    </row>
    <row r="22" spans="1:3" x14ac:dyDescent="0.2">
      <c r="A22" s="15">
        <v>41122</v>
      </c>
      <c r="B22" s="14">
        <v>55.1</v>
      </c>
      <c r="C22" s="14">
        <f>Table13468111214151617181920222526[[#This Row],[PMI]]-B21</f>
        <v>-0.10000000000000142</v>
      </c>
    </row>
    <row r="23" spans="1:3" x14ac:dyDescent="0.2">
      <c r="A23" s="15">
        <v>41153</v>
      </c>
      <c r="B23" s="14">
        <v>54.4</v>
      </c>
      <c r="C23" s="14">
        <f>Table13468111214151617181920222526[[#This Row],[PMI]]-B22</f>
        <v>-0.70000000000000284</v>
      </c>
    </row>
    <row r="24" spans="1:3" x14ac:dyDescent="0.2">
      <c r="A24" s="15">
        <v>41183</v>
      </c>
      <c r="B24" s="14">
        <v>55.5</v>
      </c>
      <c r="C24" s="14">
        <f>Table13468111214151617181920222526[[#This Row],[PMI]]-B23</f>
        <v>1.1000000000000014</v>
      </c>
    </row>
    <row r="25" spans="1:3" x14ac:dyDescent="0.2">
      <c r="A25" s="15">
        <v>41214</v>
      </c>
      <c r="B25" s="14">
        <v>55.6</v>
      </c>
      <c r="C25" s="14">
        <f>Table13468111214151617181920222526[[#This Row],[PMI]]-B24</f>
        <v>0.10000000000000142</v>
      </c>
    </row>
    <row r="26" spans="1:3" x14ac:dyDescent="0.2">
      <c r="A26" s="15">
        <v>41244</v>
      </c>
      <c r="B26" s="14">
        <v>57.1</v>
      </c>
      <c r="C26" s="14">
        <f>Table13468111214151617181920222526[[#This Row],[PMI]]-B25</f>
        <v>1.5</v>
      </c>
    </row>
    <row r="27" spans="1:3" x14ac:dyDescent="0.2">
      <c r="A27" s="15">
        <v>41275</v>
      </c>
      <c r="B27" s="14">
        <v>55</v>
      </c>
      <c r="C27" s="14">
        <f>Table13468111214151617181920222526[[#This Row],[PMI]]-B26</f>
        <v>-2.1000000000000014</v>
      </c>
    </row>
    <row r="28" spans="1:3" x14ac:dyDescent="0.2">
      <c r="A28" s="15">
        <v>41306</v>
      </c>
      <c r="B28" s="14">
        <v>53.4</v>
      </c>
      <c r="C28" s="14">
        <f>Table13468111214151617181920222526[[#This Row],[PMI]]-B27</f>
        <v>-1.6000000000000014</v>
      </c>
    </row>
    <row r="29" spans="1:3" x14ac:dyDescent="0.2">
      <c r="A29" s="15">
        <v>41334</v>
      </c>
      <c r="B29" s="14">
        <v>52.2</v>
      </c>
      <c r="C29" s="14">
        <f>Table13468111214151617181920222526[[#This Row],[PMI]]-B28</f>
        <v>-1.1999999999999957</v>
      </c>
    </row>
    <row r="30" spans="1:3" x14ac:dyDescent="0.2">
      <c r="A30" s="15">
        <v>41365</v>
      </c>
      <c r="B30" s="14">
        <v>51.7</v>
      </c>
      <c r="C30" s="14">
        <f>Table13468111214151617181920222526[[#This Row],[PMI]]-B29</f>
        <v>-0.5</v>
      </c>
    </row>
    <row r="31" spans="1:3" x14ac:dyDescent="0.2">
      <c r="A31" s="15">
        <v>41395</v>
      </c>
      <c r="B31" s="14">
        <v>51.8</v>
      </c>
      <c r="C31" s="14">
        <f>Table13468111214151617181920222526[[#This Row],[PMI]]-B30</f>
        <v>9.9999999999994316E-2</v>
      </c>
    </row>
    <row r="32" spans="1:3" x14ac:dyDescent="0.2">
      <c r="A32" s="15">
        <v>41426</v>
      </c>
      <c r="B32" s="14">
        <v>51.3</v>
      </c>
      <c r="C32" s="14">
        <f>Table13468111214151617181920222526[[#This Row],[PMI]]-B31</f>
        <v>-0.5</v>
      </c>
    </row>
    <row r="33" spans="1:3" x14ac:dyDescent="0.2">
      <c r="A33" s="15">
        <v>41456</v>
      </c>
      <c r="B33" s="14">
        <v>49.7</v>
      </c>
      <c r="C33" s="14">
        <f>Table13468111214151617181920222526[[#This Row],[PMI]]-B32</f>
        <v>-1.5999999999999943</v>
      </c>
    </row>
    <row r="34" spans="1:3" x14ac:dyDescent="0.2">
      <c r="A34" s="15">
        <v>41487</v>
      </c>
      <c r="B34" s="14">
        <v>50.8</v>
      </c>
      <c r="C34" s="14">
        <f>Table13468111214151617181920222526[[#This Row],[PMI]]-B33</f>
        <v>1.0999999999999943</v>
      </c>
    </row>
    <row r="35" spans="1:3" x14ac:dyDescent="0.2">
      <c r="A35" s="15">
        <v>41518</v>
      </c>
      <c r="B35" s="14">
        <v>50</v>
      </c>
      <c r="C35" s="14">
        <f>Table13468111214151617181920222526[[#This Row],[PMI]]-B34</f>
        <v>-0.79999999999999716</v>
      </c>
    </row>
    <row r="36" spans="1:3" x14ac:dyDescent="0.2">
      <c r="A36" s="15">
        <v>41548</v>
      </c>
      <c r="B36" s="14">
        <v>50.2</v>
      </c>
      <c r="C36" s="14">
        <f>Table13468111214151617181920222526[[#This Row],[PMI]]-B35</f>
        <v>0.20000000000000284</v>
      </c>
    </row>
    <row r="37" spans="1:3" x14ac:dyDescent="0.2">
      <c r="A37" s="15">
        <v>41579</v>
      </c>
      <c r="B37" s="14">
        <v>51.9</v>
      </c>
      <c r="C37" s="14">
        <f>Table13468111214151617181920222526[[#This Row],[PMI]]-B36</f>
        <v>1.6999999999999957</v>
      </c>
    </row>
    <row r="38" spans="1:3" x14ac:dyDescent="0.2">
      <c r="A38" s="15">
        <v>41609</v>
      </c>
      <c r="B38" s="14">
        <v>52.6</v>
      </c>
      <c r="C38" s="14">
        <f>Table13468111214151617181920222526[[#This Row],[PMI]]-B37</f>
        <v>0.70000000000000284</v>
      </c>
    </row>
    <row r="39" spans="1:3" x14ac:dyDescent="0.2">
      <c r="A39" s="15">
        <v>41640</v>
      </c>
      <c r="B39" s="14">
        <v>54</v>
      </c>
      <c r="C39" s="14">
        <f>Table13468111214151617181920222526[[#This Row],[PMI]]-B38</f>
        <v>1.3999999999999986</v>
      </c>
    </row>
    <row r="40" spans="1:3" x14ac:dyDescent="0.2">
      <c r="A40" s="15">
        <v>41671</v>
      </c>
      <c r="B40" s="14">
        <v>52</v>
      </c>
      <c r="C40" s="14">
        <f>Table13468111214151617181920222526[[#This Row],[PMI]]-B39</f>
        <v>-2</v>
      </c>
    </row>
    <row r="41" spans="1:3" x14ac:dyDescent="0.2">
      <c r="A41" s="15">
        <v>41699</v>
      </c>
      <c r="B41" s="14">
        <v>51.7</v>
      </c>
      <c r="C41" s="14">
        <f>Table13468111214151617181920222526[[#This Row],[PMI]]-B40</f>
        <v>-0.29999999999999716</v>
      </c>
    </row>
    <row r="42" spans="1:3" x14ac:dyDescent="0.2">
      <c r="A42" s="15">
        <v>41730</v>
      </c>
      <c r="B42" s="14">
        <v>51.8</v>
      </c>
      <c r="C42" s="14">
        <f>Table13468111214151617181920222526[[#This Row],[PMI]]-B41</f>
        <v>9.9999999999994316E-2</v>
      </c>
    </row>
    <row r="43" spans="1:3" x14ac:dyDescent="0.2">
      <c r="A43" s="15">
        <v>41760</v>
      </c>
      <c r="B43" s="14">
        <v>51.9</v>
      </c>
      <c r="C43" s="14">
        <f>Table13468111214151617181920222526[[#This Row],[PMI]]-B42</f>
        <v>0.10000000000000142</v>
      </c>
    </row>
    <row r="44" spans="1:3" x14ac:dyDescent="0.2">
      <c r="A44" s="15">
        <v>41791</v>
      </c>
      <c r="B44" s="14">
        <v>51.8</v>
      </c>
      <c r="C44" s="14">
        <f>Table13468111214151617181920222526[[#This Row],[PMI]]-B43</f>
        <v>-0.10000000000000142</v>
      </c>
    </row>
    <row r="45" spans="1:3" x14ac:dyDescent="0.2">
      <c r="A45" s="15">
        <v>41821</v>
      </c>
      <c r="B45" s="14">
        <v>51.5</v>
      </c>
      <c r="C45" s="14">
        <f>Table13468111214151617181920222526[[#This Row],[PMI]]-B44</f>
        <v>-0.29999999999999716</v>
      </c>
    </row>
    <row r="46" spans="1:3" x14ac:dyDescent="0.2">
      <c r="A46" s="15">
        <v>41852</v>
      </c>
      <c r="B46" s="14">
        <v>52.1</v>
      </c>
      <c r="C46" s="14">
        <f>Table13468111214151617181920222526[[#This Row],[PMI]]-B45</f>
        <v>0.60000000000000142</v>
      </c>
    </row>
    <row r="47" spans="1:3" x14ac:dyDescent="0.2">
      <c r="A47" s="15">
        <v>41883</v>
      </c>
      <c r="B47" s="14">
        <v>52.6</v>
      </c>
      <c r="C47" s="14">
        <f>Table13468111214151617181920222526[[#This Row],[PMI]]-B46</f>
        <v>0.5</v>
      </c>
    </row>
    <row r="48" spans="1:3" x14ac:dyDescent="0.2">
      <c r="A48" s="15">
        <v>41913</v>
      </c>
      <c r="B48" s="14">
        <v>53.3</v>
      </c>
      <c r="C48" s="14">
        <f>Table13468111214151617181920222526[[#This Row],[PMI]]-B47</f>
        <v>0.69999999999999574</v>
      </c>
    </row>
    <row r="49" spans="1:3" x14ac:dyDescent="0.2">
      <c r="A49" s="15">
        <v>41944</v>
      </c>
      <c r="B49" s="14">
        <v>54.3</v>
      </c>
      <c r="C49" s="14">
        <f>Table13468111214151617181920222526[[#This Row],[PMI]]-B48</f>
        <v>1</v>
      </c>
    </row>
    <row r="50" spans="1:3" x14ac:dyDescent="0.2">
      <c r="A50" s="15">
        <v>41974</v>
      </c>
      <c r="B50" s="14">
        <v>55.3</v>
      </c>
      <c r="C50" s="14">
        <f>Table13468111214151617181920222526[[#This Row],[PMI]]-B49</f>
        <v>1</v>
      </c>
    </row>
    <row r="51" spans="1:3" x14ac:dyDescent="0.2">
      <c r="A51" s="15">
        <v>42005</v>
      </c>
      <c r="B51" s="14">
        <v>55.6</v>
      </c>
      <c r="C51" s="14">
        <f>Table13468111214151617181920222526[[#This Row],[PMI]]-B50</f>
        <v>0.30000000000000426</v>
      </c>
    </row>
    <row r="52" spans="1:3" x14ac:dyDescent="0.2">
      <c r="A52" s="15">
        <v>42036</v>
      </c>
      <c r="B52" s="14">
        <v>54.4</v>
      </c>
      <c r="C52" s="14">
        <f>Table13468111214151617181920222526[[#This Row],[PMI]]-B51</f>
        <v>-1.2000000000000028</v>
      </c>
    </row>
    <row r="53" spans="1:3" x14ac:dyDescent="0.2">
      <c r="A53" s="15">
        <v>42064</v>
      </c>
      <c r="B53" s="14">
        <v>53.8</v>
      </c>
      <c r="C53" s="14">
        <f>Table13468111214151617181920222526[[#This Row],[PMI]]-B52</f>
        <v>-0.60000000000000142</v>
      </c>
    </row>
    <row r="54" spans="1:3" x14ac:dyDescent="0.2">
      <c r="A54" s="15">
        <v>42095</v>
      </c>
      <c r="B54" s="14">
        <v>53.8</v>
      </c>
      <c r="C54" s="14">
        <f>Table13468111214151617181920222526[[#This Row],[PMI]]-B53</f>
        <v>0</v>
      </c>
    </row>
    <row r="55" spans="1:3" x14ac:dyDescent="0.2">
      <c r="A55" s="15">
        <v>42125</v>
      </c>
      <c r="B55" s="14">
        <v>53.3</v>
      </c>
      <c r="C55" s="14">
        <f>Table13468111214151617181920222526[[#This Row],[PMI]]-B54</f>
        <v>-0.5</v>
      </c>
    </row>
    <row r="56" spans="1:3" x14ac:dyDescent="0.2">
      <c r="A56" s="15">
        <v>42156</v>
      </c>
      <c r="B56" s="14">
        <v>52</v>
      </c>
      <c r="C56" s="14">
        <f>Table13468111214151617181920222526[[#This Row],[PMI]]-B55</f>
        <v>-1.2999999999999972</v>
      </c>
    </row>
    <row r="57" spans="1:3" x14ac:dyDescent="0.2">
      <c r="A57" s="15">
        <v>42186</v>
      </c>
      <c r="B57" s="14">
        <v>52.9</v>
      </c>
      <c r="C57" s="14">
        <f>Table13468111214151617181920222526[[#This Row],[PMI]]-B56</f>
        <v>0.89999999999999858</v>
      </c>
    </row>
    <row r="58" spans="1:3" x14ac:dyDescent="0.2">
      <c r="A58" s="15">
        <v>42217</v>
      </c>
      <c r="B58" s="14">
        <v>52.4</v>
      </c>
      <c r="C58" s="14">
        <f>Table13468111214151617181920222526[[#This Row],[PMI]]-B57</f>
        <v>-0.5</v>
      </c>
    </row>
    <row r="59" spans="1:3" x14ac:dyDescent="0.2">
      <c r="A59" s="15">
        <v>42248</v>
      </c>
      <c r="B59" s="14">
        <v>52.1</v>
      </c>
      <c r="C59" s="14">
        <f>Table13468111214151617181920222526[[#This Row],[PMI]]-B58</f>
        <v>-0.29999999999999716</v>
      </c>
    </row>
    <row r="60" spans="1:3" x14ac:dyDescent="0.2">
      <c r="A60" s="15">
        <v>42278</v>
      </c>
      <c r="B60" s="14">
        <v>53</v>
      </c>
      <c r="C60" s="14">
        <f>Table13468111214151617181920222526[[#This Row],[PMI]]-B59</f>
        <v>0.89999999999999858</v>
      </c>
    </row>
    <row r="61" spans="1:3" x14ac:dyDescent="0.2">
      <c r="A61" s="15">
        <v>42309</v>
      </c>
      <c r="B61" s="14">
        <v>53</v>
      </c>
      <c r="C61" s="14">
        <f>Table13468111214151617181920222526[[#This Row],[PMI]]-B60</f>
        <v>0</v>
      </c>
    </row>
    <row r="62" spans="1:3" x14ac:dyDescent="0.2">
      <c r="A62" s="15">
        <v>42339</v>
      </c>
      <c r="B62" s="14">
        <v>52.4</v>
      </c>
      <c r="C62" s="14">
        <f>Table13468111214151617181920222526[[#This Row],[PMI]]-B61</f>
        <v>-0.60000000000000142</v>
      </c>
    </row>
    <row r="63" spans="1:3" x14ac:dyDescent="0.2">
      <c r="A63" s="15">
        <v>42370</v>
      </c>
      <c r="B63" s="14">
        <v>52.2</v>
      </c>
      <c r="C63" s="14">
        <f>Table13468111214151617181920222526[[#This Row],[PMI]]-B62</f>
        <v>-0.19999999999999574</v>
      </c>
    </row>
    <row r="64" spans="1:3" x14ac:dyDescent="0.2">
      <c r="A64" s="15">
        <v>42401</v>
      </c>
      <c r="B64" s="14">
        <v>53.1</v>
      </c>
      <c r="C64" s="14">
        <f>Table13468111214151617181920222526[[#This Row],[PMI]]-B63</f>
        <v>0.89999999999999858</v>
      </c>
    </row>
    <row r="65" spans="1:3" x14ac:dyDescent="0.2">
      <c r="A65" s="15">
        <v>42430</v>
      </c>
      <c r="B65" s="14">
        <v>53.2</v>
      </c>
      <c r="C65" s="14">
        <f>Table13468111214151617181920222526[[#This Row],[PMI]]-B64</f>
        <v>0.10000000000000142</v>
      </c>
    </row>
    <row r="66" spans="1:3" x14ac:dyDescent="0.2">
      <c r="A66" s="15">
        <v>42461</v>
      </c>
      <c r="B66" s="14">
        <v>52.4</v>
      </c>
      <c r="C66" s="14">
        <f>Table13468111214151617181920222526[[#This Row],[PMI]]-B65</f>
        <v>-0.80000000000000426</v>
      </c>
    </row>
    <row r="67" spans="1:3" x14ac:dyDescent="0.2">
      <c r="A67" s="15">
        <v>42491</v>
      </c>
      <c r="B67" s="14">
        <v>53.6</v>
      </c>
      <c r="C67" s="14">
        <f>Table13468111214151617181920222526[[#This Row],[PMI]]-B66</f>
        <v>1.2000000000000028</v>
      </c>
    </row>
    <row r="68" spans="1:3" x14ac:dyDescent="0.2">
      <c r="A68" s="15">
        <v>42522</v>
      </c>
      <c r="B68" s="14">
        <v>51.1</v>
      </c>
      <c r="C68" s="14">
        <f>Table13468111214151617181920222526[[#This Row],[PMI]]-B67</f>
        <v>-2.5</v>
      </c>
    </row>
    <row r="69" spans="1:3" x14ac:dyDescent="0.2">
      <c r="A69" s="15">
        <v>42552</v>
      </c>
      <c r="B69" s="14">
        <v>50.6</v>
      </c>
      <c r="C69" s="14">
        <f>Table13468111214151617181920222526[[#This Row],[PMI]]-B68</f>
        <v>-0.5</v>
      </c>
    </row>
    <row r="70" spans="1:3" x14ac:dyDescent="0.2">
      <c r="A70" s="15">
        <v>42583</v>
      </c>
      <c r="B70" s="14">
        <v>50.9</v>
      </c>
      <c r="C70" s="14">
        <f>Table13468111214151617181920222526[[#This Row],[PMI]]-B69</f>
        <v>0.29999999999999716</v>
      </c>
    </row>
    <row r="71" spans="1:3" x14ac:dyDescent="0.2">
      <c r="A71" s="15">
        <v>42614</v>
      </c>
      <c r="B71" s="14">
        <v>51.9</v>
      </c>
      <c r="C71" s="14">
        <f>Table13468111214151617181920222526[[#This Row],[PMI]]-B70</f>
        <v>1</v>
      </c>
    </row>
    <row r="72" spans="1:3" x14ac:dyDescent="0.2">
      <c r="A72" s="15">
        <v>42644</v>
      </c>
      <c r="B72" s="14">
        <v>51.8</v>
      </c>
      <c r="C72" s="14">
        <f>Table13468111214151617181920222526[[#This Row],[PMI]]-B71</f>
        <v>-0.10000000000000142</v>
      </c>
    </row>
    <row r="73" spans="1:3" x14ac:dyDescent="0.2">
      <c r="A73" s="15">
        <v>42675</v>
      </c>
      <c r="B73" s="14">
        <v>51.1</v>
      </c>
      <c r="C73" s="14">
        <f>Table13468111214151617181920222526[[#This Row],[PMI]]-B72</f>
        <v>-0.69999999999999574</v>
      </c>
    </row>
    <row r="74" spans="1:3" x14ac:dyDescent="0.2">
      <c r="A74" s="15">
        <v>42705</v>
      </c>
      <c r="B74" s="14">
        <v>50.2</v>
      </c>
      <c r="C74" s="14">
        <f>Table13468111214151617181920222526[[#This Row],[PMI]]-B73</f>
        <v>-0.89999999999999858</v>
      </c>
    </row>
    <row r="75" spans="1:3" x14ac:dyDescent="0.2">
      <c r="A75" s="15">
        <v>42736</v>
      </c>
      <c r="B75" s="14">
        <v>50.8</v>
      </c>
      <c r="C75" s="14">
        <f>Table13468111214151617181920222526[[#This Row],[PMI]]-B74</f>
        <v>0.59999999999999432</v>
      </c>
    </row>
    <row r="76" spans="1:3" x14ac:dyDescent="0.2">
      <c r="A76" s="15">
        <v>42767</v>
      </c>
      <c r="B76" s="14">
        <v>50.6</v>
      </c>
      <c r="C76" s="14">
        <f>Table13468111214151617181920222526[[#This Row],[PMI]]-B75</f>
        <v>-0.19999999999999574</v>
      </c>
    </row>
    <row r="77" spans="1:3" x14ac:dyDescent="0.2">
      <c r="A77" s="15">
        <v>42795</v>
      </c>
      <c r="B77" s="14">
        <v>51.5</v>
      </c>
      <c r="C77" s="14">
        <f>Table13468111214151617181920222526[[#This Row],[PMI]]-B76</f>
        <v>0.89999999999999858</v>
      </c>
    </row>
    <row r="78" spans="1:3" x14ac:dyDescent="0.2">
      <c r="A78" s="15">
        <v>42826</v>
      </c>
      <c r="B78" s="14">
        <v>50.7</v>
      </c>
      <c r="C78" s="14">
        <f>Table13468111214151617181920222526[[#This Row],[PMI]]-B77</f>
        <v>-0.79999999999999716</v>
      </c>
    </row>
    <row r="79" spans="1:3" x14ac:dyDescent="0.2">
      <c r="A79" s="15">
        <v>42856</v>
      </c>
      <c r="B79" s="14">
        <v>51.2</v>
      </c>
      <c r="C79" s="14">
        <f>Table13468111214151617181920222526[[#This Row],[PMI]]-B78</f>
        <v>0.5</v>
      </c>
    </row>
    <row r="80" spans="1:3" x14ac:dyDescent="0.2">
      <c r="A80" s="15">
        <v>42887</v>
      </c>
      <c r="B80" s="14">
        <v>52.3</v>
      </c>
      <c r="C80" s="14">
        <f>Table13468111214151617181920222526[[#This Row],[PMI]]-B79</f>
        <v>1.0999999999999943</v>
      </c>
    </row>
    <row r="81" spans="1:3" x14ac:dyDescent="0.2">
      <c r="A81" s="15">
        <v>42917</v>
      </c>
      <c r="B81" s="14">
        <v>51.2</v>
      </c>
      <c r="C81" s="14">
        <f>Table13468111214151617181920222526[[#This Row],[PMI]]-B80</f>
        <v>-1.0999999999999943</v>
      </c>
    </row>
    <row r="82" spans="1:3" x14ac:dyDescent="0.2">
      <c r="A82" s="15">
        <v>42948</v>
      </c>
      <c r="B82" s="14">
        <v>52.2</v>
      </c>
      <c r="C82" s="14">
        <f>Table13468111214151617181920222526[[#This Row],[PMI]]-B81</f>
        <v>1</v>
      </c>
    </row>
    <row r="83" spans="1:3" x14ac:dyDescent="0.2">
      <c r="A83" s="15">
        <v>42979</v>
      </c>
      <c r="B83" s="14">
        <v>52.8</v>
      </c>
      <c r="C83" s="14">
        <f>Table13468111214151617181920222526[[#This Row],[PMI]]-B82</f>
        <v>0.59999999999999432</v>
      </c>
    </row>
    <row r="84" spans="1:3" x14ac:dyDescent="0.2">
      <c r="A84" s="15">
        <v>43009</v>
      </c>
      <c r="B84" s="14">
        <v>49.2</v>
      </c>
      <c r="C84" s="14">
        <f>Table13468111214151617181920222526[[#This Row],[PMI]]-B83</f>
        <v>-3.5999999999999943</v>
      </c>
    </row>
    <row r="85" spans="1:3" x14ac:dyDescent="0.2">
      <c r="A85" s="15">
        <v>43040</v>
      </c>
      <c r="B85" s="14">
        <v>52.4</v>
      </c>
      <c r="C85" s="14">
        <f>Table13468111214151617181920222526[[#This Row],[PMI]]-B84</f>
        <v>3.1999999999999957</v>
      </c>
    </row>
    <row r="86" spans="1:3" x14ac:dyDescent="0.2">
      <c r="A86" s="15">
        <v>43070</v>
      </c>
      <c r="B86" s="14">
        <v>51.7</v>
      </c>
      <c r="C86" s="14">
        <f>Table13468111214151617181920222526[[#This Row],[PMI]]-B85</f>
        <v>-0.69999999999999574</v>
      </c>
    </row>
    <row r="87" spans="1:3" x14ac:dyDescent="0.2">
      <c r="A87" s="15">
        <v>43101</v>
      </c>
      <c r="B87" s="14">
        <v>52.6</v>
      </c>
      <c r="C87" s="14">
        <f>Table13468111214151617181920222526[[#This Row],[PMI]]-B86</f>
        <v>0.89999999999999858</v>
      </c>
    </row>
    <row r="88" spans="1:3" x14ac:dyDescent="0.2">
      <c r="A88" s="15">
        <v>43132</v>
      </c>
      <c r="B88" s="14">
        <v>51.6</v>
      </c>
      <c r="C88" s="14">
        <f>Table13468111214151617181920222526[[#This Row],[PMI]]-B87</f>
        <v>-1</v>
      </c>
    </row>
    <row r="89" spans="1:3" x14ac:dyDescent="0.2">
      <c r="A89" s="15">
        <v>43160</v>
      </c>
      <c r="B89" s="14">
        <v>52.4</v>
      </c>
      <c r="C89" s="14">
        <f>Table13468111214151617181920222526[[#This Row],[PMI]]-B88</f>
        <v>0.79999999999999716</v>
      </c>
    </row>
    <row r="90" spans="1:3" x14ac:dyDescent="0.2">
      <c r="A90" s="15">
        <v>43191</v>
      </c>
      <c r="B90" s="14">
        <v>51.6</v>
      </c>
      <c r="C90" s="14">
        <f>Table13468111214151617181920222526[[#This Row],[PMI]]-B89</f>
        <v>-0.79999999999999716</v>
      </c>
    </row>
    <row r="91" spans="1:3" x14ac:dyDescent="0.2">
      <c r="A91" s="15">
        <v>43221</v>
      </c>
      <c r="B91" s="14">
        <v>51</v>
      </c>
      <c r="C91" s="14">
        <f>Table13468111214151617181920222526[[#This Row],[PMI]]-B90</f>
        <v>-0.60000000000000142</v>
      </c>
    </row>
    <row r="92" spans="1:3" x14ac:dyDescent="0.2">
      <c r="A92" s="15">
        <v>43252</v>
      </c>
      <c r="B92" s="14">
        <v>52.1</v>
      </c>
      <c r="C92" s="14">
        <f>Table13468111214151617181920222526[[#This Row],[PMI]]-B91</f>
        <v>1.1000000000000014</v>
      </c>
    </row>
    <row r="93" spans="1:3" x14ac:dyDescent="0.2">
      <c r="A93" s="15">
        <v>43282</v>
      </c>
      <c r="B93" s="14">
        <v>52.1</v>
      </c>
      <c r="C93" s="14">
        <f>Table13468111214151617181920222526[[#This Row],[PMI]]-B92</f>
        <v>0</v>
      </c>
    </row>
    <row r="94" spans="1:3" x14ac:dyDescent="0.2">
      <c r="A94" s="15">
        <v>43313</v>
      </c>
      <c r="B94" s="14">
        <v>50.7</v>
      </c>
      <c r="C94" s="14">
        <f>Table13468111214151617181920222526[[#This Row],[PMI]]-B93</f>
        <v>-1.3999999999999986</v>
      </c>
    </row>
    <row r="95" spans="1:3" x14ac:dyDescent="0.2">
      <c r="A95" s="15">
        <v>43344</v>
      </c>
      <c r="B95" s="14">
        <v>51.7</v>
      </c>
      <c r="C95" s="14">
        <f>Table13468111214151617181920222526[[#This Row],[PMI]]-B94</f>
        <v>1</v>
      </c>
    </row>
    <row r="96" spans="1:3" x14ac:dyDescent="0.2">
      <c r="A96" s="15">
        <v>43374</v>
      </c>
      <c r="B96" s="14">
        <v>50.7</v>
      </c>
      <c r="C96" s="14">
        <f>Table13468111214151617181920222526[[#This Row],[PMI]]-B95</f>
        <v>-1</v>
      </c>
    </row>
    <row r="97" spans="1:3" x14ac:dyDescent="0.2">
      <c r="A97" s="15">
        <v>43405</v>
      </c>
      <c r="B97" s="14">
        <v>49.7</v>
      </c>
      <c r="C97" s="14">
        <f>Table13468111214151617181920222526[[#This Row],[PMI]]-B96</f>
        <v>-1</v>
      </c>
    </row>
    <row r="98" spans="1:3" x14ac:dyDescent="0.2">
      <c r="A98" s="15">
        <v>43435</v>
      </c>
      <c r="B98" s="14">
        <v>49.7</v>
      </c>
      <c r="C98" s="14">
        <f>Table13468111214151617181920222526[[#This Row],[PMI]]-B97</f>
        <v>0</v>
      </c>
    </row>
    <row r="99" spans="1:3" x14ac:dyDescent="0.2">
      <c r="A99" s="15">
        <v>43466</v>
      </c>
      <c r="B99" s="14">
        <v>50.9</v>
      </c>
      <c r="C99" s="14">
        <f>Table13468111214151617181920222526[[#This Row],[PMI]]-B98</f>
        <v>1.1999999999999957</v>
      </c>
    </row>
    <row r="100" spans="1:3" x14ac:dyDescent="0.2">
      <c r="A100" s="15">
        <v>43497</v>
      </c>
      <c r="B100" s="14">
        <v>52.6</v>
      </c>
      <c r="C100" s="14">
        <f>Table13468111214151617181920222526[[#This Row],[PMI]]-B99</f>
        <v>1.7000000000000028</v>
      </c>
    </row>
    <row r="101" spans="1:3" x14ac:dyDescent="0.2">
      <c r="A101" s="15">
        <v>43525</v>
      </c>
      <c r="B101" s="14">
        <v>49.8</v>
      </c>
      <c r="C101" s="14">
        <f>Table13468111214151617181920222526[[#This Row],[PMI]]-B100</f>
        <v>-2.8000000000000043</v>
      </c>
    </row>
    <row r="102" spans="1:3" x14ac:dyDescent="0.2">
      <c r="A102" s="15">
        <v>43556</v>
      </c>
      <c r="B102" s="14">
        <v>50.1</v>
      </c>
      <c r="C102" s="14">
        <f>Table13468111214151617181920222526[[#This Row],[PMI]]-B101</f>
        <v>0.30000000000000426</v>
      </c>
    </row>
    <row r="103" spans="1:3" x14ac:dyDescent="0.2">
      <c r="A103" s="15">
        <v>43586</v>
      </c>
      <c r="B103" s="14">
        <v>50</v>
      </c>
      <c r="C103" s="14">
        <f>Table13468111214151617181920222526[[#This Row],[PMI]]-B102</f>
        <v>-0.10000000000000142</v>
      </c>
    </row>
    <row r="104" spans="1:3" x14ac:dyDescent="0.2">
      <c r="A104" s="15">
        <v>43617</v>
      </c>
      <c r="B104" s="14">
        <v>49.2</v>
      </c>
      <c r="C104" s="14">
        <f>Table13468111214151617181920222526[[#This Row],[PMI]]-B103</f>
        <v>-0.79999999999999716</v>
      </c>
    </row>
    <row r="105" spans="1:3" x14ac:dyDescent="0.2">
      <c r="A105" s="15">
        <v>43647</v>
      </c>
      <c r="B105" s="14">
        <v>49.8</v>
      </c>
      <c r="C105" s="14">
        <f>Table13468111214151617181920222526[[#This Row],[PMI]]-B104</f>
        <v>0.59999999999999432</v>
      </c>
    </row>
    <row r="106" spans="1:3" x14ac:dyDescent="0.2">
      <c r="A106" s="15">
        <v>43678</v>
      </c>
      <c r="B106" s="14">
        <v>49</v>
      </c>
      <c r="C106" s="14">
        <f>Table13468111214151617181920222526[[#This Row],[PMI]]-B105</f>
        <v>-0.79999999999999716</v>
      </c>
    </row>
    <row r="107" spans="1:3" x14ac:dyDescent="0.2">
      <c r="A107" s="15">
        <v>43709</v>
      </c>
      <c r="B107" s="14">
        <v>49.1</v>
      </c>
      <c r="C107" s="14">
        <f>Table13468111214151617181920222526[[#This Row],[PMI]]-B106</f>
        <v>0.10000000000000142</v>
      </c>
    </row>
    <row r="108" spans="1:3" x14ac:dyDescent="0.2">
      <c r="A108" s="15">
        <v>43739</v>
      </c>
      <c r="B108" s="14">
        <v>50.4</v>
      </c>
      <c r="C108" s="14">
        <f>Table13468111214151617181920222526[[#This Row],[PMI]]-B107</f>
        <v>1.2999999999999972</v>
      </c>
    </row>
    <row r="109" spans="1:3" x14ac:dyDescent="0.2">
      <c r="A109" s="15">
        <v>43770</v>
      </c>
      <c r="B109" s="14">
        <v>48</v>
      </c>
      <c r="C109" s="14">
        <f>Table13468111214151617181920222526[[#This Row],[PMI]]-B108</f>
        <v>-2.3999999999999986</v>
      </c>
    </row>
    <row r="110" spans="1:3" x14ac:dyDescent="0.2">
      <c r="A110" s="15">
        <v>43800</v>
      </c>
      <c r="B110" s="14">
        <v>47.1</v>
      </c>
      <c r="C110" s="14">
        <f>Table13468111214151617181920222526[[#This Row],[PMI]]-B109</f>
        <v>-0.89999999999999858</v>
      </c>
    </row>
    <row r="111" spans="1:3" x14ac:dyDescent="0.2">
      <c r="A111" s="15">
        <v>43831</v>
      </c>
      <c r="B111" s="14">
        <v>49</v>
      </c>
      <c r="C111" s="14">
        <f>Table13468111214151617181920222526[[#This Row],[PMI]]-B110</f>
        <v>1.8999999999999986</v>
      </c>
    </row>
    <row r="112" spans="1:3" x14ac:dyDescent="0.2">
      <c r="A112" s="15">
        <v>43862</v>
      </c>
      <c r="B112" s="14">
        <v>50</v>
      </c>
      <c r="C112" s="14">
        <f>Table13468111214151617181920222526[[#This Row],[PMI]]-B111</f>
        <v>1</v>
      </c>
    </row>
    <row r="113" spans="1:3" x14ac:dyDescent="0.2">
      <c r="A113" s="15">
        <v>43891</v>
      </c>
      <c r="B113" s="14">
        <v>46.9</v>
      </c>
      <c r="C113" s="14">
        <f>Table13468111214151617181920222526[[#This Row],[PMI]]-B112</f>
        <v>-3.1000000000000014</v>
      </c>
    </row>
    <row r="114" spans="1:3" x14ac:dyDescent="0.2">
      <c r="A114" s="15">
        <v>43922</v>
      </c>
      <c r="B114" s="14">
        <v>35</v>
      </c>
      <c r="C114" s="14">
        <f>Table13468111214151617181920222526[[#This Row],[PMI]]-B113</f>
        <v>-11.899999999999999</v>
      </c>
    </row>
    <row r="115" spans="1:3" x14ac:dyDescent="0.2">
      <c r="A115" s="15">
        <v>43952</v>
      </c>
      <c r="B115" s="14">
        <v>38.299999999999997</v>
      </c>
      <c r="C115" s="14">
        <f>Table13468111214151617181920222526[[#This Row],[PMI]]-B114</f>
        <v>3.2999999999999972</v>
      </c>
    </row>
    <row r="116" spans="1:3" x14ac:dyDescent="0.2">
      <c r="A116" s="15">
        <v>43983</v>
      </c>
      <c r="B116" s="14">
        <v>38.6</v>
      </c>
      <c r="C116" s="14">
        <f>Table13468111214151617181920222526[[#This Row],[PMI]]-B115</f>
        <v>0.30000000000000426</v>
      </c>
    </row>
    <row r="117" spans="1:3" x14ac:dyDescent="0.2">
      <c r="A117" s="15">
        <v>44013</v>
      </c>
      <c r="B117" s="14">
        <v>40.4</v>
      </c>
      <c r="C117" s="14">
        <f>Table13468111214151617181920222526[[#This Row],[PMI]]-B116</f>
        <v>1.7999999999999972</v>
      </c>
    </row>
    <row r="118" spans="1:3" x14ac:dyDescent="0.2">
      <c r="A118" s="15">
        <v>44044</v>
      </c>
      <c r="B118" s="14">
        <v>41.3</v>
      </c>
      <c r="C118" s="14">
        <f>Table13468111214151617181920222526[[#This Row],[PMI]]-B117</f>
        <v>0.89999999999999858</v>
      </c>
    </row>
    <row r="119" spans="1:3" x14ac:dyDescent="0.2">
      <c r="A119" s="15">
        <v>44075</v>
      </c>
      <c r="B119" s="14">
        <v>42.1</v>
      </c>
      <c r="C119" s="14">
        <f>Table13468111214151617181920222526[[#This Row],[PMI]]-B118</f>
        <v>0.80000000000000426</v>
      </c>
    </row>
    <row r="120" spans="1:3" x14ac:dyDescent="0.2">
      <c r="A120" s="15">
        <v>44105</v>
      </c>
      <c r="B120" s="14">
        <v>43.6</v>
      </c>
      <c r="C120" s="14">
        <f>Table13468111214151617181920222526[[#This Row],[PMI]]-B119</f>
        <v>1.5</v>
      </c>
    </row>
    <row r="121" spans="1:3" x14ac:dyDescent="0.2">
      <c r="A121" s="15">
        <v>44136</v>
      </c>
      <c r="B121" s="14">
        <v>43.7</v>
      </c>
      <c r="C121" s="14">
        <f>Table13468111214151617181920222526[[#This Row],[PMI]]-B120</f>
        <v>0.10000000000000142</v>
      </c>
    </row>
    <row r="122" spans="1:3" x14ac:dyDescent="0.2">
      <c r="A122" s="15">
        <v>44166</v>
      </c>
      <c r="B122" s="14">
        <v>42.4</v>
      </c>
      <c r="C122" s="14">
        <f>Table13468111214151617181920222526[[#This Row],[PMI]]-B121</f>
        <v>-1.3000000000000043</v>
      </c>
    </row>
    <row r="123" spans="1:3" x14ac:dyDescent="0.2">
      <c r="A123" s="15">
        <v>44197</v>
      </c>
      <c r="B123" s="14">
        <v>43</v>
      </c>
      <c r="C123" s="14">
        <f>Table13468111214151617181920222526[[#This Row],[PMI]]-B122</f>
        <v>0.60000000000000142</v>
      </c>
    </row>
    <row r="124" spans="1:3" x14ac:dyDescent="0.2">
      <c r="A124" s="15">
        <v>44228</v>
      </c>
      <c r="B124" s="14">
        <v>44.2</v>
      </c>
      <c r="C124" s="14">
        <f>Table13468111214151617181920222526[[#This Row],[PMI]]-B123</f>
        <v>1.2000000000000028</v>
      </c>
    </row>
    <row r="125" spans="1:3" x14ac:dyDescent="0.2">
      <c r="A125" s="15">
        <v>44256</v>
      </c>
      <c r="B125" s="14">
        <v>45.6</v>
      </c>
      <c r="C125" s="14">
        <f>Table13468111214151617181920222526[[#This Row],[PMI]]-B124</f>
        <v>1.3999999999999986</v>
      </c>
    </row>
    <row r="126" spans="1:3" x14ac:dyDescent="0.2">
      <c r="A126" s="15">
        <v>44287</v>
      </c>
      <c r="B126" s="14">
        <v>48.4</v>
      </c>
      <c r="C126" s="14">
        <f>Table13468111214151617181920222526[[#This Row],[PMI]]-B125</f>
        <v>2.7999999999999972</v>
      </c>
    </row>
    <row r="127" spans="1:3" x14ac:dyDescent="0.2">
      <c r="A127" s="15">
        <v>44317</v>
      </c>
      <c r="B127" s="14">
        <v>47.6</v>
      </c>
      <c r="C127" s="14">
        <f>Table13468111214151617181920222526[[#This Row],[PMI]]-B126</f>
        <v>-0.79999999999999716</v>
      </c>
    </row>
    <row r="128" spans="1:3" x14ac:dyDescent="0.2">
      <c r="A128" s="15">
        <v>44348</v>
      </c>
      <c r="B128" s="14">
        <v>48.8</v>
      </c>
      <c r="C128" s="14">
        <f>Table13468111214151617181920222526[[#This Row],[PMI]]-B127</f>
        <v>1.1999999999999957</v>
      </c>
    </row>
    <row r="129" spans="1:3" x14ac:dyDescent="0.2">
      <c r="A129" s="15">
        <v>44378</v>
      </c>
      <c r="B129" s="14">
        <v>49.6</v>
      </c>
      <c r="C129" s="14">
        <f>Table13468111214151617181920222526[[#This Row],[PMI]]-B128</f>
        <v>0.80000000000000426</v>
      </c>
    </row>
    <row r="130" spans="1:3" x14ac:dyDescent="0.2">
      <c r="A130" s="15">
        <v>44409</v>
      </c>
      <c r="B130" s="14">
        <v>47.1</v>
      </c>
      <c r="C130" s="14">
        <f>Table13468111214151617181920222526[[#This Row],[PMI]]-B129</f>
        <v>-2.5</v>
      </c>
    </row>
    <row r="131" spans="1:3" x14ac:dyDescent="0.2">
      <c r="A131" s="15">
        <v>44440</v>
      </c>
      <c r="B131" s="14">
        <v>48.6</v>
      </c>
      <c r="C131" s="14">
        <f>Table13468111214151617181920222526[[#This Row],[PMI]]-B130</f>
        <v>1.5</v>
      </c>
    </row>
    <row r="132" spans="1:3" x14ac:dyDescent="0.2">
      <c r="A132" s="15">
        <v>44470</v>
      </c>
      <c r="B132" s="14">
        <v>49.3</v>
      </c>
      <c r="C132" s="14">
        <f>Table13468111214151617181920222526[[#This Row],[PMI]]-B131</f>
        <v>0.69999999999999574</v>
      </c>
    </row>
    <row r="133" spans="1:3" x14ac:dyDescent="0.2">
      <c r="A133" s="15">
        <v>44501</v>
      </c>
      <c r="B133" s="14">
        <v>49.4</v>
      </c>
      <c r="C133" s="14">
        <f>Table13468111214151617181920222526[[#This Row],[PMI]]-B132</f>
        <v>0.10000000000000142</v>
      </c>
    </row>
    <row r="134" spans="1:3" x14ac:dyDescent="0.2">
      <c r="A134" s="15">
        <v>44531</v>
      </c>
      <c r="B134" s="14">
        <v>49.4</v>
      </c>
      <c r="C134" s="14">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6EAAF-85E9-4FED-84F7-922EDC9327DE}">
  <dimension ref="A1:K140"/>
  <sheetViews>
    <sheetView zoomScale="160" zoomScaleNormal="160" workbookViewId="0">
      <pane ySplit="5" topLeftCell="A101"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45</v>
      </c>
      <c r="K1" s="10" t="s">
        <v>21</v>
      </c>
    </row>
    <row r="2" spans="1:11" x14ac:dyDescent="0.2">
      <c r="K2" s="10" t="str">
        <f>A1&amp;K1</f>
        <v>Russia Manufacturing PMI</v>
      </c>
    </row>
    <row r="4" spans="1:11" ht="16" thickBot="1" x14ac:dyDescent="0.25"/>
    <row r="5" spans="1:11" ht="16" thickBot="1" x14ac:dyDescent="0.25">
      <c r="A5" s="27" t="s">
        <v>10</v>
      </c>
      <c r="B5" s="28" t="s">
        <v>11</v>
      </c>
      <c r="C5" s="28" t="s">
        <v>14</v>
      </c>
    </row>
    <row r="6" spans="1:11" x14ac:dyDescent="0.2">
      <c r="A6" s="23">
        <v>40452</v>
      </c>
      <c r="B6" s="24">
        <v>51.8</v>
      </c>
      <c r="C6" s="24"/>
    </row>
    <row r="7" spans="1:11" x14ac:dyDescent="0.2">
      <c r="A7" s="15">
        <v>40483</v>
      </c>
      <c r="B7" s="14">
        <v>51.1</v>
      </c>
      <c r="C7" s="14">
        <f>Table134681112141516171819202225[[#This Row],[PMI]]-B6</f>
        <v>-0.69999999999999574</v>
      </c>
    </row>
    <row r="8" spans="1:11" x14ac:dyDescent="0.2">
      <c r="A8" s="15">
        <v>40513</v>
      </c>
      <c r="B8" s="14">
        <v>53.5</v>
      </c>
      <c r="C8" s="14">
        <f>Table134681112141516171819202225[[#This Row],[PMI]]-B7</f>
        <v>2.3999999999999986</v>
      </c>
    </row>
    <row r="9" spans="1:11" x14ac:dyDescent="0.2">
      <c r="A9" s="15">
        <v>40544</v>
      </c>
      <c r="B9" s="14">
        <v>53.5</v>
      </c>
      <c r="C9" s="14">
        <f>Table134681112141516171819202225[[#This Row],[PMI]]-B8</f>
        <v>0</v>
      </c>
    </row>
    <row r="10" spans="1:11" x14ac:dyDescent="0.2">
      <c r="A10" s="15">
        <v>40575</v>
      </c>
      <c r="B10" s="14">
        <v>56.4</v>
      </c>
      <c r="C10" s="14">
        <f>Table134681112141516171819202225[[#This Row],[PMI]]-B9</f>
        <v>2.8999999999999986</v>
      </c>
    </row>
    <row r="11" spans="1:11" x14ac:dyDescent="0.2">
      <c r="A11" s="15">
        <v>40603</v>
      </c>
      <c r="B11" s="14">
        <v>55.1</v>
      </c>
      <c r="C11" s="14">
        <f>Table134681112141516171819202225[[#This Row],[PMI]]-B10</f>
        <v>-1.2999999999999972</v>
      </c>
    </row>
    <row r="12" spans="1:11" x14ac:dyDescent="0.2">
      <c r="A12" s="15">
        <v>40634</v>
      </c>
      <c r="B12" s="14">
        <v>52.1</v>
      </c>
      <c r="C12" s="14">
        <f>Table134681112141516171819202225[[#This Row],[PMI]]-B11</f>
        <v>-3</v>
      </c>
    </row>
    <row r="13" spans="1:11" x14ac:dyDescent="0.2">
      <c r="A13" s="15">
        <v>40664</v>
      </c>
      <c r="B13" s="14">
        <v>50.9</v>
      </c>
      <c r="C13" s="14">
        <f>Table134681112141516171819202225[[#This Row],[PMI]]-B12</f>
        <v>-1.2000000000000028</v>
      </c>
    </row>
    <row r="14" spans="1:11" x14ac:dyDescent="0.2">
      <c r="A14" s="15">
        <v>40695</v>
      </c>
      <c r="B14" s="14">
        <v>50.6</v>
      </c>
      <c r="C14" s="14">
        <f>Table134681112141516171819202225[[#This Row],[PMI]]-B13</f>
        <v>-0.29999999999999716</v>
      </c>
    </row>
    <row r="15" spans="1:11" x14ac:dyDescent="0.2">
      <c r="A15" s="15">
        <v>40725</v>
      </c>
      <c r="B15" s="14">
        <v>49.8</v>
      </c>
      <c r="C15" s="14">
        <f>Table134681112141516171819202225[[#This Row],[PMI]]-B14</f>
        <v>-0.80000000000000426</v>
      </c>
    </row>
    <row r="16" spans="1:11" x14ac:dyDescent="0.2">
      <c r="A16" s="15">
        <v>40756</v>
      </c>
      <c r="B16" s="14">
        <v>49.9</v>
      </c>
      <c r="C16" s="14">
        <f>Table134681112141516171819202225[[#This Row],[PMI]]-B15</f>
        <v>0.10000000000000142</v>
      </c>
    </row>
    <row r="17" spans="1:3" x14ac:dyDescent="0.2">
      <c r="A17" s="15">
        <v>40787</v>
      </c>
      <c r="B17" s="14">
        <v>50</v>
      </c>
      <c r="C17" s="14">
        <f>Table134681112141516171819202225[[#This Row],[PMI]]-B16</f>
        <v>0.10000000000000142</v>
      </c>
    </row>
    <row r="18" spans="1:3" x14ac:dyDescent="0.2">
      <c r="A18" s="15">
        <v>40817</v>
      </c>
      <c r="B18" s="14">
        <v>50.4</v>
      </c>
      <c r="C18" s="14">
        <f>Table134681112141516171819202225[[#This Row],[PMI]]-B17</f>
        <v>0.39999999999999858</v>
      </c>
    </row>
    <row r="19" spans="1:3" x14ac:dyDescent="0.2">
      <c r="A19" s="15">
        <v>40848</v>
      </c>
      <c r="B19" s="14">
        <v>52.6</v>
      </c>
      <c r="C19" s="14">
        <f>Table134681112141516171819202225[[#This Row],[PMI]]-B18</f>
        <v>2.2000000000000028</v>
      </c>
    </row>
    <row r="20" spans="1:3" x14ac:dyDescent="0.2">
      <c r="A20" s="15">
        <v>40878</v>
      </c>
      <c r="B20" s="14">
        <v>51.6</v>
      </c>
      <c r="C20" s="14">
        <f>Table134681112141516171819202225[[#This Row],[PMI]]-B19</f>
        <v>-1</v>
      </c>
    </row>
    <row r="21" spans="1:3" x14ac:dyDescent="0.2">
      <c r="A21" s="15">
        <v>40909</v>
      </c>
      <c r="B21" s="14">
        <v>50.8</v>
      </c>
      <c r="C21" s="14">
        <f>Table134681112141516171819202225[[#This Row],[PMI]]-B20</f>
        <v>-0.80000000000000426</v>
      </c>
    </row>
    <row r="22" spans="1:3" x14ac:dyDescent="0.2">
      <c r="A22" s="15">
        <v>40940</v>
      </c>
      <c r="B22" s="14">
        <v>50.7</v>
      </c>
      <c r="C22" s="14">
        <f>Table134681112141516171819202225[[#This Row],[PMI]]-B21</f>
        <v>-9.9999999999994316E-2</v>
      </c>
    </row>
    <row r="23" spans="1:3" x14ac:dyDescent="0.2">
      <c r="A23" s="15">
        <v>40969</v>
      </c>
      <c r="B23" s="14">
        <v>50.8</v>
      </c>
      <c r="C23" s="14">
        <f>Table134681112141516171819202225[[#This Row],[PMI]]-B22</f>
        <v>9.9999999999994316E-2</v>
      </c>
    </row>
    <row r="24" spans="1:3" x14ac:dyDescent="0.2">
      <c r="A24" s="15">
        <v>41000</v>
      </c>
      <c r="B24" s="14">
        <v>52.9</v>
      </c>
      <c r="C24" s="14">
        <f>Table134681112141516171819202225[[#This Row],[PMI]]-B23</f>
        <v>2.1000000000000014</v>
      </c>
    </row>
    <row r="25" spans="1:3" x14ac:dyDescent="0.2">
      <c r="A25" s="15">
        <v>41030</v>
      </c>
      <c r="B25" s="14">
        <v>53.2</v>
      </c>
      <c r="C25" s="14">
        <f>Table134681112141516171819202225[[#This Row],[PMI]]-B24</f>
        <v>0.30000000000000426</v>
      </c>
    </row>
    <row r="26" spans="1:3" x14ac:dyDescent="0.2">
      <c r="A26" s="15">
        <v>41061</v>
      </c>
      <c r="B26" s="14">
        <v>51</v>
      </c>
      <c r="C26" s="14">
        <f>Table134681112141516171819202225[[#This Row],[PMI]]-B25</f>
        <v>-2.2000000000000028</v>
      </c>
    </row>
    <row r="27" spans="1:3" x14ac:dyDescent="0.2">
      <c r="A27" s="15">
        <v>41091</v>
      </c>
      <c r="B27" s="14">
        <v>52</v>
      </c>
      <c r="C27" s="14">
        <f>Table134681112141516171819202225[[#This Row],[PMI]]-B26</f>
        <v>1</v>
      </c>
    </row>
    <row r="28" spans="1:3" x14ac:dyDescent="0.2">
      <c r="A28" s="15">
        <v>41122</v>
      </c>
      <c r="B28" s="14">
        <v>51</v>
      </c>
      <c r="C28" s="14">
        <f>Table134681112141516171819202225[[#This Row],[PMI]]-B27</f>
        <v>-1</v>
      </c>
    </row>
    <row r="29" spans="1:3" x14ac:dyDescent="0.2">
      <c r="A29" s="15">
        <v>41153</v>
      </c>
      <c r="B29" s="14">
        <v>52.4</v>
      </c>
      <c r="C29" s="14">
        <f>Table134681112141516171819202225[[#This Row],[PMI]]-B28</f>
        <v>1.3999999999999986</v>
      </c>
    </row>
    <row r="30" spans="1:3" x14ac:dyDescent="0.2">
      <c r="A30" s="15">
        <v>41183</v>
      </c>
      <c r="B30" s="14">
        <v>52.9</v>
      </c>
      <c r="C30" s="14">
        <f>Table134681112141516171819202225[[#This Row],[PMI]]-B29</f>
        <v>0.5</v>
      </c>
    </row>
    <row r="31" spans="1:3" x14ac:dyDescent="0.2">
      <c r="A31" s="15">
        <v>41214</v>
      </c>
      <c r="B31" s="14">
        <v>52.2</v>
      </c>
      <c r="C31" s="14">
        <f>Table134681112141516171819202225[[#This Row],[PMI]]-B30</f>
        <v>-0.69999999999999574</v>
      </c>
    </row>
    <row r="32" spans="1:3" x14ac:dyDescent="0.2">
      <c r="A32" s="15">
        <v>41244</v>
      </c>
      <c r="B32" s="14">
        <v>50</v>
      </c>
      <c r="C32" s="14">
        <f>Table134681112141516171819202225[[#This Row],[PMI]]-B31</f>
        <v>-2.2000000000000028</v>
      </c>
    </row>
    <row r="33" spans="1:3" x14ac:dyDescent="0.2">
      <c r="A33" s="15">
        <v>41275</v>
      </c>
      <c r="B33" s="14">
        <v>52</v>
      </c>
      <c r="C33" s="14">
        <f>Table134681112141516171819202225[[#This Row],[PMI]]-B32</f>
        <v>2</v>
      </c>
    </row>
    <row r="34" spans="1:3" x14ac:dyDescent="0.2">
      <c r="A34" s="15">
        <v>41306</v>
      </c>
      <c r="B34" s="14">
        <v>52</v>
      </c>
      <c r="C34" s="14">
        <f>Table134681112141516171819202225[[#This Row],[PMI]]-B33</f>
        <v>0</v>
      </c>
    </row>
    <row r="35" spans="1:3" x14ac:dyDescent="0.2">
      <c r="A35" s="15">
        <v>41334</v>
      </c>
      <c r="B35" s="14">
        <v>50.8</v>
      </c>
      <c r="C35" s="14">
        <f>Table134681112141516171819202225[[#This Row],[PMI]]-B34</f>
        <v>-1.2000000000000028</v>
      </c>
    </row>
    <row r="36" spans="1:3" x14ac:dyDescent="0.2">
      <c r="A36" s="15">
        <v>41365</v>
      </c>
      <c r="B36" s="14">
        <v>50.6</v>
      </c>
      <c r="C36" s="14">
        <f>Table134681112141516171819202225[[#This Row],[PMI]]-B35</f>
        <v>-0.19999999999999574</v>
      </c>
    </row>
    <row r="37" spans="1:3" x14ac:dyDescent="0.2">
      <c r="A37" s="15">
        <v>41395</v>
      </c>
      <c r="B37" s="14">
        <v>50.4</v>
      </c>
      <c r="C37" s="14">
        <f>Table134681112141516171819202225[[#This Row],[PMI]]-B36</f>
        <v>-0.20000000000000284</v>
      </c>
    </row>
    <row r="38" spans="1:3" x14ac:dyDescent="0.2">
      <c r="A38" s="15">
        <v>41426</v>
      </c>
      <c r="B38" s="14">
        <v>51.7</v>
      </c>
      <c r="C38" s="14">
        <f>Table134681112141516171819202225[[#This Row],[PMI]]-B37</f>
        <v>1.3000000000000043</v>
      </c>
    </row>
    <row r="39" spans="1:3" x14ac:dyDescent="0.2">
      <c r="A39" s="15">
        <v>41456</v>
      </c>
      <c r="B39" s="14">
        <v>49.2</v>
      </c>
      <c r="C39" s="14">
        <f>Table134681112141516171819202225[[#This Row],[PMI]]-B38</f>
        <v>-2.5</v>
      </c>
    </row>
    <row r="40" spans="1:3" x14ac:dyDescent="0.2">
      <c r="A40" s="15">
        <v>41487</v>
      </c>
      <c r="B40" s="14">
        <v>49.4</v>
      </c>
      <c r="C40" s="14">
        <f>Table134681112141516171819202225[[#This Row],[PMI]]-B39</f>
        <v>0.19999999999999574</v>
      </c>
    </row>
    <row r="41" spans="1:3" x14ac:dyDescent="0.2">
      <c r="A41" s="15">
        <v>41518</v>
      </c>
      <c r="B41" s="14">
        <v>49.4</v>
      </c>
      <c r="C41" s="14">
        <f>Table134681112141516171819202225[[#This Row],[PMI]]-B40</f>
        <v>0</v>
      </c>
    </row>
    <row r="42" spans="1:3" x14ac:dyDescent="0.2">
      <c r="A42" s="15">
        <v>41548</v>
      </c>
      <c r="B42" s="14">
        <v>51.8</v>
      </c>
      <c r="C42" s="14">
        <f>Table134681112141516171819202225[[#This Row],[PMI]]-B41</f>
        <v>2.3999999999999986</v>
      </c>
    </row>
    <row r="43" spans="1:3" x14ac:dyDescent="0.2">
      <c r="A43" s="15">
        <v>41579</v>
      </c>
      <c r="B43" s="14">
        <v>49.4</v>
      </c>
      <c r="C43" s="14">
        <f>Table134681112141516171819202225[[#This Row],[PMI]]-B42</f>
        <v>-2.3999999999999986</v>
      </c>
    </row>
    <row r="44" spans="1:3" x14ac:dyDescent="0.2">
      <c r="A44" s="15">
        <v>41609</v>
      </c>
      <c r="B44" s="14">
        <v>48.8</v>
      </c>
      <c r="C44" s="14">
        <f>Table134681112141516171819202225[[#This Row],[PMI]]-B43</f>
        <v>-0.60000000000000142</v>
      </c>
    </row>
    <row r="45" spans="1:3" x14ac:dyDescent="0.2">
      <c r="A45" s="15">
        <v>41640</v>
      </c>
      <c r="B45" s="14">
        <v>48</v>
      </c>
      <c r="C45" s="14">
        <f>Table134681112141516171819202225[[#This Row],[PMI]]-B44</f>
        <v>-0.79999999999999716</v>
      </c>
    </row>
    <row r="46" spans="1:3" x14ac:dyDescent="0.2">
      <c r="A46" s="15">
        <v>41671</v>
      </c>
      <c r="B46" s="14">
        <v>48.5</v>
      </c>
      <c r="C46" s="14">
        <f>Table134681112141516171819202225[[#This Row],[PMI]]-B45</f>
        <v>0.5</v>
      </c>
    </row>
    <row r="47" spans="1:3" x14ac:dyDescent="0.2">
      <c r="A47" s="15">
        <v>41699</v>
      </c>
      <c r="B47" s="14">
        <v>48.3</v>
      </c>
      <c r="C47" s="14">
        <f>Table134681112141516171819202225[[#This Row],[PMI]]-B46</f>
        <v>-0.20000000000000284</v>
      </c>
    </row>
    <row r="48" spans="1:3" x14ac:dyDescent="0.2">
      <c r="A48" s="15">
        <v>41730</v>
      </c>
      <c r="B48" s="14">
        <v>48.5</v>
      </c>
      <c r="C48" s="14">
        <f>Table134681112141516171819202225[[#This Row],[PMI]]-B47</f>
        <v>0.20000000000000284</v>
      </c>
    </row>
    <row r="49" spans="1:3" x14ac:dyDescent="0.2">
      <c r="A49" s="15">
        <v>41760</v>
      </c>
      <c r="B49" s="14">
        <v>48.9</v>
      </c>
      <c r="C49" s="14">
        <f>Table134681112141516171819202225[[#This Row],[PMI]]-B48</f>
        <v>0.39999999999999858</v>
      </c>
    </row>
    <row r="50" spans="1:3" x14ac:dyDescent="0.2">
      <c r="A50" s="15">
        <v>41791</v>
      </c>
      <c r="B50" s="14">
        <v>49.1</v>
      </c>
      <c r="C50" s="14">
        <f>Table134681112141516171819202225[[#This Row],[PMI]]-B49</f>
        <v>0.20000000000000284</v>
      </c>
    </row>
    <row r="51" spans="1:3" x14ac:dyDescent="0.2">
      <c r="A51" s="15">
        <v>41821</v>
      </c>
      <c r="B51" s="14">
        <v>51</v>
      </c>
      <c r="C51" s="14">
        <f>Table134681112141516171819202225[[#This Row],[PMI]]-B50</f>
        <v>1.8999999999999986</v>
      </c>
    </row>
    <row r="52" spans="1:3" x14ac:dyDescent="0.2">
      <c r="A52" s="15">
        <v>41852</v>
      </c>
      <c r="B52" s="14">
        <v>51</v>
      </c>
      <c r="C52" s="14">
        <f>Table134681112141516171819202225[[#This Row],[PMI]]-B51</f>
        <v>0</v>
      </c>
    </row>
    <row r="53" spans="1:3" x14ac:dyDescent="0.2">
      <c r="A53" s="15">
        <v>41883</v>
      </c>
      <c r="B53" s="14">
        <v>50.4</v>
      </c>
      <c r="C53" s="14">
        <f>Table134681112141516171819202225[[#This Row],[PMI]]-B52</f>
        <v>-0.60000000000000142</v>
      </c>
    </row>
    <row r="54" spans="1:3" x14ac:dyDescent="0.2">
      <c r="A54" s="15">
        <v>41913</v>
      </c>
      <c r="B54" s="14">
        <v>50.3</v>
      </c>
      <c r="C54" s="14">
        <f>Table134681112141516171819202225[[#This Row],[PMI]]-B53</f>
        <v>-0.10000000000000142</v>
      </c>
    </row>
    <row r="55" spans="1:3" x14ac:dyDescent="0.2">
      <c r="A55" s="15">
        <v>41944</v>
      </c>
      <c r="B55" s="14">
        <v>51.7</v>
      </c>
      <c r="C55" s="14">
        <f>Table134681112141516171819202225[[#This Row],[PMI]]-B54</f>
        <v>1.4000000000000057</v>
      </c>
    </row>
    <row r="56" spans="1:3" x14ac:dyDescent="0.2">
      <c r="A56" s="15">
        <v>41974</v>
      </c>
      <c r="B56" s="14">
        <v>48.9</v>
      </c>
      <c r="C56" s="14">
        <f>Table134681112141516171819202225[[#This Row],[PMI]]-B55</f>
        <v>-2.8000000000000043</v>
      </c>
    </row>
    <row r="57" spans="1:3" x14ac:dyDescent="0.2">
      <c r="A57" s="15">
        <v>42005</v>
      </c>
      <c r="B57" s="14">
        <v>47.6</v>
      </c>
      <c r="C57" s="14">
        <f>Table134681112141516171819202225[[#This Row],[PMI]]-B56</f>
        <v>-1.2999999999999972</v>
      </c>
    </row>
    <row r="58" spans="1:3" x14ac:dyDescent="0.2">
      <c r="A58" s="15">
        <v>42036</v>
      </c>
      <c r="B58" s="14">
        <v>49.7</v>
      </c>
      <c r="C58" s="14">
        <f>Table134681112141516171819202225[[#This Row],[PMI]]-B57</f>
        <v>2.1000000000000014</v>
      </c>
    </row>
    <row r="59" spans="1:3" x14ac:dyDescent="0.2">
      <c r="A59" s="15">
        <v>42064</v>
      </c>
      <c r="B59" s="14">
        <v>48.1</v>
      </c>
      <c r="C59" s="14">
        <f>Table134681112141516171819202225[[#This Row],[PMI]]-B58</f>
        <v>-1.6000000000000014</v>
      </c>
    </row>
    <row r="60" spans="1:3" x14ac:dyDescent="0.2">
      <c r="A60" s="15">
        <v>42095</v>
      </c>
      <c r="B60" s="14">
        <v>48.9</v>
      </c>
      <c r="C60" s="14">
        <f>Table134681112141516171819202225[[#This Row],[PMI]]-B59</f>
        <v>0.79999999999999716</v>
      </c>
    </row>
    <row r="61" spans="1:3" x14ac:dyDescent="0.2">
      <c r="A61" s="15">
        <v>42125</v>
      </c>
      <c r="B61" s="14">
        <v>47.6</v>
      </c>
      <c r="C61" s="14">
        <f>Table134681112141516171819202225[[#This Row],[PMI]]-B60</f>
        <v>-1.2999999999999972</v>
      </c>
    </row>
    <row r="62" spans="1:3" x14ac:dyDescent="0.2">
      <c r="A62" s="15">
        <v>42156</v>
      </c>
      <c r="B62" s="14">
        <v>48.7</v>
      </c>
      <c r="C62" s="14">
        <f>Table134681112141516171819202225[[#This Row],[PMI]]-B61</f>
        <v>1.1000000000000014</v>
      </c>
    </row>
    <row r="63" spans="1:3" x14ac:dyDescent="0.2">
      <c r="A63" s="15">
        <v>42186</v>
      </c>
      <c r="B63" s="14">
        <v>48.3</v>
      </c>
      <c r="C63" s="14">
        <f>Table134681112141516171819202225[[#This Row],[PMI]]-B62</f>
        <v>-0.40000000000000568</v>
      </c>
    </row>
    <row r="64" spans="1:3" x14ac:dyDescent="0.2">
      <c r="A64" s="15">
        <v>42217</v>
      </c>
      <c r="B64" s="14">
        <v>47.9</v>
      </c>
      <c r="C64" s="14">
        <f>Table134681112141516171819202225[[#This Row],[PMI]]-B63</f>
        <v>-0.39999999999999858</v>
      </c>
    </row>
    <row r="65" spans="1:3" x14ac:dyDescent="0.2">
      <c r="A65" s="15">
        <v>42248</v>
      </c>
      <c r="B65" s="14">
        <v>49.1</v>
      </c>
      <c r="C65" s="14">
        <f>Table134681112141516171819202225[[#This Row],[PMI]]-B64</f>
        <v>1.2000000000000028</v>
      </c>
    </row>
    <row r="66" spans="1:3" x14ac:dyDescent="0.2">
      <c r="A66" s="15">
        <v>42278</v>
      </c>
      <c r="B66" s="14">
        <v>50.2</v>
      </c>
      <c r="C66" s="14">
        <f>Table134681112141516171819202225[[#This Row],[PMI]]-B65</f>
        <v>1.1000000000000014</v>
      </c>
    </row>
    <row r="67" spans="1:3" x14ac:dyDescent="0.2">
      <c r="A67" s="15">
        <v>42309</v>
      </c>
      <c r="B67" s="14">
        <v>50.1</v>
      </c>
      <c r="C67" s="14">
        <f>Table134681112141516171819202225[[#This Row],[PMI]]-B66</f>
        <v>-0.10000000000000142</v>
      </c>
    </row>
    <row r="68" spans="1:3" x14ac:dyDescent="0.2">
      <c r="A68" s="15">
        <v>42339</v>
      </c>
      <c r="B68" s="14">
        <v>48.7</v>
      </c>
      <c r="C68" s="14">
        <f>Table134681112141516171819202225[[#This Row],[PMI]]-B67</f>
        <v>-1.3999999999999986</v>
      </c>
    </row>
    <row r="69" spans="1:3" x14ac:dyDescent="0.2">
      <c r="A69" s="15">
        <v>42370</v>
      </c>
      <c r="B69" s="14">
        <v>49.8</v>
      </c>
      <c r="C69" s="14">
        <f>Table134681112141516171819202225[[#This Row],[PMI]]-B68</f>
        <v>1.0999999999999943</v>
      </c>
    </row>
    <row r="70" spans="1:3" x14ac:dyDescent="0.2">
      <c r="A70" s="15">
        <v>42401</v>
      </c>
      <c r="B70" s="14">
        <v>49.3</v>
      </c>
      <c r="C70" s="14">
        <f>Table134681112141516171819202225[[#This Row],[PMI]]-B69</f>
        <v>-0.5</v>
      </c>
    </row>
    <row r="71" spans="1:3" x14ac:dyDescent="0.2">
      <c r="A71" s="15">
        <v>42430</v>
      </c>
      <c r="B71" s="14">
        <v>48.3</v>
      </c>
      <c r="C71" s="14">
        <f>Table134681112141516171819202225[[#This Row],[PMI]]-B70</f>
        <v>-1</v>
      </c>
    </row>
    <row r="72" spans="1:3" x14ac:dyDescent="0.2">
      <c r="A72" s="15">
        <v>42461</v>
      </c>
      <c r="B72" s="14">
        <v>48</v>
      </c>
      <c r="C72" s="14">
        <f>Table134681112141516171819202225[[#This Row],[PMI]]-B71</f>
        <v>-0.29999999999999716</v>
      </c>
    </row>
    <row r="73" spans="1:3" x14ac:dyDescent="0.2">
      <c r="A73" s="15">
        <v>42491</v>
      </c>
      <c r="B73" s="14">
        <v>49.6</v>
      </c>
      <c r="C73" s="14">
        <f>Table134681112141516171819202225[[#This Row],[PMI]]-B72</f>
        <v>1.6000000000000014</v>
      </c>
    </row>
    <row r="74" spans="1:3" x14ac:dyDescent="0.2">
      <c r="A74" s="15">
        <v>42522</v>
      </c>
      <c r="B74" s="14">
        <v>51.5</v>
      </c>
      <c r="C74" s="14">
        <f>Table134681112141516171819202225[[#This Row],[PMI]]-B73</f>
        <v>1.8999999999999986</v>
      </c>
    </row>
    <row r="75" spans="1:3" x14ac:dyDescent="0.2">
      <c r="A75" s="15">
        <v>42552</v>
      </c>
      <c r="B75" s="14">
        <v>49.5</v>
      </c>
      <c r="C75" s="14">
        <f>Table134681112141516171819202225[[#This Row],[PMI]]-B74</f>
        <v>-2</v>
      </c>
    </row>
    <row r="76" spans="1:3" x14ac:dyDescent="0.2">
      <c r="A76" s="15">
        <v>42583</v>
      </c>
      <c r="B76" s="14">
        <v>50.8</v>
      </c>
      <c r="C76" s="14">
        <f>Table134681112141516171819202225[[#This Row],[PMI]]-B75</f>
        <v>1.2999999999999972</v>
      </c>
    </row>
    <row r="77" spans="1:3" x14ac:dyDescent="0.2">
      <c r="A77" s="15">
        <v>42614</v>
      </c>
      <c r="B77" s="14">
        <v>51.1</v>
      </c>
      <c r="C77" s="14">
        <f>Table134681112141516171819202225[[#This Row],[PMI]]-B76</f>
        <v>0.30000000000000426</v>
      </c>
    </row>
    <row r="78" spans="1:3" x14ac:dyDescent="0.2">
      <c r="A78" s="15">
        <v>42644</v>
      </c>
      <c r="B78" s="14">
        <v>52.4</v>
      </c>
      <c r="C78" s="14">
        <f>Table134681112141516171819202225[[#This Row],[PMI]]-B77</f>
        <v>1.2999999999999972</v>
      </c>
    </row>
    <row r="79" spans="1:3" x14ac:dyDescent="0.2">
      <c r="A79" s="15">
        <v>42675</v>
      </c>
      <c r="B79" s="14">
        <v>53.6</v>
      </c>
      <c r="C79" s="14">
        <f>Table134681112141516171819202225[[#This Row],[PMI]]-B78</f>
        <v>1.2000000000000028</v>
      </c>
    </row>
    <row r="80" spans="1:3" x14ac:dyDescent="0.2">
      <c r="A80" s="15">
        <v>42705</v>
      </c>
      <c r="B80" s="14">
        <v>53.7</v>
      </c>
      <c r="C80" s="14">
        <f>Table134681112141516171819202225[[#This Row],[PMI]]-B79</f>
        <v>0.10000000000000142</v>
      </c>
    </row>
    <row r="81" spans="1:3" x14ac:dyDescent="0.2">
      <c r="A81" s="15">
        <v>42736</v>
      </c>
      <c r="B81" s="14">
        <v>54.7</v>
      </c>
      <c r="C81" s="14">
        <f>Table134681112141516171819202225[[#This Row],[PMI]]-B80</f>
        <v>1</v>
      </c>
    </row>
    <row r="82" spans="1:3" x14ac:dyDescent="0.2">
      <c r="A82" s="15">
        <v>42767</v>
      </c>
      <c r="B82" s="14">
        <v>52.5</v>
      </c>
      <c r="C82" s="14">
        <f>Table134681112141516171819202225[[#This Row],[PMI]]-B81</f>
        <v>-2.2000000000000028</v>
      </c>
    </row>
    <row r="83" spans="1:3" x14ac:dyDescent="0.2">
      <c r="A83" s="15">
        <v>42795</v>
      </c>
      <c r="B83" s="14">
        <v>52.4</v>
      </c>
      <c r="C83" s="14">
        <f>Table134681112141516171819202225[[#This Row],[PMI]]-B82</f>
        <v>-0.10000000000000142</v>
      </c>
    </row>
    <row r="84" spans="1:3" x14ac:dyDescent="0.2">
      <c r="A84" s="15">
        <v>42826</v>
      </c>
      <c r="B84" s="14">
        <v>50.8</v>
      </c>
      <c r="C84" s="14">
        <f>Table134681112141516171819202225[[#This Row],[PMI]]-B83</f>
        <v>-1.6000000000000014</v>
      </c>
    </row>
    <row r="85" spans="1:3" x14ac:dyDescent="0.2">
      <c r="A85" s="15">
        <v>42856</v>
      </c>
      <c r="B85" s="14">
        <v>52.4</v>
      </c>
      <c r="C85" s="14">
        <f>Table134681112141516171819202225[[#This Row],[PMI]]-B84</f>
        <v>1.6000000000000014</v>
      </c>
    </row>
    <row r="86" spans="1:3" x14ac:dyDescent="0.2">
      <c r="A86" s="15">
        <v>42887</v>
      </c>
      <c r="B86" s="14">
        <v>50.3</v>
      </c>
      <c r="C86" s="14">
        <f>Table134681112141516171819202225[[#This Row],[PMI]]-B85</f>
        <v>-2.1000000000000014</v>
      </c>
    </row>
    <row r="87" spans="1:3" x14ac:dyDescent="0.2">
      <c r="A87" s="15">
        <v>42917</v>
      </c>
      <c r="B87" s="14">
        <v>52.7</v>
      </c>
      <c r="C87" s="14">
        <f>Table134681112141516171819202225[[#This Row],[PMI]]-B86</f>
        <v>2.4000000000000057</v>
      </c>
    </row>
    <row r="88" spans="1:3" x14ac:dyDescent="0.2">
      <c r="A88" s="15">
        <v>42948</v>
      </c>
      <c r="B88" s="14">
        <v>51.6</v>
      </c>
      <c r="C88" s="14">
        <f>Table134681112141516171819202225[[#This Row],[PMI]]-B87</f>
        <v>-1.1000000000000014</v>
      </c>
    </row>
    <row r="89" spans="1:3" x14ac:dyDescent="0.2">
      <c r="A89" s="15">
        <v>42979</v>
      </c>
      <c r="B89" s="14">
        <v>51.9</v>
      </c>
      <c r="C89" s="14">
        <f>Table134681112141516171819202225[[#This Row],[PMI]]-B88</f>
        <v>0.29999999999999716</v>
      </c>
    </row>
    <row r="90" spans="1:3" x14ac:dyDescent="0.2">
      <c r="A90" s="15">
        <v>43009</v>
      </c>
      <c r="B90" s="14">
        <v>51.1</v>
      </c>
      <c r="C90" s="14">
        <f>Table134681112141516171819202225[[#This Row],[PMI]]-B89</f>
        <v>-0.79999999999999716</v>
      </c>
    </row>
    <row r="91" spans="1:3" x14ac:dyDescent="0.2">
      <c r="A91" s="15">
        <v>43040</v>
      </c>
      <c r="B91" s="14">
        <v>51.5</v>
      </c>
      <c r="C91" s="14">
        <f>Table134681112141516171819202225[[#This Row],[PMI]]-B90</f>
        <v>0.39999999999999858</v>
      </c>
    </row>
    <row r="92" spans="1:3" x14ac:dyDescent="0.2">
      <c r="A92" s="15">
        <v>43070</v>
      </c>
      <c r="B92" s="14">
        <v>52</v>
      </c>
      <c r="C92" s="14">
        <f>Table134681112141516171819202225[[#This Row],[PMI]]-B91</f>
        <v>0.5</v>
      </c>
    </row>
    <row r="93" spans="1:3" x14ac:dyDescent="0.2">
      <c r="A93" s="15">
        <v>43101</v>
      </c>
      <c r="B93" s="14">
        <v>52.1</v>
      </c>
      <c r="C93" s="14">
        <f>Table134681112141516171819202225[[#This Row],[PMI]]-B92</f>
        <v>0.10000000000000142</v>
      </c>
    </row>
    <row r="94" spans="1:3" x14ac:dyDescent="0.2">
      <c r="A94" s="15">
        <v>43132</v>
      </c>
      <c r="B94" s="14">
        <v>50.2</v>
      </c>
      <c r="C94" s="14">
        <f>Table134681112141516171819202225[[#This Row],[PMI]]-B93</f>
        <v>-1.8999999999999986</v>
      </c>
    </row>
    <row r="95" spans="1:3" x14ac:dyDescent="0.2">
      <c r="A95" s="15">
        <v>43160</v>
      </c>
      <c r="B95" s="14">
        <v>50.6</v>
      </c>
      <c r="C95" s="14">
        <f>Table134681112141516171819202225[[#This Row],[PMI]]-B94</f>
        <v>0.39999999999999858</v>
      </c>
    </row>
    <row r="96" spans="1:3" x14ac:dyDescent="0.2">
      <c r="A96" s="15">
        <v>43191</v>
      </c>
      <c r="B96" s="14">
        <v>51.3</v>
      </c>
      <c r="C96" s="14">
        <f>Table134681112141516171819202225[[#This Row],[PMI]]-B95</f>
        <v>0.69999999999999574</v>
      </c>
    </row>
    <row r="97" spans="1:3" x14ac:dyDescent="0.2">
      <c r="A97" s="15">
        <v>43221</v>
      </c>
      <c r="B97" s="14">
        <v>49.8</v>
      </c>
      <c r="C97" s="14">
        <f>Table134681112141516171819202225[[#This Row],[PMI]]-B96</f>
        <v>-1.5</v>
      </c>
    </row>
    <row r="98" spans="1:3" x14ac:dyDescent="0.2">
      <c r="A98" s="15">
        <v>43252</v>
      </c>
      <c r="B98" s="14">
        <v>49.5</v>
      </c>
      <c r="C98" s="14">
        <f>Table134681112141516171819202225[[#This Row],[PMI]]-B97</f>
        <v>-0.29999999999999716</v>
      </c>
    </row>
    <row r="99" spans="1:3" x14ac:dyDescent="0.2">
      <c r="A99" s="15">
        <v>43282</v>
      </c>
      <c r="B99" s="14">
        <v>48.1</v>
      </c>
      <c r="C99" s="14">
        <f>Table134681112141516171819202225[[#This Row],[PMI]]-B98</f>
        <v>-1.3999999999999986</v>
      </c>
    </row>
    <row r="100" spans="1:3" x14ac:dyDescent="0.2">
      <c r="A100" s="15">
        <v>43313</v>
      </c>
      <c r="B100" s="14">
        <v>48.9</v>
      </c>
      <c r="C100" s="14">
        <f>Table134681112141516171819202225[[#This Row],[PMI]]-B99</f>
        <v>0.79999999999999716</v>
      </c>
    </row>
    <row r="101" spans="1:3" x14ac:dyDescent="0.2">
      <c r="A101" s="15">
        <v>43344</v>
      </c>
      <c r="B101" s="14">
        <v>50</v>
      </c>
      <c r="C101" s="14">
        <f>Table134681112141516171819202225[[#This Row],[PMI]]-B100</f>
        <v>1.1000000000000014</v>
      </c>
    </row>
    <row r="102" spans="1:3" x14ac:dyDescent="0.2">
      <c r="A102" s="15">
        <v>43374</v>
      </c>
      <c r="B102" s="14">
        <v>51.3</v>
      </c>
      <c r="C102" s="14">
        <f>Table134681112141516171819202225[[#This Row],[PMI]]-B101</f>
        <v>1.2999999999999972</v>
      </c>
    </row>
    <row r="103" spans="1:3" x14ac:dyDescent="0.2">
      <c r="A103" s="15">
        <v>43405</v>
      </c>
      <c r="B103" s="14">
        <v>52.6</v>
      </c>
      <c r="C103" s="14">
        <f>Table134681112141516171819202225[[#This Row],[PMI]]-B102</f>
        <v>1.3000000000000043</v>
      </c>
    </row>
    <row r="104" spans="1:3" x14ac:dyDescent="0.2">
      <c r="A104" s="15">
        <v>43435</v>
      </c>
      <c r="B104" s="14">
        <v>51.7</v>
      </c>
      <c r="C104" s="14">
        <f>Table134681112141516171819202225[[#This Row],[PMI]]-B103</f>
        <v>-0.89999999999999858</v>
      </c>
    </row>
    <row r="105" spans="1:3" x14ac:dyDescent="0.2">
      <c r="A105" s="15">
        <v>43466</v>
      </c>
      <c r="B105" s="14">
        <v>50.9</v>
      </c>
      <c r="C105" s="14">
        <f>Table134681112141516171819202225[[#This Row],[PMI]]-B104</f>
        <v>-0.80000000000000426</v>
      </c>
    </row>
    <row r="106" spans="1:3" x14ac:dyDescent="0.2">
      <c r="A106" s="15">
        <v>43497</v>
      </c>
      <c r="B106" s="14">
        <v>50.1</v>
      </c>
      <c r="C106" s="14">
        <f>Table134681112141516171819202225[[#This Row],[PMI]]-B105</f>
        <v>-0.79999999999999716</v>
      </c>
    </row>
    <row r="107" spans="1:3" x14ac:dyDescent="0.2">
      <c r="A107" s="15">
        <v>43525</v>
      </c>
      <c r="B107" s="14">
        <v>52.8</v>
      </c>
      <c r="C107" s="30">
        <f>Table134681112141516171819202225[[#This Row],[PMI]]-B106</f>
        <v>2.6999999999999957</v>
      </c>
    </row>
    <row r="108" spans="1:3" x14ac:dyDescent="0.2">
      <c r="A108" s="15">
        <v>43556</v>
      </c>
      <c r="B108" s="14">
        <v>51.8</v>
      </c>
      <c r="C108" s="30">
        <f>Table134681112141516171819202225[[#This Row],[PMI]]-B107</f>
        <v>-1</v>
      </c>
    </row>
    <row r="109" spans="1:3" x14ac:dyDescent="0.2">
      <c r="A109" s="15">
        <v>43586</v>
      </c>
      <c r="B109" s="14">
        <v>49.8</v>
      </c>
      <c r="C109" s="30">
        <f>Table134681112141516171819202225[[#This Row],[PMI]]-B108</f>
        <v>-2</v>
      </c>
    </row>
    <row r="110" spans="1:3" x14ac:dyDescent="0.2">
      <c r="A110" s="15">
        <v>43617</v>
      </c>
      <c r="B110" s="14">
        <v>48.6</v>
      </c>
      <c r="C110" s="30">
        <f>Table134681112141516171819202225[[#This Row],[PMI]]-B109</f>
        <v>-1.1999999999999957</v>
      </c>
    </row>
    <row r="111" spans="1:3" x14ac:dyDescent="0.2">
      <c r="A111" s="15">
        <v>43647</v>
      </c>
      <c r="B111" s="14">
        <v>49.3</v>
      </c>
      <c r="C111" s="30">
        <f>Table134681112141516171819202225[[#This Row],[PMI]]-B110</f>
        <v>0.69999999999999574</v>
      </c>
    </row>
    <row r="112" spans="1:3" x14ac:dyDescent="0.2">
      <c r="A112" s="15">
        <v>43678</v>
      </c>
      <c r="B112" s="14">
        <v>49.1</v>
      </c>
      <c r="C112" s="30">
        <f>Table134681112141516171819202225[[#This Row],[PMI]]-B111</f>
        <v>-0.19999999999999574</v>
      </c>
    </row>
    <row r="113" spans="1:3" x14ac:dyDescent="0.2">
      <c r="A113" s="15">
        <v>43709</v>
      </c>
      <c r="B113" s="14">
        <v>46.3</v>
      </c>
      <c r="C113" s="30">
        <f>Table134681112141516171819202225[[#This Row],[PMI]]-B112</f>
        <v>-2.8000000000000043</v>
      </c>
    </row>
    <row r="114" spans="1:3" x14ac:dyDescent="0.2">
      <c r="A114" s="15">
        <v>43739</v>
      </c>
      <c r="B114" s="14">
        <v>47.2</v>
      </c>
      <c r="C114" s="30">
        <f>Table134681112141516171819202225[[#This Row],[PMI]]-B113</f>
        <v>0.90000000000000568</v>
      </c>
    </row>
    <row r="115" spans="1:3" x14ac:dyDescent="0.2">
      <c r="A115" s="15">
        <v>43770</v>
      </c>
      <c r="B115" s="14">
        <v>45.6</v>
      </c>
      <c r="C115" s="30">
        <f>Table134681112141516171819202225[[#This Row],[PMI]]-B114</f>
        <v>-1.6000000000000014</v>
      </c>
    </row>
    <row r="116" spans="1:3" x14ac:dyDescent="0.2">
      <c r="A116" s="15">
        <v>43800</v>
      </c>
      <c r="B116" s="14">
        <v>47.5</v>
      </c>
      <c r="C116" s="30">
        <f>Table134681112141516171819202225[[#This Row],[PMI]]-B115</f>
        <v>1.8999999999999986</v>
      </c>
    </row>
    <row r="117" spans="1:3" x14ac:dyDescent="0.2">
      <c r="A117" s="15">
        <v>43831</v>
      </c>
      <c r="B117" s="14">
        <v>47.9</v>
      </c>
      <c r="C117" s="30">
        <f>Table134681112141516171819202225[[#This Row],[PMI]]-B116</f>
        <v>0.39999999999999858</v>
      </c>
    </row>
    <row r="118" spans="1:3" x14ac:dyDescent="0.2">
      <c r="A118" s="15">
        <v>43862</v>
      </c>
      <c r="B118" s="14">
        <v>48.2</v>
      </c>
      <c r="C118" s="30">
        <f>Table134681112141516171819202225[[#This Row],[PMI]]-B117</f>
        <v>0.30000000000000426</v>
      </c>
    </row>
    <row r="119" spans="1:3" x14ac:dyDescent="0.2">
      <c r="A119" s="15">
        <v>43891</v>
      </c>
      <c r="B119" s="14">
        <v>47.5</v>
      </c>
      <c r="C119" s="30">
        <f>Table134681112141516171819202225[[#This Row],[PMI]]-B118</f>
        <v>-0.70000000000000284</v>
      </c>
    </row>
    <row r="120" spans="1:3" x14ac:dyDescent="0.2">
      <c r="A120" s="15">
        <v>43922</v>
      </c>
      <c r="B120" s="14">
        <v>31.3</v>
      </c>
      <c r="C120" s="30">
        <f>Table134681112141516171819202225[[#This Row],[PMI]]-B119</f>
        <v>-16.2</v>
      </c>
    </row>
    <row r="121" spans="1:3" x14ac:dyDescent="0.2">
      <c r="A121" s="15">
        <v>43952</v>
      </c>
      <c r="B121" s="14">
        <v>36.200000000000003</v>
      </c>
      <c r="C121" s="30">
        <f>Table134681112141516171819202225[[#This Row],[PMI]]-B120</f>
        <v>4.9000000000000021</v>
      </c>
    </row>
    <row r="122" spans="1:3" x14ac:dyDescent="0.2">
      <c r="A122" s="15">
        <v>43983</v>
      </c>
      <c r="B122" s="14">
        <v>49.4</v>
      </c>
      <c r="C122" s="30">
        <f>Table134681112141516171819202225[[#This Row],[PMI]]-B121</f>
        <v>13.199999999999996</v>
      </c>
    </row>
    <row r="123" spans="1:3" x14ac:dyDescent="0.2">
      <c r="A123" s="15">
        <v>44013</v>
      </c>
      <c r="B123" s="14">
        <v>48.4</v>
      </c>
      <c r="C123" s="30">
        <f>Table134681112141516171819202225[[#This Row],[PMI]]-B122</f>
        <v>-1</v>
      </c>
    </row>
    <row r="124" spans="1:3" x14ac:dyDescent="0.2">
      <c r="A124" s="15">
        <v>44044</v>
      </c>
      <c r="B124" s="14">
        <v>51.1</v>
      </c>
      <c r="C124" s="30">
        <f>Table134681112141516171819202225[[#This Row],[PMI]]-B123</f>
        <v>2.7000000000000028</v>
      </c>
    </row>
    <row r="125" spans="1:3" x14ac:dyDescent="0.2">
      <c r="A125" s="15">
        <v>44075</v>
      </c>
      <c r="B125" s="14">
        <v>48.9</v>
      </c>
      <c r="C125" s="30">
        <f>Table134681112141516171819202225[[#This Row],[PMI]]-B124</f>
        <v>-2.2000000000000028</v>
      </c>
    </row>
    <row r="126" spans="1:3" x14ac:dyDescent="0.2">
      <c r="A126" s="15">
        <v>44105</v>
      </c>
      <c r="B126" s="14">
        <v>46.9</v>
      </c>
      <c r="C126" s="30">
        <f>Table134681112141516171819202225[[#This Row],[PMI]]-B125</f>
        <v>-2</v>
      </c>
    </row>
    <row r="127" spans="1:3" x14ac:dyDescent="0.2">
      <c r="A127" s="15">
        <v>44136</v>
      </c>
      <c r="B127" s="14">
        <v>46.3</v>
      </c>
      <c r="C127" s="30">
        <f>Table134681112141516171819202225[[#This Row],[PMI]]-B126</f>
        <v>-0.60000000000000142</v>
      </c>
    </row>
    <row r="128" spans="1:3" x14ac:dyDescent="0.2">
      <c r="A128" s="15">
        <v>44166</v>
      </c>
      <c r="B128" s="14">
        <v>49.7</v>
      </c>
      <c r="C128" s="30">
        <f>Table134681112141516171819202225[[#This Row],[PMI]]-B127</f>
        <v>3.4000000000000057</v>
      </c>
    </row>
    <row r="129" spans="1:3" x14ac:dyDescent="0.2">
      <c r="A129" s="15">
        <v>44197</v>
      </c>
      <c r="B129" s="14">
        <v>50.9</v>
      </c>
      <c r="C129" s="30">
        <f>Table134681112141516171819202225[[#This Row],[PMI]]-B128</f>
        <v>1.1999999999999957</v>
      </c>
    </row>
    <row r="130" spans="1:3" x14ac:dyDescent="0.2">
      <c r="A130" s="15">
        <v>44228</v>
      </c>
      <c r="B130" s="14">
        <v>51.5</v>
      </c>
      <c r="C130" s="30">
        <f>Table134681112141516171819202225[[#This Row],[PMI]]-B129</f>
        <v>0.60000000000000142</v>
      </c>
    </row>
    <row r="131" spans="1:3" x14ac:dyDescent="0.2">
      <c r="A131" s="15">
        <v>44256</v>
      </c>
      <c r="B131" s="14">
        <v>51.1</v>
      </c>
      <c r="C131" s="30">
        <f>Table134681112141516171819202225[[#This Row],[PMI]]-B130</f>
        <v>-0.39999999999999858</v>
      </c>
    </row>
    <row r="132" spans="1:3" x14ac:dyDescent="0.2">
      <c r="A132" s="15">
        <v>44287</v>
      </c>
      <c r="B132" s="14">
        <v>50.4</v>
      </c>
      <c r="C132" s="30">
        <f>Table134681112141516171819202225[[#This Row],[PMI]]-B131</f>
        <v>-0.70000000000000284</v>
      </c>
    </row>
    <row r="133" spans="1:3" x14ac:dyDescent="0.2">
      <c r="A133" s="15">
        <v>44317</v>
      </c>
      <c r="B133" s="14">
        <v>51.9</v>
      </c>
      <c r="C133" s="30">
        <f>Table134681112141516171819202225[[#This Row],[PMI]]-B132</f>
        <v>1.5</v>
      </c>
    </row>
    <row r="134" spans="1:3" x14ac:dyDescent="0.2">
      <c r="A134" s="15">
        <v>44348</v>
      </c>
      <c r="B134" s="14">
        <v>49.2</v>
      </c>
      <c r="C134" s="30">
        <f>Table134681112141516171819202225[[#This Row],[PMI]]-B133</f>
        <v>-2.6999999999999957</v>
      </c>
    </row>
    <row r="135" spans="1:3" x14ac:dyDescent="0.2">
      <c r="A135" s="15">
        <v>44378</v>
      </c>
      <c r="B135" s="14">
        <v>47.5</v>
      </c>
      <c r="C135" s="30">
        <f>Table134681112141516171819202225[[#This Row],[PMI]]-B134</f>
        <v>-1.7000000000000028</v>
      </c>
    </row>
    <row r="136" spans="1:3" x14ac:dyDescent="0.2">
      <c r="A136" s="15">
        <v>44409</v>
      </c>
      <c r="B136" s="14">
        <v>46.5</v>
      </c>
      <c r="C136" s="30">
        <f>Table134681112141516171819202225[[#This Row],[PMI]]-B135</f>
        <v>-1</v>
      </c>
    </row>
    <row r="137" spans="1:3" x14ac:dyDescent="0.2">
      <c r="A137" s="15">
        <v>44440</v>
      </c>
      <c r="B137" s="14">
        <v>49.8</v>
      </c>
      <c r="C137" s="30">
        <f>Table134681112141516171819202225[[#This Row],[PMI]]-B136</f>
        <v>3.2999999999999972</v>
      </c>
    </row>
    <row r="138" spans="1:3" x14ac:dyDescent="0.2">
      <c r="A138" s="15">
        <v>44470</v>
      </c>
      <c r="B138" s="14">
        <v>51.6</v>
      </c>
      <c r="C138" s="30">
        <f>Table134681112141516171819202225[[#This Row],[PMI]]-B137</f>
        <v>1.8000000000000043</v>
      </c>
    </row>
    <row r="139" spans="1:3" x14ac:dyDescent="0.2">
      <c r="A139" s="15">
        <v>44501</v>
      </c>
      <c r="B139" s="14">
        <v>51.7</v>
      </c>
      <c r="C139" s="30">
        <f>Table134681112141516171819202225[[#This Row],[PMI]]-B138</f>
        <v>0.10000000000000142</v>
      </c>
    </row>
    <row r="140" spans="1:3" x14ac:dyDescent="0.2">
      <c r="A140" s="15">
        <v>44531</v>
      </c>
      <c r="B140" s="14">
        <v>51.6</v>
      </c>
      <c r="C140" s="30">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19C61-41BB-4AD3-BD9C-9C3C9B3D4357}">
  <dimension ref="A1:K140"/>
  <sheetViews>
    <sheetView zoomScale="160" zoomScaleNormal="160" workbookViewId="0">
      <pane ySplit="5" topLeftCell="A104" activePane="bottomLeft" state="frozen"/>
      <selection pane="bottomLeft" activeCell="S124" sqref="S12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44</v>
      </c>
      <c r="K1" s="10" t="s">
        <v>21</v>
      </c>
    </row>
    <row r="2" spans="1:11" x14ac:dyDescent="0.2">
      <c r="K2" s="10" t="str">
        <f>A1&amp;K1</f>
        <v>India Manufacturing PMI</v>
      </c>
    </row>
    <row r="4" spans="1:11" ht="16" thickBot="1" x14ac:dyDescent="0.25"/>
    <row r="5" spans="1:11" ht="16" thickBot="1" x14ac:dyDescent="0.25">
      <c r="A5" s="27" t="s">
        <v>10</v>
      </c>
      <c r="B5" s="28" t="s">
        <v>11</v>
      </c>
      <c r="C5" s="28" t="s">
        <v>14</v>
      </c>
    </row>
    <row r="6" spans="1:11" x14ac:dyDescent="0.2">
      <c r="A6" s="23">
        <v>40452</v>
      </c>
      <c r="B6" s="24">
        <v>57.2</v>
      </c>
      <c r="C6" s="24"/>
    </row>
    <row r="7" spans="1:11" x14ac:dyDescent="0.2">
      <c r="A7" s="15">
        <v>40483</v>
      </c>
      <c r="B7" s="14">
        <v>58.4</v>
      </c>
      <c r="C7" s="14">
        <f>Table13468111214151617181920222324[[#This Row],[PMI]]-B6</f>
        <v>1.1999999999999957</v>
      </c>
    </row>
    <row r="8" spans="1:11" x14ac:dyDescent="0.2">
      <c r="A8" s="15">
        <v>40513</v>
      </c>
      <c r="B8" s="14">
        <v>56.7</v>
      </c>
      <c r="C8" s="14">
        <f>Table13468111214151617181920222324[[#This Row],[PMI]]-B7</f>
        <v>-1.6999999999999957</v>
      </c>
    </row>
    <row r="9" spans="1:11" x14ac:dyDescent="0.2">
      <c r="A9" s="15">
        <v>40544</v>
      </c>
      <c r="B9" s="14">
        <v>56.8</v>
      </c>
      <c r="C9" s="14">
        <f>Table13468111214151617181920222324[[#This Row],[PMI]]-B8</f>
        <v>9.9999999999994316E-2</v>
      </c>
    </row>
    <row r="10" spans="1:11" x14ac:dyDescent="0.2">
      <c r="A10" s="15">
        <v>40575</v>
      </c>
      <c r="B10" s="14">
        <v>57.9</v>
      </c>
      <c r="C10" s="14">
        <f>Table13468111214151617181920222324[[#This Row],[PMI]]-B9</f>
        <v>1.1000000000000014</v>
      </c>
    </row>
    <row r="11" spans="1:11" x14ac:dyDescent="0.2">
      <c r="A11" s="15">
        <v>40603</v>
      </c>
      <c r="B11" s="14">
        <v>57.9</v>
      </c>
      <c r="C11" s="14">
        <f>Table13468111214151617181920222324[[#This Row],[PMI]]-B10</f>
        <v>0</v>
      </c>
    </row>
    <row r="12" spans="1:11" x14ac:dyDescent="0.2">
      <c r="A12" s="15">
        <v>40634</v>
      </c>
      <c r="B12" s="14">
        <v>58</v>
      </c>
      <c r="C12" s="14">
        <f>Table13468111214151617181920222324[[#This Row],[PMI]]-B11</f>
        <v>0.10000000000000142</v>
      </c>
    </row>
    <row r="13" spans="1:11" x14ac:dyDescent="0.2">
      <c r="A13" s="15">
        <v>40664</v>
      </c>
      <c r="B13" s="14">
        <v>57.5</v>
      </c>
      <c r="C13" s="14">
        <f>Table13468111214151617181920222324[[#This Row],[PMI]]-B12</f>
        <v>-0.5</v>
      </c>
    </row>
    <row r="14" spans="1:11" x14ac:dyDescent="0.2">
      <c r="A14" s="15">
        <v>40695</v>
      </c>
      <c r="B14" s="14">
        <v>55.3</v>
      </c>
      <c r="C14" s="14">
        <f>Table13468111214151617181920222324[[#This Row],[PMI]]-B13</f>
        <v>-2.2000000000000028</v>
      </c>
    </row>
    <row r="15" spans="1:11" x14ac:dyDescent="0.2">
      <c r="A15" s="15">
        <v>40725</v>
      </c>
      <c r="B15" s="14">
        <v>56.3</v>
      </c>
      <c r="C15" s="14">
        <f>Table13468111214151617181920222324[[#This Row],[PMI]]-B14</f>
        <v>1</v>
      </c>
    </row>
    <row r="16" spans="1:11" x14ac:dyDescent="0.2">
      <c r="A16" s="15">
        <v>40756</v>
      </c>
      <c r="B16" s="14">
        <v>52.6</v>
      </c>
      <c r="C16" s="14">
        <f>Table13468111214151617181920222324[[#This Row],[PMI]]-B15</f>
        <v>-3.6999999999999957</v>
      </c>
    </row>
    <row r="17" spans="1:3" x14ac:dyDescent="0.2">
      <c r="A17" s="15">
        <v>40787</v>
      </c>
      <c r="B17" s="14">
        <v>50.4</v>
      </c>
      <c r="C17" s="14">
        <f>Table13468111214151617181920222324[[#This Row],[PMI]]-B16</f>
        <v>-2.2000000000000028</v>
      </c>
    </row>
    <row r="18" spans="1:3" x14ac:dyDescent="0.2">
      <c r="A18" s="15">
        <v>40817</v>
      </c>
      <c r="B18" s="14">
        <v>51</v>
      </c>
      <c r="C18" s="14">
        <f>Table13468111214151617181920222324[[#This Row],[PMI]]-B17</f>
        <v>0.60000000000000142</v>
      </c>
    </row>
    <row r="19" spans="1:3" x14ac:dyDescent="0.2">
      <c r="A19" s="15">
        <v>40848</v>
      </c>
      <c r="B19" s="14">
        <v>52</v>
      </c>
      <c r="C19" s="14">
        <f>Table13468111214151617181920222324[[#This Row],[PMI]]-B18</f>
        <v>1</v>
      </c>
    </row>
    <row r="20" spans="1:3" x14ac:dyDescent="0.2">
      <c r="A20" s="15">
        <v>40878</v>
      </c>
      <c r="B20" s="14">
        <v>57</v>
      </c>
      <c r="C20" s="14">
        <f>Table13468111214151617181920222324[[#This Row],[PMI]]-B19</f>
        <v>5</v>
      </c>
    </row>
    <row r="21" spans="1:3" x14ac:dyDescent="0.2">
      <c r="A21" s="15">
        <v>40909</v>
      </c>
      <c r="B21" s="14">
        <v>57.5</v>
      </c>
      <c r="C21" s="14">
        <f>Table13468111214151617181920222324[[#This Row],[PMI]]-B20</f>
        <v>0.5</v>
      </c>
    </row>
    <row r="22" spans="1:3" x14ac:dyDescent="0.2">
      <c r="A22" s="15">
        <v>40940</v>
      </c>
      <c r="B22" s="14">
        <v>56.6</v>
      </c>
      <c r="C22" s="14">
        <f>Table13468111214151617181920222324[[#This Row],[PMI]]-B21</f>
        <v>-0.89999999999999858</v>
      </c>
    </row>
    <row r="23" spans="1:3" x14ac:dyDescent="0.2">
      <c r="A23" s="15">
        <v>40969</v>
      </c>
      <c r="B23" s="14">
        <v>54.7</v>
      </c>
      <c r="C23" s="14">
        <f>Table13468111214151617181920222324[[#This Row],[PMI]]-B22</f>
        <v>-1.8999999999999986</v>
      </c>
    </row>
    <row r="24" spans="1:3" x14ac:dyDescent="0.2">
      <c r="A24" s="15">
        <v>41000</v>
      </c>
      <c r="B24" s="14">
        <v>54.9</v>
      </c>
      <c r="C24" s="14">
        <f>Table13468111214151617181920222324[[#This Row],[PMI]]-B23</f>
        <v>0.19999999999999574</v>
      </c>
    </row>
    <row r="25" spans="1:3" x14ac:dyDescent="0.2">
      <c r="A25" s="15">
        <v>41030</v>
      </c>
      <c r="B25" s="14">
        <v>54.8</v>
      </c>
      <c r="C25" s="14">
        <f>Table13468111214151617181920222324[[#This Row],[PMI]]-B24</f>
        <v>-0.10000000000000142</v>
      </c>
    </row>
    <row r="26" spans="1:3" x14ac:dyDescent="0.2">
      <c r="A26" s="15">
        <v>41061</v>
      </c>
      <c r="B26" s="14">
        <v>55</v>
      </c>
      <c r="C26" s="14">
        <f>Table13468111214151617181920222324[[#This Row],[PMI]]-B25</f>
        <v>0.20000000000000284</v>
      </c>
    </row>
    <row r="27" spans="1:3" x14ac:dyDescent="0.2">
      <c r="A27" s="15">
        <v>41091</v>
      </c>
      <c r="B27" s="14">
        <v>52.9</v>
      </c>
      <c r="C27" s="14">
        <f>Table13468111214151617181920222324[[#This Row],[PMI]]-B26</f>
        <v>-2.1000000000000014</v>
      </c>
    </row>
    <row r="28" spans="1:3" x14ac:dyDescent="0.2">
      <c r="A28" s="15">
        <v>41122</v>
      </c>
      <c r="B28" s="14">
        <v>52.8</v>
      </c>
      <c r="C28" s="14">
        <f>Table13468111214151617181920222324[[#This Row],[PMI]]-B27</f>
        <v>-0.10000000000000142</v>
      </c>
    </row>
    <row r="29" spans="1:3" x14ac:dyDescent="0.2">
      <c r="A29" s="15">
        <v>41153</v>
      </c>
      <c r="B29" s="14">
        <v>52.8</v>
      </c>
      <c r="C29" s="14">
        <f>Table13468111214151617181920222324[[#This Row],[PMI]]-B28</f>
        <v>0</v>
      </c>
    </row>
    <row r="30" spans="1:3" x14ac:dyDescent="0.2">
      <c r="A30" s="15">
        <v>41183</v>
      </c>
      <c r="B30" s="14">
        <v>52.9</v>
      </c>
      <c r="C30" s="14">
        <f>Table13468111214151617181920222324[[#This Row],[PMI]]-B29</f>
        <v>0.10000000000000142</v>
      </c>
    </row>
    <row r="31" spans="1:3" x14ac:dyDescent="0.2">
      <c r="A31" s="15">
        <v>41214</v>
      </c>
      <c r="B31" s="14">
        <v>53.7</v>
      </c>
      <c r="C31" s="14">
        <f>Table13468111214151617181920222324[[#This Row],[PMI]]-B30</f>
        <v>0.80000000000000426</v>
      </c>
    </row>
    <row r="32" spans="1:3" x14ac:dyDescent="0.2">
      <c r="A32" s="15">
        <v>41244</v>
      </c>
      <c r="B32" s="14">
        <v>54.7</v>
      </c>
      <c r="C32" s="14">
        <f>Table13468111214151617181920222324[[#This Row],[PMI]]-B31</f>
        <v>1</v>
      </c>
    </row>
    <row r="33" spans="1:3" x14ac:dyDescent="0.2">
      <c r="A33" s="15">
        <v>41275</v>
      </c>
      <c r="B33" s="14">
        <v>53.2</v>
      </c>
      <c r="C33" s="14">
        <f>Table13468111214151617181920222324[[#This Row],[PMI]]-B32</f>
        <v>-1.5</v>
      </c>
    </row>
    <row r="34" spans="1:3" x14ac:dyDescent="0.2">
      <c r="A34" s="15">
        <v>41306</v>
      </c>
      <c r="B34" s="14">
        <v>54.2</v>
      </c>
      <c r="C34" s="14">
        <f>Table13468111214151617181920222324[[#This Row],[PMI]]-B33</f>
        <v>1</v>
      </c>
    </row>
    <row r="35" spans="1:3" x14ac:dyDescent="0.2">
      <c r="A35" s="15">
        <v>41334</v>
      </c>
      <c r="B35" s="14">
        <v>52</v>
      </c>
      <c r="C35" s="14">
        <f>Table13468111214151617181920222324[[#This Row],[PMI]]-B34</f>
        <v>-2.2000000000000028</v>
      </c>
    </row>
    <row r="36" spans="1:3" x14ac:dyDescent="0.2">
      <c r="A36" s="15">
        <v>41365</v>
      </c>
      <c r="B36" s="14">
        <v>51</v>
      </c>
      <c r="C36" s="14">
        <f>Table13468111214151617181920222324[[#This Row],[PMI]]-B35</f>
        <v>-1</v>
      </c>
    </row>
    <row r="37" spans="1:3" x14ac:dyDescent="0.2">
      <c r="A37" s="15">
        <v>41395</v>
      </c>
      <c r="B37" s="14">
        <v>50.1</v>
      </c>
      <c r="C37" s="14">
        <f>Table13468111214151617181920222324[[#This Row],[PMI]]-B36</f>
        <v>-0.89999999999999858</v>
      </c>
    </row>
    <row r="38" spans="1:3" x14ac:dyDescent="0.2">
      <c r="A38" s="15">
        <v>41426</v>
      </c>
      <c r="B38" s="14">
        <v>50.3</v>
      </c>
      <c r="C38" s="14">
        <f>Table13468111214151617181920222324[[#This Row],[PMI]]-B37</f>
        <v>0.19999999999999574</v>
      </c>
    </row>
    <row r="39" spans="1:3" x14ac:dyDescent="0.2">
      <c r="A39" s="15">
        <v>41456</v>
      </c>
      <c r="B39" s="14">
        <v>50.1</v>
      </c>
      <c r="C39" s="14">
        <f>Table13468111214151617181920222324[[#This Row],[PMI]]-B38</f>
        <v>-0.19999999999999574</v>
      </c>
    </row>
    <row r="40" spans="1:3" x14ac:dyDescent="0.2">
      <c r="A40" s="15">
        <v>41487</v>
      </c>
      <c r="B40" s="14">
        <v>48.5</v>
      </c>
      <c r="C40" s="14">
        <f>Table13468111214151617181920222324[[#This Row],[PMI]]-B39</f>
        <v>-1.6000000000000014</v>
      </c>
    </row>
    <row r="41" spans="1:3" x14ac:dyDescent="0.2">
      <c r="A41" s="15">
        <v>41518</v>
      </c>
      <c r="B41" s="14">
        <v>49.6</v>
      </c>
      <c r="C41" s="14">
        <f>Table13468111214151617181920222324[[#This Row],[PMI]]-B40</f>
        <v>1.1000000000000014</v>
      </c>
    </row>
    <row r="42" spans="1:3" x14ac:dyDescent="0.2">
      <c r="A42" s="15">
        <v>41548</v>
      </c>
      <c r="B42" s="14">
        <v>49.6</v>
      </c>
      <c r="C42" s="14">
        <f>Table13468111214151617181920222324[[#This Row],[PMI]]-B41</f>
        <v>0</v>
      </c>
    </row>
    <row r="43" spans="1:3" x14ac:dyDescent="0.2">
      <c r="A43" s="15">
        <v>41579</v>
      </c>
      <c r="B43" s="14">
        <v>51.3</v>
      </c>
      <c r="C43" s="14">
        <f>Table13468111214151617181920222324[[#This Row],[PMI]]-B42</f>
        <v>1.6999999999999957</v>
      </c>
    </row>
    <row r="44" spans="1:3" x14ac:dyDescent="0.2">
      <c r="A44" s="15">
        <v>41609</v>
      </c>
      <c r="B44" s="14">
        <v>50.7</v>
      </c>
      <c r="C44" s="14">
        <f>Table13468111214151617181920222324[[#This Row],[PMI]]-B43</f>
        <v>-0.59999999999999432</v>
      </c>
    </row>
    <row r="45" spans="1:3" x14ac:dyDescent="0.2">
      <c r="A45" s="15">
        <v>41640</v>
      </c>
      <c r="B45" s="14">
        <v>51.4</v>
      </c>
      <c r="C45" s="14">
        <f>Table13468111214151617181920222324[[#This Row],[PMI]]-B44</f>
        <v>0.69999999999999574</v>
      </c>
    </row>
    <row r="46" spans="1:3" x14ac:dyDescent="0.2">
      <c r="A46" s="15">
        <v>41671</v>
      </c>
      <c r="B46" s="14">
        <v>52.5</v>
      </c>
      <c r="C46" s="14">
        <f>Table13468111214151617181920222324[[#This Row],[PMI]]-B45</f>
        <v>1.1000000000000014</v>
      </c>
    </row>
    <row r="47" spans="1:3" x14ac:dyDescent="0.2">
      <c r="A47" s="15">
        <v>41699</v>
      </c>
      <c r="B47" s="14">
        <v>51.3</v>
      </c>
      <c r="C47" s="14">
        <f>Table13468111214151617181920222324[[#This Row],[PMI]]-B46</f>
        <v>-1.2000000000000028</v>
      </c>
    </row>
    <row r="48" spans="1:3" x14ac:dyDescent="0.2">
      <c r="A48" s="15">
        <v>41730</v>
      </c>
      <c r="B48" s="14">
        <v>51.3</v>
      </c>
      <c r="C48" s="14">
        <f>Table13468111214151617181920222324[[#This Row],[PMI]]-B47</f>
        <v>0</v>
      </c>
    </row>
    <row r="49" spans="1:3" x14ac:dyDescent="0.2">
      <c r="A49" s="15">
        <v>41760</v>
      </c>
      <c r="B49" s="14">
        <v>51.4</v>
      </c>
      <c r="C49" s="14">
        <f>Table13468111214151617181920222324[[#This Row],[PMI]]-B48</f>
        <v>0.10000000000000142</v>
      </c>
    </row>
    <row r="50" spans="1:3" x14ac:dyDescent="0.2">
      <c r="A50" s="15">
        <v>41791</v>
      </c>
      <c r="B50" s="14">
        <v>51.5</v>
      </c>
      <c r="C50" s="14">
        <f>Table13468111214151617181920222324[[#This Row],[PMI]]-B49</f>
        <v>0.10000000000000142</v>
      </c>
    </row>
    <row r="51" spans="1:3" x14ac:dyDescent="0.2">
      <c r="A51" s="15">
        <v>41821</v>
      </c>
      <c r="B51" s="14">
        <v>53</v>
      </c>
      <c r="C51" s="14">
        <f>Table13468111214151617181920222324[[#This Row],[PMI]]-B50</f>
        <v>1.5</v>
      </c>
    </row>
    <row r="52" spans="1:3" x14ac:dyDescent="0.2">
      <c r="A52" s="15">
        <v>41852</v>
      </c>
      <c r="B52" s="14">
        <v>52.4</v>
      </c>
      <c r="C52" s="14">
        <f>Table13468111214151617181920222324[[#This Row],[PMI]]-B51</f>
        <v>-0.60000000000000142</v>
      </c>
    </row>
    <row r="53" spans="1:3" x14ac:dyDescent="0.2">
      <c r="A53" s="15">
        <v>41883</v>
      </c>
      <c r="B53" s="14">
        <v>51</v>
      </c>
      <c r="C53" s="14">
        <f>Table13468111214151617181920222324[[#This Row],[PMI]]-B52</f>
        <v>-1.3999999999999986</v>
      </c>
    </row>
    <row r="54" spans="1:3" x14ac:dyDescent="0.2">
      <c r="A54" s="15">
        <v>41913</v>
      </c>
      <c r="B54" s="14">
        <v>51.6</v>
      </c>
      <c r="C54" s="14">
        <f>Table13468111214151617181920222324[[#This Row],[PMI]]-B53</f>
        <v>0.60000000000000142</v>
      </c>
    </row>
    <row r="55" spans="1:3" x14ac:dyDescent="0.2">
      <c r="A55" s="15">
        <v>41944</v>
      </c>
      <c r="B55" s="14">
        <v>53.3</v>
      </c>
      <c r="C55" s="14">
        <f>Table13468111214151617181920222324[[#This Row],[PMI]]-B54</f>
        <v>1.6999999999999957</v>
      </c>
    </row>
    <row r="56" spans="1:3" x14ac:dyDescent="0.2">
      <c r="A56" s="15">
        <v>41974</v>
      </c>
      <c r="B56" s="14">
        <v>54.5</v>
      </c>
      <c r="C56" s="14">
        <f>Table13468111214151617181920222324[[#This Row],[PMI]]-B55</f>
        <v>1.2000000000000028</v>
      </c>
    </row>
    <row r="57" spans="1:3" x14ac:dyDescent="0.2">
      <c r="A57" s="15">
        <v>42005</v>
      </c>
      <c r="B57" s="14">
        <v>52.9</v>
      </c>
      <c r="C57" s="14">
        <f>Table13468111214151617181920222324[[#This Row],[PMI]]-B56</f>
        <v>-1.6000000000000014</v>
      </c>
    </row>
    <row r="58" spans="1:3" x14ac:dyDescent="0.2">
      <c r="A58" s="15">
        <v>42036</v>
      </c>
      <c r="B58" s="14">
        <v>51.2</v>
      </c>
      <c r="C58" s="14">
        <f>Table13468111214151617181920222324[[#This Row],[PMI]]-B57</f>
        <v>-1.6999999999999957</v>
      </c>
    </row>
    <row r="59" spans="1:3" x14ac:dyDescent="0.2">
      <c r="A59" s="15">
        <v>42064</v>
      </c>
      <c r="B59" s="14">
        <v>52.1</v>
      </c>
      <c r="C59" s="14">
        <f>Table13468111214151617181920222324[[#This Row],[PMI]]-B58</f>
        <v>0.89999999999999858</v>
      </c>
    </row>
    <row r="60" spans="1:3" x14ac:dyDescent="0.2">
      <c r="A60" s="15">
        <v>42095</v>
      </c>
      <c r="B60" s="14">
        <v>51.3</v>
      </c>
      <c r="C60" s="14">
        <f>Table13468111214151617181920222324[[#This Row],[PMI]]-B59</f>
        <v>-0.80000000000000426</v>
      </c>
    </row>
    <row r="61" spans="1:3" x14ac:dyDescent="0.2">
      <c r="A61" s="15">
        <v>42125</v>
      </c>
      <c r="B61" s="14">
        <v>52.6</v>
      </c>
      <c r="C61" s="14">
        <f>Table13468111214151617181920222324[[#This Row],[PMI]]-B60</f>
        <v>1.3000000000000043</v>
      </c>
    </row>
    <row r="62" spans="1:3" x14ac:dyDescent="0.2">
      <c r="A62" s="15">
        <v>42156</v>
      </c>
      <c r="B62" s="14">
        <v>51.3</v>
      </c>
      <c r="C62" s="14">
        <f>Table13468111214151617181920222324[[#This Row],[PMI]]-B61</f>
        <v>-1.3000000000000043</v>
      </c>
    </row>
    <row r="63" spans="1:3" x14ac:dyDescent="0.2">
      <c r="A63" s="15">
        <v>42186</v>
      </c>
      <c r="B63" s="14">
        <v>52.7</v>
      </c>
      <c r="C63" s="14">
        <f>Table13468111214151617181920222324[[#This Row],[PMI]]-B62</f>
        <v>1.4000000000000057</v>
      </c>
    </row>
    <row r="64" spans="1:3" x14ac:dyDescent="0.2">
      <c r="A64" s="15">
        <v>42217</v>
      </c>
      <c r="B64" s="14">
        <v>52.3</v>
      </c>
      <c r="C64" s="14">
        <f>Table13468111214151617181920222324[[#This Row],[PMI]]-B63</f>
        <v>-0.40000000000000568</v>
      </c>
    </row>
    <row r="65" spans="1:3" x14ac:dyDescent="0.2">
      <c r="A65" s="15">
        <v>42248</v>
      </c>
      <c r="B65" s="14">
        <v>51.2</v>
      </c>
      <c r="C65" s="14">
        <f>Table13468111214151617181920222324[[#This Row],[PMI]]-B64</f>
        <v>-1.0999999999999943</v>
      </c>
    </row>
    <row r="66" spans="1:3" x14ac:dyDescent="0.2">
      <c r="A66" s="15">
        <v>42278</v>
      </c>
      <c r="B66" s="14">
        <v>50.7</v>
      </c>
      <c r="C66" s="14">
        <f>Table13468111214151617181920222324[[#This Row],[PMI]]-B65</f>
        <v>-0.5</v>
      </c>
    </row>
    <row r="67" spans="1:3" x14ac:dyDescent="0.2">
      <c r="A67" s="15">
        <v>42309</v>
      </c>
      <c r="B67" s="14">
        <v>50.3</v>
      </c>
      <c r="C67" s="14">
        <f>Table13468111214151617181920222324[[#This Row],[PMI]]-B66</f>
        <v>-0.40000000000000568</v>
      </c>
    </row>
    <row r="68" spans="1:3" x14ac:dyDescent="0.2">
      <c r="A68" s="15">
        <v>42339</v>
      </c>
      <c r="B68" s="14">
        <v>49.1</v>
      </c>
      <c r="C68" s="14">
        <f>Table13468111214151617181920222324[[#This Row],[PMI]]-B67</f>
        <v>-1.1999999999999957</v>
      </c>
    </row>
    <row r="69" spans="1:3" x14ac:dyDescent="0.2">
      <c r="A69" s="15">
        <v>42370</v>
      </c>
      <c r="B69" s="14">
        <v>51.1</v>
      </c>
      <c r="C69" s="14">
        <f>Table13468111214151617181920222324[[#This Row],[PMI]]-B68</f>
        <v>2</v>
      </c>
    </row>
    <row r="70" spans="1:3" x14ac:dyDescent="0.2">
      <c r="A70" s="15">
        <v>42401</v>
      </c>
      <c r="B70" s="14">
        <v>51.1</v>
      </c>
      <c r="C70" s="14">
        <f>Table13468111214151617181920222324[[#This Row],[PMI]]-B69</f>
        <v>0</v>
      </c>
    </row>
    <row r="71" spans="1:3" x14ac:dyDescent="0.2">
      <c r="A71" s="15">
        <v>42430</v>
      </c>
      <c r="B71" s="14">
        <v>52.4</v>
      </c>
      <c r="C71" s="14">
        <f>Table13468111214151617181920222324[[#This Row],[PMI]]-B70</f>
        <v>1.2999999999999972</v>
      </c>
    </row>
    <row r="72" spans="1:3" x14ac:dyDescent="0.2">
      <c r="A72" s="15">
        <v>42461</v>
      </c>
      <c r="B72" s="14">
        <v>50.5</v>
      </c>
      <c r="C72" s="14">
        <f>Table13468111214151617181920222324[[#This Row],[PMI]]-B71</f>
        <v>-1.8999999999999986</v>
      </c>
    </row>
    <row r="73" spans="1:3" x14ac:dyDescent="0.2">
      <c r="A73" s="15">
        <v>42491</v>
      </c>
      <c r="B73" s="14">
        <v>50.7</v>
      </c>
      <c r="C73" s="14">
        <f>Table13468111214151617181920222324[[#This Row],[PMI]]-B72</f>
        <v>0.20000000000000284</v>
      </c>
    </row>
    <row r="74" spans="1:3" x14ac:dyDescent="0.2">
      <c r="A74" s="15">
        <v>42522</v>
      </c>
      <c r="B74" s="14">
        <v>51.7</v>
      </c>
      <c r="C74" s="14">
        <f>Table13468111214151617181920222324[[#This Row],[PMI]]-B73</f>
        <v>1</v>
      </c>
    </row>
    <row r="75" spans="1:3" x14ac:dyDescent="0.2">
      <c r="A75" s="15">
        <v>42552</v>
      </c>
      <c r="B75" s="14">
        <v>51.8</v>
      </c>
      <c r="C75" s="14">
        <f>Table13468111214151617181920222324[[#This Row],[PMI]]-B74</f>
        <v>9.9999999999994316E-2</v>
      </c>
    </row>
    <row r="76" spans="1:3" x14ac:dyDescent="0.2">
      <c r="A76" s="15">
        <v>42583</v>
      </c>
      <c r="B76" s="14">
        <v>52.6</v>
      </c>
      <c r="C76" s="14">
        <f>Table13468111214151617181920222324[[#This Row],[PMI]]-B75</f>
        <v>0.80000000000000426</v>
      </c>
    </row>
    <row r="77" spans="1:3" x14ac:dyDescent="0.2">
      <c r="A77" s="15">
        <v>42614</v>
      </c>
      <c r="B77" s="14">
        <v>52.1</v>
      </c>
      <c r="C77" s="14">
        <f>Table13468111214151617181920222324[[#This Row],[PMI]]-B76</f>
        <v>-0.5</v>
      </c>
    </row>
    <row r="78" spans="1:3" x14ac:dyDescent="0.2">
      <c r="A78" s="15">
        <v>42644</v>
      </c>
      <c r="B78" s="14">
        <v>54.4</v>
      </c>
      <c r="C78" s="14">
        <f>Table13468111214151617181920222324[[#This Row],[PMI]]-B77</f>
        <v>2.2999999999999972</v>
      </c>
    </row>
    <row r="79" spans="1:3" x14ac:dyDescent="0.2">
      <c r="A79" s="15">
        <v>42675</v>
      </c>
      <c r="B79" s="14">
        <v>52.3</v>
      </c>
      <c r="C79" s="14">
        <f>Table13468111214151617181920222324[[#This Row],[PMI]]-B78</f>
        <v>-2.1000000000000014</v>
      </c>
    </row>
    <row r="80" spans="1:3" x14ac:dyDescent="0.2">
      <c r="A80" s="15">
        <v>42705</v>
      </c>
      <c r="B80" s="14">
        <v>49.6</v>
      </c>
      <c r="C80" s="14">
        <f>Table13468111214151617181920222324[[#This Row],[PMI]]-B79</f>
        <v>-2.6999999999999957</v>
      </c>
    </row>
    <row r="81" spans="1:3" x14ac:dyDescent="0.2">
      <c r="A81" s="15">
        <v>42736</v>
      </c>
      <c r="B81" s="14">
        <v>50.4</v>
      </c>
      <c r="C81" s="14">
        <f>Table13468111214151617181920222324[[#This Row],[PMI]]-B80</f>
        <v>0.79999999999999716</v>
      </c>
    </row>
    <row r="82" spans="1:3" x14ac:dyDescent="0.2">
      <c r="A82" s="15">
        <v>42767</v>
      </c>
      <c r="B82" s="14">
        <v>50.7</v>
      </c>
      <c r="C82" s="14">
        <f>Table13468111214151617181920222324[[#This Row],[PMI]]-B81</f>
        <v>0.30000000000000426</v>
      </c>
    </row>
    <row r="83" spans="1:3" x14ac:dyDescent="0.2">
      <c r="A83" s="15">
        <v>42795</v>
      </c>
      <c r="B83" s="14">
        <v>52.5</v>
      </c>
      <c r="C83" s="14">
        <f>Table13468111214151617181920222324[[#This Row],[PMI]]-B82</f>
        <v>1.7999999999999972</v>
      </c>
    </row>
    <row r="84" spans="1:3" x14ac:dyDescent="0.2">
      <c r="A84" s="15">
        <v>42826</v>
      </c>
      <c r="B84" s="14">
        <v>52.5</v>
      </c>
      <c r="C84" s="14">
        <f>Table13468111214151617181920222324[[#This Row],[PMI]]-B83</f>
        <v>0</v>
      </c>
    </row>
    <row r="85" spans="1:3" x14ac:dyDescent="0.2">
      <c r="A85" s="15">
        <v>42856</v>
      </c>
      <c r="B85" s="14">
        <v>51.6</v>
      </c>
      <c r="C85" s="14">
        <f>Table13468111214151617181920222324[[#This Row],[PMI]]-B84</f>
        <v>-0.89999999999999858</v>
      </c>
    </row>
    <row r="86" spans="1:3" x14ac:dyDescent="0.2">
      <c r="A86" s="15">
        <v>42887</v>
      </c>
      <c r="B86" s="14">
        <v>50.9</v>
      </c>
      <c r="C86" s="14">
        <f>Table13468111214151617181920222324[[#This Row],[PMI]]-B85</f>
        <v>-0.70000000000000284</v>
      </c>
    </row>
    <row r="87" spans="1:3" x14ac:dyDescent="0.2">
      <c r="A87" s="15">
        <v>42917</v>
      </c>
      <c r="B87" s="14">
        <v>47.9</v>
      </c>
      <c r="C87" s="14">
        <f>Table13468111214151617181920222324[[#This Row],[PMI]]-B86</f>
        <v>-3</v>
      </c>
    </row>
    <row r="88" spans="1:3" x14ac:dyDescent="0.2">
      <c r="A88" s="15">
        <v>42948</v>
      </c>
      <c r="B88" s="14">
        <v>51.2</v>
      </c>
      <c r="C88" s="14">
        <f>Table13468111214151617181920222324[[#This Row],[PMI]]-B87</f>
        <v>3.3000000000000043</v>
      </c>
    </row>
    <row r="89" spans="1:3" x14ac:dyDescent="0.2">
      <c r="A89" s="15">
        <v>42979</v>
      </c>
      <c r="B89" s="14">
        <v>51.2</v>
      </c>
      <c r="C89" s="14">
        <f>Table13468111214151617181920222324[[#This Row],[PMI]]-B88</f>
        <v>0</v>
      </c>
    </row>
    <row r="90" spans="1:3" x14ac:dyDescent="0.2">
      <c r="A90" s="15">
        <v>43009</v>
      </c>
      <c r="B90" s="14">
        <v>50.3</v>
      </c>
      <c r="C90" s="14">
        <f>Table13468111214151617181920222324[[#This Row],[PMI]]-B89</f>
        <v>-0.90000000000000568</v>
      </c>
    </row>
    <row r="91" spans="1:3" x14ac:dyDescent="0.2">
      <c r="A91" s="15">
        <v>43040</v>
      </c>
      <c r="B91" s="14">
        <v>52.6</v>
      </c>
      <c r="C91" s="14">
        <f>Table13468111214151617181920222324[[#This Row],[PMI]]-B90</f>
        <v>2.3000000000000043</v>
      </c>
    </row>
    <row r="92" spans="1:3" x14ac:dyDescent="0.2">
      <c r="A92" s="15">
        <v>43070</v>
      </c>
      <c r="B92" s="14">
        <v>54.7</v>
      </c>
      <c r="C92" s="14">
        <f>Table13468111214151617181920222324[[#This Row],[PMI]]-B91</f>
        <v>2.1000000000000014</v>
      </c>
    </row>
    <row r="93" spans="1:3" x14ac:dyDescent="0.2">
      <c r="A93" s="15">
        <v>43101</v>
      </c>
      <c r="B93" s="14">
        <v>52.4</v>
      </c>
      <c r="C93" s="14">
        <f>Table13468111214151617181920222324[[#This Row],[PMI]]-B92</f>
        <v>-2.3000000000000043</v>
      </c>
    </row>
    <row r="94" spans="1:3" x14ac:dyDescent="0.2">
      <c r="A94" s="15">
        <v>43132</v>
      </c>
      <c r="B94" s="14">
        <v>52.1</v>
      </c>
      <c r="C94" s="14">
        <f>Table13468111214151617181920222324[[#This Row],[PMI]]-B93</f>
        <v>-0.29999999999999716</v>
      </c>
    </row>
    <row r="95" spans="1:3" x14ac:dyDescent="0.2">
      <c r="A95" s="15">
        <v>43160</v>
      </c>
      <c r="B95" s="14">
        <v>51</v>
      </c>
      <c r="C95" s="14">
        <f>Table13468111214151617181920222324[[#This Row],[PMI]]-B94</f>
        <v>-1.1000000000000014</v>
      </c>
    </row>
    <row r="96" spans="1:3" x14ac:dyDescent="0.2">
      <c r="A96" s="15">
        <v>43191</v>
      </c>
      <c r="B96" s="14">
        <v>51.6</v>
      </c>
      <c r="C96" s="14">
        <f>Table13468111214151617181920222324[[#This Row],[PMI]]-B95</f>
        <v>0.60000000000000142</v>
      </c>
    </row>
    <row r="97" spans="1:3" x14ac:dyDescent="0.2">
      <c r="A97" s="15">
        <v>43221</v>
      </c>
      <c r="B97" s="14">
        <v>51.2</v>
      </c>
      <c r="C97" s="14">
        <f>Table13468111214151617181920222324[[#This Row],[PMI]]-B96</f>
        <v>-0.39999999999999858</v>
      </c>
    </row>
    <row r="98" spans="1:3" x14ac:dyDescent="0.2">
      <c r="A98" s="15">
        <v>43252</v>
      </c>
      <c r="B98" s="14">
        <v>53.1</v>
      </c>
      <c r="C98" s="14">
        <f>Table13468111214151617181920222324[[#This Row],[PMI]]-B97</f>
        <v>1.8999999999999986</v>
      </c>
    </row>
    <row r="99" spans="1:3" x14ac:dyDescent="0.2">
      <c r="A99" s="15">
        <v>43282</v>
      </c>
      <c r="B99" s="14">
        <v>52.3</v>
      </c>
      <c r="C99" s="14">
        <f>Table13468111214151617181920222324[[#This Row],[PMI]]-B98</f>
        <v>-0.80000000000000426</v>
      </c>
    </row>
    <row r="100" spans="1:3" x14ac:dyDescent="0.2">
      <c r="A100" s="15">
        <v>43313</v>
      </c>
      <c r="B100" s="14">
        <v>51.7</v>
      </c>
      <c r="C100" s="14">
        <f>Table13468111214151617181920222324[[#This Row],[PMI]]-B99</f>
        <v>-0.59999999999999432</v>
      </c>
    </row>
    <row r="101" spans="1:3" x14ac:dyDescent="0.2">
      <c r="A101" s="15">
        <v>43344</v>
      </c>
      <c r="B101" s="14">
        <v>52.2</v>
      </c>
      <c r="C101" s="14">
        <f>Table13468111214151617181920222324[[#This Row],[PMI]]-B100</f>
        <v>0.5</v>
      </c>
    </row>
    <row r="102" spans="1:3" x14ac:dyDescent="0.2">
      <c r="A102" s="15">
        <v>43374</v>
      </c>
      <c r="B102" s="14">
        <v>53.1</v>
      </c>
      <c r="C102" s="14">
        <f>Table13468111214151617181920222324[[#This Row],[PMI]]-B101</f>
        <v>0.89999999999999858</v>
      </c>
    </row>
    <row r="103" spans="1:3" x14ac:dyDescent="0.2">
      <c r="A103" s="15">
        <v>43405</v>
      </c>
      <c r="B103" s="14">
        <v>54</v>
      </c>
      <c r="C103" s="14">
        <f>Table13468111214151617181920222324[[#This Row],[PMI]]-B102</f>
        <v>0.89999999999999858</v>
      </c>
    </row>
    <row r="104" spans="1:3" x14ac:dyDescent="0.2">
      <c r="A104" s="15">
        <v>43435</v>
      </c>
      <c r="B104" s="14">
        <v>53.2</v>
      </c>
      <c r="C104" s="14">
        <f>Table13468111214151617181920222324[[#This Row],[PMI]]-B103</f>
        <v>-0.79999999999999716</v>
      </c>
    </row>
    <row r="105" spans="1:3" x14ac:dyDescent="0.2">
      <c r="A105" s="15">
        <v>43466</v>
      </c>
      <c r="B105" s="14">
        <v>53.9</v>
      </c>
      <c r="C105" s="14">
        <f>Table13468111214151617181920222324[[#This Row],[PMI]]-B104</f>
        <v>0.69999999999999574</v>
      </c>
    </row>
    <row r="106" spans="1:3" x14ac:dyDescent="0.2">
      <c r="A106" s="15">
        <v>43497</v>
      </c>
      <c r="B106" s="14">
        <v>54.3</v>
      </c>
      <c r="C106" s="14">
        <f>Table13468111214151617181920222324[[#This Row],[PMI]]-B105</f>
        <v>0.39999999999999858</v>
      </c>
    </row>
    <row r="107" spans="1:3" x14ac:dyDescent="0.2">
      <c r="A107" s="15">
        <v>43525</v>
      </c>
      <c r="B107" s="14">
        <v>52.6</v>
      </c>
      <c r="C107" s="30">
        <f>Table13468111214151617181920222324[[#This Row],[PMI]]-B106</f>
        <v>-1.6999999999999957</v>
      </c>
    </row>
    <row r="108" spans="1:3" x14ac:dyDescent="0.2">
      <c r="A108" s="15">
        <v>43556</v>
      </c>
      <c r="B108" s="14">
        <v>51.8</v>
      </c>
      <c r="C108" s="30">
        <f>Table13468111214151617181920222324[[#This Row],[PMI]]-B107</f>
        <v>-0.80000000000000426</v>
      </c>
    </row>
    <row r="109" spans="1:3" x14ac:dyDescent="0.2">
      <c r="A109" s="15">
        <v>43586</v>
      </c>
      <c r="B109" s="14">
        <v>52.7</v>
      </c>
      <c r="C109" s="30">
        <f>Table13468111214151617181920222324[[#This Row],[PMI]]-B108</f>
        <v>0.90000000000000568</v>
      </c>
    </row>
    <row r="110" spans="1:3" x14ac:dyDescent="0.2">
      <c r="A110" s="15">
        <v>43617</v>
      </c>
      <c r="B110" s="14">
        <v>52.1</v>
      </c>
      <c r="C110" s="30">
        <f>Table13468111214151617181920222324[[#This Row],[PMI]]-B109</f>
        <v>-0.60000000000000142</v>
      </c>
    </row>
    <row r="111" spans="1:3" x14ac:dyDescent="0.2">
      <c r="A111" s="15">
        <v>43647</v>
      </c>
      <c r="B111" s="14">
        <v>52.5</v>
      </c>
      <c r="C111" s="30">
        <f>Table13468111214151617181920222324[[#This Row],[PMI]]-B110</f>
        <v>0.39999999999999858</v>
      </c>
    </row>
    <row r="112" spans="1:3" x14ac:dyDescent="0.2">
      <c r="A112" s="15">
        <v>43678</v>
      </c>
      <c r="B112" s="14">
        <v>51.4</v>
      </c>
      <c r="C112" s="30">
        <f>Table13468111214151617181920222324[[#This Row],[PMI]]-B111</f>
        <v>-1.1000000000000014</v>
      </c>
    </row>
    <row r="113" spans="1:3" x14ac:dyDescent="0.2">
      <c r="A113" s="15">
        <v>43709</v>
      </c>
      <c r="B113" s="14">
        <v>51.4</v>
      </c>
      <c r="C113" s="30">
        <f>Table13468111214151617181920222324[[#This Row],[PMI]]-B112</f>
        <v>0</v>
      </c>
    </row>
    <row r="114" spans="1:3" x14ac:dyDescent="0.2">
      <c r="A114" s="15">
        <v>43739</v>
      </c>
      <c r="B114" s="14">
        <v>50.6</v>
      </c>
      <c r="C114" s="30">
        <f>Table13468111214151617181920222324[[#This Row],[PMI]]-B113</f>
        <v>-0.79999999999999716</v>
      </c>
    </row>
    <row r="115" spans="1:3" x14ac:dyDescent="0.2">
      <c r="A115" s="15">
        <v>43770</v>
      </c>
      <c r="B115" s="14">
        <v>51.2</v>
      </c>
      <c r="C115" s="30">
        <f>Table13468111214151617181920222324[[#This Row],[PMI]]-B114</f>
        <v>0.60000000000000142</v>
      </c>
    </row>
    <row r="116" spans="1:3" x14ac:dyDescent="0.2">
      <c r="A116" s="15">
        <v>43800</v>
      </c>
      <c r="B116" s="14">
        <v>52.7</v>
      </c>
      <c r="C116" s="30">
        <f>Table13468111214151617181920222324[[#This Row],[PMI]]-B115</f>
        <v>1.5</v>
      </c>
    </row>
    <row r="117" spans="1:3" x14ac:dyDescent="0.2">
      <c r="A117" s="15">
        <v>43831</v>
      </c>
      <c r="B117" s="14">
        <v>55.3</v>
      </c>
      <c r="C117" s="30">
        <f>Table13468111214151617181920222324[[#This Row],[PMI]]-B116</f>
        <v>2.5999999999999943</v>
      </c>
    </row>
    <row r="118" spans="1:3" x14ac:dyDescent="0.2">
      <c r="A118" s="15">
        <v>43862</v>
      </c>
      <c r="B118" s="14">
        <v>54.5</v>
      </c>
      <c r="C118" s="30">
        <f>Table13468111214151617181920222324[[#This Row],[PMI]]-B117</f>
        <v>-0.79999999999999716</v>
      </c>
    </row>
    <row r="119" spans="1:3" x14ac:dyDescent="0.2">
      <c r="A119" s="15">
        <v>43891</v>
      </c>
      <c r="B119" s="14">
        <v>51.8</v>
      </c>
      <c r="C119" s="30">
        <f>Table13468111214151617181920222324[[#This Row],[PMI]]-B118</f>
        <v>-2.7000000000000028</v>
      </c>
    </row>
    <row r="120" spans="1:3" x14ac:dyDescent="0.2">
      <c r="A120" s="15">
        <v>43922</v>
      </c>
      <c r="B120" s="14">
        <v>27.4</v>
      </c>
      <c r="C120" s="30">
        <f>Table13468111214151617181920222324[[#This Row],[PMI]]-B119</f>
        <v>-24.4</v>
      </c>
    </row>
    <row r="121" spans="1:3" x14ac:dyDescent="0.2">
      <c r="A121" s="15">
        <v>43952</v>
      </c>
      <c r="B121" s="14">
        <v>30.8</v>
      </c>
      <c r="C121" s="30">
        <f>Table13468111214151617181920222324[[#This Row],[PMI]]-B120</f>
        <v>3.4000000000000021</v>
      </c>
    </row>
    <row r="122" spans="1:3" x14ac:dyDescent="0.2">
      <c r="A122" s="15">
        <v>43983</v>
      </c>
      <c r="B122" s="14">
        <v>47.2</v>
      </c>
      <c r="C122" s="30">
        <f>Table13468111214151617181920222324[[#This Row],[PMI]]-B121</f>
        <v>16.400000000000002</v>
      </c>
    </row>
    <row r="123" spans="1:3" x14ac:dyDescent="0.2">
      <c r="A123" s="15">
        <v>44013</v>
      </c>
      <c r="B123" s="14">
        <v>46</v>
      </c>
      <c r="C123" s="30">
        <f>Table13468111214151617181920222324[[#This Row],[PMI]]-B122</f>
        <v>-1.2000000000000028</v>
      </c>
    </row>
    <row r="124" spans="1:3" x14ac:dyDescent="0.2">
      <c r="A124" s="15">
        <v>44044</v>
      </c>
      <c r="B124" s="14">
        <v>52</v>
      </c>
      <c r="C124" s="30">
        <f>Table13468111214151617181920222324[[#This Row],[PMI]]-B123</f>
        <v>6</v>
      </c>
    </row>
    <row r="125" spans="1:3" x14ac:dyDescent="0.2">
      <c r="A125" s="15">
        <v>44075</v>
      </c>
      <c r="B125" s="14">
        <v>56.8</v>
      </c>
      <c r="C125" s="30">
        <f>Table13468111214151617181920222324[[#This Row],[PMI]]-B124</f>
        <v>4.7999999999999972</v>
      </c>
    </row>
    <row r="126" spans="1:3" x14ac:dyDescent="0.2">
      <c r="A126" s="15">
        <v>44105</v>
      </c>
      <c r="B126" s="14">
        <v>58.9</v>
      </c>
      <c r="C126" s="30">
        <f>Table13468111214151617181920222324[[#This Row],[PMI]]-B125</f>
        <v>2.1000000000000014</v>
      </c>
    </row>
    <row r="127" spans="1:3" x14ac:dyDescent="0.2">
      <c r="A127" s="15">
        <v>44136</v>
      </c>
      <c r="B127" s="14">
        <v>56.3</v>
      </c>
      <c r="C127" s="30">
        <f>Table13468111214151617181920222324[[#This Row],[PMI]]-B126</f>
        <v>-2.6000000000000014</v>
      </c>
    </row>
    <row r="128" spans="1:3" x14ac:dyDescent="0.2">
      <c r="A128" s="15">
        <v>44166</v>
      </c>
      <c r="B128" s="14">
        <v>56.4</v>
      </c>
      <c r="C128" s="30">
        <f>Table13468111214151617181920222324[[#This Row],[PMI]]-B127</f>
        <v>0.10000000000000142</v>
      </c>
    </row>
    <row r="129" spans="1:3" x14ac:dyDescent="0.2">
      <c r="A129" s="15">
        <v>44197</v>
      </c>
      <c r="B129" s="14">
        <v>57.7</v>
      </c>
      <c r="C129" s="30">
        <f>Table13468111214151617181920222324[[#This Row],[PMI]]-B128</f>
        <v>1.3000000000000043</v>
      </c>
    </row>
    <row r="130" spans="1:3" x14ac:dyDescent="0.2">
      <c r="A130" s="15">
        <v>44228</v>
      </c>
      <c r="B130" s="14">
        <v>57.5</v>
      </c>
      <c r="C130" s="30">
        <f>Table13468111214151617181920222324[[#This Row],[PMI]]-B129</f>
        <v>-0.20000000000000284</v>
      </c>
    </row>
    <row r="131" spans="1:3" x14ac:dyDescent="0.2">
      <c r="A131" s="15">
        <v>44256</v>
      </c>
      <c r="B131" s="14">
        <v>55.4</v>
      </c>
      <c r="C131" s="30">
        <f>Table13468111214151617181920222324[[#This Row],[PMI]]-B130</f>
        <v>-2.1000000000000014</v>
      </c>
    </row>
    <row r="132" spans="1:3" x14ac:dyDescent="0.2">
      <c r="A132" s="15">
        <v>44287</v>
      </c>
      <c r="B132" s="14">
        <v>55.5</v>
      </c>
      <c r="C132" s="30">
        <f>Table13468111214151617181920222324[[#This Row],[PMI]]-B131</f>
        <v>0.10000000000000142</v>
      </c>
    </row>
    <row r="133" spans="1:3" x14ac:dyDescent="0.2">
      <c r="A133" s="15">
        <v>44317</v>
      </c>
      <c r="B133" s="14">
        <v>50.8</v>
      </c>
      <c r="C133" s="30">
        <f>Table13468111214151617181920222324[[#This Row],[PMI]]-B132</f>
        <v>-4.7000000000000028</v>
      </c>
    </row>
    <row r="134" spans="1:3" x14ac:dyDescent="0.2">
      <c r="A134" s="15">
        <v>44348</v>
      </c>
      <c r="B134" s="14">
        <v>48.1</v>
      </c>
      <c r="C134" s="30">
        <f>Table13468111214151617181920222324[[#This Row],[PMI]]-B133</f>
        <v>-2.6999999999999957</v>
      </c>
    </row>
    <row r="135" spans="1:3" x14ac:dyDescent="0.2">
      <c r="A135" s="15">
        <v>44378</v>
      </c>
      <c r="B135" s="14">
        <v>55.3</v>
      </c>
      <c r="C135" s="30">
        <f>Table13468111214151617181920222324[[#This Row],[PMI]]-B134</f>
        <v>7.1999999999999957</v>
      </c>
    </row>
    <row r="136" spans="1:3" x14ac:dyDescent="0.2">
      <c r="A136" s="15">
        <v>44409</v>
      </c>
      <c r="B136" s="14">
        <v>52.3</v>
      </c>
      <c r="C136" s="30">
        <f>Table13468111214151617181920222324[[#This Row],[PMI]]-B135</f>
        <v>-3</v>
      </c>
    </row>
    <row r="137" spans="1:3" x14ac:dyDescent="0.2">
      <c r="A137" s="15">
        <v>44440</v>
      </c>
      <c r="B137" s="14">
        <v>53.7</v>
      </c>
      <c r="C137" s="30">
        <f>Table13468111214151617181920222324[[#This Row],[PMI]]-B136</f>
        <v>1.4000000000000057</v>
      </c>
    </row>
    <row r="138" spans="1:3" x14ac:dyDescent="0.2">
      <c r="A138" s="15">
        <v>44470</v>
      </c>
      <c r="B138" s="14">
        <v>55.9</v>
      </c>
      <c r="C138" s="30">
        <f>Table13468111214151617181920222324[[#This Row],[PMI]]-B137</f>
        <v>2.1999999999999957</v>
      </c>
    </row>
    <row r="139" spans="1:3" x14ac:dyDescent="0.2">
      <c r="A139" s="15">
        <v>44501</v>
      </c>
      <c r="B139" s="14">
        <v>57.6</v>
      </c>
      <c r="C139" s="30">
        <f>Table13468111214151617181920222324[[#This Row],[PMI]]-B138</f>
        <v>1.7000000000000028</v>
      </c>
    </row>
    <row r="140" spans="1:3" x14ac:dyDescent="0.2">
      <c r="A140" s="15">
        <v>44531</v>
      </c>
      <c r="B140" s="14">
        <v>55.5</v>
      </c>
      <c r="C140" s="30">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6634D-93FC-40A9-8928-25DADECB7810}">
  <dimension ref="A1:K134"/>
  <sheetViews>
    <sheetView zoomScale="180" zoomScaleNormal="180" workbookViewId="0">
      <pane ySplit="5" topLeftCell="A98"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26</v>
      </c>
      <c r="K1" s="10" t="s">
        <v>21</v>
      </c>
    </row>
    <row r="2" spans="1:11" x14ac:dyDescent="0.2">
      <c r="K2" s="10" t="str">
        <f>A1&amp;K1</f>
        <v>Canada Manufacturing PMI</v>
      </c>
    </row>
    <row r="4" spans="1:11" ht="16" thickBot="1" x14ac:dyDescent="0.25"/>
    <row r="5" spans="1:11" ht="16" thickBot="1" x14ac:dyDescent="0.25">
      <c r="A5" s="27" t="s">
        <v>10</v>
      </c>
      <c r="B5" s="28" t="s">
        <v>11</v>
      </c>
      <c r="C5" s="28" t="s">
        <v>14</v>
      </c>
    </row>
    <row r="6" spans="1:11" x14ac:dyDescent="0.2">
      <c r="A6" s="23">
        <v>40634</v>
      </c>
      <c r="B6" s="24">
        <v>56.3</v>
      </c>
      <c r="C6" s="24"/>
    </row>
    <row r="7" spans="1:11" x14ac:dyDescent="0.2">
      <c r="A7" s="15">
        <v>40664</v>
      </c>
      <c r="B7" s="14">
        <v>54.8</v>
      </c>
      <c r="C7" s="14">
        <f>Table13468[[#This Row],[PMI]]-B6</f>
        <v>-1.5</v>
      </c>
    </row>
    <row r="8" spans="1:11" x14ac:dyDescent="0.2">
      <c r="A8" s="15">
        <v>40695</v>
      </c>
      <c r="B8" s="14">
        <v>52.8</v>
      </c>
      <c r="C8" s="14">
        <f>Table13468[[#This Row],[PMI]]-B7</f>
        <v>-2</v>
      </c>
    </row>
    <row r="9" spans="1:11" x14ac:dyDescent="0.2">
      <c r="A9" s="15">
        <v>40725</v>
      </c>
      <c r="B9" s="14">
        <v>53.1</v>
      </c>
      <c r="C9" s="14">
        <f>Table13468[[#This Row],[PMI]]-B8</f>
        <v>0.30000000000000426</v>
      </c>
    </row>
    <row r="10" spans="1:11" x14ac:dyDescent="0.2">
      <c r="A10" s="15">
        <v>40756</v>
      </c>
      <c r="B10" s="14">
        <v>54.9</v>
      </c>
      <c r="C10" s="14">
        <f>Table13468[[#This Row],[PMI]]-B9</f>
        <v>1.7999999999999972</v>
      </c>
    </row>
    <row r="11" spans="1:11" x14ac:dyDescent="0.2">
      <c r="A11" s="15">
        <v>40787</v>
      </c>
      <c r="B11" s="14">
        <v>55</v>
      </c>
      <c r="C11" s="14">
        <f>Table13468[[#This Row],[PMI]]-B10</f>
        <v>0.10000000000000142</v>
      </c>
    </row>
    <row r="12" spans="1:11" x14ac:dyDescent="0.2">
      <c r="A12" s="15">
        <v>40817</v>
      </c>
      <c r="B12" s="14">
        <v>53.7</v>
      </c>
      <c r="C12" s="14">
        <f>Table13468[[#This Row],[PMI]]-B11</f>
        <v>-1.2999999999999972</v>
      </c>
    </row>
    <row r="13" spans="1:11" x14ac:dyDescent="0.2">
      <c r="A13" s="15">
        <v>40848</v>
      </c>
      <c r="B13" s="14">
        <v>53.3</v>
      </c>
      <c r="C13" s="14">
        <f>Table13468[[#This Row],[PMI]]-B12</f>
        <v>-0.40000000000000568</v>
      </c>
    </row>
    <row r="14" spans="1:11" x14ac:dyDescent="0.2">
      <c r="A14" s="15">
        <v>40878</v>
      </c>
      <c r="B14" s="14">
        <v>54</v>
      </c>
      <c r="C14" s="14">
        <f>Table13468[[#This Row],[PMI]]-B13</f>
        <v>0.70000000000000284</v>
      </c>
    </row>
    <row r="15" spans="1:11" x14ac:dyDescent="0.2">
      <c r="A15" s="15">
        <v>40909</v>
      </c>
      <c r="B15" s="14">
        <v>50.6</v>
      </c>
      <c r="C15" s="14">
        <f>Table13468[[#This Row],[PMI]]-B14</f>
        <v>-3.3999999999999986</v>
      </c>
    </row>
    <row r="16" spans="1:11" x14ac:dyDescent="0.2">
      <c r="A16" s="15">
        <v>40940</v>
      </c>
      <c r="B16" s="14">
        <v>51.8</v>
      </c>
      <c r="C16" s="14">
        <f>Table13468[[#This Row],[PMI]]-B15</f>
        <v>1.1999999999999957</v>
      </c>
    </row>
    <row r="17" spans="1:3" x14ac:dyDescent="0.2">
      <c r="A17" s="15">
        <v>40969</v>
      </c>
      <c r="B17" s="14">
        <v>52.4</v>
      </c>
      <c r="C17" s="14">
        <f>Table13468[[#This Row],[PMI]]-B16</f>
        <v>0.60000000000000142</v>
      </c>
    </row>
    <row r="18" spans="1:3" x14ac:dyDescent="0.2">
      <c r="A18" s="15">
        <v>41000</v>
      </c>
      <c r="B18" s="14">
        <v>53.3</v>
      </c>
      <c r="C18" s="14">
        <f>Table13468[[#This Row],[PMI]]-B17</f>
        <v>0.89999999999999858</v>
      </c>
    </row>
    <row r="19" spans="1:3" x14ac:dyDescent="0.2">
      <c r="A19" s="15">
        <v>41030</v>
      </c>
      <c r="B19" s="14">
        <v>54.7</v>
      </c>
      <c r="C19" s="14">
        <f>Table13468[[#This Row],[PMI]]-B18</f>
        <v>1.4000000000000057</v>
      </c>
    </row>
    <row r="20" spans="1:3" x14ac:dyDescent="0.2">
      <c r="A20" s="15">
        <v>41061</v>
      </c>
      <c r="B20" s="14">
        <v>54.8</v>
      </c>
      <c r="C20" s="14">
        <f>Table13468[[#This Row],[PMI]]-B19</f>
        <v>9.9999999999994316E-2</v>
      </c>
    </row>
    <row r="21" spans="1:3" x14ac:dyDescent="0.2">
      <c r="A21" s="15">
        <v>41091</v>
      </c>
      <c r="B21" s="14">
        <v>53</v>
      </c>
      <c r="C21" s="14">
        <f>Table13468[[#This Row],[PMI]]-B20</f>
        <v>-1.7999999999999972</v>
      </c>
    </row>
    <row r="22" spans="1:3" x14ac:dyDescent="0.2">
      <c r="A22" s="15">
        <v>41122</v>
      </c>
      <c r="B22" s="14">
        <v>53</v>
      </c>
      <c r="C22" s="14">
        <f>Table13468[[#This Row],[PMI]]-B21</f>
        <v>0</v>
      </c>
    </row>
    <row r="23" spans="1:3" x14ac:dyDescent="0.2">
      <c r="A23" s="15">
        <v>41153</v>
      </c>
      <c r="B23" s="14">
        <v>52.4</v>
      </c>
      <c r="C23" s="14">
        <f>Table13468[[#This Row],[PMI]]-B22</f>
        <v>-0.60000000000000142</v>
      </c>
    </row>
    <row r="24" spans="1:3" x14ac:dyDescent="0.2">
      <c r="A24" s="15">
        <v>41183</v>
      </c>
      <c r="B24" s="14">
        <v>51.4</v>
      </c>
      <c r="C24" s="14">
        <f>Table13468[[#This Row],[PMI]]-B23</f>
        <v>-1</v>
      </c>
    </row>
    <row r="25" spans="1:3" x14ac:dyDescent="0.2">
      <c r="A25" s="15">
        <v>41214</v>
      </c>
      <c r="B25" s="14">
        <v>50.4</v>
      </c>
      <c r="C25" s="14">
        <f>Table13468[[#This Row],[PMI]]-B24</f>
        <v>-1</v>
      </c>
    </row>
    <row r="26" spans="1:3" x14ac:dyDescent="0.2">
      <c r="A26" s="15">
        <v>41244</v>
      </c>
      <c r="B26" s="14">
        <v>50.4</v>
      </c>
      <c r="C26" s="14">
        <f>Table13468[[#This Row],[PMI]]-B25</f>
        <v>0</v>
      </c>
    </row>
    <row r="27" spans="1:3" x14ac:dyDescent="0.2">
      <c r="A27" s="15">
        <v>41275</v>
      </c>
      <c r="B27" s="14">
        <v>50.5</v>
      </c>
      <c r="C27" s="14">
        <f>Table13468[[#This Row],[PMI]]-B26</f>
        <v>0.10000000000000142</v>
      </c>
    </row>
    <row r="28" spans="1:3" x14ac:dyDescent="0.2">
      <c r="A28" s="15">
        <v>41306</v>
      </c>
      <c r="B28" s="14">
        <v>51.7</v>
      </c>
      <c r="C28" s="14">
        <f>Table13468[[#This Row],[PMI]]-B27</f>
        <v>1.2000000000000028</v>
      </c>
    </row>
    <row r="29" spans="1:3" x14ac:dyDescent="0.2">
      <c r="A29" s="15">
        <v>41334</v>
      </c>
      <c r="B29" s="14">
        <v>49.3</v>
      </c>
      <c r="C29" s="14">
        <f>Table13468[[#This Row],[PMI]]-B28</f>
        <v>-2.4000000000000057</v>
      </c>
    </row>
    <row r="30" spans="1:3" x14ac:dyDescent="0.2">
      <c r="A30" s="15">
        <v>41365</v>
      </c>
      <c r="B30" s="14">
        <v>50.1</v>
      </c>
      <c r="C30" s="14">
        <f>Table13468[[#This Row],[PMI]]-B29</f>
        <v>0.80000000000000426</v>
      </c>
    </row>
    <row r="31" spans="1:3" x14ac:dyDescent="0.2">
      <c r="A31" s="15">
        <v>41395</v>
      </c>
      <c r="B31" s="14">
        <v>53.2</v>
      </c>
      <c r="C31" s="14">
        <f>Table13468[[#This Row],[PMI]]-B30</f>
        <v>3.1000000000000014</v>
      </c>
    </row>
    <row r="32" spans="1:3" x14ac:dyDescent="0.2">
      <c r="A32" s="15">
        <v>41426</v>
      </c>
      <c r="B32" s="14">
        <v>52.4</v>
      </c>
      <c r="C32" s="14">
        <f>Table13468[[#This Row],[PMI]]-B31</f>
        <v>-0.80000000000000426</v>
      </c>
    </row>
    <row r="33" spans="1:3" x14ac:dyDescent="0.2">
      <c r="A33" s="15">
        <v>41456</v>
      </c>
      <c r="B33" s="14">
        <v>52</v>
      </c>
      <c r="C33" s="14">
        <f>Table13468[[#This Row],[PMI]]-B32</f>
        <v>-0.39999999999999858</v>
      </c>
    </row>
    <row r="34" spans="1:3" x14ac:dyDescent="0.2">
      <c r="A34" s="15">
        <v>41487</v>
      </c>
      <c r="B34" s="14">
        <v>52.1</v>
      </c>
      <c r="C34" s="14">
        <f>Table13468[[#This Row],[PMI]]-B33</f>
        <v>0.10000000000000142</v>
      </c>
    </row>
    <row r="35" spans="1:3" x14ac:dyDescent="0.2">
      <c r="A35" s="15">
        <v>41518</v>
      </c>
      <c r="B35" s="14">
        <v>54.2</v>
      </c>
      <c r="C35" s="14">
        <f>Table13468[[#This Row],[PMI]]-B34</f>
        <v>2.1000000000000014</v>
      </c>
    </row>
    <row r="36" spans="1:3" x14ac:dyDescent="0.2">
      <c r="A36" s="15">
        <v>41548</v>
      </c>
      <c r="B36" s="14">
        <v>55.6</v>
      </c>
      <c r="C36" s="14">
        <f>Table13468[[#This Row],[PMI]]-B35</f>
        <v>1.3999999999999986</v>
      </c>
    </row>
    <row r="37" spans="1:3" x14ac:dyDescent="0.2">
      <c r="A37" s="15">
        <v>41579</v>
      </c>
      <c r="B37" s="14">
        <v>55.3</v>
      </c>
      <c r="C37" s="14">
        <f>Table13468[[#This Row],[PMI]]-B36</f>
        <v>-0.30000000000000426</v>
      </c>
    </row>
    <row r="38" spans="1:3" x14ac:dyDescent="0.2">
      <c r="A38" s="15">
        <v>41609</v>
      </c>
      <c r="B38" s="14">
        <v>53.5</v>
      </c>
      <c r="C38" s="14">
        <f>Table13468[[#This Row],[PMI]]-B37</f>
        <v>-1.7999999999999972</v>
      </c>
    </row>
    <row r="39" spans="1:3" x14ac:dyDescent="0.2">
      <c r="A39" s="15">
        <v>41640</v>
      </c>
      <c r="B39" s="14">
        <v>51.7</v>
      </c>
      <c r="C39" s="14">
        <f>Table13468[[#This Row],[PMI]]-B38</f>
        <v>-1.7999999999999972</v>
      </c>
    </row>
    <row r="40" spans="1:3" x14ac:dyDescent="0.2">
      <c r="A40" s="15">
        <v>41671</v>
      </c>
      <c r="B40" s="14">
        <v>52.9</v>
      </c>
      <c r="C40" s="14">
        <f>Table13468[[#This Row],[PMI]]-B39</f>
        <v>1.1999999999999957</v>
      </c>
    </row>
    <row r="41" spans="1:3" x14ac:dyDescent="0.2">
      <c r="A41" s="15">
        <v>41699</v>
      </c>
      <c r="B41" s="14">
        <v>53.3</v>
      </c>
      <c r="C41" s="14">
        <f>Table13468[[#This Row],[PMI]]-B40</f>
        <v>0.39999999999999858</v>
      </c>
    </row>
    <row r="42" spans="1:3" x14ac:dyDescent="0.2">
      <c r="A42" s="15">
        <v>41730</v>
      </c>
      <c r="B42" s="14">
        <v>52.9</v>
      </c>
      <c r="C42" s="14">
        <f>Table13468[[#This Row],[PMI]]-B41</f>
        <v>-0.39999999999999858</v>
      </c>
    </row>
    <row r="43" spans="1:3" x14ac:dyDescent="0.2">
      <c r="A43" s="15">
        <v>41760</v>
      </c>
      <c r="B43" s="14">
        <v>52.2</v>
      </c>
      <c r="C43" s="14">
        <f>Table13468[[#This Row],[PMI]]-B42</f>
        <v>-0.69999999999999574</v>
      </c>
    </row>
    <row r="44" spans="1:3" x14ac:dyDescent="0.2">
      <c r="A44" s="15">
        <v>41791</v>
      </c>
      <c r="B44" s="14">
        <v>53.5</v>
      </c>
      <c r="C44" s="14">
        <f>Table13468[[#This Row],[PMI]]-B43</f>
        <v>1.2999999999999972</v>
      </c>
    </row>
    <row r="45" spans="1:3" x14ac:dyDescent="0.2">
      <c r="A45" s="15">
        <v>41821</v>
      </c>
      <c r="B45" s="14">
        <v>54.3</v>
      </c>
      <c r="C45" s="14">
        <f>Table13468[[#This Row],[PMI]]-B44</f>
        <v>0.79999999999999716</v>
      </c>
    </row>
    <row r="46" spans="1:3" x14ac:dyDescent="0.2">
      <c r="A46" s="15">
        <v>41852</v>
      </c>
      <c r="B46" s="14">
        <v>54.8</v>
      </c>
      <c r="C46" s="14">
        <f>Table13468[[#This Row],[PMI]]-B45</f>
        <v>0.5</v>
      </c>
    </row>
    <row r="47" spans="1:3" x14ac:dyDescent="0.2">
      <c r="A47" s="15">
        <v>41883</v>
      </c>
      <c r="B47" s="14">
        <v>53.5</v>
      </c>
      <c r="C47" s="14">
        <f>Table13468[[#This Row],[PMI]]-B46</f>
        <v>-1.2999999999999972</v>
      </c>
    </row>
    <row r="48" spans="1:3" x14ac:dyDescent="0.2">
      <c r="A48" s="15">
        <v>41913</v>
      </c>
      <c r="B48" s="14">
        <v>55.3</v>
      </c>
      <c r="C48" s="14">
        <f>Table13468[[#This Row],[PMI]]-B47</f>
        <v>1.7999999999999972</v>
      </c>
    </row>
    <row r="49" spans="1:3" x14ac:dyDescent="0.2">
      <c r="A49" s="15">
        <v>41944</v>
      </c>
      <c r="B49" s="14">
        <v>55.3</v>
      </c>
      <c r="C49" s="14">
        <f>Table13468[[#This Row],[PMI]]-B48</f>
        <v>0</v>
      </c>
    </row>
    <row r="50" spans="1:3" x14ac:dyDescent="0.2">
      <c r="A50" s="15">
        <v>41974</v>
      </c>
      <c r="B50" s="14">
        <v>53.9</v>
      </c>
      <c r="C50" s="14">
        <f>Table13468[[#This Row],[PMI]]-B49</f>
        <v>-1.3999999999999986</v>
      </c>
    </row>
    <row r="51" spans="1:3" x14ac:dyDescent="0.2">
      <c r="A51" s="15">
        <v>42005</v>
      </c>
      <c r="B51" s="14">
        <v>51</v>
      </c>
      <c r="C51" s="14">
        <f>Table13468[[#This Row],[PMI]]-B50</f>
        <v>-2.8999999999999986</v>
      </c>
    </row>
    <row r="52" spans="1:3" x14ac:dyDescent="0.2">
      <c r="A52" s="15">
        <v>42036</v>
      </c>
      <c r="B52" s="14">
        <v>48.7</v>
      </c>
      <c r="C52" s="14">
        <f>Table13468[[#This Row],[PMI]]-B51</f>
        <v>-2.2999999999999972</v>
      </c>
    </row>
    <row r="53" spans="1:3" x14ac:dyDescent="0.2">
      <c r="A53" s="15">
        <v>42064</v>
      </c>
      <c r="B53" s="14">
        <v>48.9</v>
      </c>
      <c r="C53" s="14">
        <f>Table13468[[#This Row],[PMI]]-B52</f>
        <v>0.19999999999999574</v>
      </c>
    </row>
    <row r="54" spans="1:3" x14ac:dyDescent="0.2">
      <c r="A54" s="15">
        <v>42095</v>
      </c>
      <c r="B54" s="14">
        <v>49</v>
      </c>
      <c r="C54" s="14">
        <f>Table13468[[#This Row],[PMI]]-B53</f>
        <v>0.10000000000000142</v>
      </c>
    </row>
    <row r="55" spans="1:3" x14ac:dyDescent="0.2">
      <c r="A55" s="15">
        <v>42125</v>
      </c>
      <c r="B55" s="14">
        <v>49.8</v>
      </c>
      <c r="C55" s="14">
        <f>Table13468[[#This Row],[PMI]]-B54</f>
        <v>0.79999999999999716</v>
      </c>
    </row>
    <row r="56" spans="1:3" x14ac:dyDescent="0.2">
      <c r="A56" s="15">
        <v>42156</v>
      </c>
      <c r="B56" s="14">
        <v>51.3</v>
      </c>
      <c r="C56" s="14">
        <f>Table13468[[#This Row],[PMI]]-B55</f>
        <v>1.5</v>
      </c>
    </row>
    <row r="57" spans="1:3" x14ac:dyDescent="0.2">
      <c r="A57" s="15">
        <v>42186</v>
      </c>
      <c r="B57" s="14">
        <v>50.8</v>
      </c>
      <c r="C57" s="14">
        <f>Table13468[[#This Row],[PMI]]-B56</f>
        <v>-0.5</v>
      </c>
    </row>
    <row r="58" spans="1:3" x14ac:dyDescent="0.2">
      <c r="A58" s="15">
        <v>42217</v>
      </c>
      <c r="B58" s="14">
        <v>49.4</v>
      </c>
      <c r="C58" s="14">
        <f>Table13468[[#This Row],[PMI]]-B57</f>
        <v>-1.3999999999999986</v>
      </c>
    </row>
    <row r="59" spans="1:3" x14ac:dyDescent="0.2">
      <c r="A59" s="15">
        <v>42248</v>
      </c>
      <c r="B59" s="14">
        <v>48.6</v>
      </c>
      <c r="C59" s="14">
        <f>Table13468[[#This Row],[PMI]]-B58</f>
        <v>-0.79999999999999716</v>
      </c>
    </row>
    <row r="60" spans="1:3" x14ac:dyDescent="0.2">
      <c r="A60" s="15">
        <v>42278</v>
      </c>
      <c r="B60" s="14">
        <v>48</v>
      </c>
      <c r="C60" s="14">
        <f>Table13468[[#This Row],[PMI]]-B59</f>
        <v>-0.60000000000000142</v>
      </c>
    </row>
    <row r="61" spans="1:3" x14ac:dyDescent="0.2">
      <c r="A61" s="15">
        <v>42309</v>
      </c>
      <c r="B61" s="14">
        <v>48.6</v>
      </c>
      <c r="C61" s="14">
        <f>Table13468[[#This Row],[PMI]]-B60</f>
        <v>0.60000000000000142</v>
      </c>
    </row>
    <row r="62" spans="1:3" x14ac:dyDescent="0.2">
      <c r="A62" s="15">
        <v>42339</v>
      </c>
      <c r="B62" s="14">
        <v>47.5</v>
      </c>
      <c r="C62" s="14">
        <f>Table13468[[#This Row],[PMI]]-B61</f>
        <v>-1.1000000000000014</v>
      </c>
    </row>
    <row r="63" spans="1:3" x14ac:dyDescent="0.2">
      <c r="A63" s="15">
        <v>42370</v>
      </c>
      <c r="B63" s="14">
        <v>49.3</v>
      </c>
      <c r="C63" s="14">
        <f>Table13468[[#This Row],[PMI]]-B62</f>
        <v>1.7999999999999972</v>
      </c>
    </row>
    <row r="64" spans="1:3" x14ac:dyDescent="0.2">
      <c r="A64" s="15">
        <v>42401</v>
      </c>
      <c r="B64" s="14">
        <v>49.4</v>
      </c>
      <c r="C64" s="14">
        <f>Table13468[[#This Row],[PMI]]-B63</f>
        <v>0.10000000000000142</v>
      </c>
    </row>
    <row r="65" spans="1:3" x14ac:dyDescent="0.2">
      <c r="A65" s="15">
        <v>42430</v>
      </c>
      <c r="B65" s="14">
        <v>51.5</v>
      </c>
      <c r="C65" s="14">
        <f>Table13468[[#This Row],[PMI]]-B64</f>
        <v>2.1000000000000014</v>
      </c>
    </row>
    <row r="66" spans="1:3" x14ac:dyDescent="0.2">
      <c r="A66" s="15">
        <v>42461</v>
      </c>
      <c r="B66" s="14">
        <v>52.2</v>
      </c>
      <c r="C66" s="14">
        <f>Table13468[[#This Row],[PMI]]-B65</f>
        <v>0.70000000000000284</v>
      </c>
    </row>
    <row r="67" spans="1:3" x14ac:dyDescent="0.2">
      <c r="A67" s="15">
        <v>42491</v>
      </c>
      <c r="B67" s="14">
        <v>52.1</v>
      </c>
      <c r="C67" s="14">
        <f>Table13468[[#This Row],[PMI]]-B66</f>
        <v>-0.10000000000000142</v>
      </c>
    </row>
    <row r="68" spans="1:3" x14ac:dyDescent="0.2">
      <c r="A68" s="15">
        <v>42522</v>
      </c>
      <c r="B68" s="14">
        <v>51.8</v>
      </c>
      <c r="C68" s="14">
        <f>Table13468[[#This Row],[PMI]]-B67</f>
        <v>-0.30000000000000426</v>
      </c>
    </row>
    <row r="69" spans="1:3" x14ac:dyDescent="0.2">
      <c r="A69" s="15">
        <v>42552</v>
      </c>
      <c r="B69" s="14">
        <v>51.9</v>
      </c>
      <c r="C69" s="14">
        <f>Table13468[[#This Row],[PMI]]-B68</f>
        <v>0.10000000000000142</v>
      </c>
    </row>
    <row r="70" spans="1:3" x14ac:dyDescent="0.2">
      <c r="A70" s="15">
        <v>42583</v>
      </c>
      <c r="B70" s="14">
        <v>51.1</v>
      </c>
      <c r="C70" s="14">
        <f>Table13468[[#This Row],[PMI]]-B69</f>
        <v>-0.79999999999999716</v>
      </c>
    </row>
    <row r="71" spans="1:3" x14ac:dyDescent="0.2">
      <c r="A71" s="15">
        <v>42614</v>
      </c>
      <c r="B71" s="14">
        <v>50.3</v>
      </c>
      <c r="C71" s="14">
        <f>Table13468[[#This Row],[PMI]]-B70</f>
        <v>-0.80000000000000426</v>
      </c>
    </row>
    <row r="72" spans="1:3" x14ac:dyDescent="0.2">
      <c r="A72" s="15">
        <v>42644</v>
      </c>
      <c r="B72" s="14">
        <v>51.1</v>
      </c>
      <c r="C72" s="14">
        <f>Table13468[[#This Row],[PMI]]-B71</f>
        <v>0.80000000000000426</v>
      </c>
    </row>
    <row r="73" spans="1:3" x14ac:dyDescent="0.2">
      <c r="A73" s="15">
        <v>42675</v>
      </c>
      <c r="B73" s="14">
        <v>51.5</v>
      </c>
      <c r="C73" s="14">
        <f>Table13468[[#This Row],[PMI]]-B72</f>
        <v>0.39999999999999858</v>
      </c>
    </row>
    <row r="74" spans="1:3" x14ac:dyDescent="0.2">
      <c r="A74" s="15">
        <v>42705</v>
      </c>
      <c r="B74" s="14">
        <v>51.8</v>
      </c>
      <c r="C74" s="14">
        <f>Table13468[[#This Row],[PMI]]-B73</f>
        <v>0.29999999999999716</v>
      </c>
    </row>
    <row r="75" spans="1:3" x14ac:dyDescent="0.2">
      <c r="A75" s="15">
        <v>42736</v>
      </c>
      <c r="B75" s="14">
        <v>53.5</v>
      </c>
      <c r="C75" s="14">
        <f>Table13468[[#This Row],[PMI]]-B74</f>
        <v>1.7000000000000028</v>
      </c>
    </row>
    <row r="76" spans="1:3" x14ac:dyDescent="0.2">
      <c r="A76" s="15">
        <v>42767</v>
      </c>
      <c r="B76" s="14">
        <v>54.7</v>
      </c>
      <c r="C76" s="14">
        <f>Table13468[[#This Row],[PMI]]-B75</f>
        <v>1.2000000000000028</v>
      </c>
    </row>
    <row r="77" spans="1:3" x14ac:dyDescent="0.2">
      <c r="A77" s="15">
        <v>42795</v>
      </c>
      <c r="B77" s="14">
        <v>55.5</v>
      </c>
      <c r="C77" s="14">
        <f>Table13468[[#This Row],[PMI]]-B76</f>
        <v>0.79999999999999716</v>
      </c>
    </row>
    <row r="78" spans="1:3" x14ac:dyDescent="0.2">
      <c r="A78" s="15">
        <v>42826</v>
      </c>
      <c r="B78" s="14">
        <v>55.9</v>
      </c>
      <c r="C78" s="14">
        <f>Table13468[[#This Row],[PMI]]-B77</f>
        <v>0.39999999999999858</v>
      </c>
    </row>
    <row r="79" spans="1:3" x14ac:dyDescent="0.2">
      <c r="A79" s="15">
        <v>42856</v>
      </c>
      <c r="B79" s="14">
        <v>55.1</v>
      </c>
      <c r="C79" s="14">
        <f>Table13468[[#This Row],[PMI]]-B78</f>
        <v>-0.79999999999999716</v>
      </c>
    </row>
    <row r="80" spans="1:3" x14ac:dyDescent="0.2">
      <c r="A80" s="15">
        <v>42887</v>
      </c>
      <c r="B80" s="14">
        <v>54.7</v>
      </c>
      <c r="C80" s="14">
        <f>Table13468[[#This Row],[PMI]]-B79</f>
        <v>-0.39999999999999858</v>
      </c>
    </row>
    <row r="81" spans="1:3" x14ac:dyDescent="0.2">
      <c r="A81" s="15">
        <v>42917</v>
      </c>
      <c r="B81" s="14">
        <v>55.5</v>
      </c>
      <c r="C81" s="14">
        <f>Table13468[[#This Row],[PMI]]-B80</f>
        <v>0.79999999999999716</v>
      </c>
    </row>
    <row r="82" spans="1:3" x14ac:dyDescent="0.2">
      <c r="A82" s="15">
        <v>42948</v>
      </c>
      <c r="B82" s="14">
        <v>54.6</v>
      </c>
      <c r="C82" s="14">
        <f>Table13468[[#This Row],[PMI]]-B81</f>
        <v>-0.89999999999999858</v>
      </c>
    </row>
    <row r="83" spans="1:3" x14ac:dyDescent="0.2">
      <c r="A83" s="15">
        <v>42979</v>
      </c>
      <c r="B83" s="14">
        <v>55</v>
      </c>
      <c r="C83" s="14">
        <f>Table13468[[#This Row],[PMI]]-B82</f>
        <v>0.39999999999999858</v>
      </c>
    </row>
    <row r="84" spans="1:3" x14ac:dyDescent="0.2">
      <c r="A84" s="15">
        <v>43009</v>
      </c>
      <c r="B84" s="14">
        <v>54.3</v>
      </c>
      <c r="C84" s="14">
        <f>Table13468[[#This Row],[PMI]]-B83</f>
        <v>-0.70000000000000284</v>
      </c>
    </row>
    <row r="85" spans="1:3" x14ac:dyDescent="0.2">
      <c r="A85" s="15">
        <v>43040</v>
      </c>
      <c r="B85" s="14">
        <v>54.4</v>
      </c>
      <c r="C85" s="14">
        <f>Table13468[[#This Row],[PMI]]-B84</f>
        <v>0.10000000000000142</v>
      </c>
    </row>
    <row r="86" spans="1:3" x14ac:dyDescent="0.2">
      <c r="A86" s="15">
        <v>43070</v>
      </c>
      <c r="B86" s="14">
        <v>54.7</v>
      </c>
      <c r="C86" s="14">
        <f>Table13468[[#This Row],[PMI]]-B85</f>
        <v>0.30000000000000426</v>
      </c>
    </row>
    <row r="87" spans="1:3" x14ac:dyDescent="0.2">
      <c r="A87" s="15">
        <v>43101</v>
      </c>
      <c r="B87" s="14">
        <v>55.9</v>
      </c>
      <c r="C87" s="14">
        <f>Table13468[[#This Row],[PMI]]-B86</f>
        <v>1.1999999999999957</v>
      </c>
    </row>
    <row r="88" spans="1:3" x14ac:dyDescent="0.2">
      <c r="A88" s="15">
        <v>43132</v>
      </c>
      <c r="B88" s="14">
        <v>55.6</v>
      </c>
      <c r="C88" s="14">
        <f>Table13468[[#This Row],[PMI]]-B87</f>
        <v>-0.29999999999999716</v>
      </c>
    </row>
    <row r="89" spans="1:3" x14ac:dyDescent="0.2">
      <c r="A89" s="15">
        <v>43160</v>
      </c>
      <c r="B89" s="14">
        <v>55.7</v>
      </c>
      <c r="C89" s="14">
        <f>Table13468[[#This Row],[PMI]]-B88</f>
        <v>0.10000000000000142</v>
      </c>
    </row>
    <row r="90" spans="1:3" x14ac:dyDescent="0.2">
      <c r="A90" s="15">
        <v>43191</v>
      </c>
      <c r="B90" s="14">
        <v>55.5</v>
      </c>
      <c r="C90" s="14">
        <f>Table13468[[#This Row],[PMI]]-B89</f>
        <v>-0.20000000000000284</v>
      </c>
    </row>
    <row r="91" spans="1:3" x14ac:dyDescent="0.2">
      <c r="A91" s="15">
        <v>43221</v>
      </c>
      <c r="B91" s="14">
        <v>56.2</v>
      </c>
      <c r="C91" s="14">
        <f>Table13468[[#This Row],[PMI]]-B90</f>
        <v>0.70000000000000284</v>
      </c>
    </row>
    <row r="92" spans="1:3" x14ac:dyDescent="0.2">
      <c r="A92" s="15">
        <v>43252</v>
      </c>
      <c r="B92" s="14">
        <v>57.1</v>
      </c>
      <c r="C92" s="14">
        <f>Table13468[[#This Row],[PMI]]-B91</f>
        <v>0.89999999999999858</v>
      </c>
    </row>
    <row r="93" spans="1:3" x14ac:dyDescent="0.2">
      <c r="A93" s="15">
        <v>43282</v>
      </c>
      <c r="B93" s="14">
        <v>56.9</v>
      </c>
      <c r="C93" s="14">
        <f>Table13468[[#This Row],[PMI]]-B92</f>
        <v>-0.20000000000000284</v>
      </c>
    </row>
    <row r="94" spans="1:3" x14ac:dyDescent="0.2">
      <c r="A94" s="15">
        <v>43313</v>
      </c>
      <c r="B94" s="14">
        <v>56.8</v>
      </c>
      <c r="C94" s="14">
        <f>Table13468[[#This Row],[PMI]]-B93</f>
        <v>-0.10000000000000142</v>
      </c>
    </row>
    <row r="95" spans="1:3" x14ac:dyDescent="0.2">
      <c r="A95" s="15">
        <v>43344</v>
      </c>
      <c r="B95" s="14">
        <v>54.8</v>
      </c>
      <c r="C95" s="14">
        <f>Table13468[[#This Row],[PMI]]-B94</f>
        <v>-2</v>
      </c>
    </row>
    <row r="96" spans="1:3" x14ac:dyDescent="0.2">
      <c r="A96" s="15">
        <v>43374</v>
      </c>
      <c r="B96" s="14">
        <v>53.9</v>
      </c>
      <c r="C96" s="14">
        <f>Table13468[[#This Row],[PMI]]-B95</f>
        <v>-0.89999999999999858</v>
      </c>
    </row>
    <row r="97" spans="1:3" x14ac:dyDescent="0.2">
      <c r="A97" s="15">
        <v>43405</v>
      </c>
      <c r="B97" s="14">
        <v>54.9</v>
      </c>
      <c r="C97" s="14">
        <f>Table13468[[#This Row],[PMI]]-B96</f>
        <v>1</v>
      </c>
    </row>
    <row r="98" spans="1:3" x14ac:dyDescent="0.2">
      <c r="A98" s="15">
        <v>43435</v>
      </c>
      <c r="B98" s="14">
        <v>53.6</v>
      </c>
      <c r="C98" s="14">
        <f>Table13468[[#This Row],[PMI]]-B97</f>
        <v>-1.2999999999999972</v>
      </c>
    </row>
    <row r="99" spans="1:3" x14ac:dyDescent="0.2">
      <c r="A99" s="15">
        <v>43466</v>
      </c>
      <c r="B99" s="14">
        <v>53</v>
      </c>
      <c r="C99" s="14">
        <f>Table13468[[#This Row],[PMI]]-B98</f>
        <v>-0.60000000000000142</v>
      </c>
    </row>
    <row r="100" spans="1:3" x14ac:dyDescent="0.2">
      <c r="A100" s="15">
        <v>43497</v>
      </c>
      <c r="B100" s="14">
        <v>52.6</v>
      </c>
      <c r="C100" s="14">
        <f>Table13468[[#This Row],[PMI]]-B99</f>
        <v>-0.39999999999999858</v>
      </c>
    </row>
    <row r="101" spans="1:3" x14ac:dyDescent="0.2">
      <c r="A101" s="15">
        <v>43525</v>
      </c>
      <c r="B101" s="14">
        <v>50.5</v>
      </c>
      <c r="C101" s="14">
        <f>Table13468[[#This Row],[PMI]]-B100</f>
        <v>-2.1000000000000014</v>
      </c>
    </row>
    <row r="102" spans="1:3" x14ac:dyDescent="0.2">
      <c r="A102" s="15">
        <v>43556</v>
      </c>
      <c r="B102" s="14">
        <v>49.7</v>
      </c>
      <c r="C102" s="14">
        <f>Table13468[[#This Row],[PMI]]-B101</f>
        <v>-0.79999999999999716</v>
      </c>
    </row>
    <row r="103" spans="1:3" x14ac:dyDescent="0.2">
      <c r="A103" s="15">
        <v>43586</v>
      </c>
      <c r="B103" s="14">
        <v>49.1</v>
      </c>
      <c r="C103" s="14">
        <f>Table13468[[#This Row],[PMI]]-B102</f>
        <v>-0.60000000000000142</v>
      </c>
    </row>
    <row r="104" spans="1:3" x14ac:dyDescent="0.2">
      <c r="A104" s="15">
        <v>43617</v>
      </c>
      <c r="B104" s="14">
        <v>49.2</v>
      </c>
      <c r="C104" s="14">
        <f>Table13468[[#This Row],[PMI]]-B103</f>
        <v>0.10000000000000142</v>
      </c>
    </row>
    <row r="105" spans="1:3" x14ac:dyDescent="0.2">
      <c r="A105" s="15">
        <v>43647</v>
      </c>
      <c r="B105" s="14">
        <v>50.2</v>
      </c>
      <c r="C105" s="14">
        <f>Table13468[[#This Row],[PMI]]-B104</f>
        <v>1</v>
      </c>
    </row>
    <row r="106" spans="1:3" x14ac:dyDescent="0.2">
      <c r="A106" s="15">
        <v>43678</v>
      </c>
      <c r="B106" s="14">
        <v>49.1</v>
      </c>
      <c r="C106" s="14">
        <f>Table13468[[#This Row],[PMI]]-B105</f>
        <v>-1.1000000000000014</v>
      </c>
    </row>
    <row r="107" spans="1:3" x14ac:dyDescent="0.2">
      <c r="A107" s="15">
        <v>43709</v>
      </c>
      <c r="B107" s="14">
        <v>51</v>
      </c>
      <c r="C107" s="14">
        <f>Table13468[[#This Row],[PMI]]-B106</f>
        <v>1.8999999999999986</v>
      </c>
    </row>
    <row r="108" spans="1:3" x14ac:dyDescent="0.2">
      <c r="A108" s="15">
        <v>43739</v>
      </c>
      <c r="B108" s="14">
        <v>51.2</v>
      </c>
      <c r="C108" s="14">
        <f>Table13468[[#This Row],[PMI]]-B107</f>
        <v>0.20000000000000284</v>
      </c>
    </row>
    <row r="109" spans="1:3" x14ac:dyDescent="0.2">
      <c r="A109" s="15">
        <v>43770</v>
      </c>
      <c r="B109" s="14">
        <v>51.4</v>
      </c>
      <c r="C109" s="14">
        <f>Table13468[[#This Row],[PMI]]-B108</f>
        <v>0.19999999999999574</v>
      </c>
    </row>
    <row r="110" spans="1:3" x14ac:dyDescent="0.2">
      <c r="A110" s="15">
        <v>43800</v>
      </c>
      <c r="B110" s="14">
        <v>50.4</v>
      </c>
      <c r="C110" s="14">
        <f>Table13468[[#This Row],[PMI]]-B109</f>
        <v>-1</v>
      </c>
    </row>
    <row r="111" spans="1:3" x14ac:dyDescent="0.2">
      <c r="A111" s="15">
        <v>43831</v>
      </c>
      <c r="B111" s="14">
        <v>50.6</v>
      </c>
      <c r="C111" s="14">
        <f>Table13468[[#This Row],[PMI]]-B110</f>
        <v>0.20000000000000284</v>
      </c>
    </row>
    <row r="112" spans="1:3" x14ac:dyDescent="0.2">
      <c r="A112" s="15">
        <v>43862</v>
      </c>
      <c r="B112" s="14">
        <v>51.8</v>
      </c>
      <c r="C112" s="14">
        <f>Table13468[[#This Row],[PMI]]-B111</f>
        <v>1.1999999999999957</v>
      </c>
    </row>
    <row r="113" spans="1:3" x14ac:dyDescent="0.2">
      <c r="A113" s="15">
        <v>43891</v>
      </c>
      <c r="B113" s="14">
        <v>46.1</v>
      </c>
      <c r="C113" s="14">
        <f>Table13468[[#This Row],[PMI]]-B112</f>
        <v>-5.6999999999999957</v>
      </c>
    </row>
    <row r="114" spans="1:3" x14ac:dyDescent="0.2">
      <c r="A114" s="15">
        <v>43922</v>
      </c>
      <c r="B114" s="14">
        <v>33</v>
      </c>
      <c r="C114" s="14">
        <f>Table13468[[#This Row],[PMI]]-B113</f>
        <v>-13.100000000000001</v>
      </c>
    </row>
    <row r="115" spans="1:3" x14ac:dyDescent="0.2">
      <c r="A115" s="15">
        <v>43952</v>
      </c>
      <c r="B115" s="14">
        <v>40.6</v>
      </c>
      <c r="C115" s="14">
        <f>Table13468[[#This Row],[PMI]]-B114</f>
        <v>7.6000000000000014</v>
      </c>
    </row>
    <row r="116" spans="1:3" x14ac:dyDescent="0.2">
      <c r="A116" s="15">
        <v>43983</v>
      </c>
      <c r="B116" s="14">
        <v>47.8</v>
      </c>
      <c r="C116" s="14">
        <f>Table13468[[#This Row],[PMI]]-B115</f>
        <v>7.1999999999999957</v>
      </c>
    </row>
    <row r="117" spans="1:3" x14ac:dyDescent="0.2">
      <c r="A117" s="15">
        <v>44013</v>
      </c>
      <c r="B117" s="14">
        <v>52.9</v>
      </c>
      <c r="C117" s="14">
        <f>Table13468[[#This Row],[PMI]]-B116</f>
        <v>5.1000000000000014</v>
      </c>
    </row>
    <row r="118" spans="1:3" x14ac:dyDescent="0.2">
      <c r="A118" s="15">
        <v>44044</v>
      </c>
      <c r="B118" s="14">
        <v>55.1</v>
      </c>
      <c r="C118" s="14">
        <f>Table13468[[#This Row],[PMI]]-B117</f>
        <v>2.2000000000000028</v>
      </c>
    </row>
    <row r="119" spans="1:3" x14ac:dyDescent="0.2">
      <c r="A119" s="15">
        <v>44075</v>
      </c>
      <c r="B119" s="14">
        <v>56</v>
      </c>
      <c r="C119" s="14">
        <f>Table13468[[#This Row],[PMI]]-B118</f>
        <v>0.89999999999999858</v>
      </c>
    </row>
    <row r="120" spans="1:3" x14ac:dyDescent="0.2">
      <c r="A120" s="15">
        <v>44105</v>
      </c>
      <c r="B120" s="14">
        <v>55.5</v>
      </c>
      <c r="C120" s="14">
        <f>Table13468[[#This Row],[PMI]]-B119</f>
        <v>-0.5</v>
      </c>
    </row>
    <row r="121" spans="1:3" x14ac:dyDescent="0.2">
      <c r="A121" s="15">
        <v>44136</v>
      </c>
      <c r="B121" s="14">
        <v>55.8</v>
      </c>
      <c r="C121" s="14">
        <f>Table13468[[#This Row],[PMI]]-B120</f>
        <v>0.29999999999999716</v>
      </c>
    </row>
    <row r="122" spans="1:3" x14ac:dyDescent="0.2">
      <c r="A122" s="15">
        <v>44166</v>
      </c>
      <c r="B122" s="14">
        <v>57.9</v>
      </c>
      <c r="C122" s="14">
        <f>Table13468[[#This Row],[PMI]]-B121</f>
        <v>2.1000000000000014</v>
      </c>
    </row>
    <row r="123" spans="1:3" x14ac:dyDescent="0.2">
      <c r="A123" s="15">
        <v>44197</v>
      </c>
      <c r="B123" s="14">
        <v>54.4</v>
      </c>
      <c r="C123" s="14">
        <f>Table13468[[#This Row],[PMI]]-B122</f>
        <v>-3.5</v>
      </c>
    </row>
    <row r="124" spans="1:3" x14ac:dyDescent="0.2">
      <c r="A124" s="15">
        <v>44228</v>
      </c>
      <c r="B124" s="14">
        <v>54.8</v>
      </c>
      <c r="C124" s="14">
        <f>Table13468[[#This Row],[PMI]]-B123</f>
        <v>0.39999999999999858</v>
      </c>
    </row>
    <row r="125" spans="1:3" x14ac:dyDescent="0.2">
      <c r="A125" s="15">
        <v>44256</v>
      </c>
      <c r="B125" s="14">
        <v>58.5</v>
      </c>
      <c r="C125" s="14">
        <f>Table13468[[#This Row],[PMI]]-B124</f>
        <v>3.7000000000000028</v>
      </c>
    </row>
    <row r="126" spans="1:3" x14ac:dyDescent="0.2">
      <c r="A126" s="15">
        <v>44287</v>
      </c>
      <c r="B126" s="14">
        <v>57.2</v>
      </c>
      <c r="C126" s="14">
        <f>Table13468[[#This Row],[PMI]]-B125</f>
        <v>-1.2999999999999972</v>
      </c>
    </row>
    <row r="127" spans="1:3" x14ac:dyDescent="0.2">
      <c r="A127" s="15">
        <v>44317</v>
      </c>
      <c r="B127" s="14">
        <v>57</v>
      </c>
      <c r="C127" s="14">
        <f>Table13468[[#This Row],[PMI]]-B126</f>
        <v>-0.20000000000000284</v>
      </c>
    </row>
    <row r="128" spans="1:3" x14ac:dyDescent="0.2">
      <c r="A128" s="15">
        <v>44348</v>
      </c>
      <c r="B128" s="14">
        <v>56.5</v>
      </c>
      <c r="C128" s="14">
        <f>Table13468[[#This Row],[PMI]]-B127</f>
        <v>-0.5</v>
      </c>
    </row>
    <row r="129" spans="1:3" x14ac:dyDescent="0.2">
      <c r="A129" s="15">
        <v>44378</v>
      </c>
      <c r="B129" s="14">
        <v>56.2</v>
      </c>
      <c r="C129" s="14">
        <f>Table13468[[#This Row],[PMI]]-B128</f>
        <v>-0.29999999999999716</v>
      </c>
    </row>
    <row r="130" spans="1:3" x14ac:dyDescent="0.2">
      <c r="A130" s="15">
        <v>44409</v>
      </c>
      <c r="B130" s="14">
        <v>57.2</v>
      </c>
      <c r="C130" s="14">
        <f>Table13468[[#This Row],[PMI]]-B129</f>
        <v>1</v>
      </c>
    </row>
    <row r="131" spans="1:3" x14ac:dyDescent="0.2">
      <c r="A131" s="15">
        <v>44440</v>
      </c>
      <c r="B131" s="14">
        <v>57</v>
      </c>
      <c r="C131" s="14">
        <f>Table13468[[#This Row],[PMI]]-B130</f>
        <v>-0.20000000000000284</v>
      </c>
    </row>
    <row r="132" spans="1:3" x14ac:dyDescent="0.2">
      <c r="A132" s="15">
        <v>44470</v>
      </c>
      <c r="B132" s="14">
        <v>57.7</v>
      </c>
      <c r="C132" s="14">
        <f>Table13468[[#This Row],[PMI]]-B131</f>
        <v>0.70000000000000284</v>
      </c>
    </row>
    <row r="133" spans="1:3" x14ac:dyDescent="0.2">
      <c r="A133" s="15">
        <v>44501</v>
      </c>
      <c r="B133" s="14">
        <v>57.2</v>
      </c>
      <c r="C133" s="14">
        <f>Table13468[[#This Row],[PMI]]-B132</f>
        <v>-0.5</v>
      </c>
    </row>
    <row r="134" spans="1:3" x14ac:dyDescent="0.2">
      <c r="A134" s="15">
        <v>44531</v>
      </c>
      <c r="B134" s="14">
        <v>55.5</v>
      </c>
      <c r="C134" s="14">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8DE59-0E54-458B-88D3-2013612B5F00}">
  <dimension ref="A1:K168"/>
  <sheetViews>
    <sheetView zoomScale="180" zoomScaleNormal="180" workbookViewId="0">
      <pane ySplit="5" topLeftCell="A137" activePane="bottomLeft" state="frozen"/>
      <selection pane="bottomLeft" activeCell="Q162" sqref="Q16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47</v>
      </c>
      <c r="K1" s="10" t="s">
        <v>21</v>
      </c>
    </row>
    <row r="2" spans="1:11" x14ac:dyDescent="0.2">
      <c r="K2" s="10" t="str">
        <f>A1&amp;K1</f>
        <v>Australia Manufacturing PMI</v>
      </c>
    </row>
    <row r="4" spans="1:11" ht="16" thickBot="1" x14ac:dyDescent="0.25"/>
    <row r="5" spans="1:11" ht="16" thickBot="1" x14ac:dyDescent="0.25">
      <c r="A5" s="27" t="s">
        <v>10</v>
      </c>
      <c r="B5" s="28" t="s">
        <v>11</v>
      </c>
      <c r="C5" s="28" t="s">
        <v>14</v>
      </c>
    </row>
    <row r="6" spans="1:11" x14ac:dyDescent="0.2">
      <c r="A6" s="23">
        <v>39569</v>
      </c>
      <c r="B6" s="24">
        <v>51.4</v>
      </c>
      <c r="C6" s="24"/>
    </row>
    <row r="7" spans="1:11" x14ac:dyDescent="0.2">
      <c r="A7" s="15">
        <v>39600</v>
      </c>
      <c r="B7" s="14">
        <v>51.2</v>
      </c>
      <c r="C7" s="14">
        <f>Table1346811121415161718192022252627[[#This Row],[PMI]]-B6</f>
        <v>-0.19999999999999574</v>
      </c>
    </row>
    <row r="8" spans="1:11" x14ac:dyDescent="0.2">
      <c r="A8" s="15">
        <v>39630</v>
      </c>
      <c r="B8" s="14">
        <v>52.7</v>
      </c>
      <c r="C8" s="14">
        <f>Table1346811121415161718192022252627[[#This Row],[PMI]]-B7</f>
        <v>1.5</v>
      </c>
    </row>
    <row r="9" spans="1:11" x14ac:dyDescent="0.2">
      <c r="A9" s="15">
        <v>39661</v>
      </c>
      <c r="B9" s="14">
        <v>51.2</v>
      </c>
      <c r="C9" s="14">
        <f>Table1346811121415161718192022252627[[#This Row],[PMI]]-B8</f>
        <v>-1.5</v>
      </c>
    </row>
    <row r="10" spans="1:11" x14ac:dyDescent="0.2">
      <c r="A10" s="15">
        <v>39692</v>
      </c>
      <c r="B10" s="14">
        <v>47</v>
      </c>
      <c r="C10" s="14">
        <f>Table1346811121415161718192022252627[[#This Row],[PMI]]-B9</f>
        <v>-4.2000000000000028</v>
      </c>
    </row>
    <row r="11" spans="1:11" x14ac:dyDescent="0.2">
      <c r="A11" s="15">
        <v>39722</v>
      </c>
      <c r="B11" s="14">
        <v>46.9</v>
      </c>
      <c r="C11" s="14">
        <f>Table1346811121415161718192022252627[[#This Row],[PMI]]-B10</f>
        <v>-0.10000000000000142</v>
      </c>
    </row>
    <row r="12" spans="1:11" x14ac:dyDescent="0.2">
      <c r="A12" s="15">
        <v>39753</v>
      </c>
      <c r="B12" s="14">
        <v>40.4</v>
      </c>
      <c r="C12" s="14">
        <f>Table1346811121415161718192022252627[[#This Row],[PMI]]-B11</f>
        <v>-6.5</v>
      </c>
    </row>
    <row r="13" spans="1:11" x14ac:dyDescent="0.2">
      <c r="A13" s="15">
        <v>39783</v>
      </c>
      <c r="B13" s="14">
        <v>33.700000000000003</v>
      </c>
      <c r="C13" s="14">
        <f>Table1346811121415161718192022252627[[#This Row],[PMI]]-B12</f>
        <v>-6.6999999999999957</v>
      </c>
    </row>
    <row r="14" spans="1:11" x14ac:dyDescent="0.2">
      <c r="A14" s="15">
        <v>39814</v>
      </c>
      <c r="B14" s="14">
        <v>36.6</v>
      </c>
      <c r="C14" s="14">
        <f>Table1346811121415161718192022252627[[#This Row],[PMI]]-B13</f>
        <v>2.8999999999999986</v>
      </c>
    </row>
    <row r="15" spans="1:11" x14ac:dyDescent="0.2">
      <c r="A15" s="15">
        <v>39845</v>
      </c>
      <c r="B15" s="14">
        <v>31.7</v>
      </c>
      <c r="C15" s="14">
        <f>Table1346811121415161718192022252627[[#This Row],[PMI]]-B14</f>
        <v>-4.9000000000000021</v>
      </c>
    </row>
    <row r="16" spans="1:11" x14ac:dyDescent="0.2">
      <c r="A16" s="15">
        <v>39873</v>
      </c>
      <c r="B16" s="14">
        <v>33.4</v>
      </c>
      <c r="C16" s="14">
        <f>Table1346811121415161718192022252627[[#This Row],[PMI]]-B15</f>
        <v>1.6999999999999993</v>
      </c>
    </row>
    <row r="17" spans="1:3" x14ac:dyDescent="0.2">
      <c r="A17" s="15">
        <v>39904</v>
      </c>
      <c r="B17" s="14">
        <v>30.1</v>
      </c>
      <c r="C17" s="14">
        <f>Table1346811121415161718192022252627[[#This Row],[PMI]]-B16</f>
        <v>-3.2999999999999972</v>
      </c>
    </row>
    <row r="18" spans="1:3" x14ac:dyDescent="0.2">
      <c r="A18" s="15">
        <v>39934</v>
      </c>
      <c r="B18" s="14">
        <v>37.5</v>
      </c>
      <c r="C18" s="14">
        <f>Table1346811121415161718192022252627[[#This Row],[PMI]]-B17</f>
        <v>7.3999999999999986</v>
      </c>
    </row>
    <row r="19" spans="1:3" x14ac:dyDescent="0.2">
      <c r="A19" s="15">
        <v>39965</v>
      </c>
      <c r="B19" s="14">
        <v>38.4</v>
      </c>
      <c r="C19" s="14">
        <f>Table1346811121415161718192022252627[[#This Row],[PMI]]-B18</f>
        <v>0.89999999999999858</v>
      </c>
    </row>
    <row r="20" spans="1:3" x14ac:dyDescent="0.2">
      <c r="A20" s="15">
        <v>39995</v>
      </c>
      <c r="B20" s="14">
        <v>44.5</v>
      </c>
      <c r="C20" s="14">
        <f>Table1346811121415161718192022252627[[#This Row],[PMI]]-B19</f>
        <v>6.1000000000000014</v>
      </c>
    </row>
    <row r="21" spans="1:3" x14ac:dyDescent="0.2">
      <c r="A21" s="15">
        <v>40026</v>
      </c>
      <c r="B21" s="14">
        <v>51.7</v>
      </c>
      <c r="C21" s="14">
        <f>Table1346811121415161718192022252627[[#This Row],[PMI]]-B20</f>
        <v>7.2000000000000028</v>
      </c>
    </row>
    <row r="22" spans="1:3" x14ac:dyDescent="0.2">
      <c r="A22" s="15">
        <v>40057</v>
      </c>
      <c r="B22" s="14">
        <v>52</v>
      </c>
      <c r="C22" s="14">
        <f>Table1346811121415161718192022252627[[#This Row],[PMI]]-B21</f>
        <v>0.29999999999999716</v>
      </c>
    </row>
    <row r="23" spans="1:3" x14ac:dyDescent="0.2">
      <c r="A23" s="15">
        <v>40087</v>
      </c>
      <c r="B23" s="14">
        <v>51.7</v>
      </c>
      <c r="C23" s="14">
        <f>Table1346811121415161718192022252627[[#This Row],[PMI]]-B22</f>
        <v>-0.29999999999999716</v>
      </c>
    </row>
    <row r="24" spans="1:3" x14ac:dyDescent="0.2">
      <c r="A24" s="15">
        <v>40118</v>
      </c>
      <c r="B24" s="14">
        <v>51.2</v>
      </c>
      <c r="C24" s="14">
        <f>Table1346811121415161718192022252627[[#This Row],[PMI]]-B23</f>
        <v>-0.5</v>
      </c>
    </row>
    <row r="25" spans="1:3" x14ac:dyDescent="0.2">
      <c r="A25" s="15">
        <v>40148</v>
      </c>
      <c r="B25" s="14">
        <v>48.5</v>
      </c>
      <c r="C25" s="14">
        <f>Table1346811121415161718192022252627[[#This Row],[PMI]]-B24</f>
        <v>-2.7000000000000028</v>
      </c>
    </row>
    <row r="26" spans="1:3" x14ac:dyDescent="0.2">
      <c r="A26" s="15">
        <v>40179</v>
      </c>
      <c r="B26" s="14">
        <v>51</v>
      </c>
      <c r="C26" s="14">
        <f>Table1346811121415161718192022252627[[#This Row],[PMI]]-B25</f>
        <v>2.5</v>
      </c>
    </row>
    <row r="27" spans="1:3" x14ac:dyDescent="0.2">
      <c r="A27" s="15">
        <v>40210</v>
      </c>
      <c r="B27" s="14">
        <v>53.8</v>
      </c>
      <c r="C27" s="14">
        <f>Table1346811121415161718192022252627[[#This Row],[PMI]]-B26</f>
        <v>2.7999999999999972</v>
      </c>
    </row>
    <row r="28" spans="1:3" x14ac:dyDescent="0.2">
      <c r="A28" s="15">
        <v>40238</v>
      </c>
      <c r="B28" s="14">
        <v>50.2</v>
      </c>
      <c r="C28" s="14">
        <f>Table1346811121415161718192022252627[[#This Row],[PMI]]-B27</f>
        <v>-3.5999999999999943</v>
      </c>
    </row>
    <row r="29" spans="1:3" x14ac:dyDescent="0.2">
      <c r="A29" s="15">
        <v>40269</v>
      </c>
      <c r="B29" s="14">
        <v>59.8</v>
      </c>
      <c r="C29" s="14">
        <f>Table1346811121415161718192022252627[[#This Row],[PMI]]-B28</f>
        <v>9.5999999999999943</v>
      </c>
    </row>
    <row r="30" spans="1:3" x14ac:dyDescent="0.2">
      <c r="A30" s="15">
        <v>40299</v>
      </c>
      <c r="B30" s="14">
        <v>56.3</v>
      </c>
      <c r="C30" s="14">
        <f>Table1346811121415161718192022252627[[#This Row],[PMI]]-B29</f>
        <v>-3.5</v>
      </c>
    </row>
    <row r="31" spans="1:3" x14ac:dyDescent="0.2">
      <c r="A31" s="15">
        <v>40330</v>
      </c>
      <c r="B31" s="14">
        <v>52.9</v>
      </c>
      <c r="C31" s="14">
        <f>Table1346811121415161718192022252627[[#This Row],[PMI]]-B30</f>
        <v>-3.3999999999999986</v>
      </c>
    </row>
    <row r="32" spans="1:3" x14ac:dyDescent="0.2">
      <c r="A32" s="15">
        <v>40360</v>
      </c>
      <c r="B32" s="14">
        <v>54.4</v>
      </c>
      <c r="C32" s="14">
        <f>Table1346811121415161718192022252627[[#This Row],[PMI]]-B31</f>
        <v>1.5</v>
      </c>
    </row>
    <row r="33" spans="1:3" x14ac:dyDescent="0.2">
      <c r="A33" s="15">
        <v>40391</v>
      </c>
      <c r="B33" s="14">
        <v>51.7</v>
      </c>
      <c r="C33" s="14">
        <f>Table1346811121415161718192022252627[[#This Row],[PMI]]-B32</f>
        <v>-2.6999999999999957</v>
      </c>
    </row>
    <row r="34" spans="1:3" x14ac:dyDescent="0.2">
      <c r="A34" s="15">
        <v>40422</v>
      </c>
      <c r="B34" s="14">
        <v>47.3</v>
      </c>
      <c r="C34" s="14">
        <f>Table1346811121415161718192022252627[[#This Row],[PMI]]-B33</f>
        <v>-4.4000000000000057</v>
      </c>
    </row>
    <row r="35" spans="1:3" x14ac:dyDescent="0.2">
      <c r="A35" s="15">
        <v>40452</v>
      </c>
      <c r="B35" s="14">
        <v>49.4</v>
      </c>
      <c r="C35" s="14">
        <f>Table1346811121415161718192022252627[[#This Row],[PMI]]-B34</f>
        <v>2.1000000000000014</v>
      </c>
    </row>
    <row r="36" spans="1:3" x14ac:dyDescent="0.2">
      <c r="A36" s="15">
        <v>40483</v>
      </c>
      <c r="B36" s="14">
        <v>47.6</v>
      </c>
      <c r="C36" s="14">
        <f>Table1346811121415161718192022252627[[#This Row],[PMI]]-B35</f>
        <v>-1.7999999999999972</v>
      </c>
    </row>
    <row r="37" spans="1:3" x14ac:dyDescent="0.2">
      <c r="A37" s="15">
        <v>40513</v>
      </c>
      <c r="B37" s="14">
        <v>46.3</v>
      </c>
      <c r="C37" s="14">
        <f>Table1346811121415161718192022252627[[#This Row],[PMI]]-B36</f>
        <v>-1.3000000000000043</v>
      </c>
    </row>
    <row r="38" spans="1:3" x14ac:dyDescent="0.2">
      <c r="A38" s="15">
        <v>40544</v>
      </c>
      <c r="B38" s="14">
        <v>46.7</v>
      </c>
      <c r="C38" s="14">
        <f>Table1346811121415161718192022252627[[#This Row],[PMI]]-B37</f>
        <v>0.40000000000000568</v>
      </c>
    </row>
    <row r="39" spans="1:3" x14ac:dyDescent="0.2">
      <c r="A39" s="15">
        <v>40575</v>
      </c>
      <c r="B39" s="14">
        <v>51.1</v>
      </c>
      <c r="C39" s="14">
        <f>Table1346811121415161718192022252627[[#This Row],[PMI]]-B38</f>
        <v>4.3999999999999986</v>
      </c>
    </row>
    <row r="40" spans="1:3" x14ac:dyDescent="0.2">
      <c r="A40" s="15">
        <v>40603</v>
      </c>
      <c r="B40" s="14">
        <v>47.9</v>
      </c>
      <c r="C40" s="14">
        <f>Table1346811121415161718192022252627[[#This Row],[PMI]]-B39</f>
        <v>-3.2000000000000028</v>
      </c>
    </row>
    <row r="41" spans="1:3" x14ac:dyDescent="0.2">
      <c r="A41" s="15">
        <v>40634</v>
      </c>
      <c r="B41" s="14">
        <v>48.4</v>
      </c>
      <c r="C41" s="14">
        <f>Table1346811121415161718192022252627[[#This Row],[PMI]]-B40</f>
        <v>0.5</v>
      </c>
    </row>
    <row r="42" spans="1:3" x14ac:dyDescent="0.2">
      <c r="A42" s="15">
        <v>40664</v>
      </c>
      <c r="B42" s="14">
        <v>47.7</v>
      </c>
      <c r="C42" s="14">
        <f>Table1346811121415161718192022252627[[#This Row],[PMI]]-B41</f>
        <v>-0.69999999999999574</v>
      </c>
    </row>
    <row r="43" spans="1:3" x14ac:dyDescent="0.2">
      <c r="A43" s="15">
        <v>40695</v>
      </c>
      <c r="B43" s="14">
        <v>52.9</v>
      </c>
      <c r="C43" s="14">
        <f>Table1346811121415161718192022252627[[#This Row],[PMI]]-B42</f>
        <v>5.1999999999999957</v>
      </c>
    </row>
    <row r="44" spans="1:3" x14ac:dyDescent="0.2">
      <c r="A44" s="15">
        <v>40725</v>
      </c>
      <c r="B44" s="14">
        <v>43.4</v>
      </c>
      <c r="C44" s="14">
        <f>Table1346811121415161718192022252627[[#This Row],[PMI]]-B43</f>
        <v>-9.5</v>
      </c>
    </row>
    <row r="45" spans="1:3" x14ac:dyDescent="0.2">
      <c r="A45" s="15">
        <v>40756</v>
      </c>
      <c r="B45" s="14">
        <v>43.3</v>
      </c>
      <c r="C45" s="14">
        <f>Table1346811121415161718192022252627[[#This Row],[PMI]]-B44</f>
        <v>-0.10000000000000142</v>
      </c>
    </row>
    <row r="46" spans="1:3" x14ac:dyDescent="0.2">
      <c r="A46" s="15">
        <v>40787</v>
      </c>
      <c r="B46" s="14">
        <v>42.3</v>
      </c>
      <c r="C46" s="14">
        <f>Table1346811121415161718192022252627[[#This Row],[PMI]]-B45</f>
        <v>-1</v>
      </c>
    </row>
    <row r="47" spans="1:3" x14ac:dyDescent="0.2">
      <c r="A47" s="15">
        <v>40817</v>
      </c>
      <c r="B47" s="14">
        <v>47.4</v>
      </c>
      <c r="C47" s="14">
        <f>Table1346811121415161718192022252627[[#This Row],[PMI]]-B46</f>
        <v>5.1000000000000014</v>
      </c>
    </row>
    <row r="48" spans="1:3" x14ac:dyDescent="0.2">
      <c r="A48" s="15">
        <v>40848</v>
      </c>
      <c r="B48" s="14">
        <v>47.8</v>
      </c>
      <c r="C48" s="14">
        <f>Table1346811121415161718192022252627[[#This Row],[PMI]]-B47</f>
        <v>0.39999999999999858</v>
      </c>
    </row>
    <row r="49" spans="1:3" x14ac:dyDescent="0.2">
      <c r="A49" s="15">
        <v>40878</v>
      </c>
      <c r="B49" s="14">
        <v>50.2</v>
      </c>
      <c r="C49" s="14">
        <f>Table1346811121415161718192022252627[[#This Row],[PMI]]-B48</f>
        <v>2.4000000000000057</v>
      </c>
    </row>
    <row r="50" spans="1:3" x14ac:dyDescent="0.2">
      <c r="A50" s="15">
        <v>40909</v>
      </c>
      <c r="B50" s="14">
        <v>51.6</v>
      </c>
      <c r="C50" s="14">
        <f>Table1346811121415161718192022252627[[#This Row],[PMI]]-B49</f>
        <v>1.3999999999999986</v>
      </c>
    </row>
    <row r="51" spans="1:3" x14ac:dyDescent="0.2">
      <c r="A51" s="15">
        <v>40940</v>
      </c>
      <c r="B51" s="14">
        <v>51.3</v>
      </c>
      <c r="C51" s="14">
        <f>Table1346811121415161718192022252627[[#This Row],[PMI]]-B50</f>
        <v>-0.30000000000000426</v>
      </c>
    </row>
    <row r="52" spans="1:3" x14ac:dyDescent="0.2">
      <c r="A52" s="15">
        <v>40969</v>
      </c>
      <c r="B52" s="14">
        <v>49.5</v>
      </c>
      <c r="C52" s="14">
        <f>Table1346811121415161718192022252627[[#This Row],[PMI]]-B51</f>
        <v>-1.7999999999999972</v>
      </c>
    </row>
    <row r="53" spans="1:3" x14ac:dyDescent="0.2">
      <c r="A53" s="15">
        <v>41000</v>
      </c>
      <c r="B53" s="14">
        <v>43.9</v>
      </c>
      <c r="C53" s="14">
        <f>Table1346811121415161718192022252627[[#This Row],[PMI]]-B52</f>
        <v>-5.6000000000000014</v>
      </c>
    </row>
    <row r="54" spans="1:3" x14ac:dyDescent="0.2">
      <c r="A54" s="15">
        <v>41030</v>
      </c>
      <c r="B54" s="14">
        <v>42.4</v>
      </c>
      <c r="C54" s="14">
        <f>Table1346811121415161718192022252627[[#This Row],[PMI]]-B53</f>
        <v>-1.5</v>
      </c>
    </row>
    <row r="55" spans="1:3" x14ac:dyDescent="0.2">
      <c r="A55" s="15">
        <v>41061</v>
      </c>
      <c r="B55" s="14">
        <v>47.2</v>
      </c>
      <c r="C55" s="14">
        <f>Table1346811121415161718192022252627[[#This Row],[PMI]]-B54</f>
        <v>4.8000000000000043</v>
      </c>
    </row>
    <row r="56" spans="1:3" x14ac:dyDescent="0.2">
      <c r="A56" s="15">
        <v>41091</v>
      </c>
      <c r="B56" s="14">
        <v>40.299999999999997</v>
      </c>
      <c r="C56" s="14">
        <f>Table1346811121415161718192022252627[[#This Row],[PMI]]-B55</f>
        <v>-6.9000000000000057</v>
      </c>
    </row>
    <row r="57" spans="1:3" x14ac:dyDescent="0.2">
      <c r="A57" s="15">
        <v>41122</v>
      </c>
      <c r="B57" s="14">
        <v>45.3</v>
      </c>
      <c r="C57" s="14">
        <f>Table1346811121415161718192022252627[[#This Row],[PMI]]-B56</f>
        <v>5</v>
      </c>
    </row>
    <row r="58" spans="1:3" x14ac:dyDescent="0.2">
      <c r="A58" s="15">
        <v>41153</v>
      </c>
      <c r="B58" s="14">
        <v>44.1</v>
      </c>
      <c r="C58" s="14">
        <f>Table1346811121415161718192022252627[[#This Row],[PMI]]-B57</f>
        <v>-1.1999999999999957</v>
      </c>
    </row>
    <row r="59" spans="1:3" x14ac:dyDescent="0.2">
      <c r="A59" s="15">
        <v>41183</v>
      </c>
      <c r="B59" s="14">
        <v>45.2</v>
      </c>
      <c r="C59" s="14">
        <f>Table1346811121415161718192022252627[[#This Row],[PMI]]-B58</f>
        <v>1.1000000000000014</v>
      </c>
    </row>
    <row r="60" spans="1:3" x14ac:dyDescent="0.2">
      <c r="A60" s="15">
        <v>41214</v>
      </c>
      <c r="B60" s="14">
        <v>43.6</v>
      </c>
      <c r="C60" s="14">
        <f>Table1346811121415161718192022252627[[#This Row],[PMI]]-B59</f>
        <v>-1.6000000000000014</v>
      </c>
    </row>
    <row r="61" spans="1:3" x14ac:dyDescent="0.2">
      <c r="A61" s="15">
        <v>41244</v>
      </c>
      <c r="B61" s="14">
        <v>44.3</v>
      </c>
      <c r="C61" s="14">
        <f>Table1346811121415161718192022252627[[#This Row],[PMI]]-B60</f>
        <v>0.69999999999999574</v>
      </c>
    </row>
    <row r="62" spans="1:3" x14ac:dyDescent="0.2">
      <c r="A62" s="15">
        <v>41275</v>
      </c>
      <c r="B62" s="14">
        <v>40.200000000000003</v>
      </c>
      <c r="C62" s="14">
        <f>Table1346811121415161718192022252627[[#This Row],[PMI]]-B61</f>
        <v>-4.0999999999999943</v>
      </c>
    </row>
    <row r="63" spans="1:3" x14ac:dyDescent="0.2">
      <c r="A63" s="15">
        <v>41306</v>
      </c>
      <c r="B63" s="14">
        <v>45.6</v>
      </c>
      <c r="C63" s="14">
        <f>Table1346811121415161718192022252627[[#This Row],[PMI]]-B62</f>
        <v>5.3999999999999986</v>
      </c>
    </row>
    <row r="64" spans="1:3" x14ac:dyDescent="0.2">
      <c r="A64" s="15">
        <v>41334</v>
      </c>
      <c r="B64" s="14">
        <v>44.4</v>
      </c>
      <c r="C64" s="14">
        <f>Table1346811121415161718192022252627[[#This Row],[PMI]]-B63</f>
        <v>-1.2000000000000028</v>
      </c>
    </row>
    <row r="65" spans="1:3" x14ac:dyDescent="0.2">
      <c r="A65" s="15">
        <v>41365</v>
      </c>
      <c r="B65" s="14">
        <v>36.700000000000003</v>
      </c>
      <c r="C65" s="14">
        <f>Table1346811121415161718192022252627[[#This Row],[PMI]]-B64</f>
        <v>-7.6999999999999957</v>
      </c>
    </row>
    <row r="66" spans="1:3" x14ac:dyDescent="0.2">
      <c r="A66" s="15">
        <v>41395</v>
      </c>
      <c r="B66" s="14">
        <v>43.8</v>
      </c>
      <c r="C66" s="14">
        <f>Table1346811121415161718192022252627[[#This Row],[PMI]]-B65</f>
        <v>7.0999999999999943</v>
      </c>
    </row>
    <row r="67" spans="1:3" x14ac:dyDescent="0.2">
      <c r="A67" s="15">
        <v>41426</v>
      </c>
      <c r="B67" s="14">
        <v>49.6</v>
      </c>
      <c r="C67" s="14">
        <f>Table1346811121415161718192022252627[[#This Row],[PMI]]-B66</f>
        <v>5.8000000000000043</v>
      </c>
    </row>
    <row r="68" spans="1:3" x14ac:dyDescent="0.2">
      <c r="A68" s="15">
        <v>41456</v>
      </c>
      <c r="B68" s="14">
        <v>42</v>
      </c>
      <c r="C68" s="14">
        <f>Table1346811121415161718192022252627[[#This Row],[PMI]]-B67</f>
        <v>-7.6000000000000014</v>
      </c>
    </row>
    <row r="69" spans="1:3" x14ac:dyDescent="0.2">
      <c r="A69" s="15">
        <v>41487</v>
      </c>
      <c r="B69" s="14">
        <v>46.4</v>
      </c>
      <c r="C69" s="14">
        <f>Table1346811121415161718192022252627[[#This Row],[PMI]]-B68</f>
        <v>4.3999999999999986</v>
      </c>
    </row>
    <row r="70" spans="1:3" x14ac:dyDescent="0.2">
      <c r="A70" s="15">
        <v>41518</v>
      </c>
      <c r="B70" s="14">
        <v>51.7</v>
      </c>
      <c r="C70" s="14">
        <f>Table1346811121415161718192022252627[[#This Row],[PMI]]-B69</f>
        <v>5.3000000000000043</v>
      </c>
    </row>
    <row r="71" spans="1:3" x14ac:dyDescent="0.2">
      <c r="A71" s="15">
        <v>41548</v>
      </c>
      <c r="B71" s="14">
        <v>53.2</v>
      </c>
      <c r="C71" s="14">
        <f>Table1346811121415161718192022252627[[#This Row],[PMI]]-B70</f>
        <v>1.5</v>
      </c>
    </row>
    <row r="72" spans="1:3" x14ac:dyDescent="0.2">
      <c r="A72" s="15">
        <v>41579</v>
      </c>
      <c r="B72" s="14">
        <v>47.7</v>
      </c>
      <c r="C72" s="14">
        <f>Table1346811121415161718192022252627[[#This Row],[PMI]]-B71</f>
        <v>-5.5</v>
      </c>
    </row>
    <row r="73" spans="1:3" x14ac:dyDescent="0.2">
      <c r="A73" s="15">
        <v>41609</v>
      </c>
      <c r="B73" s="14">
        <v>47.6</v>
      </c>
      <c r="C73" s="14">
        <f>Table1346811121415161718192022252627[[#This Row],[PMI]]-B72</f>
        <v>-0.10000000000000142</v>
      </c>
    </row>
    <row r="74" spans="1:3" x14ac:dyDescent="0.2">
      <c r="A74" s="15">
        <v>41640</v>
      </c>
      <c r="B74" s="14">
        <v>46.7</v>
      </c>
      <c r="C74" s="14">
        <f>Table1346811121415161718192022252627[[#This Row],[PMI]]-B73</f>
        <v>-0.89999999999999858</v>
      </c>
    </row>
    <row r="75" spans="1:3" x14ac:dyDescent="0.2">
      <c r="A75" s="15">
        <v>41671</v>
      </c>
      <c r="B75" s="14">
        <v>48.6</v>
      </c>
      <c r="C75" s="14">
        <f>Table1346811121415161718192022252627[[#This Row],[PMI]]-B74</f>
        <v>1.8999999999999986</v>
      </c>
    </row>
    <row r="76" spans="1:3" x14ac:dyDescent="0.2">
      <c r="A76" s="15">
        <v>41699</v>
      </c>
      <c r="B76" s="14">
        <v>49.7</v>
      </c>
      <c r="C76" s="14">
        <f>Table1346811121415161718192022252627[[#This Row],[PMI]]-B75</f>
        <v>1.1000000000000014</v>
      </c>
    </row>
    <row r="77" spans="1:3" x14ac:dyDescent="0.2">
      <c r="A77" s="15">
        <v>41730</v>
      </c>
      <c r="B77" s="14">
        <v>44.8</v>
      </c>
      <c r="C77" s="14">
        <f>Table1346811121415161718192022252627[[#This Row],[PMI]]-B76</f>
        <v>-4.9000000000000057</v>
      </c>
    </row>
    <row r="78" spans="1:3" x14ac:dyDescent="0.2">
      <c r="A78" s="15">
        <v>41760</v>
      </c>
      <c r="B78" s="14">
        <v>49.2</v>
      </c>
      <c r="C78" s="14">
        <f>Table1346811121415161718192022252627[[#This Row],[PMI]]-B77</f>
        <v>4.4000000000000057</v>
      </c>
    </row>
    <row r="79" spans="1:3" x14ac:dyDescent="0.2">
      <c r="A79" s="15">
        <v>41791</v>
      </c>
      <c r="B79" s="14">
        <v>48.9</v>
      </c>
      <c r="C79" s="14">
        <f>Table1346811121415161718192022252627[[#This Row],[PMI]]-B78</f>
        <v>-0.30000000000000426</v>
      </c>
    </row>
    <row r="80" spans="1:3" x14ac:dyDescent="0.2">
      <c r="A80" s="15">
        <v>41821</v>
      </c>
      <c r="B80" s="14">
        <v>50.7</v>
      </c>
      <c r="C80" s="14">
        <f>Table1346811121415161718192022252627[[#This Row],[PMI]]-B79</f>
        <v>1.8000000000000043</v>
      </c>
    </row>
    <row r="81" spans="1:3" x14ac:dyDescent="0.2">
      <c r="A81" s="15">
        <v>41852</v>
      </c>
      <c r="B81" s="14">
        <v>47.3</v>
      </c>
      <c r="C81" s="14">
        <f>Table1346811121415161718192022252627[[#This Row],[PMI]]-B80</f>
        <v>-3.4000000000000057</v>
      </c>
    </row>
    <row r="82" spans="1:3" x14ac:dyDescent="0.2">
      <c r="A82" s="15">
        <v>41883</v>
      </c>
      <c r="B82" s="14">
        <v>46.5</v>
      </c>
      <c r="C82" s="14">
        <f>Table1346811121415161718192022252627[[#This Row],[PMI]]-B81</f>
        <v>-0.79999999999999716</v>
      </c>
    </row>
    <row r="83" spans="1:3" x14ac:dyDescent="0.2">
      <c r="A83" s="15">
        <v>41913</v>
      </c>
      <c r="B83" s="14">
        <v>49.42</v>
      </c>
      <c r="C83" s="14">
        <f>Table1346811121415161718192022252627[[#This Row],[PMI]]-B82</f>
        <v>2.9200000000000017</v>
      </c>
    </row>
    <row r="84" spans="1:3" x14ac:dyDescent="0.2">
      <c r="A84" s="15">
        <v>41944</v>
      </c>
      <c r="B84" s="14">
        <v>50.1</v>
      </c>
      <c r="C84" s="14">
        <f>Table1346811121415161718192022252627[[#This Row],[PMI]]-B83</f>
        <v>0.67999999999999972</v>
      </c>
    </row>
    <row r="85" spans="1:3" x14ac:dyDescent="0.2">
      <c r="A85" s="15">
        <v>41974</v>
      </c>
      <c r="B85" s="14">
        <v>46.9</v>
      </c>
      <c r="C85" s="14">
        <f>Table1346811121415161718192022252627[[#This Row],[PMI]]-B84</f>
        <v>-3.2000000000000028</v>
      </c>
    </row>
    <row r="86" spans="1:3" x14ac:dyDescent="0.2">
      <c r="A86" s="15">
        <v>42005</v>
      </c>
      <c r="B86" s="14">
        <v>49</v>
      </c>
      <c r="C86" s="14">
        <f>Table1346811121415161718192022252627[[#This Row],[PMI]]-B85</f>
        <v>2.1000000000000014</v>
      </c>
    </row>
    <row r="87" spans="1:3" x14ac:dyDescent="0.2">
      <c r="A87" s="15">
        <v>42036</v>
      </c>
      <c r="B87" s="14">
        <v>45.4</v>
      </c>
      <c r="C87" s="14">
        <f>Table1346811121415161718192022252627[[#This Row],[PMI]]-B86</f>
        <v>-3.6000000000000014</v>
      </c>
    </row>
    <row r="88" spans="1:3" x14ac:dyDescent="0.2">
      <c r="A88" s="15">
        <v>42064</v>
      </c>
      <c r="B88" s="14">
        <v>46.3</v>
      </c>
      <c r="C88" s="14">
        <f>Table1346811121415161718192022252627[[#This Row],[PMI]]-B87</f>
        <v>0.89999999999999858</v>
      </c>
    </row>
    <row r="89" spans="1:3" x14ac:dyDescent="0.2">
      <c r="A89" s="15">
        <v>42095</v>
      </c>
      <c r="B89" s="14">
        <v>48</v>
      </c>
      <c r="C89" s="14">
        <f>Table1346811121415161718192022252627[[#This Row],[PMI]]-B88</f>
        <v>1.7000000000000028</v>
      </c>
    </row>
    <row r="90" spans="1:3" x14ac:dyDescent="0.2">
      <c r="A90" s="15">
        <v>42125</v>
      </c>
      <c r="B90" s="14">
        <v>52.29</v>
      </c>
      <c r="C90" s="14">
        <f>Table1346811121415161718192022252627[[#This Row],[PMI]]-B89</f>
        <v>4.2899999999999991</v>
      </c>
    </row>
    <row r="91" spans="1:3" x14ac:dyDescent="0.2">
      <c r="A91" s="15">
        <v>42156</v>
      </c>
      <c r="B91" s="14">
        <v>44.2</v>
      </c>
      <c r="C91" s="14">
        <f>Table1346811121415161718192022252627[[#This Row],[PMI]]-B90</f>
        <v>-8.0899999999999963</v>
      </c>
    </row>
    <row r="92" spans="1:3" x14ac:dyDescent="0.2">
      <c r="A92" s="15">
        <v>42186</v>
      </c>
      <c r="B92" s="14">
        <v>50.4</v>
      </c>
      <c r="C92" s="14">
        <f>Table1346811121415161718192022252627[[#This Row],[PMI]]-B91</f>
        <v>6.1999999999999957</v>
      </c>
    </row>
    <row r="93" spans="1:3" x14ac:dyDescent="0.2">
      <c r="A93" s="15">
        <v>42217</v>
      </c>
      <c r="B93" s="14">
        <v>51.7</v>
      </c>
      <c r="C93" s="14">
        <f>Table1346811121415161718192022252627[[#This Row],[PMI]]-B92</f>
        <v>1.3000000000000043</v>
      </c>
    </row>
    <row r="94" spans="1:3" x14ac:dyDescent="0.2">
      <c r="A94" s="15">
        <v>42248</v>
      </c>
      <c r="B94" s="14">
        <v>52.1</v>
      </c>
      <c r="C94" s="14">
        <f>Table1346811121415161718192022252627[[#This Row],[PMI]]-B93</f>
        <v>0.39999999999999858</v>
      </c>
    </row>
    <row r="95" spans="1:3" x14ac:dyDescent="0.2">
      <c r="A95" s="15">
        <v>42278</v>
      </c>
      <c r="B95" s="14">
        <v>50.2</v>
      </c>
      <c r="C95" s="14">
        <f>Table1346811121415161718192022252627[[#This Row],[PMI]]-B94</f>
        <v>-1.8999999999999986</v>
      </c>
    </row>
    <row r="96" spans="1:3" x14ac:dyDescent="0.2">
      <c r="A96" s="15">
        <v>42309</v>
      </c>
      <c r="B96" s="14">
        <v>52.5</v>
      </c>
      <c r="C96" s="14">
        <f>Table1346811121415161718192022252627[[#This Row],[PMI]]-B95</f>
        <v>2.2999999999999972</v>
      </c>
    </row>
    <row r="97" spans="1:3" x14ac:dyDescent="0.2">
      <c r="A97" s="15">
        <v>42339</v>
      </c>
      <c r="B97" s="14">
        <v>51.9</v>
      </c>
      <c r="C97" s="14">
        <f>Table1346811121415161718192022252627[[#This Row],[PMI]]-B96</f>
        <v>-0.60000000000000142</v>
      </c>
    </row>
    <row r="98" spans="1:3" x14ac:dyDescent="0.2">
      <c r="A98" s="15">
        <v>42370</v>
      </c>
      <c r="B98" s="14">
        <v>51.5</v>
      </c>
      <c r="C98" s="14">
        <f>Table1346811121415161718192022252627[[#This Row],[PMI]]-B97</f>
        <v>-0.39999999999999858</v>
      </c>
    </row>
    <row r="99" spans="1:3" x14ac:dyDescent="0.2">
      <c r="A99" s="15">
        <v>42401</v>
      </c>
      <c r="B99" s="14">
        <v>53.5</v>
      </c>
      <c r="C99" s="14">
        <f>Table1346811121415161718192022252627[[#This Row],[PMI]]-B98</f>
        <v>2</v>
      </c>
    </row>
    <row r="100" spans="1:3" x14ac:dyDescent="0.2">
      <c r="A100" s="15">
        <v>42430</v>
      </c>
      <c r="B100" s="14">
        <v>58.1</v>
      </c>
      <c r="C100" s="14">
        <f>Table1346811121415161718192022252627[[#This Row],[PMI]]-B99</f>
        <v>4.6000000000000014</v>
      </c>
    </row>
    <row r="101" spans="1:3" x14ac:dyDescent="0.2">
      <c r="A101" s="15">
        <v>42461</v>
      </c>
      <c r="B101" s="14">
        <v>53.4</v>
      </c>
      <c r="C101" s="14">
        <f>Table1346811121415161718192022252627[[#This Row],[PMI]]-B100</f>
        <v>-4.7000000000000028</v>
      </c>
    </row>
    <row r="102" spans="1:3" x14ac:dyDescent="0.2">
      <c r="A102" s="15">
        <v>42491</v>
      </c>
      <c r="B102" s="14">
        <v>51</v>
      </c>
      <c r="C102" s="14">
        <f>Table1346811121415161718192022252627[[#This Row],[PMI]]-B101</f>
        <v>-2.3999999999999986</v>
      </c>
    </row>
    <row r="103" spans="1:3" x14ac:dyDescent="0.2">
      <c r="A103" s="15">
        <v>42522</v>
      </c>
      <c r="B103" s="14">
        <v>51.8</v>
      </c>
      <c r="C103" s="14">
        <f>Table1346811121415161718192022252627[[#This Row],[PMI]]-B102</f>
        <v>0.79999999999999716</v>
      </c>
    </row>
    <row r="104" spans="1:3" x14ac:dyDescent="0.2">
      <c r="A104" s="15">
        <v>42552</v>
      </c>
      <c r="B104" s="14">
        <v>56.4</v>
      </c>
      <c r="C104" s="14">
        <f>Table1346811121415161718192022252627[[#This Row],[PMI]]-B103</f>
        <v>4.6000000000000014</v>
      </c>
    </row>
    <row r="105" spans="1:3" x14ac:dyDescent="0.2">
      <c r="A105" s="15">
        <v>42583</v>
      </c>
      <c r="B105" s="14">
        <v>46.9</v>
      </c>
      <c r="C105" s="14">
        <f>Table1346811121415161718192022252627[[#This Row],[PMI]]-B104</f>
        <v>-9.5</v>
      </c>
    </row>
    <row r="106" spans="1:3" x14ac:dyDescent="0.2">
      <c r="A106" s="15">
        <v>42614</v>
      </c>
      <c r="B106" s="14">
        <v>49.8</v>
      </c>
      <c r="C106" s="14">
        <f>Table1346811121415161718192022252627[[#This Row],[PMI]]-B105</f>
        <v>2.8999999999999986</v>
      </c>
    </row>
    <row r="107" spans="1:3" x14ac:dyDescent="0.2">
      <c r="A107" s="15">
        <v>42644</v>
      </c>
      <c r="B107" s="14">
        <v>50.9</v>
      </c>
      <c r="C107" s="30">
        <f>Table1346811121415161718192022252627[[#This Row],[PMI]]-B106</f>
        <v>1.1000000000000014</v>
      </c>
    </row>
    <row r="108" spans="1:3" x14ac:dyDescent="0.2">
      <c r="A108" s="15">
        <v>42675</v>
      </c>
      <c r="B108" s="14">
        <v>54.2</v>
      </c>
      <c r="C108" s="30">
        <f>Table1346811121415161718192022252627[[#This Row],[PMI]]-B107</f>
        <v>3.3000000000000043</v>
      </c>
    </row>
    <row r="109" spans="1:3" x14ac:dyDescent="0.2">
      <c r="A109" s="15">
        <v>42705</v>
      </c>
      <c r="B109" s="14">
        <v>55.4</v>
      </c>
      <c r="C109" s="30">
        <f>Table1346811121415161718192022252627[[#This Row],[PMI]]-B108</f>
        <v>1.1999999999999957</v>
      </c>
    </row>
    <row r="110" spans="1:3" x14ac:dyDescent="0.2">
      <c r="A110" s="15">
        <v>42736</v>
      </c>
      <c r="B110" s="14">
        <v>51.2</v>
      </c>
      <c r="C110" s="30">
        <f>Table1346811121415161718192022252627[[#This Row],[PMI]]-B109</f>
        <v>-4.1999999999999957</v>
      </c>
    </row>
    <row r="111" spans="1:3" x14ac:dyDescent="0.2">
      <c r="A111" s="15">
        <v>42767</v>
      </c>
      <c r="B111" s="14">
        <v>59.3</v>
      </c>
      <c r="C111" s="30">
        <f>Table1346811121415161718192022252627[[#This Row],[PMI]]-B110</f>
        <v>8.0999999999999943</v>
      </c>
    </row>
    <row r="112" spans="1:3" x14ac:dyDescent="0.2">
      <c r="A112" s="15">
        <v>42795</v>
      </c>
      <c r="B112" s="14">
        <v>57.5</v>
      </c>
      <c r="C112" s="30">
        <f>Table1346811121415161718192022252627[[#This Row],[PMI]]-B111</f>
        <v>-1.7999999999999972</v>
      </c>
    </row>
    <row r="113" spans="1:3" x14ac:dyDescent="0.2">
      <c r="A113" s="15">
        <v>42826</v>
      </c>
      <c r="B113" s="14">
        <v>59.2</v>
      </c>
      <c r="C113" s="30">
        <f>Table1346811121415161718192022252627[[#This Row],[PMI]]-B112</f>
        <v>1.7000000000000028</v>
      </c>
    </row>
    <row r="114" spans="1:3" x14ac:dyDescent="0.2">
      <c r="A114" s="15">
        <v>42856</v>
      </c>
      <c r="B114" s="14">
        <v>54.8</v>
      </c>
      <c r="C114" s="30">
        <f>Table1346811121415161718192022252627[[#This Row],[PMI]]-B113</f>
        <v>-4.4000000000000057</v>
      </c>
    </row>
    <row r="115" spans="1:3" x14ac:dyDescent="0.2">
      <c r="A115" s="15">
        <v>42887</v>
      </c>
      <c r="B115" s="14">
        <v>55</v>
      </c>
      <c r="C115" s="30">
        <f>Table1346811121415161718192022252627[[#This Row],[PMI]]-B114</f>
        <v>0.20000000000000284</v>
      </c>
    </row>
    <row r="116" spans="1:3" x14ac:dyDescent="0.2">
      <c r="A116" s="15">
        <v>42917</v>
      </c>
      <c r="B116" s="14">
        <v>56</v>
      </c>
      <c r="C116" s="30">
        <f>Table1346811121415161718192022252627[[#This Row],[PMI]]-B115</f>
        <v>1</v>
      </c>
    </row>
    <row r="117" spans="1:3" x14ac:dyDescent="0.2">
      <c r="A117" s="15">
        <v>42948</v>
      </c>
      <c r="B117" s="14">
        <v>59.8</v>
      </c>
      <c r="C117" s="30">
        <f>Table1346811121415161718192022252627[[#This Row],[PMI]]-B116</f>
        <v>3.7999999999999972</v>
      </c>
    </row>
    <row r="118" spans="1:3" x14ac:dyDescent="0.2">
      <c r="A118" s="15">
        <v>42979</v>
      </c>
      <c r="B118" s="14">
        <v>54.2</v>
      </c>
      <c r="C118" s="30">
        <f>Table1346811121415161718192022252627[[#This Row],[PMI]]-B117</f>
        <v>-5.5999999999999943</v>
      </c>
    </row>
    <row r="119" spans="1:3" x14ac:dyDescent="0.2">
      <c r="A119" s="15">
        <v>43009</v>
      </c>
      <c r="B119" s="14">
        <v>51.1</v>
      </c>
      <c r="C119" s="30">
        <f>Table1346811121415161718192022252627[[#This Row],[PMI]]-B118</f>
        <v>-3.1000000000000014</v>
      </c>
    </row>
    <row r="120" spans="1:3" x14ac:dyDescent="0.2">
      <c r="A120" s="15">
        <v>43040</v>
      </c>
      <c r="B120" s="14">
        <v>57.3</v>
      </c>
      <c r="C120" s="30">
        <f>Table1346811121415161718192022252627[[#This Row],[PMI]]-B119</f>
        <v>6.1999999999999957</v>
      </c>
    </row>
    <row r="121" spans="1:3" x14ac:dyDescent="0.2">
      <c r="A121" s="15">
        <v>43070</v>
      </c>
      <c r="B121" s="14">
        <v>56.2</v>
      </c>
      <c r="C121" s="30">
        <f>Table1346811121415161718192022252627[[#This Row],[PMI]]-B120</f>
        <v>-1.0999999999999943</v>
      </c>
    </row>
    <row r="122" spans="1:3" x14ac:dyDescent="0.2">
      <c r="A122" s="15">
        <v>43101</v>
      </c>
      <c r="B122" s="14">
        <v>58.7</v>
      </c>
      <c r="C122" s="30">
        <f>Table1346811121415161718192022252627[[#This Row],[PMI]]-B121</f>
        <v>2.5</v>
      </c>
    </row>
    <row r="123" spans="1:3" x14ac:dyDescent="0.2">
      <c r="A123" s="15">
        <v>43132</v>
      </c>
      <c r="B123" s="14">
        <v>57.5</v>
      </c>
      <c r="C123" s="30">
        <f>Table1346811121415161718192022252627[[#This Row],[PMI]]-B122</f>
        <v>-1.2000000000000028</v>
      </c>
    </row>
    <row r="124" spans="1:3" x14ac:dyDescent="0.2">
      <c r="A124" s="15">
        <v>43160</v>
      </c>
      <c r="B124" s="14">
        <v>63.1</v>
      </c>
      <c r="C124" s="30">
        <f>Table1346811121415161718192022252627[[#This Row],[PMI]]-B123</f>
        <v>5.6000000000000014</v>
      </c>
    </row>
    <row r="125" spans="1:3" x14ac:dyDescent="0.2">
      <c r="A125" s="15">
        <v>43191</v>
      </c>
      <c r="B125" s="14">
        <v>58.3</v>
      </c>
      <c r="C125" s="30">
        <f>Table1346811121415161718192022252627[[#This Row],[PMI]]-B124</f>
        <v>-4.8000000000000043</v>
      </c>
    </row>
    <row r="126" spans="1:3" x14ac:dyDescent="0.2">
      <c r="A126" s="15">
        <v>43221</v>
      </c>
      <c r="B126" s="14">
        <v>57.5</v>
      </c>
      <c r="C126" s="30">
        <f>Table1346811121415161718192022252627[[#This Row],[PMI]]-B125</f>
        <v>-0.79999999999999716</v>
      </c>
    </row>
    <row r="127" spans="1:3" x14ac:dyDescent="0.2">
      <c r="A127" s="15">
        <v>43252</v>
      </c>
      <c r="B127" s="14">
        <v>57.4</v>
      </c>
      <c r="C127" s="30">
        <f>Table1346811121415161718192022252627[[#This Row],[PMI]]-B126</f>
        <v>-0.10000000000000142</v>
      </c>
    </row>
    <row r="128" spans="1:3" x14ac:dyDescent="0.2">
      <c r="A128" s="15">
        <v>43282</v>
      </c>
      <c r="B128" s="14">
        <v>52</v>
      </c>
      <c r="C128" s="30">
        <f>Table1346811121415161718192022252627[[#This Row],[PMI]]-B127</f>
        <v>-5.3999999999999986</v>
      </c>
    </row>
    <row r="129" spans="1:3" x14ac:dyDescent="0.2">
      <c r="A129" s="15">
        <v>43313</v>
      </c>
      <c r="B129" s="14">
        <v>56.7</v>
      </c>
      <c r="C129" s="30">
        <f>Table1346811121415161718192022252627[[#This Row],[PMI]]-B128</f>
        <v>4.7000000000000028</v>
      </c>
    </row>
    <row r="130" spans="1:3" x14ac:dyDescent="0.2">
      <c r="A130" s="15">
        <v>43344</v>
      </c>
      <c r="B130" s="14">
        <v>59</v>
      </c>
      <c r="C130" s="30">
        <f>Table1346811121415161718192022252627[[#This Row],[PMI]]-B129</f>
        <v>2.2999999999999972</v>
      </c>
    </row>
    <row r="131" spans="1:3" x14ac:dyDescent="0.2">
      <c r="A131" s="15">
        <v>43374</v>
      </c>
      <c r="B131" s="14">
        <v>58.3</v>
      </c>
      <c r="C131" s="30">
        <f>Table1346811121415161718192022252627[[#This Row],[PMI]]-B130</f>
        <v>-0.70000000000000284</v>
      </c>
    </row>
    <row r="132" spans="1:3" x14ac:dyDescent="0.2">
      <c r="A132" s="15">
        <v>43405</v>
      </c>
      <c r="B132" s="14">
        <v>51.3</v>
      </c>
      <c r="C132" s="30">
        <f>Table1346811121415161718192022252627[[#This Row],[PMI]]-B131</f>
        <v>-7</v>
      </c>
    </row>
    <row r="133" spans="1:3" x14ac:dyDescent="0.2">
      <c r="A133" s="15">
        <v>43435</v>
      </c>
      <c r="B133" s="14">
        <v>49.5</v>
      </c>
      <c r="C133" s="30">
        <f>Table1346811121415161718192022252627[[#This Row],[PMI]]-B132</f>
        <v>-1.7999999999999972</v>
      </c>
    </row>
    <row r="134" spans="1:3" x14ac:dyDescent="0.2">
      <c r="A134" s="15">
        <v>43466</v>
      </c>
      <c r="B134" s="14">
        <v>52.5</v>
      </c>
      <c r="C134" s="30">
        <f>Table1346811121415161718192022252627[[#This Row],[PMI]]-B133</f>
        <v>3</v>
      </c>
    </row>
    <row r="135" spans="1:3" x14ac:dyDescent="0.2">
      <c r="A135" s="15">
        <v>43497</v>
      </c>
      <c r="B135" s="14">
        <v>54</v>
      </c>
      <c r="C135" s="30">
        <f>Table1346811121415161718192022252627[[#This Row],[PMI]]-B134</f>
        <v>1.5</v>
      </c>
    </row>
    <row r="136" spans="1:3" x14ac:dyDescent="0.2">
      <c r="A136" s="15">
        <v>43525</v>
      </c>
      <c r="B136" s="14">
        <v>51</v>
      </c>
      <c r="C136" s="30">
        <f>Table1346811121415161718192022252627[[#This Row],[PMI]]-B135</f>
        <v>-3</v>
      </c>
    </row>
    <row r="137" spans="1:3" x14ac:dyDescent="0.2">
      <c r="A137" s="15">
        <v>43556</v>
      </c>
      <c r="B137" s="14">
        <v>54.8</v>
      </c>
      <c r="C137" s="30">
        <f>Table1346811121415161718192022252627[[#This Row],[PMI]]-B136</f>
        <v>3.7999999999999972</v>
      </c>
    </row>
    <row r="138" spans="1:3" x14ac:dyDescent="0.2">
      <c r="A138" s="15">
        <v>43586</v>
      </c>
      <c r="B138" s="14">
        <v>52.7</v>
      </c>
      <c r="C138" s="30">
        <f>Table1346811121415161718192022252627[[#This Row],[PMI]]-B137</f>
        <v>-2.0999999999999943</v>
      </c>
    </row>
    <row r="139" spans="1:3" x14ac:dyDescent="0.2">
      <c r="A139" s="15">
        <v>43617</v>
      </c>
      <c r="B139" s="14">
        <v>49.4</v>
      </c>
      <c r="C139" s="30">
        <f>Table1346811121415161718192022252627[[#This Row],[PMI]]-B138</f>
        <v>-3.3000000000000043</v>
      </c>
    </row>
    <row r="140" spans="1:3" x14ac:dyDescent="0.2">
      <c r="A140" s="15">
        <v>43647</v>
      </c>
      <c r="B140" s="14">
        <v>51.3</v>
      </c>
      <c r="C140" s="30">
        <f>Table1346811121415161718192022252627[[#This Row],[PMI]]-B139</f>
        <v>1.8999999999999986</v>
      </c>
    </row>
    <row r="141" spans="1:3" x14ac:dyDescent="0.2">
      <c r="A141" s="15">
        <v>43678</v>
      </c>
      <c r="B141" s="14">
        <v>53.1</v>
      </c>
      <c r="C141" s="30">
        <f>Table1346811121415161718192022252627[[#This Row],[PMI]]-B140</f>
        <v>1.8000000000000043</v>
      </c>
    </row>
    <row r="142" spans="1:3" x14ac:dyDescent="0.2">
      <c r="A142" s="15">
        <v>43709</v>
      </c>
      <c r="B142" s="14">
        <v>54.7</v>
      </c>
      <c r="C142" s="30">
        <f>Table1346811121415161718192022252627[[#This Row],[PMI]]-B141</f>
        <v>1.6000000000000014</v>
      </c>
    </row>
    <row r="143" spans="1:3" x14ac:dyDescent="0.2">
      <c r="A143" s="15">
        <v>43739</v>
      </c>
      <c r="B143" s="14">
        <v>51.6</v>
      </c>
      <c r="C143" s="30">
        <f>Table1346811121415161718192022252627[[#This Row],[PMI]]-B142</f>
        <v>-3.1000000000000014</v>
      </c>
    </row>
    <row r="144" spans="1:3" x14ac:dyDescent="0.2">
      <c r="A144" s="15">
        <v>43770</v>
      </c>
      <c r="B144" s="14">
        <v>48.1</v>
      </c>
      <c r="C144" s="30">
        <f>Table1346811121415161718192022252627[[#This Row],[PMI]]-B143</f>
        <v>-3.5</v>
      </c>
    </row>
    <row r="145" spans="1:3" x14ac:dyDescent="0.2">
      <c r="A145" s="15">
        <v>43800</v>
      </c>
      <c r="B145" s="14">
        <v>48.3</v>
      </c>
      <c r="C145" s="30">
        <f>Table1346811121415161718192022252627[[#This Row],[PMI]]-B144</f>
        <v>0.19999999999999574</v>
      </c>
    </row>
    <row r="146" spans="1:3" x14ac:dyDescent="0.2">
      <c r="A146" s="15">
        <v>43831</v>
      </c>
      <c r="B146" s="14">
        <v>45.4</v>
      </c>
      <c r="C146" s="30">
        <f>Table1346811121415161718192022252627[[#This Row],[PMI]]-B145</f>
        <v>-2.8999999999999986</v>
      </c>
    </row>
    <row r="147" spans="1:3" x14ac:dyDescent="0.2">
      <c r="A147" s="15">
        <v>43862</v>
      </c>
      <c r="B147" s="14">
        <v>44.3</v>
      </c>
      <c r="C147" s="30">
        <f>Table1346811121415161718192022252627[[#This Row],[PMI]]-B146</f>
        <v>-1.1000000000000014</v>
      </c>
    </row>
    <row r="148" spans="1:3" x14ac:dyDescent="0.2">
      <c r="A148" s="15">
        <v>43891</v>
      </c>
      <c r="B148" s="14">
        <v>53.7</v>
      </c>
      <c r="C148" s="30">
        <f>Table1346811121415161718192022252627[[#This Row],[PMI]]-B147</f>
        <v>9.4000000000000057</v>
      </c>
    </row>
    <row r="149" spans="1:3" x14ac:dyDescent="0.2">
      <c r="A149" s="15">
        <v>43922</v>
      </c>
      <c r="B149" s="14">
        <v>35.799999999999997</v>
      </c>
      <c r="C149" s="30">
        <f>Table1346811121415161718192022252627[[#This Row],[PMI]]-B148</f>
        <v>-17.900000000000006</v>
      </c>
    </row>
    <row r="150" spans="1:3" x14ac:dyDescent="0.2">
      <c r="A150" s="15">
        <v>43952</v>
      </c>
      <c r="B150" s="14">
        <v>41.6</v>
      </c>
      <c r="C150" s="30">
        <f>Table1346811121415161718192022252627[[#This Row],[PMI]]-B149</f>
        <v>5.8000000000000043</v>
      </c>
    </row>
    <row r="151" spans="1:3" x14ac:dyDescent="0.2">
      <c r="A151" s="15">
        <v>43983</v>
      </c>
      <c r="B151" s="14">
        <v>51.5</v>
      </c>
      <c r="C151" s="30">
        <f>Table1346811121415161718192022252627[[#This Row],[PMI]]-B150</f>
        <v>9.8999999999999986</v>
      </c>
    </row>
    <row r="152" spans="1:3" x14ac:dyDescent="0.2">
      <c r="A152" s="15">
        <v>44013</v>
      </c>
      <c r="B152" s="14">
        <v>53.5</v>
      </c>
      <c r="C152" s="30">
        <f>Table1346811121415161718192022252627[[#This Row],[PMI]]-B151</f>
        <v>2</v>
      </c>
    </row>
    <row r="153" spans="1:3" x14ac:dyDescent="0.2">
      <c r="A153" s="15">
        <v>44044</v>
      </c>
      <c r="B153" s="14">
        <v>49.3</v>
      </c>
      <c r="C153" s="30">
        <f>Table1346811121415161718192022252627[[#This Row],[PMI]]-B152</f>
        <v>-4.2000000000000028</v>
      </c>
    </row>
    <row r="154" spans="1:3" x14ac:dyDescent="0.2">
      <c r="A154" s="15">
        <v>44075</v>
      </c>
      <c r="B154" s="14">
        <v>46.7</v>
      </c>
      <c r="C154" s="30">
        <f>Table1346811121415161718192022252627[[#This Row],[PMI]]-B153</f>
        <v>-2.5999999999999943</v>
      </c>
    </row>
    <row r="155" spans="1:3" x14ac:dyDescent="0.2">
      <c r="A155" s="15">
        <v>44105</v>
      </c>
      <c r="B155" s="14">
        <v>56.3</v>
      </c>
      <c r="C155" s="30">
        <f>Table1346811121415161718192022252627[[#This Row],[PMI]]-B154</f>
        <v>9.5999999999999943</v>
      </c>
    </row>
    <row r="156" spans="1:3" x14ac:dyDescent="0.2">
      <c r="A156" s="15">
        <v>44136</v>
      </c>
      <c r="B156" s="14">
        <v>52.1</v>
      </c>
      <c r="C156" s="30">
        <f>Table1346811121415161718192022252627[[#This Row],[PMI]]-B155</f>
        <v>-4.1999999999999957</v>
      </c>
    </row>
    <row r="157" spans="1:3" x14ac:dyDescent="0.2">
      <c r="A157" s="15">
        <v>44166</v>
      </c>
      <c r="B157" s="14">
        <v>55.3</v>
      </c>
      <c r="C157" s="30">
        <f>Table1346811121415161718192022252627[[#This Row],[PMI]]-B156</f>
        <v>3.1999999999999957</v>
      </c>
    </row>
    <row r="158" spans="1:3" x14ac:dyDescent="0.2">
      <c r="A158" s="15">
        <v>44197</v>
      </c>
      <c r="B158" s="14">
        <v>55.3</v>
      </c>
      <c r="C158" s="30">
        <f>Table1346811121415161718192022252627[[#This Row],[PMI]]-B157</f>
        <v>0</v>
      </c>
    </row>
    <row r="159" spans="1:3" x14ac:dyDescent="0.2">
      <c r="A159" s="15">
        <v>44228</v>
      </c>
      <c r="B159" s="14">
        <v>58.8</v>
      </c>
      <c r="C159" s="30">
        <f>Table1346811121415161718192022252627[[#This Row],[PMI]]-B158</f>
        <v>3.5</v>
      </c>
    </row>
    <row r="160" spans="1:3" x14ac:dyDescent="0.2">
      <c r="A160" s="15">
        <v>44256</v>
      </c>
      <c r="B160" s="14">
        <v>59.9</v>
      </c>
      <c r="C160" s="30">
        <f>Table1346811121415161718192022252627[[#This Row],[PMI]]-B159</f>
        <v>1.1000000000000014</v>
      </c>
    </row>
    <row r="161" spans="1:3" x14ac:dyDescent="0.2">
      <c r="A161" s="15">
        <v>44287</v>
      </c>
      <c r="B161" s="14">
        <v>61.7</v>
      </c>
      <c r="C161" s="30">
        <f>Table1346811121415161718192022252627[[#This Row],[PMI]]-B160</f>
        <v>1.8000000000000043</v>
      </c>
    </row>
    <row r="162" spans="1:3" x14ac:dyDescent="0.2">
      <c r="A162" s="15">
        <v>44317</v>
      </c>
      <c r="B162" s="14">
        <v>61.8</v>
      </c>
      <c r="C162" s="30">
        <f>Table1346811121415161718192022252627[[#This Row],[PMI]]-B161</f>
        <v>9.9999999999994316E-2</v>
      </c>
    </row>
    <row r="163" spans="1:3" x14ac:dyDescent="0.2">
      <c r="A163" s="15">
        <v>44348</v>
      </c>
      <c r="B163" s="14">
        <v>63.2</v>
      </c>
      <c r="C163" s="30">
        <f>Table1346811121415161718192022252627[[#This Row],[PMI]]-B162</f>
        <v>1.4000000000000057</v>
      </c>
    </row>
    <row r="164" spans="1:3" x14ac:dyDescent="0.2">
      <c r="A164" s="15">
        <v>44378</v>
      </c>
      <c r="B164" s="14">
        <v>60.8</v>
      </c>
      <c r="C164" s="30">
        <f>Table1346811121415161718192022252627[[#This Row],[PMI]]-B163</f>
        <v>-2.4000000000000057</v>
      </c>
    </row>
    <row r="165" spans="1:3" x14ac:dyDescent="0.2">
      <c r="A165" s="15">
        <v>44409</v>
      </c>
      <c r="B165" s="14">
        <v>51.6</v>
      </c>
      <c r="C165" s="30">
        <f>Table1346811121415161718192022252627[[#This Row],[PMI]]-B164</f>
        <v>-9.1999999999999957</v>
      </c>
    </row>
    <row r="166" spans="1:3" x14ac:dyDescent="0.2">
      <c r="A166" s="15">
        <v>44440</v>
      </c>
      <c r="B166" s="14">
        <v>51.2</v>
      </c>
      <c r="C166" s="30">
        <f>Table1346811121415161718192022252627[[#This Row],[PMI]]-B165</f>
        <v>-0.39999999999999858</v>
      </c>
    </row>
    <row r="167" spans="1:3" x14ac:dyDescent="0.2">
      <c r="A167" s="15">
        <v>44470</v>
      </c>
      <c r="B167" s="14">
        <v>50.4</v>
      </c>
      <c r="C167" s="30">
        <f>Table1346811121415161718192022252627[[#This Row],[PMI]]-B166</f>
        <v>-0.80000000000000426</v>
      </c>
    </row>
    <row r="168" spans="1:3" x14ac:dyDescent="0.2">
      <c r="A168" s="15">
        <v>44501</v>
      </c>
      <c r="B168" s="14">
        <v>54.8</v>
      </c>
      <c r="C168" s="30">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4611C-5288-4204-9894-619BCF349444}">
  <dimension ref="A1:K134"/>
  <sheetViews>
    <sheetView zoomScale="190" zoomScaleNormal="190" workbookViewId="0">
      <pane ySplit="5" topLeftCell="A102"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49</v>
      </c>
      <c r="K1" s="10" t="s">
        <v>21</v>
      </c>
    </row>
    <row r="2" spans="1:11" x14ac:dyDescent="0.2">
      <c r="K2" s="10" t="str">
        <f>A1&amp;K1</f>
        <v>Indonesia Manufacturing PMI</v>
      </c>
    </row>
    <row r="4" spans="1:11" ht="16" thickBot="1" x14ac:dyDescent="0.25"/>
    <row r="5" spans="1:11" ht="16" thickBot="1" x14ac:dyDescent="0.25">
      <c r="A5" s="27" t="s">
        <v>10</v>
      </c>
      <c r="B5" s="28" t="s">
        <v>11</v>
      </c>
      <c r="C5" s="28" t="s">
        <v>14</v>
      </c>
    </row>
    <row r="6" spans="1:11" x14ac:dyDescent="0.2">
      <c r="A6" s="23">
        <v>40634</v>
      </c>
      <c r="B6" s="24">
        <v>48.1</v>
      </c>
      <c r="C6" s="24"/>
    </row>
    <row r="7" spans="1:11" x14ac:dyDescent="0.2">
      <c r="A7" s="15">
        <v>40664</v>
      </c>
      <c r="B7" s="14">
        <v>48</v>
      </c>
      <c r="C7" s="14">
        <f>Table13468111214151617181920222530[[#This Row],[PMI]]-B6</f>
        <v>-0.10000000000000142</v>
      </c>
    </row>
    <row r="8" spans="1:11" x14ac:dyDescent="0.2">
      <c r="A8" s="15">
        <v>40695</v>
      </c>
      <c r="B8" s="14">
        <v>50.5</v>
      </c>
      <c r="C8" s="14">
        <f>Table13468111214151617181920222530[[#This Row],[PMI]]-B7</f>
        <v>2.5</v>
      </c>
    </row>
    <row r="9" spans="1:11" x14ac:dyDescent="0.2">
      <c r="A9" s="15">
        <v>40725</v>
      </c>
      <c r="B9" s="14">
        <v>51</v>
      </c>
      <c r="C9" s="14">
        <f>Table13468111214151617181920222530[[#This Row],[PMI]]-B8</f>
        <v>0.5</v>
      </c>
    </row>
    <row r="10" spans="1:11" x14ac:dyDescent="0.2">
      <c r="A10" s="15">
        <v>40756</v>
      </c>
      <c r="B10" s="14">
        <v>50.9</v>
      </c>
      <c r="C10" s="14">
        <f>Table13468111214151617181920222530[[#This Row],[PMI]]-B9</f>
        <v>-0.10000000000000142</v>
      </c>
    </row>
    <row r="11" spans="1:11" x14ac:dyDescent="0.2">
      <c r="A11" s="15">
        <v>40787</v>
      </c>
      <c r="B11" s="14">
        <v>49.8</v>
      </c>
      <c r="C11" s="14">
        <f>Table13468111214151617181920222530[[#This Row],[PMI]]-B10</f>
        <v>-1.1000000000000014</v>
      </c>
    </row>
    <row r="12" spans="1:11" x14ac:dyDescent="0.2">
      <c r="A12" s="15">
        <v>40817</v>
      </c>
      <c r="B12" s="14">
        <v>51.3</v>
      </c>
      <c r="C12" s="14">
        <f>Table13468111214151617181920222530[[#This Row],[PMI]]-B11</f>
        <v>1.5</v>
      </c>
    </row>
    <row r="13" spans="1:11" x14ac:dyDescent="0.2">
      <c r="A13" s="15">
        <v>40848</v>
      </c>
      <c r="B13" s="14">
        <v>50.1</v>
      </c>
      <c r="C13" s="14">
        <f>Table13468111214151617181920222530[[#This Row],[PMI]]-B12</f>
        <v>-1.1999999999999957</v>
      </c>
    </row>
    <row r="14" spans="1:11" x14ac:dyDescent="0.2">
      <c r="A14" s="15">
        <v>40878</v>
      </c>
      <c r="B14" s="14">
        <v>48.1</v>
      </c>
      <c r="C14" s="14">
        <f>Table13468111214151617181920222530[[#This Row],[PMI]]-B13</f>
        <v>-2</v>
      </c>
    </row>
    <row r="15" spans="1:11" x14ac:dyDescent="0.2">
      <c r="A15" s="15">
        <v>40909</v>
      </c>
      <c r="B15" s="14">
        <v>48.5</v>
      </c>
      <c r="C15" s="14">
        <f>Table13468111214151617181920222530[[#This Row],[PMI]]-B14</f>
        <v>0.39999999999999858</v>
      </c>
    </row>
    <row r="16" spans="1:11" x14ac:dyDescent="0.2">
      <c r="A16" s="15">
        <v>40940</v>
      </c>
      <c r="B16" s="14">
        <v>50.6</v>
      </c>
      <c r="C16" s="14">
        <f>Table13468111214151617181920222530[[#This Row],[PMI]]-B15</f>
        <v>2.1000000000000014</v>
      </c>
    </row>
    <row r="17" spans="1:3" x14ac:dyDescent="0.2">
      <c r="A17" s="15">
        <v>40969</v>
      </c>
      <c r="B17" s="14">
        <v>50.8</v>
      </c>
      <c r="C17" s="14">
        <f>Table13468111214151617181920222530[[#This Row],[PMI]]-B16</f>
        <v>0.19999999999999574</v>
      </c>
    </row>
    <row r="18" spans="1:3" x14ac:dyDescent="0.2">
      <c r="A18" s="15">
        <v>41000</v>
      </c>
      <c r="B18" s="14">
        <v>50.5</v>
      </c>
      <c r="C18" s="14">
        <f>Table13468111214151617181920222530[[#This Row],[PMI]]-B17</f>
        <v>-0.29999999999999716</v>
      </c>
    </row>
    <row r="19" spans="1:3" x14ac:dyDescent="0.2">
      <c r="A19" s="15">
        <v>41030</v>
      </c>
      <c r="B19" s="14">
        <v>48.1</v>
      </c>
      <c r="C19" s="14">
        <f>Table13468111214151617181920222530[[#This Row],[PMI]]-B18</f>
        <v>-2.3999999999999986</v>
      </c>
    </row>
    <row r="20" spans="1:3" x14ac:dyDescent="0.2">
      <c r="A20" s="15">
        <v>41061</v>
      </c>
      <c r="B20" s="14">
        <v>50.2</v>
      </c>
      <c r="C20" s="14">
        <f>Table13468111214151617181920222530[[#This Row],[PMI]]-B19</f>
        <v>2.1000000000000014</v>
      </c>
    </row>
    <row r="21" spans="1:3" x14ac:dyDescent="0.2">
      <c r="A21" s="15">
        <v>41091</v>
      </c>
      <c r="B21" s="14">
        <v>51.3</v>
      </c>
      <c r="C21" s="14">
        <f>Table13468111214151617181920222530[[#This Row],[PMI]]-B20</f>
        <v>1.0999999999999943</v>
      </c>
    </row>
    <row r="22" spans="1:3" x14ac:dyDescent="0.2">
      <c r="A22" s="15">
        <v>41122</v>
      </c>
      <c r="B22" s="14">
        <v>51.4</v>
      </c>
      <c r="C22" s="14">
        <f>Table13468111214151617181920222530[[#This Row],[PMI]]-B21</f>
        <v>0.10000000000000142</v>
      </c>
    </row>
    <row r="23" spans="1:3" x14ac:dyDescent="0.2">
      <c r="A23" s="15">
        <v>41153</v>
      </c>
      <c r="B23" s="14">
        <v>51.6</v>
      </c>
      <c r="C23" s="14">
        <f>Table13468111214151617181920222530[[#This Row],[PMI]]-B22</f>
        <v>0.20000000000000284</v>
      </c>
    </row>
    <row r="24" spans="1:3" x14ac:dyDescent="0.2">
      <c r="A24" s="15">
        <v>41183</v>
      </c>
      <c r="B24" s="14">
        <v>50.5</v>
      </c>
      <c r="C24" s="14">
        <f>Table13468111214151617181920222530[[#This Row],[PMI]]-B23</f>
        <v>-1.1000000000000014</v>
      </c>
    </row>
    <row r="25" spans="1:3" x14ac:dyDescent="0.2">
      <c r="A25" s="15">
        <v>41214</v>
      </c>
      <c r="B25" s="14">
        <v>51.9</v>
      </c>
      <c r="C25" s="14">
        <f>Table13468111214151617181920222530[[#This Row],[PMI]]-B24</f>
        <v>1.3999999999999986</v>
      </c>
    </row>
    <row r="26" spans="1:3" x14ac:dyDescent="0.2">
      <c r="A26" s="15">
        <v>41244</v>
      </c>
      <c r="B26" s="14">
        <v>51.5</v>
      </c>
      <c r="C26" s="14">
        <f>Table13468111214151617181920222530[[#This Row],[PMI]]-B25</f>
        <v>-0.39999999999999858</v>
      </c>
    </row>
    <row r="27" spans="1:3" x14ac:dyDescent="0.2">
      <c r="A27" s="15">
        <v>41275</v>
      </c>
      <c r="B27" s="14">
        <v>49.7</v>
      </c>
      <c r="C27" s="14">
        <f>Table13468111214151617181920222530[[#This Row],[PMI]]-B26</f>
        <v>-1.7999999999999972</v>
      </c>
    </row>
    <row r="28" spans="1:3" x14ac:dyDescent="0.2">
      <c r="A28" s="15">
        <v>41306</v>
      </c>
      <c r="B28" s="14">
        <v>50.5</v>
      </c>
      <c r="C28" s="14">
        <f>Table13468111214151617181920222530[[#This Row],[PMI]]-B27</f>
        <v>0.79999999999999716</v>
      </c>
    </row>
    <row r="29" spans="1:3" x14ac:dyDescent="0.2">
      <c r="A29" s="15">
        <v>41334</v>
      </c>
      <c r="B29" s="14">
        <v>51.3</v>
      </c>
      <c r="C29" s="14">
        <f>Table13468111214151617181920222530[[#This Row],[PMI]]-B28</f>
        <v>0.79999999999999716</v>
      </c>
    </row>
    <row r="30" spans="1:3" x14ac:dyDescent="0.2">
      <c r="A30" s="15">
        <v>41365</v>
      </c>
      <c r="B30" s="14">
        <v>51.7</v>
      </c>
      <c r="C30" s="14">
        <f>Table13468111214151617181920222530[[#This Row],[PMI]]-B29</f>
        <v>0.40000000000000568</v>
      </c>
    </row>
    <row r="31" spans="1:3" x14ac:dyDescent="0.2">
      <c r="A31" s="15">
        <v>41395</v>
      </c>
      <c r="B31" s="14">
        <v>51.6</v>
      </c>
      <c r="C31" s="14">
        <f>Table13468111214151617181920222530[[#This Row],[PMI]]-B30</f>
        <v>-0.10000000000000142</v>
      </c>
    </row>
    <row r="32" spans="1:3" x14ac:dyDescent="0.2">
      <c r="A32" s="15">
        <v>41426</v>
      </c>
      <c r="B32" s="14">
        <v>51</v>
      </c>
      <c r="C32" s="14">
        <f>Table13468111214151617181920222530[[#This Row],[PMI]]-B31</f>
        <v>-0.60000000000000142</v>
      </c>
    </row>
    <row r="33" spans="1:3" x14ac:dyDescent="0.2">
      <c r="A33" s="15">
        <v>41456</v>
      </c>
      <c r="B33" s="14">
        <v>50.7</v>
      </c>
      <c r="C33" s="14">
        <f>Table13468111214151617181920222530[[#This Row],[PMI]]-B32</f>
        <v>-0.29999999999999716</v>
      </c>
    </row>
    <row r="34" spans="1:3" x14ac:dyDescent="0.2">
      <c r="A34" s="15">
        <v>41487</v>
      </c>
      <c r="B34" s="14">
        <v>48.5</v>
      </c>
      <c r="C34" s="14">
        <f>Table13468111214151617181920222530[[#This Row],[PMI]]-B33</f>
        <v>-2.2000000000000028</v>
      </c>
    </row>
    <row r="35" spans="1:3" x14ac:dyDescent="0.2">
      <c r="A35" s="15">
        <v>41518</v>
      </c>
      <c r="B35" s="14">
        <v>50.2</v>
      </c>
      <c r="C35" s="14">
        <f>Table13468111214151617181920222530[[#This Row],[PMI]]-B34</f>
        <v>1.7000000000000028</v>
      </c>
    </row>
    <row r="36" spans="1:3" x14ac:dyDescent="0.2">
      <c r="A36" s="15">
        <v>41548</v>
      </c>
      <c r="B36" s="14">
        <v>50.9</v>
      </c>
      <c r="C36" s="14">
        <f>Table13468111214151617181920222530[[#This Row],[PMI]]-B35</f>
        <v>0.69999999999999574</v>
      </c>
    </row>
    <row r="37" spans="1:3" x14ac:dyDescent="0.2">
      <c r="A37" s="15">
        <v>41579</v>
      </c>
      <c r="B37" s="14">
        <v>50.3</v>
      </c>
      <c r="C37" s="14">
        <f>Table13468111214151617181920222530[[#This Row],[PMI]]-B36</f>
        <v>-0.60000000000000142</v>
      </c>
    </row>
    <row r="38" spans="1:3" x14ac:dyDescent="0.2">
      <c r="A38" s="15">
        <v>41609</v>
      </c>
      <c r="B38" s="14">
        <v>50.9</v>
      </c>
      <c r="C38" s="14">
        <f>Table13468111214151617181920222530[[#This Row],[PMI]]-B37</f>
        <v>0.60000000000000142</v>
      </c>
    </row>
    <row r="39" spans="1:3" x14ac:dyDescent="0.2">
      <c r="A39" s="15">
        <v>41640</v>
      </c>
      <c r="B39" s="14">
        <v>51</v>
      </c>
      <c r="C39" s="14">
        <f>Table13468111214151617181920222530[[#This Row],[PMI]]-B38</f>
        <v>0.10000000000000142</v>
      </c>
    </row>
    <row r="40" spans="1:3" x14ac:dyDescent="0.2">
      <c r="A40" s="15">
        <v>41671</v>
      </c>
      <c r="B40" s="14">
        <v>50.5</v>
      </c>
      <c r="C40" s="14">
        <f>Table13468111214151617181920222530[[#This Row],[PMI]]-B39</f>
        <v>-0.5</v>
      </c>
    </row>
    <row r="41" spans="1:3" x14ac:dyDescent="0.2">
      <c r="A41" s="15">
        <v>41699</v>
      </c>
      <c r="B41" s="14">
        <v>50.1</v>
      </c>
      <c r="C41" s="14">
        <f>Table13468111214151617181920222530[[#This Row],[PMI]]-B40</f>
        <v>-0.39999999999999858</v>
      </c>
    </row>
    <row r="42" spans="1:3" x14ac:dyDescent="0.2">
      <c r="A42" s="15">
        <v>41730</v>
      </c>
      <c r="B42" s="14">
        <v>51.1</v>
      </c>
      <c r="C42" s="14">
        <f>Table13468111214151617181920222530[[#This Row],[PMI]]-B41</f>
        <v>1</v>
      </c>
    </row>
    <row r="43" spans="1:3" x14ac:dyDescent="0.2">
      <c r="A43" s="15">
        <v>41760</v>
      </c>
      <c r="B43" s="14">
        <v>52.4</v>
      </c>
      <c r="C43" s="14">
        <f>Table13468111214151617181920222530[[#This Row],[PMI]]-B42</f>
        <v>1.2999999999999972</v>
      </c>
    </row>
    <row r="44" spans="1:3" x14ac:dyDescent="0.2">
      <c r="A44" s="15">
        <v>41791</v>
      </c>
      <c r="B44" s="14">
        <v>52.7</v>
      </c>
      <c r="C44" s="14">
        <f>Table13468111214151617181920222530[[#This Row],[PMI]]-B43</f>
        <v>0.30000000000000426</v>
      </c>
    </row>
    <row r="45" spans="1:3" x14ac:dyDescent="0.2">
      <c r="A45" s="15">
        <v>41821</v>
      </c>
      <c r="B45" s="14">
        <v>52.4</v>
      </c>
      <c r="C45" s="14">
        <f>Table13468111214151617181920222530[[#This Row],[PMI]]-B44</f>
        <v>-0.30000000000000426</v>
      </c>
    </row>
    <row r="46" spans="1:3" x14ac:dyDescent="0.2">
      <c r="A46" s="15">
        <v>41852</v>
      </c>
      <c r="B46" s="14">
        <v>49.5</v>
      </c>
      <c r="C46" s="14">
        <f>Table13468111214151617181920222530[[#This Row],[PMI]]-B45</f>
        <v>-2.8999999999999986</v>
      </c>
    </row>
    <row r="47" spans="1:3" x14ac:dyDescent="0.2">
      <c r="A47" s="15">
        <v>41883</v>
      </c>
      <c r="B47" s="14">
        <v>50.7</v>
      </c>
      <c r="C47" s="14">
        <f>Table13468111214151617181920222530[[#This Row],[PMI]]-B46</f>
        <v>1.2000000000000028</v>
      </c>
    </row>
    <row r="48" spans="1:3" x14ac:dyDescent="0.2">
      <c r="A48" s="15">
        <v>41913</v>
      </c>
      <c r="B48" s="14">
        <v>49.2</v>
      </c>
      <c r="C48" s="14">
        <f>Table13468111214151617181920222530[[#This Row],[PMI]]-B47</f>
        <v>-1.5</v>
      </c>
    </row>
    <row r="49" spans="1:3" x14ac:dyDescent="0.2">
      <c r="A49" s="15">
        <v>41944</v>
      </c>
      <c r="B49" s="14">
        <v>48</v>
      </c>
      <c r="C49" s="14">
        <f>Table13468111214151617181920222530[[#This Row],[PMI]]-B48</f>
        <v>-1.2000000000000028</v>
      </c>
    </row>
    <row r="50" spans="1:3" x14ac:dyDescent="0.2">
      <c r="A50" s="15">
        <v>41974</v>
      </c>
      <c r="B50" s="14">
        <v>47.6</v>
      </c>
      <c r="C50" s="14">
        <f>Table13468111214151617181920222530[[#This Row],[PMI]]-B49</f>
        <v>-0.39999999999999858</v>
      </c>
    </row>
    <row r="51" spans="1:3" x14ac:dyDescent="0.2">
      <c r="A51" s="15">
        <v>42005</v>
      </c>
      <c r="B51" s="14">
        <v>48.5</v>
      </c>
      <c r="C51" s="14">
        <f>Table13468111214151617181920222530[[#This Row],[PMI]]-B50</f>
        <v>0.89999999999999858</v>
      </c>
    </row>
    <row r="52" spans="1:3" x14ac:dyDescent="0.2">
      <c r="A52" s="15">
        <v>42036</v>
      </c>
      <c r="B52" s="14">
        <v>47.5</v>
      </c>
      <c r="C52" s="14">
        <f>Table13468111214151617181920222530[[#This Row],[PMI]]-B51</f>
        <v>-1</v>
      </c>
    </row>
    <row r="53" spans="1:3" x14ac:dyDescent="0.2">
      <c r="A53" s="15">
        <v>42064</v>
      </c>
      <c r="B53" s="14">
        <v>46.4</v>
      </c>
      <c r="C53" s="14">
        <f>Table13468111214151617181920222530[[#This Row],[PMI]]-B52</f>
        <v>-1.1000000000000014</v>
      </c>
    </row>
    <row r="54" spans="1:3" x14ac:dyDescent="0.2">
      <c r="A54" s="15">
        <v>42095</v>
      </c>
      <c r="B54" s="14">
        <v>46.7</v>
      </c>
      <c r="C54" s="14">
        <f>Table13468111214151617181920222530[[#This Row],[PMI]]-B53</f>
        <v>0.30000000000000426</v>
      </c>
    </row>
    <row r="55" spans="1:3" x14ac:dyDescent="0.2">
      <c r="A55" s="15">
        <v>42125</v>
      </c>
      <c r="B55" s="14">
        <v>47.1</v>
      </c>
      <c r="C55" s="14">
        <f>Table13468111214151617181920222530[[#This Row],[PMI]]-B54</f>
        <v>0.39999999999999858</v>
      </c>
    </row>
    <row r="56" spans="1:3" x14ac:dyDescent="0.2">
      <c r="A56" s="15">
        <v>42156</v>
      </c>
      <c r="B56" s="14">
        <v>47.8</v>
      </c>
      <c r="C56" s="14">
        <f>Table13468111214151617181920222530[[#This Row],[PMI]]-B55</f>
        <v>0.69999999999999574</v>
      </c>
    </row>
    <row r="57" spans="1:3" x14ac:dyDescent="0.2">
      <c r="A57" s="15">
        <v>42186</v>
      </c>
      <c r="B57" s="14">
        <v>47.3</v>
      </c>
      <c r="C57" s="14">
        <f>Table13468111214151617181920222530[[#This Row],[PMI]]-B56</f>
        <v>-0.5</v>
      </c>
    </row>
    <row r="58" spans="1:3" x14ac:dyDescent="0.2">
      <c r="A58" s="15">
        <v>42217</v>
      </c>
      <c r="B58" s="14">
        <v>48.4</v>
      </c>
      <c r="C58" s="14">
        <f>Table13468111214151617181920222530[[#This Row],[PMI]]-B57</f>
        <v>1.1000000000000014</v>
      </c>
    </row>
    <row r="59" spans="1:3" x14ac:dyDescent="0.2">
      <c r="A59" s="15">
        <v>42248</v>
      </c>
      <c r="B59" s="14">
        <v>47.4</v>
      </c>
      <c r="C59" s="14">
        <f>Table13468111214151617181920222530[[#This Row],[PMI]]-B58</f>
        <v>-1</v>
      </c>
    </row>
    <row r="60" spans="1:3" x14ac:dyDescent="0.2">
      <c r="A60" s="15">
        <v>42278</v>
      </c>
      <c r="B60" s="14">
        <v>47.8</v>
      </c>
      <c r="C60" s="14">
        <f>Table13468111214151617181920222530[[#This Row],[PMI]]-B59</f>
        <v>0.39999999999999858</v>
      </c>
    </row>
    <row r="61" spans="1:3" x14ac:dyDescent="0.2">
      <c r="A61" s="15">
        <v>42309</v>
      </c>
      <c r="B61" s="14">
        <v>46.9</v>
      </c>
      <c r="C61" s="14">
        <f>Table13468111214151617181920222530[[#This Row],[PMI]]-B60</f>
        <v>-0.89999999999999858</v>
      </c>
    </row>
    <row r="62" spans="1:3" x14ac:dyDescent="0.2">
      <c r="A62" s="15">
        <v>42339</v>
      </c>
      <c r="B62" s="14">
        <v>47.8</v>
      </c>
      <c r="C62" s="14">
        <f>Table13468111214151617181920222530[[#This Row],[PMI]]-B61</f>
        <v>0.89999999999999858</v>
      </c>
    </row>
    <row r="63" spans="1:3" x14ac:dyDescent="0.2">
      <c r="A63" s="15">
        <v>42370</v>
      </c>
      <c r="B63" s="14">
        <v>48.9</v>
      </c>
      <c r="C63" s="14">
        <f>Table13468111214151617181920222530[[#This Row],[PMI]]-B62</f>
        <v>1.1000000000000014</v>
      </c>
    </row>
    <row r="64" spans="1:3" x14ac:dyDescent="0.2">
      <c r="A64" s="15">
        <v>42401</v>
      </c>
      <c r="B64" s="14">
        <v>48.7</v>
      </c>
      <c r="C64" s="14">
        <f>Table13468111214151617181920222530[[#This Row],[PMI]]-B63</f>
        <v>-0.19999999999999574</v>
      </c>
    </row>
    <row r="65" spans="1:3" x14ac:dyDescent="0.2">
      <c r="A65" s="15">
        <v>42430</v>
      </c>
      <c r="B65" s="14">
        <v>50.6</v>
      </c>
      <c r="C65" s="14">
        <f>Table13468111214151617181920222530[[#This Row],[PMI]]-B64</f>
        <v>1.8999999999999986</v>
      </c>
    </row>
    <row r="66" spans="1:3" x14ac:dyDescent="0.2">
      <c r="A66" s="15">
        <v>42461</v>
      </c>
      <c r="B66" s="14">
        <v>50.9</v>
      </c>
      <c r="C66" s="14">
        <f>Table13468111214151617181920222530[[#This Row],[PMI]]-B65</f>
        <v>0.29999999999999716</v>
      </c>
    </row>
    <row r="67" spans="1:3" x14ac:dyDescent="0.2">
      <c r="A67" s="15">
        <v>42491</v>
      </c>
      <c r="B67" s="14">
        <v>50.6</v>
      </c>
      <c r="C67" s="14">
        <f>Table13468111214151617181920222530[[#This Row],[PMI]]-B66</f>
        <v>-0.29999999999999716</v>
      </c>
    </row>
    <row r="68" spans="1:3" x14ac:dyDescent="0.2">
      <c r="A68" s="15">
        <v>42522</v>
      </c>
      <c r="B68" s="14">
        <v>51.9</v>
      </c>
      <c r="C68" s="14">
        <f>Table13468111214151617181920222530[[#This Row],[PMI]]-B67</f>
        <v>1.2999999999999972</v>
      </c>
    </row>
    <row r="69" spans="1:3" x14ac:dyDescent="0.2">
      <c r="A69" s="15">
        <v>42552</v>
      </c>
      <c r="B69" s="14">
        <v>48.4</v>
      </c>
      <c r="C69" s="14">
        <f>Table13468111214151617181920222530[[#This Row],[PMI]]-B68</f>
        <v>-3.5</v>
      </c>
    </row>
    <row r="70" spans="1:3" x14ac:dyDescent="0.2">
      <c r="A70" s="15">
        <v>42583</v>
      </c>
      <c r="B70" s="14">
        <v>50.4</v>
      </c>
      <c r="C70" s="14">
        <f>Table13468111214151617181920222530[[#This Row],[PMI]]-B69</f>
        <v>2</v>
      </c>
    </row>
    <row r="71" spans="1:3" x14ac:dyDescent="0.2">
      <c r="A71" s="15">
        <v>42614</v>
      </c>
      <c r="B71" s="14">
        <v>50.9</v>
      </c>
      <c r="C71" s="14">
        <f>Table13468111214151617181920222530[[#This Row],[PMI]]-B70</f>
        <v>0.5</v>
      </c>
    </row>
    <row r="72" spans="1:3" x14ac:dyDescent="0.2">
      <c r="A72" s="15">
        <v>42644</v>
      </c>
      <c r="B72" s="14">
        <v>48.7</v>
      </c>
      <c r="C72" s="14">
        <f>Table13468111214151617181920222530[[#This Row],[PMI]]-B71</f>
        <v>-2.1999999999999957</v>
      </c>
    </row>
    <row r="73" spans="1:3" x14ac:dyDescent="0.2">
      <c r="A73" s="15">
        <v>42675</v>
      </c>
      <c r="B73" s="14">
        <v>49.7</v>
      </c>
      <c r="C73" s="14">
        <f>Table13468111214151617181920222530[[#This Row],[PMI]]-B72</f>
        <v>1</v>
      </c>
    </row>
    <row r="74" spans="1:3" x14ac:dyDescent="0.2">
      <c r="A74" s="15">
        <v>42705</v>
      </c>
      <c r="B74" s="14">
        <v>49</v>
      </c>
      <c r="C74" s="14">
        <f>Table13468111214151617181920222530[[#This Row],[PMI]]-B73</f>
        <v>-0.70000000000000284</v>
      </c>
    </row>
    <row r="75" spans="1:3" x14ac:dyDescent="0.2">
      <c r="A75" s="15">
        <v>42736</v>
      </c>
      <c r="B75" s="14">
        <v>50.4</v>
      </c>
      <c r="C75" s="14">
        <f>Table13468111214151617181920222530[[#This Row],[PMI]]-B74</f>
        <v>1.3999999999999986</v>
      </c>
    </row>
    <row r="76" spans="1:3" x14ac:dyDescent="0.2">
      <c r="A76" s="15">
        <v>42767</v>
      </c>
      <c r="B76" s="14">
        <v>49.3</v>
      </c>
      <c r="C76" s="14">
        <f>Table13468111214151617181920222530[[#This Row],[PMI]]-B75</f>
        <v>-1.1000000000000014</v>
      </c>
    </row>
    <row r="77" spans="1:3" x14ac:dyDescent="0.2">
      <c r="A77" s="15">
        <v>42795</v>
      </c>
      <c r="B77" s="14">
        <v>50.5</v>
      </c>
      <c r="C77" s="14">
        <f>Table13468111214151617181920222530[[#This Row],[PMI]]-B76</f>
        <v>1.2000000000000028</v>
      </c>
    </row>
    <row r="78" spans="1:3" x14ac:dyDescent="0.2">
      <c r="A78" s="15">
        <v>42826</v>
      </c>
      <c r="B78" s="14">
        <v>51.2</v>
      </c>
      <c r="C78" s="14">
        <f>Table13468111214151617181920222530[[#This Row],[PMI]]-B77</f>
        <v>0.70000000000000284</v>
      </c>
    </row>
    <row r="79" spans="1:3" x14ac:dyDescent="0.2">
      <c r="A79" s="15">
        <v>42856</v>
      </c>
      <c r="B79" s="14">
        <v>50.6</v>
      </c>
      <c r="C79" s="14">
        <f>Table13468111214151617181920222530[[#This Row],[PMI]]-B78</f>
        <v>-0.60000000000000142</v>
      </c>
    </row>
    <row r="80" spans="1:3" x14ac:dyDescent="0.2">
      <c r="A80" s="15">
        <v>42887</v>
      </c>
      <c r="B80" s="14">
        <v>49.5</v>
      </c>
      <c r="C80" s="14">
        <f>Table13468111214151617181920222530[[#This Row],[PMI]]-B79</f>
        <v>-1.1000000000000014</v>
      </c>
    </row>
    <row r="81" spans="1:3" x14ac:dyDescent="0.2">
      <c r="A81" s="15">
        <v>42917</v>
      </c>
      <c r="B81" s="14">
        <v>48.6</v>
      </c>
      <c r="C81" s="14">
        <f>Table13468111214151617181920222530[[#This Row],[PMI]]-B80</f>
        <v>-0.89999999999999858</v>
      </c>
    </row>
    <row r="82" spans="1:3" x14ac:dyDescent="0.2">
      <c r="A82" s="15">
        <v>42948</v>
      </c>
      <c r="B82" s="14">
        <v>50.7</v>
      </c>
      <c r="C82" s="14">
        <f>Table13468111214151617181920222530[[#This Row],[PMI]]-B81</f>
        <v>2.1000000000000014</v>
      </c>
    </row>
    <row r="83" spans="1:3" x14ac:dyDescent="0.2">
      <c r="A83" s="15">
        <v>42979</v>
      </c>
      <c r="B83" s="14">
        <v>50.4</v>
      </c>
      <c r="C83" s="14">
        <f>Table13468111214151617181920222530[[#This Row],[PMI]]-B82</f>
        <v>-0.30000000000000426</v>
      </c>
    </row>
    <row r="84" spans="1:3" x14ac:dyDescent="0.2">
      <c r="A84" s="15">
        <v>43009</v>
      </c>
      <c r="B84" s="14">
        <v>50.1</v>
      </c>
      <c r="C84" s="14">
        <f>Table13468111214151617181920222530[[#This Row],[PMI]]-B83</f>
        <v>-0.29999999999999716</v>
      </c>
    </row>
    <row r="85" spans="1:3" x14ac:dyDescent="0.2">
      <c r="A85" s="15">
        <v>43040</v>
      </c>
      <c r="B85" s="14">
        <v>50.4</v>
      </c>
      <c r="C85" s="14">
        <f>Table13468111214151617181920222530[[#This Row],[PMI]]-B84</f>
        <v>0.29999999999999716</v>
      </c>
    </row>
    <row r="86" spans="1:3" x14ac:dyDescent="0.2">
      <c r="A86" s="15">
        <v>43070</v>
      </c>
      <c r="B86" s="14">
        <v>49.3</v>
      </c>
      <c r="C86" s="14">
        <f>Table13468111214151617181920222530[[#This Row],[PMI]]-B85</f>
        <v>-1.1000000000000014</v>
      </c>
    </row>
    <row r="87" spans="1:3" x14ac:dyDescent="0.2">
      <c r="A87" s="15">
        <v>43101</v>
      </c>
      <c r="B87" s="14">
        <v>49.9</v>
      </c>
      <c r="C87" s="14">
        <f>Table13468111214151617181920222530[[#This Row],[PMI]]-B86</f>
        <v>0.60000000000000142</v>
      </c>
    </row>
    <row r="88" spans="1:3" x14ac:dyDescent="0.2">
      <c r="A88" s="15">
        <v>43132</v>
      </c>
      <c r="B88" s="14">
        <v>51.4</v>
      </c>
      <c r="C88" s="14">
        <f>Table13468111214151617181920222530[[#This Row],[PMI]]-B87</f>
        <v>1.5</v>
      </c>
    </row>
    <row r="89" spans="1:3" x14ac:dyDescent="0.2">
      <c r="A89" s="15">
        <v>43160</v>
      </c>
      <c r="B89" s="14">
        <v>50.7</v>
      </c>
      <c r="C89" s="14">
        <f>Table13468111214151617181920222530[[#This Row],[PMI]]-B88</f>
        <v>-0.69999999999999574</v>
      </c>
    </row>
    <row r="90" spans="1:3" x14ac:dyDescent="0.2">
      <c r="A90" s="15">
        <v>43191</v>
      </c>
      <c r="B90" s="14">
        <v>51.6</v>
      </c>
      <c r="C90" s="14">
        <f>Table13468111214151617181920222530[[#This Row],[PMI]]-B89</f>
        <v>0.89999999999999858</v>
      </c>
    </row>
    <row r="91" spans="1:3" x14ac:dyDescent="0.2">
      <c r="A91" s="15">
        <v>43221</v>
      </c>
      <c r="B91" s="14">
        <v>51.7</v>
      </c>
      <c r="C91" s="14">
        <f>Table13468111214151617181920222530[[#This Row],[PMI]]-B90</f>
        <v>0.10000000000000142</v>
      </c>
    </row>
    <row r="92" spans="1:3" x14ac:dyDescent="0.2">
      <c r="A92" s="15">
        <v>43252</v>
      </c>
      <c r="B92" s="14">
        <v>50.3</v>
      </c>
      <c r="C92" s="14">
        <f>Table13468111214151617181920222530[[#This Row],[PMI]]-B91</f>
        <v>-1.4000000000000057</v>
      </c>
    </row>
    <row r="93" spans="1:3" x14ac:dyDescent="0.2">
      <c r="A93" s="15">
        <v>43282</v>
      </c>
      <c r="B93" s="14">
        <v>50.5</v>
      </c>
      <c r="C93" s="14">
        <f>Table13468111214151617181920222530[[#This Row],[PMI]]-B92</f>
        <v>0.20000000000000284</v>
      </c>
    </row>
    <row r="94" spans="1:3" x14ac:dyDescent="0.2">
      <c r="A94" s="15">
        <v>43313</v>
      </c>
      <c r="B94" s="14">
        <v>51.9</v>
      </c>
      <c r="C94" s="14">
        <f>Table13468111214151617181920222530[[#This Row],[PMI]]-B93</f>
        <v>1.3999999999999986</v>
      </c>
    </row>
    <row r="95" spans="1:3" x14ac:dyDescent="0.2">
      <c r="A95" s="15">
        <v>43344</v>
      </c>
      <c r="B95" s="14">
        <v>50.7</v>
      </c>
      <c r="C95" s="14">
        <f>Table13468111214151617181920222530[[#This Row],[PMI]]-B94</f>
        <v>-1.1999999999999957</v>
      </c>
    </row>
    <row r="96" spans="1:3" x14ac:dyDescent="0.2">
      <c r="A96" s="15">
        <v>43374</v>
      </c>
      <c r="B96" s="14">
        <v>50.5</v>
      </c>
      <c r="C96" s="14">
        <f>Table13468111214151617181920222530[[#This Row],[PMI]]-B95</f>
        <v>-0.20000000000000284</v>
      </c>
    </row>
    <row r="97" spans="1:3" x14ac:dyDescent="0.2">
      <c r="A97" s="15">
        <v>43405</v>
      </c>
      <c r="B97" s="14">
        <v>50.4</v>
      </c>
      <c r="C97" s="14">
        <f>Table13468111214151617181920222530[[#This Row],[PMI]]-B96</f>
        <v>-0.10000000000000142</v>
      </c>
    </row>
    <row r="98" spans="1:3" x14ac:dyDescent="0.2">
      <c r="A98" s="15">
        <v>43435</v>
      </c>
      <c r="B98" s="14">
        <v>51.2</v>
      </c>
      <c r="C98" s="14">
        <f>Table13468111214151617181920222530[[#This Row],[PMI]]-B97</f>
        <v>0.80000000000000426</v>
      </c>
    </row>
    <row r="99" spans="1:3" x14ac:dyDescent="0.2">
      <c r="A99" s="15">
        <v>43466</v>
      </c>
      <c r="B99" s="14">
        <v>49.9</v>
      </c>
      <c r="C99" s="14">
        <f>Table13468111214151617181920222530[[#This Row],[PMI]]-B98</f>
        <v>-1.3000000000000043</v>
      </c>
    </row>
    <row r="100" spans="1:3" x14ac:dyDescent="0.2">
      <c r="A100" s="15">
        <v>43497</v>
      </c>
      <c r="B100" s="14">
        <v>50.1</v>
      </c>
      <c r="C100" s="14">
        <f>Table13468111214151617181920222530[[#This Row],[PMI]]-B99</f>
        <v>0.20000000000000284</v>
      </c>
    </row>
    <row r="101" spans="1:3" x14ac:dyDescent="0.2">
      <c r="A101" s="15">
        <v>43525</v>
      </c>
      <c r="B101" s="14">
        <v>51.2</v>
      </c>
      <c r="C101" s="14">
        <f>Table13468111214151617181920222530[[#This Row],[PMI]]-B100</f>
        <v>1.1000000000000014</v>
      </c>
    </row>
    <row r="102" spans="1:3" x14ac:dyDescent="0.2">
      <c r="A102" s="15">
        <v>43556</v>
      </c>
      <c r="B102" s="14">
        <v>50.4</v>
      </c>
      <c r="C102" s="14">
        <f>Table13468111214151617181920222530[[#This Row],[PMI]]-B101</f>
        <v>-0.80000000000000426</v>
      </c>
    </row>
    <row r="103" spans="1:3" x14ac:dyDescent="0.2">
      <c r="A103" s="15">
        <v>43586</v>
      </c>
      <c r="B103" s="14">
        <v>51.6</v>
      </c>
      <c r="C103" s="14">
        <f>Table13468111214151617181920222530[[#This Row],[PMI]]-B102</f>
        <v>1.2000000000000028</v>
      </c>
    </row>
    <row r="104" spans="1:3" x14ac:dyDescent="0.2">
      <c r="A104" s="15">
        <v>43617</v>
      </c>
      <c r="B104" s="14">
        <v>50.6</v>
      </c>
      <c r="C104" s="14">
        <f>Table13468111214151617181920222530[[#This Row],[PMI]]-B103</f>
        <v>-1</v>
      </c>
    </row>
    <row r="105" spans="1:3" x14ac:dyDescent="0.2">
      <c r="A105" s="15">
        <v>43647</v>
      </c>
      <c r="B105" s="14">
        <v>49.6</v>
      </c>
      <c r="C105" s="14">
        <f>Table13468111214151617181920222530[[#This Row],[PMI]]-B104</f>
        <v>-1</v>
      </c>
    </row>
    <row r="106" spans="1:3" x14ac:dyDescent="0.2">
      <c r="A106" s="15">
        <v>43678</v>
      </c>
      <c r="B106" s="14">
        <v>49</v>
      </c>
      <c r="C106" s="14">
        <f>Table13468111214151617181920222530[[#This Row],[PMI]]-B105</f>
        <v>-0.60000000000000142</v>
      </c>
    </row>
    <row r="107" spans="1:3" x14ac:dyDescent="0.2">
      <c r="A107" s="15">
        <v>43709</v>
      </c>
      <c r="B107" s="14">
        <v>49.1</v>
      </c>
      <c r="C107" s="14">
        <f>Table13468111214151617181920222530[[#This Row],[PMI]]-B106</f>
        <v>0.10000000000000142</v>
      </c>
    </row>
    <row r="108" spans="1:3" x14ac:dyDescent="0.2">
      <c r="A108" s="15">
        <v>43739</v>
      </c>
      <c r="B108" s="14">
        <v>47.7</v>
      </c>
      <c r="C108" s="14">
        <f>Table13468111214151617181920222530[[#This Row],[PMI]]-B107</f>
        <v>-1.3999999999999986</v>
      </c>
    </row>
    <row r="109" spans="1:3" x14ac:dyDescent="0.2">
      <c r="A109" s="15">
        <v>43770</v>
      </c>
      <c r="B109" s="14">
        <v>48.2</v>
      </c>
      <c r="C109" s="14">
        <f>Table13468111214151617181920222530[[#This Row],[PMI]]-B108</f>
        <v>0.5</v>
      </c>
    </row>
    <row r="110" spans="1:3" x14ac:dyDescent="0.2">
      <c r="A110" s="15">
        <v>43800</v>
      </c>
      <c r="B110" s="14">
        <v>49.5</v>
      </c>
      <c r="C110" s="14">
        <f>Table13468111214151617181920222530[[#This Row],[PMI]]-B109</f>
        <v>1.2999999999999972</v>
      </c>
    </row>
    <row r="111" spans="1:3" x14ac:dyDescent="0.2">
      <c r="A111" s="15">
        <v>43831</v>
      </c>
      <c r="B111" s="14">
        <v>49.3</v>
      </c>
      <c r="C111" s="14">
        <f>Table13468111214151617181920222530[[#This Row],[PMI]]-B110</f>
        <v>-0.20000000000000284</v>
      </c>
    </row>
    <row r="112" spans="1:3" x14ac:dyDescent="0.2">
      <c r="A112" s="15">
        <v>43862</v>
      </c>
      <c r="B112" s="14">
        <v>51.9</v>
      </c>
      <c r="C112" s="14">
        <f>Table13468111214151617181920222530[[#This Row],[PMI]]-B111</f>
        <v>2.6000000000000014</v>
      </c>
    </row>
    <row r="113" spans="1:3" x14ac:dyDescent="0.2">
      <c r="A113" s="15">
        <v>43891</v>
      </c>
      <c r="B113" s="14">
        <v>45.3</v>
      </c>
      <c r="C113" s="14">
        <f>Table13468111214151617181920222530[[#This Row],[PMI]]-B112</f>
        <v>-6.6000000000000014</v>
      </c>
    </row>
    <row r="114" spans="1:3" x14ac:dyDescent="0.2">
      <c r="A114" s="15">
        <v>43922</v>
      </c>
      <c r="B114" s="14">
        <v>27.5</v>
      </c>
      <c r="C114" s="14">
        <f>Table13468111214151617181920222530[[#This Row],[PMI]]-B113</f>
        <v>-17.799999999999997</v>
      </c>
    </row>
    <row r="115" spans="1:3" x14ac:dyDescent="0.2">
      <c r="A115" s="15">
        <v>43952</v>
      </c>
      <c r="B115" s="14">
        <v>28.6</v>
      </c>
      <c r="C115" s="14">
        <f>Table13468111214151617181920222530[[#This Row],[PMI]]-B114</f>
        <v>1.1000000000000014</v>
      </c>
    </row>
    <row r="116" spans="1:3" x14ac:dyDescent="0.2">
      <c r="A116" s="15">
        <v>43983</v>
      </c>
      <c r="B116" s="14">
        <v>39.1</v>
      </c>
      <c r="C116" s="14">
        <f>Table13468111214151617181920222530[[#This Row],[PMI]]-B115</f>
        <v>10.5</v>
      </c>
    </row>
    <row r="117" spans="1:3" x14ac:dyDescent="0.2">
      <c r="A117" s="15">
        <v>44013</v>
      </c>
      <c r="B117" s="14">
        <v>46.9</v>
      </c>
      <c r="C117" s="14">
        <f>Table13468111214151617181920222530[[#This Row],[PMI]]-B116</f>
        <v>7.7999999999999972</v>
      </c>
    </row>
    <row r="118" spans="1:3" x14ac:dyDescent="0.2">
      <c r="A118" s="15">
        <v>44044</v>
      </c>
      <c r="B118" s="14">
        <v>50.8</v>
      </c>
      <c r="C118" s="14">
        <f>Table13468111214151617181920222530[[#This Row],[PMI]]-B117</f>
        <v>3.8999999999999986</v>
      </c>
    </row>
    <row r="119" spans="1:3" x14ac:dyDescent="0.2">
      <c r="A119" s="15">
        <v>44075</v>
      </c>
      <c r="B119" s="14">
        <v>47.2</v>
      </c>
      <c r="C119" s="14">
        <f>Table13468111214151617181920222530[[#This Row],[PMI]]-B118</f>
        <v>-3.5999999999999943</v>
      </c>
    </row>
    <row r="120" spans="1:3" x14ac:dyDescent="0.2">
      <c r="A120" s="15">
        <v>44105</v>
      </c>
      <c r="B120" s="14">
        <v>47.8</v>
      </c>
      <c r="C120" s="14">
        <f>Table13468111214151617181920222530[[#This Row],[PMI]]-B119</f>
        <v>0.59999999999999432</v>
      </c>
    </row>
    <row r="121" spans="1:3" x14ac:dyDescent="0.2">
      <c r="A121" s="15">
        <v>44136</v>
      </c>
      <c r="B121" s="14">
        <v>50.6</v>
      </c>
      <c r="C121" s="14">
        <f>Table13468111214151617181920222530[[#This Row],[PMI]]-B120</f>
        <v>2.8000000000000043</v>
      </c>
    </row>
    <row r="122" spans="1:3" x14ac:dyDescent="0.2">
      <c r="A122" s="15">
        <v>44166</v>
      </c>
      <c r="B122" s="14">
        <v>51.3</v>
      </c>
      <c r="C122" s="14">
        <f>Table13468111214151617181920222530[[#This Row],[PMI]]-B121</f>
        <v>0.69999999999999574</v>
      </c>
    </row>
    <row r="123" spans="1:3" x14ac:dyDescent="0.2">
      <c r="A123" s="15">
        <v>44197</v>
      </c>
      <c r="B123" s="14">
        <v>52.2</v>
      </c>
      <c r="C123" s="14">
        <f>Table13468111214151617181920222530[[#This Row],[PMI]]-B122</f>
        <v>0.90000000000000568</v>
      </c>
    </row>
    <row r="124" spans="1:3" x14ac:dyDescent="0.2">
      <c r="A124" s="15">
        <v>44228</v>
      </c>
      <c r="B124" s="14">
        <v>50.9</v>
      </c>
      <c r="C124" s="14">
        <f>Table13468111214151617181920222530[[#This Row],[PMI]]-B123</f>
        <v>-1.3000000000000043</v>
      </c>
    </row>
    <row r="125" spans="1:3" x14ac:dyDescent="0.2">
      <c r="A125" s="15">
        <v>44256</v>
      </c>
      <c r="B125" s="14">
        <v>53.2</v>
      </c>
      <c r="C125" s="14">
        <f>Table13468111214151617181920222530[[#This Row],[PMI]]-B124</f>
        <v>2.3000000000000043</v>
      </c>
    </row>
    <row r="126" spans="1:3" x14ac:dyDescent="0.2">
      <c r="A126" s="15">
        <v>44287</v>
      </c>
      <c r="B126" s="14">
        <v>54.6</v>
      </c>
      <c r="C126" s="14">
        <f>Table13468111214151617181920222530[[#This Row],[PMI]]-B125</f>
        <v>1.3999999999999986</v>
      </c>
    </row>
    <row r="127" spans="1:3" x14ac:dyDescent="0.2">
      <c r="A127" s="15">
        <v>44317</v>
      </c>
      <c r="B127" s="14">
        <v>55.3</v>
      </c>
      <c r="C127" s="14">
        <f>Table13468111214151617181920222530[[#This Row],[PMI]]-B126</f>
        <v>0.69999999999999574</v>
      </c>
    </row>
    <row r="128" spans="1:3" x14ac:dyDescent="0.2">
      <c r="A128" s="15">
        <v>44348</v>
      </c>
      <c r="B128" s="14">
        <v>53.5</v>
      </c>
      <c r="C128" s="14">
        <f>Table13468111214151617181920222530[[#This Row],[PMI]]-B127</f>
        <v>-1.7999999999999972</v>
      </c>
    </row>
    <row r="129" spans="1:3" x14ac:dyDescent="0.2">
      <c r="A129" s="15">
        <v>44378</v>
      </c>
      <c r="B129" s="14">
        <v>40.1</v>
      </c>
      <c r="C129" s="14">
        <f>Table13468111214151617181920222530[[#This Row],[PMI]]-B128</f>
        <v>-13.399999999999999</v>
      </c>
    </row>
    <row r="130" spans="1:3" x14ac:dyDescent="0.2">
      <c r="A130" s="15">
        <v>44409</v>
      </c>
      <c r="B130" s="14">
        <v>43.7</v>
      </c>
      <c r="C130" s="14">
        <f>Table13468111214151617181920222530[[#This Row],[PMI]]-B129</f>
        <v>3.6000000000000014</v>
      </c>
    </row>
    <row r="131" spans="1:3" x14ac:dyDescent="0.2">
      <c r="A131" s="15">
        <v>44440</v>
      </c>
      <c r="B131" s="14">
        <v>52.2</v>
      </c>
      <c r="C131" s="14">
        <f>Table13468111214151617181920222530[[#This Row],[PMI]]-B130</f>
        <v>8.5</v>
      </c>
    </row>
    <row r="132" spans="1:3" x14ac:dyDescent="0.2">
      <c r="A132" s="15">
        <v>44470</v>
      </c>
      <c r="B132" s="14">
        <v>57.2</v>
      </c>
      <c r="C132" s="14">
        <f>Table13468111214151617181920222530[[#This Row],[PMI]]-B131</f>
        <v>5</v>
      </c>
    </row>
    <row r="133" spans="1:3" x14ac:dyDescent="0.2">
      <c r="A133" s="15">
        <v>44501</v>
      </c>
      <c r="B133" s="14">
        <v>53.9</v>
      </c>
      <c r="C133" s="14">
        <f>Table13468111214151617181920222530[[#This Row],[PMI]]-B132</f>
        <v>-3.3000000000000043</v>
      </c>
    </row>
    <row r="134" spans="1:3" x14ac:dyDescent="0.2">
      <c r="A134" s="15">
        <v>44531</v>
      </c>
      <c r="B134" s="14">
        <v>53.5</v>
      </c>
      <c r="C134" s="14">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19ADB-1A7A-4A02-9D32-6DDD6AE62A72}">
  <dimension ref="A1:K138"/>
  <sheetViews>
    <sheetView zoomScale="160" zoomScaleNormal="160" workbookViewId="0">
      <pane ySplit="5" topLeftCell="A99" activePane="bottomLeft" state="frozen"/>
      <selection pane="bottomLeft" activeCell="Q131" sqref="Q13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48</v>
      </c>
      <c r="K1" s="10" t="s">
        <v>21</v>
      </c>
    </row>
    <row r="2" spans="1:11" x14ac:dyDescent="0.2">
      <c r="K2" s="10" t="str">
        <f>A1&amp;K1</f>
        <v>South Korea Manufacturing PMI</v>
      </c>
    </row>
    <row r="4" spans="1:11" ht="16" thickBot="1" x14ac:dyDescent="0.25"/>
    <row r="5" spans="1:11" ht="16" thickBot="1" x14ac:dyDescent="0.25">
      <c r="A5" s="27" t="s">
        <v>10</v>
      </c>
      <c r="B5" s="28" t="s">
        <v>11</v>
      </c>
      <c r="C5" s="28" t="s">
        <v>14</v>
      </c>
    </row>
    <row r="6" spans="1:11" x14ac:dyDescent="0.2">
      <c r="A6" s="23">
        <v>40513</v>
      </c>
      <c r="B6" s="24">
        <v>53.9</v>
      </c>
      <c r="C6" s="24"/>
    </row>
    <row r="7" spans="1:11" x14ac:dyDescent="0.2">
      <c r="A7" s="15">
        <v>40544</v>
      </c>
      <c r="B7" s="14">
        <v>53.5</v>
      </c>
      <c r="C7" s="14">
        <f>Table1346811121415161718192022252629[[#This Row],[PMI]]-B6</f>
        <v>-0.39999999999999858</v>
      </c>
    </row>
    <row r="8" spans="1:11" x14ac:dyDescent="0.2">
      <c r="A8" s="15">
        <v>40575</v>
      </c>
      <c r="B8" s="14">
        <v>53.4</v>
      </c>
      <c r="C8" s="14">
        <f>Table1346811121415161718192022252629[[#This Row],[PMI]]-B7</f>
        <v>-0.10000000000000142</v>
      </c>
    </row>
    <row r="9" spans="1:11" x14ac:dyDescent="0.2">
      <c r="A9" s="15">
        <v>40603</v>
      </c>
      <c r="B9" s="14">
        <v>52.8</v>
      </c>
      <c r="C9" s="14">
        <f>Table1346811121415161718192022252629[[#This Row],[PMI]]-B8</f>
        <v>-0.60000000000000142</v>
      </c>
    </row>
    <row r="10" spans="1:11" x14ac:dyDescent="0.2">
      <c r="A10" s="15">
        <v>40634</v>
      </c>
      <c r="B10" s="14">
        <v>51.7</v>
      </c>
      <c r="C10" s="14">
        <f>Table1346811121415161718192022252629[[#This Row],[PMI]]-B9</f>
        <v>-1.0999999999999943</v>
      </c>
    </row>
    <row r="11" spans="1:11" x14ac:dyDescent="0.2">
      <c r="A11" s="15">
        <v>40664</v>
      </c>
      <c r="B11" s="14">
        <v>51.2</v>
      </c>
      <c r="C11" s="14">
        <f>Table1346811121415161718192022252629[[#This Row],[PMI]]-B10</f>
        <v>-0.5</v>
      </c>
    </row>
    <row r="12" spans="1:11" x14ac:dyDescent="0.2">
      <c r="A12" s="15">
        <v>40695</v>
      </c>
      <c r="B12" s="14">
        <v>51.2</v>
      </c>
      <c r="C12" s="14">
        <f>Table1346811121415161718192022252629[[#This Row],[PMI]]-B11</f>
        <v>0</v>
      </c>
    </row>
    <row r="13" spans="1:11" x14ac:dyDescent="0.2">
      <c r="A13" s="15">
        <v>40725</v>
      </c>
      <c r="B13" s="14">
        <v>51.1</v>
      </c>
      <c r="C13" s="14">
        <f>Table1346811121415161718192022252629[[#This Row],[PMI]]-B12</f>
        <v>-0.10000000000000142</v>
      </c>
    </row>
    <row r="14" spans="1:11" x14ac:dyDescent="0.2">
      <c r="A14" s="15">
        <v>40756</v>
      </c>
      <c r="B14" s="14">
        <v>51.3</v>
      </c>
      <c r="C14" s="14">
        <f>Table1346811121415161718192022252629[[#This Row],[PMI]]-B13</f>
        <v>0.19999999999999574</v>
      </c>
    </row>
    <row r="15" spans="1:11" x14ac:dyDescent="0.2">
      <c r="A15" s="15">
        <v>40787</v>
      </c>
      <c r="B15" s="14">
        <v>49.7</v>
      </c>
      <c r="C15" s="14">
        <f>Table1346811121415161718192022252629[[#This Row],[PMI]]-B14</f>
        <v>-1.5999999999999943</v>
      </c>
    </row>
    <row r="16" spans="1:11" x14ac:dyDescent="0.2">
      <c r="A16" s="15">
        <v>40817</v>
      </c>
      <c r="B16" s="14">
        <v>47.4</v>
      </c>
      <c r="C16" s="14">
        <f>Table1346811121415161718192022252629[[#This Row],[PMI]]-B15</f>
        <v>-2.3000000000000043</v>
      </c>
    </row>
    <row r="17" spans="1:3" x14ac:dyDescent="0.2">
      <c r="A17" s="15">
        <v>40848</v>
      </c>
      <c r="B17" s="14">
        <v>48</v>
      </c>
      <c r="C17" s="14">
        <f>Table1346811121415161718192022252629[[#This Row],[PMI]]-B16</f>
        <v>0.60000000000000142</v>
      </c>
    </row>
    <row r="18" spans="1:3" x14ac:dyDescent="0.2">
      <c r="A18" s="15">
        <v>40878</v>
      </c>
      <c r="B18" s="14">
        <v>47.1</v>
      </c>
      <c r="C18" s="14">
        <f>Table1346811121415161718192022252629[[#This Row],[PMI]]-B17</f>
        <v>-0.89999999999999858</v>
      </c>
    </row>
    <row r="19" spans="1:3" x14ac:dyDescent="0.2">
      <c r="A19" s="15">
        <v>40909</v>
      </c>
      <c r="B19" s="14">
        <v>49.2</v>
      </c>
      <c r="C19" s="14">
        <f>Table1346811121415161718192022252629[[#This Row],[PMI]]-B18</f>
        <v>2.1000000000000014</v>
      </c>
    </row>
    <row r="20" spans="1:3" x14ac:dyDescent="0.2">
      <c r="A20" s="15">
        <v>40940</v>
      </c>
      <c r="B20" s="14">
        <v>50.7</v>
      </c>
      <c r="C20" s="14">
        <f>Table1346811121415161718192022252629[[#This Row],[PMI]]-B19</f>
        <v>1.5</v>
      </c>
    </row>
    <row r="21" spans="1:3" x14ac:dyDescent="0.2">
      <c r="A21" s="15">
        <v>40969</v>
      </c>
      <c r="B21" s="14">
        <v>52</v>
      </c>
      <c r="C21" s="14">
        <f>Table1346811121415161718192022252629[[#This Row],[PMI]]-B20</f>
        <v>1.2999999999999972</v>
      </c>
    </row>
    <row r="22" spans="1:3" x14ac:dyDescent="0.2">
      <c r="A22" s="15">
        <v>41000</v>
      </c>
      <c r="B22" s="14">
        <v>51.9</v>
      </c>
      <c r="C22" s="14">
        <f>Table1346811121415161718192022252629[[#This Row],[PMI]]-B21</f>
        <v>-0.10000000000000142</v>
      </c>
    </row>
    <row r="23" spans="1:3" x14ac:dyDescent="0.2">
      <c r="A23" s="15">
        <v>41030</v>
      </c>
      <c r="B23" s="14">
        <v>51</v>
      </c>
      <c r="C23" s="14">
        <f>Table1346811121415161718192022252629[[#This Row],[PMI]]-B22</f>
        <v>-0.89999999999999858</v>
      </c>
    </row>
    <row r="24" spans="1:3" x14ac:dyDescent="0.2">
      <c r="A24" s="15">
        <v>41061</v>
      </c>
      <c r="B24" s="14">
        <v>49.4</v>
      </c>
      <c r="C24" s="14">
        <f>Table1346811121415161718192022252629[[#This Row],[PMI]]-B23</f>
        <v>-1.6000000000000014</v>
      </c>
    </row>
    <row r="25" spans="1:3" x14ac:dyDescent="0.2">
      <c r="A25" s="15">
        <v>41091</v>
      </c>
      <c r="B25" s="14">
        <v>47.2</v>
      </c>
      <c r="C25" s="14">
        <f>Table1346811121415161718192022252629[[#This Row],[PMI]]-B24</f>
        <v>-2.1999999999999957</v>
      </c>
    </row>
    <row r="26" spans="1:3" x14ac:dyDescent="0.2">
      <c r="A26" s="15">
        <v>41122</v>
      </c>
      <c r="B26" s="14">
        <v>47.5</v>
      </c>
      <c r="C26" s="14">
        <f>Table1346811121415161718192022252629[[#This Row],[PMI]]-B25</f>
        <v>0.29999999999999716</v>
      </c>
    </row>
    <row r="27" spans="1:3" x14ac:dyDescent="0.2">
      <c r="A27" s="15">
        <v>41153</v>
      </c>
      <c r="B27" s="14">
        <v>45.7</v>
      </c>
      <c r="C27" s="14">
        <f>Table1346811121415161718192022252629[[#This Row],[PMI]]-B26</f>
        <v>-1.7999999999999972</v>
      </c>
    </row>
    <row r="28" spans="1:3" x14ac:dyDescent="0.2">
      <c r="A28" s="15">
        <v>41183</v>
      </c>
      <c r="B28" s="14">
        <v>47.4</v>
      </c>
      <c r="C28" s="14">
        <f>Table1346811121415161718192022252629[[#This Row],[PMI]]-B27</f>
        <v>1.6999999999999957</v>
      </c>
    </row>
    <row r="29" spans="1:3" x14ac:dyDescent="0.2">
      <c r="A29" s="15">
        <v>41214</v>
      </c>
      <c r="B29" s="14">
        <v>48.2</v>
      </c>
      <c r="C29" s="14">
        <f>Table1346811121415161718192022252629[[#This Row],[PMI]]-B28</f>
        <v>0.80000000000000426</v>
      </c>
    </row>
    <row r="30" spans="1:3" x14ac:dyDescent="0.2">
      <c r="A30" s="15">
        <v>41244</v>
      </c>
      <c r="B30" s="14">
        <v>50.1</v>
      </c>
      <c r="C30" s="14">
        <f>Table1346811121415161718192022252629[[#This Row],[PMI]]-B29</f>
        <v>1.8999999999999986</v>
      </c>
    </row>
    <row r="31" spans="1:3" x14ac:dyDescent="0.2">
      <c r="A31" s="15">
        <v>41275</v>
      </c>
      <c r="B31" s="14">
        <v>49.9</v>
      </c>
      <c r="C31" s="14">
        <f>Table1346811121415161718192022252629[[#This Row],[PMI]]-B30</f>
        <v>-0.20000000000000284</v>
      </c>
    </row>
    <row r="32" spans="1:3" x14ac:dyDescent="0.2">
      <c r="A32" s="15">
        <v>41306</v>
      </c>
      <c r="B32" s="14">
        <v>50.9</v>
      </c>
      <c r="C32" s="14">
        <f>Table1346811121415161718192022252629[[#This Row],[PMI]]-B31</f>
        <v>1</v>
      </c>
    </row>
    <row r="33" spans="1:3" x14ac:dyDescent="0.2">
      <c r="A33" s="15">
        <v>41334</v>
      </c>
      <c r="B33" s="14">
        <v>52</v>
      </c>
      <c r="C33" s="14">
        <f>Table1346811121415161718192022252629[[#This Row],[PMI]]-B32</f>
        <v>1.1000000000000014</v>
      </c>
    </row>
    <row r="34" spans="1:3" x14ac:dyDescent="0.2">
      <c r="A34" s="15">
        <v>41365</v>
      </c>
      <c r="B34" s="14">
        <v>52.6</v>
      </c>
      <c r="C34" s="14">
        <f>Table1346811121415161718192022252629[[#This Row],[PMI]]-B33</f>
        <v>0.60000000000000142</v>
      </c>
    </row>
    <row r="35" spans="1:3" x14ac:dyDescent="0.2">
      <c r="A35" s="15">
        <v>41395</v>
      </c>
      <c r="B35" s="14">
        <v>51.1</v>
      </c>
      <c r="C35" s="14">
        <f>Table1346811121415161718192022252629[[#This Row],[PMI]]-B34</f>
        <v>-1.5</v>
      </c>
    </row>
    <row r="36" spans="1:3" x14ac:dyDescent="0.2">
      <c r="A36" s="15">
        <v>41426</v>
      </c>
      <c r="B36" s="14">
        <v>49.4</v>
      </c>
      <c r="C36" s="14">
        <f>Table1346811121415161718192022252629[[#This Row],[PMI]]-B35</f>
        <v>-1.7000000000000028</v>
      </c>
    </row>
    <row r="37" spans="1:3" x14ac:dyDescent="0.2">
      <c r="A37" s="15">
        <v>41456</v>
      </c>
      <c r="B37" s="14">
        <v>47.2</v>
      </c>
      <c r="C37" s="14">
        <f>Table1346811121415161718192022252629[[#This Row],[PMI]]-B36</f>
        <v>-2.1999999999999957</v>
      </c>
    </row>
    <row r="38" spans="1:3" x14ac:dyDescent="0.2">
      <c r="A38" s="15">
        <v>41487</v>
      </c>
      <c r="B38" s="14">
        <v>47.5</v>
      </c>
      <c r="C38" s="14">
        <f>Table1346811121415161718192022252629[[#This Row],[PMI]]-B37</f>
        <v>0.29999999999999716</v>
      </c>
    </row>
    <row r="39" spans="1:3" x14ac:dyDescent="0.2">
      <c r="A39" s="15">
        <v>41518</v>
      </c>
      <c r="B39" s="14">
        <v>49.7</v>
      </c>
      <c r="C39" s="14">
        <f>Table1346811121415161718192022252629[[#This Row],[PMI]]-B38</f>
        <v>2.2000000000000028</v>
      </c>
    </row>
    <row r="40" spans="1:3" x14ac:dyDescent="0.2">
      <c r="A40" s="15">
        <v>41548</v>
      </c>
      <c r="B40" s="14">
        <v>50.2</v>
      </c>
      <c r="C40" s="14">
        <f>Table1346811121415161718192022252629[[#This Row],[PMI]]-B39</f>
        <v>0.5</v>
      </c>
    </row>
    <row r="41" spans="1:3" x14ac:dyDescent="0.2">
      <c r="A41" s="15">
        <v>41579</v>
      </c>
      <c r="B41" s="14">
        <v>50.4</v>
      </c>
      <c r="C41" s="14">
        <f>Table1346811121415161718192022252629[[#This Row],[PMI]]-B40</f>
        <v>0.19999999999999574</v>
      </c>
    </row>
    <row r="42" spans="1:3" x14ac:dyDescent="0.2">
      <c r="A42" s="15">
        <v>41609</v>
      </c>
      <c r="B42" s="14">
        <v>50.8</v>
      </c>
      <c r="C42" s="14">
        <f>Table1346811121415161718192022252629[[#This Row],[PMI]]-B41</f>
        <v>0.39999999999999858</v>
      </c>
    </row>
    <row r="43" spans="1:3" x14ac:dyDescent="0.2">
      <c r="A43" s="15">
        <v>41640</v>
      </c>
      <c r="B43" s="14">
        <v>50.9</v>
      </c>
      <c r="C43" s="14">
        <f>Table1346811121415161718192022252629[[#This Row],[PMI]]-B42</f>
        <v>0.10000000000000142</v>
      </c>
    </row>
    <row r="44" spans="1:3" x14ac:dyDescent="0.2">
      <c r="A44" s="15">
        <v>41671</v>
      </c>
      <c r="B44" s="14">
        <v>49.8</v>
      </c>
      <c r="C44" s="14">
        <f>Table1346811121415161718192022252629[[#This Row],[PMI]]-B43</f>
        <v>-1.1000000000000014</v>
      </c>
    </row>
    <row r="45" spans="1:3" x14ac:dyDescent="0.2">
      <c r="A45" s="15">
        <v>41699</v>
      </c>
      <c r="B45" s="14">
        <v>50.4</v>
      </c>
      <c r="C45" s="14">
        <f>Table1346811121415161718192022252629[[#This Row],[PMI]]-B44</f>
        <v>0.60000000000000142</v>
      </c>
    </row>
    <row r="46" spans="1:3" x14ac:dyDescent="0.2">
      <c r="A46" s="15">
        <v>41730</v>
      </c>
      <c r="B46" s="14">
        <v>50.2</v>
      </c>
      <c r="C46" s="14">
        <f>Table1346811121415161718192022252629[[#This Row],[PMI]]-B45</f>
        <v>-0.19999999999999574</v>
      </c>
    </row>
    <row r="47" spans="1:3" x14ac:dyDescent="0.2">
      <c r="A47" s="15">
        <v>41760</v>
      </c>
      <c r="B47" s="14">
        <v>49.5</v>
      </c>
      <c r="C47" s="14">
        <f>Table1346811121415161718192022252629[[#This Row],[PMI]]-B46</f>
        <v>-0.70000000000000284</v>
      </c>
    </row>
    <row r="48" spans="1:3" x14ac:dyDescent="0.2">
      <c r="A48" s="15">
        <v>41791</v>
      </c>
      <c r="B48" s="14">
        <v>48.4</v>
      </c>
      <c r="C48" s="14">
        <f>Table1346811121415161718192022252629[[#This Row],[PMI]]-B47</f>
        <v>-1.1000000000000014</v>
      </c>
    </row>
    <row r="49" spans="1:3" x14ac:dyDescent="0.2">
      <c r="A49" s="15">
        <v>41821</v>
      </c>
      <c r="B49" s="14">
        <v>48.506666666666703</v>
      </c>
      <c r="C49" s="14">
        <f>Table1346811121415161718192022252629[[#This Row],[PMI]]-B48</f>
        <v>0.10666666666670466</v>
      </c>
    </row>
    <row r="50" spans="1:3" x14ac:dyDescent="0.2">
      <c r="A50" s="15">
        <v>41852</v>
      </c>
      <c r="B50" s="14">
        <v>50.3</v>
      </c>
      <c r="C50" s="14">
        <f>Table1346811121415161718192022252629[[#This Row],[PMI]]-B49</f>
        <v>1.7933333333332939</v>
      </c>
    </row>
    <row r="51" spans="1:3" x14ac:dyDescent="0.2">
      <c r="A51" s="15">
        <v>41883</v>
      </c>
      <c r="B51" s="14">
        <v>48.8</v>
      </c>
      <c r="C51" s="14">
        <f>Table1346811121415161718192022252629[[#This Row],[PMI]]-B50</f>
        <v>-1.5</v>
      </c>
    </row>
    <row r="52" spans="1:3" x14ac:dyDescent="0.2">
      <c r="A52" s="15">
        <v>41913</v>
      </c>
      <c r="B52" s="14">
        <v>48.7</v>
      </c>
      <c r="C52" s="14">
        <f>Table1346811121415161718192022252629[[#This Row],[PMI]]-B51</f>
        <v>-9.9999999999994316E-2</v>
      </c>
    </row>
    <row r="53" spans="1:3" x14ac:dyDescent="0.2">
      <c r="A53" s="15">
        <v>41944</v>
      </c>
      <c r="B53" s="14">
        <v>49</v>
      </c>
      <c r="C53" s="14">
        <f>Table1346811121415161718192022252629[[#This Row],[PMI]]-B52</f>
        <v>0.29999999999999716</v>
      </c>
    </row>
    <row r="54" spans="1:3" x14ac:dyDescent="0.2">
      <c r="A54" s="15">
        <v>41974</v>
      </c>
      <c r="B54" s="14">
        <v>49.9</v>
      </c>
      <c r="C54" s="14">
        <f>Table1346811121415161718192022252629[[#This Row],[PMI]]-B53</f>
        <v>0.89999999999999858</v>
      </c>
    </row>
    <row r="55" spans="1:3" x14ac:dyDescent="0.2">
      <c r="A55" s="15">
        <v>42005</v>
      </c>
      <c r="B55" s="14">
        <v>51.1</v>
      </c>
      <c r="C55" s="14">
        <f>Table1346811121415161718192022252629[[#This Row],[PMI]]-B54</f>
        <v>1.2000000000000028</v>
      </c>
    </row>
    <row r="56" spans="1:3" x14ac:dyDescent="0.2">
      <c r="A56" s="15">
        <v>42036</v>
      </c>
      <c r="B56" s="14">
        <v>51.1</v>
      </c>
      <c r="C56" s="14">
        <f>Table1346811121415161718192022252629[[#This Row],[PMI]]-B55</f>
        <v>0</v>
      </c>
    </row>
    <row r="57" spans="1:3" x14ac:dyDescent="0.2">
      <c r="A57" s="15">
        <v>42064</v>
      </c>
      <c r="B57" s="14">
        <v>49.2</v>
      </c>
      <c r="C57" s="14">
        <f>Table1346811121415161718192022252629[[#This Row],[PMI]]-B56</f>
        <v>-1.8999999999999986</v>
      </c>
    </row>
    <row r="58" spans="1:3" x14ac:dyDescent="0.2">
      <c r="A58" s="15">
        <v>42095</v>
      </c>
      <c r="B58" s="14">
        <v>48.8</v>
      </c>
      <c r="C58" s="14">
        <f>Table1346811121415161718192022252629[[#This Row],[PMI]]-B57</f>
        <v>-0.40000000000000568</v>
      </c>
    </row>
    <row r="59" spans="1:3" x14ac:dyDescent="0.2">
      <c r="A59" s="15">
        <v>42125</v>
      </c>
      <c r="B59" s="14">
        <v>47.8</v>
      </c>
      <c r="C59" s="14">
        <f>Table1346811121415161718192022252629[[#This Row],[PMI]]-B58</f>
        <v>-1</v>
      </c>
    </row>
    <row r="60" spans="1:3" x14ac:dyDescent="0.2">
      <c r="A60" s="15">
        <v>42156</v>
      </c>
      <c r="B60" s="14">
        <v>46.1</v>
      </c>
      <c r="C60" s="14">
        <f>Table1346811121415161718192022252629[[#This Row],[PMI]]-B59</f>
        <v>-1.6999999999999957</v>
      </c>
    </row>
    <row r="61" spans="1:3" x14ac:dyDescent="0.2">
      <c r="A61" s="15">
        <v>42186</v>
      </c>
      <c r="B61" s="14">
        <v>47.6</v>
      </c>
      <c r="C61" s="14">
        <f>Table1346811121415161718192022252629[[#This Row],[PMI]]-B60</f>
        <v>1.5</v>
      </c>
    </row>
    <row r="62" spans="1:3" x14ac:dyDescent="0.2">
      <c r="A62" s="15">
        <v>42217</v>
      </c>
      <c r="B62" s="14">
        <v>47.9</v>
      </c>
      <c r="C62" s="14">
        <f>Table1346811121415161718192022252629[[#This Row],[PMI]]-B61</f>
        <v>0.29999999999999716</v>
      </c>
    </row>
    <row r="63" spans="1:3" x14ac:dyDescent="0.2">
      <c r="A63" s="15">
        <v>42248</v>
      </c>
      <c r="B63" s="14">
        <v>49.2</v>
      </c>
      <c r="C63" s="14">
        <f>Table1346811121415161718192022252629[[#This Row],[PMI]]-B62</f>
        <v>1.3000000000000043</v>
      </c>
    </row>
    <row r="64" spans="1:3" x14ac:dyDescent="0.2">
      <c r="A64" s="15">
        <v>42278</v>
      </c>
      <c r="B64" s="14">
        <v>49.1</v>
      </c>
      <c r="C64" s="14">
        <f>Table1346811121415161718192022252629[[#This Row],[PMI]]-B63</f>
        <v>-0.10000000000000142</v>
      </c>
    </row>
    <row r="65" spans="1:3" x14ac:dyDescent="0.2">
      <c r="A65" s="15">
        <v>42309</v>
      </c>
      <c r="B65" s="14">
        <v>49.1</v>
      </c>
      <c r="C65" s="14">
        <f>Table1346811121415161718192022252629[[#This Row],[PMI]]-B64</f>
        <v>0</v>
      </c>
    </row>
    <row r="66" spans="1:3" x14ac:dyDescent="0.2">
      <c r="A66" s="15">
        <v>42339</v>
      </c>
      <c r="B66" s="14">
        <v>50.7</v>
      </c>
      <c r="C66" s="14">
        <f>Table1346811121415161718192022252629[[#This Row],[PMI]]-B65</f>
        <v>1.6000000000000014</v>
      </c>
    </row>
    <row r="67" spans="1:3" x14ac:dyDescent="0.2">
      <c r="A67" s="15">
        <v>42370</v>
      </c>
      <c r="B67" s="14">
        <v>49.5</v>
      </c>
      <c r="C67" s="14">
        <f>Table1346811121415161718192022252629[[#This Row],[PMI]]-B66</f>
        <v>-1.2000000000000028</v>
      </c>
    </row>
    <row r="68" spans="1:3" x14ac:dyDescent="0.2">
      <c r="A68" s="15">
        <v>42401</v>
      </c>
      <c r="B68" s="14">
        <v>48.7</v>
      </c>
      <c r="C68" s="14">
        <f>Table1346811121415161718192022252629[[#This Row],[PMI]]-B67</f>
        <v>-0.79999999999999716</v>
      </c>
    </row>
    <row r="69" spans="1:3" x14ac:dyDescent="0.2">
      <c r="A69" s="15">
        <v>42430</v>
      </c>
      <c r="B69" s="14">
        <v>49.5</v>
      </c>
      <c r="C69" s="14">
        <f>Table1346811121415161718192022252629[[#This Row],[PMI]]-B68</f>
        <v>0.79999999999999716</v>
      </c>
    </row>
    <row r="70" spans="1:3" x14ac:dyDescent="0.2">
      <c r="A70" s="15">
        <v>42461</v>
      </c>
      <c r="B70" s="14">
        <v>50</v>
      </c>
      <c r="C70" s="14">
        <f>Table1346811121415161718192022252629[[#This Row],[PMI]]-B69</f>
        <v>0.5</v>
      </c>
    </row>
    <row r="71" spans="1:3" x14ac:dyDescent="0.2">
      <c r="A71" s="15">
        <v>42491</v>
      </c>
      <c r="B71" s="14">
        <v>50.1</v>
      </c>
      <c r="C71" s="14">
        <f>Table1346811121415161718192022252629[[#This Row],[PMI]]-B70</f>
        <v>0.10000000000000142</v>
      </c>
    </row>
    <row r="72" spans="1:3" x14ac:dyDescent="0.2">
      <c r="A72" s="15">
        <v>42522</v>
      </c>
      <c r="B72" s="14">
        <v>50.5</v>
      </c>
      <c r="C72" s="14">
        <f>Table1346811121415161718192022252629[[#This Row],[PMI]]-B71</f>
        <v>0.39999999999999858</v>
      </c>
    </row>
    <row r="73" spans="1:3" x14ac:dyDescent="0.2">
      <c r="A73" s="15">
        <v>42552</v>
      </c>
      <c r="B73" s="14">
        <v>50.1</v>
      </c>
      <c r="C73" s="14">
        <f>Table1346811121415161718192022252629[[#This Row],[PMI]]-B72</f>
        <v>-0.39999999999999858</v>
      </c>
    </row>
    <row r="74" spans="1:3" x14ac:dyDescent="0.2">
      <c r="A74" s="15">
        <v>42583</v>
      </c>
      <c r="B74" s="14">
        <v>48.6</v>
      </c>
      <c r="C74" s="14">
        <f>Table1346811121415161718192022252629[[#This Row],[PMI]]-B73</f>
        <v>-1.5</v>
      </c>
    </row>
    <row r="75" spans="1:3" x14ac:dyDescent="0.2">
      <c r="A75" s="15">
        <v>42614</v>
      </c>
      <c r="B75" s="14">
        <v>47.6</v>
      </c>
      <c r="C75" s="14">
        <f>Table1346811121415161718192022252629[[#This Row],[PMI]]-B74</f>
        <v>-1</v>
      </c>
    </row>
    <row r="76" spans="1:3" x14ac:dyDescent="0.2">
      <c r="A76" s="15">
        <v>42644</v>
      </c>
      <c r="B76" s="14">
        <v>48</v>
      </c>
      <c r="C76" s="14">
        <f>Table1346811121415161718192022252629[[#This Row],[PMI]]-B75</f>
        <v>0.39999999999999858</v>
      </c>
    </row>
    <row r="77" spans="1:3" x14ac:dyDescent="0.2">
      <c r="A77" s="15">
        <v>42675</v>
      </c>
      <c r="B77" s="14">
        <v>48</v>
      </c>
      <c r="C77" s="14">
        <f>Table1346811121415161718192022252629[[#This Row],[PMI]]-B76</f>
        <v>0</v>
      </c>
    </row>
    <row r="78" spans="1:3" x14ac:dyDescent="0.2">
      <c r="A78" s="15">
        <v>42705</v>
      </c>
      <c r="B78" s="14">
        <v>49.4</v>
      </c>
      <c r="C78" s="14">
        <f>Table1346811121415161718192022252629[[#This Row],[PMI]]-B77</f>
        <v>1.3999999999999986</v>
      </c>
    </row>
    <row r="79" spans="1:3" x14ac:dyDescent="0.2">
      <c r="A79" s="15">
        <v>42736</v>
      </c>
      <c r="B79" s="14">
        <v>49</v>
      </c>
      <c r="C79" s="14">
        <f>Table1346811121415161718192022252629[[#This Row],[PMI]]-B78</f>
        <v>-0.39999999999999858</v>
      </c>
    </row>
    <row r="80" spans="1:3" x14ac:dyDescent="0.2">
      <c r="A80" s="15">
        <v>42767</v>
      </c>
      <c r="B80" s="14">
        <v>49.2</v>
      </c>
      <c r="C80" s="14">
        <f>Table1346811121415161718192022252629[[#This Row],[PMI]]-B79</f>
        <v>0.20000000000000284</v>
      </c>
    </row>
    <row r="81" spans="1:3" x14ac:dyDescent="0.2">
      <c r="A81" s="15">
        <v>42795</v>
      </c>
      <c r="B81" s="14">
        <v>48.4</v>
      </c>
      <c r="C81" s="14">
        <f>Table1346811121415161718192022252629[[#This Row],[PMI]]-B80</f>
        <v>-0.80000000000000426</v>
      </c>
    </row>
    <row r="82" spans="1:3" x14ac:dyDescent="0.2">
      <c r="A82" s="15">
        <v>42826</v>
      </c>
      <c r="B82" s="14">
        <v>49.4</v>
      </c>
      <c r="C82" s="14">
        <f>Table1346811121415161718192022252629[[#This Row],[PMI]]-B81</f>
        <v>1</v>
      </c>
    </row>
    <row r="83" spans="1:3" x14ac:dyDescent="0.2">
      <c r="A83" s="15">
        <v>42856</v>
      </c>
      <c r="B83" s="14">
        <v>49.2</v>
      </c>
      <c r="C83" s="14">
        <f>Table1346811121415161718192022252629[[#This Row],[PMI]]-B82</f>
        <v>-0.19999999999999574</v>
      </c>
    </row>
    <row r="84" spans="1:3" x14ac:dyDescent="0.2">
      <c r="A84" s="15">
        <v>42887</v>
      </c>
      <c r="B84" s="14">
        <v>50.1</v>
      </c>
      <c r="C84" s="14">
        <f>Table1346811121415161718192022252629[[#This Row],[PMI]]-B83</f>
        <v>0.89999999999999858</v>
      </c>
    </row>
    <row r="85" spans="1:3" x14ac:dyDescent="0.2">
      <c r="A85" s="15">
        <v>42917</v>
      </c>
      <c r="B85" s="14">
        <v>49.1</v>
      </c>
      <c r="C85" s="14">
        <f>Table1346811121415161718192022252629[[#This Row],[PMI]]-B84</f>
        <v>-1</v>
      </c>
    </row>
    <row r="86" spans="1:3" x14ac:dyDescent="0.2">
      <c r="A86" s="15">
        <v>42948</v>
      </c>
      <c r="B86" s="14">
        <v>49.9</v>
      </c>
      <c r="C86" s="14">
        <f>Table1346811121415161718192022252629[[#This Row],[PMI]]-B85</f>
        <v>0.79999999999999716</v>
      </c>
    </row>
    <row r="87" spans="1:3" x14ac:dyDescent="0.2">
      <c r="A87" s="15">
        <v>42979</v>
      </c>
      <c r="B87" s="14">
        <v>50.6</v>
      </c>
      <c r="C87" s="14">
        <f>Table1346811121415161718192022252629[[#This Row],[PMI]]-B86</f>
        <v>0.70000000000000284</v>
      </c>
    </row>
    <row r="88" spans="1:3" x14ac:dyDescent="0.2">
      <c r="A88" s="15">
        <v>43009</v>
      </c>
      <c r="B88" s="14">
        <v>50.2</v>
      </c>
      <c r="C88" s="14">
        <f>Table1346811121415161718192022252629[[#This Row],[PMI]]-B87</f>
        <v>-0.39999999999999858</v>
      </c>
    </row>
    <row r="89" spans="1:3" x14ac:dyDescent="0.2">
      <c r="A89" s="15">
        <v>43040</v>
      </c>
      <c r="B89" s="14">
        <v>51.2</v>
      </c>
      <c r="C89" s="14">
        <f>Table1346811121415161718192022252629[[#This Row],[PMI]]-B88</f>
        <v>1</v>
      </c>
    </row>
    <row r="90" spans="1:3" x14ac:dyDescent="0.2">
      <c r="A90" s="15">
        <v>43070</v>
      </c>
      <c r="B90" s="14">
        <v>49.9</v>
      </c>
      <c r="C90" s="14">
        <f>Table1346811121415161718192022252629[[#This Row],[PMI]]-B89</f>
        <v>-1.3000000000000043</v>
      </c>
    </row>
    <row r="91" spans="1:3" x14ac:dyDescent="0.2">
      <c r="A91" s="15">
        <v>43101</v>
      </c>
      <c r="B91" s="14">
        <v>50.7</v>
      </c>
      <c r="C91" s="14">
        <f>Table1346811121415161718192022252629[[#This Row],[PMI]]-B90</f>
        <v>0.80000000000000426</v>
      </c>
    </row>
    <row r="92" spans="1:3" x14ac:dyDescent="0.2">
      <c r="A92" s="15">
        <v>43132</v>
      </c>
      <c r="B92" s="14">
        <v>50.3</v>
      </c>
      <c r="C92" s="14">
        <f>Table1346811121415161718192022252629[[#This Row],[PMI]]-B91</f>
        <v>-0.40000000000000568</v>
      </c>
    </row>
    <row r="93" spans="1:3" x14ac:dyDescent="0.2">
      <c r="A93" s="15">
        <v>43160</v>
      </c>
      <c r="B93" s="14">
        <v>49.1</v>
      </c>
      <c r="C93" s="14">
        <f>Table1346811121415161718192022252629[[#This Row],[PMI]]-B92</f>
        <v>-1.1999999999999957</v>
      </c>
    </row>
    <row r="94" spans="1:3" x14ac:dyDescent="0.2">
      <c r="A94" s="15">
        <v>43191</v>
      </c>
      <c r="B94" s="14">
        <v>48.4</v>
      </c>
      <c r="C94" s="14">
        <f>Table1346811121415161718192022252629[[#This Row],[PMI]]-B93</f>
        <v>-0.70000000000000284</v>
      </c>
    </row>
    <row r="95" spans="1:3" x14ac:dyDescent="0.2">
      <c r="A95" s="15">
        <v>43221</v>
      </c>
      <c r="B95" s="14">
        <v>48.9</v>
      </c>
      <c r="C95" s="14">
        <f>Table1346811121415161718192022252629[[#This Row],[PMI]]-B94</f>
        <v>0.5</v>
      </c>
    </row>
    <row r="96" spans="1:3" x14ac:dyDescent="0.2">
      <c r="A96" s="15">
        <v>43252</v>
      </c>
      <c r="B96" s="14">
        <v>49.8</v>
      </c>
      <c r="C96" s="14">
        <f>Table1346811121415161718192022252629[[#This Row],[PMI]]-B95</f>
        <v>0.89999999999999858</v>
      </c>
    </row>
    <row r="97" spans="1:3" x14ac:dyDescent="0.2">
      <c r="A97" s="15">
        <v>43282</v>
      </c>
      <c r="B97" s="14">
        <v>48.3</v>
      </c>
      <c r="C97" s="14">
        <f>Table1346811121415161718192022252629[[#This Row],[PMI]]-B96</f>
        <v>-1.5</v>
      </c>
    </row>
    <row r="98" spans="1:3" x14ac:dyDescent="0.2">
      <c r="A98" s="15">
        <v>43313</v>
      </c>
      <c r="B98" s="14">
        <v>49.9</v>
      </c>
      <c r="C98" s="14">
        <f>Table1346811121415161718192022252629[[#This Row],[PMI]]-B97</f>
        <v>1.6000000000000014</v>
      </c>
    </row>
    <row r="99" spans="1:3" x14ac:dyDescent="0.2">
      <c r="A99" s="15">
        <v>43344</v>
      </c>
      <c r="B99" s="14">
        <v>51.3</v>
      </c>
      <c r="C99" s="14">
        <f>Table1346811121415161718192022252629[[#This Row],[PMI]]-B98</f>
        <v>1.3999999999999986</v>
      </c>
    </row>
    <row r="100" spans="1:3" x14ac:dyDescent="0.2">
      <c r="A100" s="15">
        <v>43374</v>
      </c>
      <c r="B100" s="14">
        <v>51</v>
      </c>
      <c r="C100" s="14">
        <f>Table1346811121415161718192022252629[[#This Row],[PMI]]-B99</f>
        <v>-0.29999999999999716</v>
      </c>
    </row>
    <row r="101" spans="1:3" x14ac:dyDescent="0.2">
      <c r="A101" s="15">
        <v>43405</v>
      </c>
      <c r="B101" s="14">
        <v>48.6</v>
      </c>
      <c r="C101" s="14">
        <f>Table1346811121415161718192022252629[[#This Row],[PMI]]-B100</f>
        <v>-2.3999999999999986</v>
      </c>
    </row>
    <row r="102" spans="1:3" x14ac:dyDescent="0.2">
      <c r="A102" s="15">
        <v>43435</v>
      </c>
      <c r="B102" s="14">
        <v>49.8</v>
      </c>
      <c r="C102" s="14">
        <f>Table1346811121415161718192022252629[[#This Row],[PMI]]-B101</f>
        <v>1.1999999999999957</v>
      </c>
    </row>
    <row r="103" spans="1:3" x14ac:dyDescent="0.2">
      <c r="A103" s="15">
        <v>43466</v>
      </c>
      <c r="B103" s="14">
        <v>48.3</v>
      </c>
      <c r="C103" s="14">
        <f>Table1346811121415161718192022252629[[#This Row],[PMI]]-B102</f>
        <v>-1.5</v>
      </c>
    </row>
    <row r="104" spans="1:3" x14ac:dyDescent="0.2">
      <c r="A104" s="15">
        <v>43497</v>
      </c>
      <c r="B104" s="14">
        <v>47.2</v>
      </c>
      <c r="C104" s="14">
        <f>Table1346811121415161718192022252629[[#This Row],[PMI]]-B103</f>
        <v>-1.0999999999999943</v>
      </c>
    </row>
    <row r="105" spans="1:3" x14ac:dyDescent="0.2">
      <c r="A105" s="15">
        <v>43525</v>
      </c>
      <c r="B105" s="14">
        <v>48.8</v>
      </c>
      <c r="C105" s="14">
        <f>Table1346811121415161718192022252629[[#This Row],[PMI]]-B104</f>
        <v>1.5999999999999943</v>
      </c>
    </row>
    <row r="106" spans="1:3" x14ac:dyDescent="0.2">
      <c r="A106" s="15">
        <v>43556</v>
      </c>
      <c r="B106" s="14">
        <v>50.2</v>
      </c>
      <c r="C106" s="14">
        <f>Table1346811121415161718192022252629[[#This Row],[PMI]]-B105</f>
        <v>1.4000000000000057</v>
      </c>
    </row>
    <row r="107" spans="1:3" x14ac:dyDescent="0.2">
      <c r="A107" s="15">
        <v>43586</v>
      </c>
      <c r="B107" s="14">
        <v>48.4</v>
      </c>
      <c r="C107" s="30">
        <f>Table1346811121415161718192022252629[[#This Row],[PMI]]-B106</f>
        <v>-1.8000000000000043</v>
      </c>
    </row>
    <row r="108" spans="1:3" x14ac:dyDescent="0.2">
      <c r="A108" s="15">
        <v>43617</v>
      </c>
      <c r="B108" s="14">
        <v>47.5</v>
      </c>
      <c r="C108" s="30">
        <f>Table1346811121415161718192022252629[[#This Row],[PMI]]-B107</f>
        <v>-0.89999999999999858</v>
      </c>
    </row>
    <row r="109" spans="1:3" x14ac:dyDescent="0.2">
      <c r="A109" s="15">
        <v>43647</v>
      </c>
      <c r="B109" s="14">
        <v>47.3</v>
      </c>
      <c r="C109" s="30">
        <f>Table1346811121415161718192022252629[[#This Row],[PMI]]-B108</f>
        <v>-0.20000000000000284</v>
      </c>
    </row>
    <row r="110" spans="1:3" x14ac:dyDescent="0.2">
      <c r="A110" s="15">
        <v>43678</v>
      </c>
      <c r="B110" s="14">
        <v>49</v>
      </c>
      <c r="C110" s="30">
        <f>Table1346811121415161718192022252629[[#This Row],[PMI]]-B109</f>
        <v>1.7000000000000028</v>
      </c>
    </row>
    <row r="111" spans="1:3" x14ac:dyDescent="0.2">
      <c r="A111" s="15">
        <v>43709</v>
      </c>
      <c r="B111" s="14">
        <v>48</v>
      </c>
      <c r="C111" s="30">
        <f>Table1346811121415161718192022252629[[#This Row],[PMI]]-B110</f>
        <v>-1</v>
      </c>
    </row>
    <row r="112" spans="1:3" x14ac:dyDescent="0.2">
      <c r="A112" s="15">
        <v>43739</v>
      </c>
      <c r="B112" s="14">
        <v>48.4</v>
      </c>
      <c r="C112" s="30">
        <f>Table1346811121415161718192022252629[[#This Row],[PMI]]-B111</f>
        <v>0.39999999999999858</v>
      </c>
    </row>
    <row r="113" spans="1:3" x14ac:dyDescent="0.2">
      <c r="A113" s="15">
        <v>43770</v>
      </c>
      <c r="B113" s="14">
        <v>49.4</v>
      </c>
      <c r="C113" s="30">
        <f>Table1346811121415161718192022252629[[#This Row],[PMI]]-B112</f>
        <v>1</v>
      </c>
    </row>
    <row r="114" spans="1:3" x14ac:dyDescent="0.2">
      <c r="A114" s="15">
        <v>43800</v>
      </c>
      <c r="B114" s="14">
        <v>50.1</v>
      </c>
      <c r="C114" s="30">
        <f>Table1346811121415161718192022252629[[#This Row],[PMI]]-B113</f>
        <v>0.70000000000000284</v>
      </c>
    </row>
    <row r="115" spans="1:3" x14ac:dyDescent="0.2">
      <c r="A115" s="15">
        <v>43831</v>
      </c>
      <c r="B115" s="14">
        <v>49.8</v>
      </c>
      <c r="C115" s="30">
        <f>Table1346811121415161718192022252629[[#This Row],[PMI]]-B114</f>
        <v>-0.30000000000000426</v>
      </c>
    </row>
    <row r="116" spans="1:3" x14ac:dyDescent="0.2">
      <c r="A116" s="15">
        <v>43862</v>
      </c>
      <c r="B116" s="14">
        <v>48.7</v>
      </c>
      <c r="C116" s="30">
        <f>Table1346811121415161718192022252629[[#This Row],[PMI]]-B115</f>
        <v>-1.0999999999999943</v>
      </c>
    </row>
    <row r="117" spans="1:3" x14ac:dyDescent="0.2">
      <c r="A117" s="15">
        <v>43891</v>
      </c>
      <c r="B117" s="14">
        <v>44.2</v>
      </c>
      <c r="C117" s="30">
        <f>Table1346811121415161718192022252629[[#This Row],[PMI]]-B116</f>
        <v>-4.5</v>
      </c>
    </row>
    <row r="118" spans="1:3" x14ac:dyDescent="0.2">
      <c r="A118" s="15">
        <v>43922</v>
      </c>
      <c r="B118" s="14">
        <v>41.6</v>
      </c>
      <c r="C118" s="30">
        <f>Table1346811121415161718192022252629[[#This Row],[PMI]]-B117</f>
        <v>-2.6000000000000014</v>
      </c>
    </row>
    <row r="119" spans="1:3" x14ac:dyDescent="0.2">
      <c r="A119" s="15">
        <v>43952</v>
      </c>
      <c r="B119" s="14">
        <v>41.3</v>
      </c>
      <c r="C119" s="30">
        <f>Table1346811121415161718192022252629[[#This Row],[PMI]]-B118</f>
        <v>-0.30000000000000426</v>
      </c>
    </row>
    <row r="120" spans="1:3" x14ac:dyDescent="0.2">
      <c r="A120" s="15">
        <v>43983</v>
      </c>
      <c r="B120" s="14">
        <v>43.4</v>
      </c>
      <c r="C120" s="30">
        <f>Table1346811121415161718192022252629[[#This Row],[PMI]]-B119</f>
        <v>2.1000000000000014</v>
      </c>
    </row>
    <row r="121" spans="1:3" x14ac:dyDescent="0.2">
      <c r="A121" s="15">
        <v>44013</v>
      </c>
      <c r="B121" s="14">
        <v>46.9</v>
      </c>
      <c r="C121" s="30">
        <f>Table1346811121415161718192022252629[[#This Row],[PMI]]-B120</f>
        <v>3.5</v>
      </c>
    </row>
    <row r="122" spans="1:3" x14ac:dyDescent="0.2">
      <c r="A122" s="15">
        <v>44044</v>
      </c>
      <c r="B122" s="14">
        <v>48.5</v>
      </c>
      <c r="C122" s="30">
        <f>Table1346811121415161718192022252629[[#This Row],[PMI]]-B121</f>
        <v>1.6000000000000014</v>
      </c>
    </row>
    <row r="123" spans="1:3" x14ac:dyDescent="0.2">
      <c r="A123" s="15">
        <v>44075</v>
      </c>
      <c r="B123" s="14">
        <v>49.8</v>
      </c>
      <c r="C123" s="30">
        <f>Table1346811121415161718192022252629[[#This Row],[PMI]]-B122</f>
        <v>1.2999999999999972</v>
      </c>
    </row>
    <row r="124" spans="1:3" x14ac:dyDescent="0.2">
      <c r="A124" s="15">
        <v>44105</v>
      </c>
      <c r="B124" s="14">
        <v>51.2</v>
      </c>
      <c r="C124" s="30">
        <f>Table1346811121415161718192022252629[[#This Row],[PMI]]-B123</f>
        <v>1.4000000000000057</v>
      </c>
    </row>
    <row r="125" spans="1:3" x14ac:dyDescent="0.2">
      <c r="A125" s="15">
        <v>44136</v>
      </c>
      <c r="B125" s="14">
        <v>52.9</v>
      </c>
      <c r="C125" s="30">
        <f>Table1346811121415161718192022252629[[#This Row],[PMI]]-B124</f>
        <v>1.6999999999999957</v>
      </c>
    </row>
    <row r="126" spans="1:3" x14ac:dyDescent="0.2">
      <c r="A126" s="15">
        <v>44166</v>
      </c>
      <c r="B126" s="14">
        <v>52.9</v>
      </c>
      <c r="C126" s="30">
        <f>Table1346811121415161718192022252629[[#This Row],[PMI]]-B125</f>
        <v>0</v>
      </c>
    </row>
    <row r="127" spans="1:3" x14ac:dyDescent="0.2">
      <c r="A127" s="15">
        <v>44197</v>
      </c>
      <c r="B127" s="14">
        <v>53.2</v>
      </c>
      <c r="C127" s="30">
        <f>Table1346811121415161718192022252629[[#This Row],[PMI]]-B126</f>
        <v>0.30000000000000426</v>
      </c>
    </row>
    <row r="128" spans="1:3" x14ac:dyDescent="0.2">
      <c r="A128" s="15">
        <v>44228</v>
      </c>
      <c r="B128" s="14">
        <v>55.3</v>
      </c>
      <c r="C128" s="30">
        <f>Table1346811121415161718192022252629[[#This Row],[PMI]]-B127</f>
        <v>2.0999999999999943</v>
      </c>
    </row>
    <row r="129" spans="1:3" x14ac:dyDescent="0.2">
      <c r="A129" s="15">
        <v>44256</v>
      </c>
      <c r="B129" s="14">
        <v>55.3</v>
      </c>
      <c r="C129" s="30">
        <f>Table1346811121415161718192022252629[[#This Row],[PMI]]-B128</f>
        <v>0</v>
      </c>
    </row>
    <row r="130" spans="1:3" x14ac:dyDescent="0.2">
      <c r="A130" s="15">
        <v>44287</v>
      </c>
      <c r="B130" s="14">
        <v>54.6</v>
      </c>
      <c r="C130" s="30">
        <f>Table1346811121415161718192022252629[[#This Row],[PMI]]-B129</f>
        <v>-0.69999999999999574</v>
      </c>
    </row>
    <row r="131" spans="1:3" x14ac:dyDescent="0.2">
      <c r="A131" s="15">
        <v>44317</v>
      </c>
      <c r="B131" s="14">
        <v>53.7</v>
      </c>
      <c r="C131" s="30">
        <f>Table1346811121415161718192022252629[[#This Row],[PMI]]-B130</f>
        <v>-0.89999999999999858</v>
      </c>
    </row>
    <row r="132" spans="1:3" x14ac:dyDescent="0.2">
      <c r="A132" s="15">
        <v>44348</v>
      </c>
      <c r="B132" s="14">
        <v>53.9</v>
      </c>
      <c r="C132" s="30">
        <f>Table1346811121415161718192022252629[[#This Row],[PMI]]-B131</f>
        <v>0.19999999999999574</v>
      </c>
    </row>
    <row r="133" spans="1:3" x14ac:dyDescent="0.2">
      <c r="A133" s="15">
        <v>44378</v>
      </c>
      <c r="B133" s="14">
        <v>53</v>
      </c>
      <c r="C133" s="30">
        <f>Table1346811121415161718192022252629[[#This Row],[PMI]]-B132</f>
        <v>-0.89999999999999858</v>
      </c>
    </row>
    <row r="134" spans="1:3" x14ac:dyDescent="0.2">
      <c r="A134" s="15">
        <v>44409</v>
      </c>
      <c r="B134" s="14">
        <v>51.2</v>
      </c>
      <c r="C134" s="30">
        <f>Table1346811121415161718192022252629[[#This Row],[PMI]]-B133</f>
        <v>-1.7999999999999972</v>
      </c>
    </row>
    <row r="135" spans="1:3" x14ac:dyDescent="0.2">
      <c r="A135" s="15">
        <v>44440</v>
      </c>
      <c r="B135" s="14">
        <v>52.4</v>
      </c>
      <c r="C135" s="30">
        <f>Table1346811121415161718192022252629[[#This Row],[PMI]]-B134</f>
        <v>1.1999999999999957</v>
      </c>
    </row>
    <row r="136" spans="1:3" x14ac:dyDescent="0.2">
      <c r="A136" s="15">
        <v>44470</v>
      </c>
      <c r="B136" s="14">
        <v>50.2</v>
      </c>
      <c r="C136" s="30">
        <f>Table1346811121415161718192022252629[[#This Row],[PMI]]-B135</f>
        <v>-2.1999999999999957</v>
      </c>
    </row>
    <row r="137" spans="1:3" x14ac:dyDescent="0.2">
      <c r="A137" s="15">
        <v>44501</v>
      </c>
      <c r="B137" s="14">
        <v>50.9</v>
      </c>
      <c r="C137" s="30">
        <f>Table1346811121415161718192022252629[[#This Row],[PMI]]-B136</f>
        <v>0.69999999999999574</v>
      </c>
    </row>
    <row r="138" spans="1:3" x14ac:dyDescent="0.2">
      <c r="A138" s="15">
        <v>44531</v>
      </c>
      <c r="B138" s="14">
        <v>51.9</v>
      </c>
      <c r="C138" s="30">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A966-68B6-4C26-9DAD-2A58BC58B0C4}">
  <dimension ref="A1:K140"/>
  <sheetViews>
    <sheetView zoomScale="170" zoomScaleNormal="170" workbookViewId="0">
      <pane ySplit="5" topLeftCell="A106" activePane="bottomLeft" state="frozen"/>
      <selection pane="bottomLeft" activeCell="Q135" sqref="Q135"/>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51</v>
      </c>
      <c r="K1" s="10" t="s">
        <v>21</v>
      </c>
    </row>
    <row r="2" spans="1:11" x14ac:dyDescent="0.2">
      <c r="K2" s="10" t="str">
        <f>A1&amp;K1</f>
        <v>Taiwan Manufacturing PMI</v>
      </c>
    </row>
    <row r="4" spans="1:11" ht="16" thickBot="1" x14ac:dyDescent="0.25"/>
    <row r="5" spans="1:11" ht="16" thickBot="1" x14ac:dyDescent="0.25">
      <c r="A5" s="27" t="s">
        <v>10</v>
      </c>
      <c r="B5" s="28" t="s">
        <v>11</v>
      </c>
      <c r="C5" s="28" t="s">
        <v>14</v>
      </c>
    </row>
    <row r="6" spans="1:11" x14ac:dyDescent="0.2">
      <c r="A6" s="23">
        <v>40452</v>
      </c>
      <c r="B6" s="24">
        <v>48.6</v>
      </c>
      <c r="C6" s="24"/>
    </row>
    <row r="7" spans="1:11" x14ac:dyDescent="0.2">
      <c r="A7" s="15">
        <v>40483</v>
      </c>
      <c r="B7" s="14">
        <v>51.7</v>
      </c>
      <c r="C7" s="14">
        <f>Table1346811121415161718192022253033[[#This Row],[PMI]]-B6</f>
        <v>3.1000000000000014</v>
      </c>
    </row>
    <row r="8" spans="1:11" x14ac:dyDescent="0.2">
      <c r="A8" s="15">
        <v>40513</v>
      </c>
      <c r="B8" s="14">
        <v>51.7</v>
      </c>
      <c r="C8" s="14">
        <f>Table1346811121415161718192022253033[[#This Row],[PMI]]-B7</f>
        <v>0</v>
      </c>
    </row>
    <row r="9" spans="1:11" x14ac:dyDescent="0.2">
      <c r="A9" s="15">
        <v>40544</v>
      </c>
      <c r="B9" s="14">
        <v>54.6</v>
      </c>
      <c r="C9" s="14">
        <f>Table1346811121415161718192022253033[[#This Row],[PMI]]-B8</f>
        <v>2.8999999999999986</v>
      </c>
    </row>
    <row r="10" spans="1:11" x14ac:dyDescent="0.2">
      <c r="A10" s="15">
        <v>40575</v>
      </c>
      <c r="B10" s="14">
        <v>55.8</v>
      </c>
      <c r="C10" s="14">
        <f>Table1346811121415161718192022253033[[#This Row],[PMI]]-B9</f>
        <v>1.1999999999999957</v>
      </c>
    </row>
    <row r="11" spans="1:11" x14ac:dyDescent="0.2">
      <c r="A11" s="15">
        <v>40603</v>
      </c>
      <c r="B11" s="14">
        <v>55.6</v>
      </c>
      <c r="C11" s="14">
        <f>Table1346811121415161718192022253033[[#This Row],[PMI]]-B10</f>
        <v>-0.19999999999999574</v>
      </c>
    </row>
    <row r="12" spans="1:11" x14ac:dyDescent="0.2">
      <c r="A12" s="15">
        <v>40634</v>
      </c>
      <c r="B12" s="14">
        <v>58.2</v>
      </c>
      <c r="C12" s="14">
        <f>Table1346811121415161718192022253033[[#This Row],[PMI]]-B11</f>
        <v>2.6000000000000014</v>
      </c>
    </row>
    <row r="13" spans="1:11" x14ac:dyDescent="0.2">
      <c r="A13" s="15">
        <v>40664</v>
      </c>
      <c r="B13" s="14">
        <v>54.9</v>
      </c>
      <c r="C13" s="14">
        <f>Table1346811121415161718192022253033[[#This Row],[PMI]]-B12</f>
        <v>-3.3000000000000043</v>
      </c>
    </row>
    <row r="14" spans="1:11" x14ac:dyDescent="0.2">
      <c r="A14" s="15">
        <v>40695</v>
      </c>
      <c r="B14" s="14">
        <v>49.9</v>
      </c>
      <c r="C14" s="14">
        <f>Table1346811121415161718192022253033[[#This Row],[PMI]]-B13</f>
        <v>-5</v>
      </c>
    </row>
    <row r="15" spans="1:11" x14ac:dyDescent="0.2">
      <c r="A15" s="15">
        <v>40725</v>
      </c>
      <c r="B15" s="14">
        <v>46.1</v>
      </c>
      <c r="C15" s="14">
        <f>Table1346811121415161718192022253033[[#This Row],[PMI]]-B14</f>
        <v>-3.7999999999999972</v>
      </c>
    </row>
    <row r="16" spans="1:11" x14ac:dyDescent="0.2">
      <c r="A16" s="15">
        <v>40756</v>
      </c>
      <c r="B16" s="14">
        <v>45.2</v>
      </c>
      <c r="C16" s="14">
        <f>Table1346811121415161718192022253033[[#This Row],[PMI]]-B15</f>
        <v>-0.89999999999999858</v>
      </c>
    </row>
    <row r="17" spans="1:3" x14ac:dyDescent="0.2">
      <c r="A17" s="15">
        <v>40787</v>
      </c>
      <c r="B17" s="14">
        <v>44.5</v>
      </c>
      <c r="C17" s="14">
        <f>Table1346811121415161718192022253033[[#This Row],[PMI]]-B16</f>
        <v>-0.70000000000000284</v>
      </c>
    </row>
    <row r="18" spans="1:3" x14ac:dyDescent="0.2">
      <c r="A18" s="15">
        <v>40817</v>
      </c>
      <c r="B18" s="14">
        <v>48</v>
      </c>
      <c r="C18" s="14">
        <f>Table1346811121415161718192022253033[[#This Row],[PMI]]-B17</f>
        <v>3.5</v>
      </c>
    </row>
    <row r="19" spans="1:3" x14ac:dyDescent="0.2">
      <c r="A19" s="15">
        <v>40848</v>
      </c>
      <c r="B19" s="14">
        <v>47.1</v>
      </c>
      <c r="C19" s="14">
        <f>Table1346811121415161718192022253033[[#This Row],[PMI]]-B18</f>
        <v>-0.89999999999999858</v>
      </c>
    </row>
    <row r="20" spans="1:3" x14ac:dyDescent="0.2">
      <c r="A20" s="15">
        <v>40878</v>
      </c>
      <c r="B20" s="14">
        <v>47.1</v>
      </c>
      <c r="C20" s="14">
        <f>Table1346811121415161718192022253033[[#This Row],[PMI]]-B19</f>
        <v>0</v>
      </c>
    </row>
    <row r="21" spans="1:3" x14ac:dyDescent="0.2">
      <c r="A21" s="15">
        <v>40909</v>
      </c>
      <c r="B21" s="14">
        <v>47.1</v>
      </c>
      <c r="C21" s="14">
        <f>Table1346811121415161718192022253033[[#This Row],[PMI]]-B20</f>
        <v>0</v>
      </c>
    </row>
    <row r="22" spans="1:3" x14ac:dyDescent="0.2">
      <c r="A22" s="15">
        <v>40940</v>
      </c>
      <c r="B22" s="14">
        <v>48.9</v>
      </c>
      <c r="C22" s="14">
        <f>Table1346811121415161718192022253033[[#This Row],[PMI]]-B21</f>
        <v>1.7999999999999972</v>
      </c>
    </row>
    <row r="23" spans="1:3" x14ac:dyDescent="0.2">
      <c r="A23" s="15">
        <v>40969</v>
      </c>
      <c r="B23" s="14">
        <v>52.7</v>
      </c>
      <c r="C23" s="14">
        <f>Table1346811121415161718192022253033[[#This Row],[PMI]]-B22</f>
        <v>3.8000000000000043</v>
      </c>
    </row>
    <row r="24" spans="1:3" x14ac:dyDescent="0.2">
      <c r="A24" s="15">
        <v>41000</v>
      </c>
      <c r="B24" s="14">
        <v>54.1</v>
      </c>
      <c r="C24" s="14">
        <f>Table1346811121415161718192022253033[[#This Row],[PMI]]-B23</f>
        <v>1.3999999999999986</v>
      </c>
    </row>
    <row r="25" spans="1:3" x14ac:dyDescent="0.2">
      <c r="A25" s="15">
        <v>41030</v>
      </c>
      <c r="B25" s="14">
        <v>51.2</v>
      </c>
      <c r="C25" s="14">
        <f>Table1346811121415161718192022253033[[#This Row],[PMI]]-B24</f>
        <v>-2.8999999999999986</v>
      </c>
    </row>
    <row r="26" spans="1:3" x14ac:dyDescent="0.2">
      <c r="A26" s="15">
        <v>41061</v>
      </c>
      <c r="B26" s="14">
        <v>50.5</v>
      </c>
      <c r="C26" s="14">
        <f>Table1346811121415161718192022253033[[#This Row],[PMI]]-B25</f>
        <v>-0.70000000000000284</v>
      </c>
    </row>
    <row r="27" spans="1:3" x14ac:dyDescent="0.2">
      <c r="A27" s="15">
        <v>41091</v>
      </c>
      <c r="B27" s="14">
        <v>49.2</v>
      </c>
      <c r="C27" s="14">
        <f>Table1346811121415161718192022253033[[#This Row],[PMI]]-B26</f>
        <v>-1.2999999999999972</v>
      </c>
    </row>
    <row r="28" spans="1:3" x14ac:dyDescent="0.2">
      <c r="A28" s="15">
        <v>41122</v>
      </c>
      <c r="B28" s="14">
        <v>47.5</v>
      </c>
      <c r="C28" s="14">
        <f>Table1346811121415161718192022253033[[#This Row],[PMI]]-B27</f>
        <v>-1.7000000000000028</v>
      </c>
    </row>
    <row r="29" spans="1:3" x14ac:dyDescent="0.2">
      <c r="A29" s="15">
        <v>41153</v>
      </c>
      <c r="B29" s="14">
        <v>46.1</v>
      </c>
      <c r="C29" s="14">
        <f>Table1346811121415161718192022253033[[#This Row],[PMI]]-B28</f>
        <v>-1.3999999999999986</v>
      </c>
    </row>
    <row r="30" spans="1:3" x14ac:dyDescent="0.2">
      <c r="A30" s="15">
        <v>41183</v>
      </c>
      <c r="B30" s="14">
        <v>45.6</v>
      </c>
      <c r="C30" s="14">
        <f>Table1346811121415161718192022253033[[#This Row],[PMI]]-B29</f>
        <v>-0.5</v>
      </c>
    </row>
    <row r="31" spans="1:3" x14ac:dyDescent="0.2">
      <c r="A31" s="15">
        <v>41214</v>
      </c>
      <c r="B31" s="14">
        <v>47.8</v>
      </c>
      <c r="C31" s="14">
        <f>Table1346811121415161718192022253033[[#This Row],[PMI]]-B30</f>
        <v>2.1999999999999957</v>
      </c>
    </row>
    <row r="32" spans="1:3" x14ac:dyDescent="0.2">
      <c r="A32" s="15">
        <v>41244</v>
      </c>
      <c r="B32" s="14">
        <v>47.4</v>
      </c>
      <c r="C32" s="14">
        <f>Table1346811121415161718192022253033[[#This Row],[PMI]]-B31</f>
        <v>-0.39999999999999858</v>
      </c>
    </row>
    <row r="33" spans="1:3" x14ac:dyDescent="0.2">
      <c r="A33" s="15">
        <v>41275</v>
      </c>
      <c r="B33" s="14">
        <v>51.5</v>
      </c>
      <c r="C33" s="14">
        <f>Table1346811121415161718192022253033[[#This Row],[PMI]]-B32</f>
        <v>4.1000000000000014</v>
      </c>
    </row>
    <row r="34" spans="1:3" x14ac:dyDescent="0.2">
      <c r="A34" s="15">
        <v>41306</v>
      </c>
      <c r="B34" s="14">
        <v>51.5</v>
      </c>
      <c r="C34" s="14">
        <f>Table1346811121415161718192022253033[[#This Row],[PMI]]-B33</f>
        <v>0</v>
      </c>
    </row>
    <row r="35" spans="1:3" x14ac:dyDescent="0.2">
      <c r="A35" s="15">
        <v>41334</v>
      </c>
      <c r="B35" s="14">
        <v>50.2</v>
      </c>
      <c r="C35" s="14">
        <f>Table1346811121415161718192022253033[[#This Row],[PMI]]-B34</f>
        <v>-1.2999999999999972</v>
      </c>
    </row>
    <row r="36" spans="1:3" x14ac:dyDescent="0.2">
      <c r="A36" s="15">
        <v>41365</v>
      </c>
      <c r="B36" s="14">
        <v>51.2</v>
      </c>
      <c r="C36" s="14">
        <f>Table1346811121415161718192022253033[[#This Row],[PMI]]-B35</f>
        <v>1</v>
      </c>
    </row>
    <row r="37" spans="1:3" x14ac:dyDescent="0.2">
      <c r="A37" s="15">
        <v>41395</v>
      </c>
      <c r="B37" s="14">
        <v>50.7</v>
      </c>
      <c r="C37" s="14">
        <f>Table1346811121415161718192022253033[[#This Row],[PMI]]-B36</f>
        <v>-0.5</v>
      </c>
    </row>
    <row r="38" spans="1:3" x14ac:dyDescent="0.2">
      <c r="A38" s="15">
        <v>41426</v>
      </c>
      <c r="B38" s="14">
        <v>47.1</v>
      </c>
      <c r="C38" s="14">
        <f>Table1346811121415161718192022253033[[#This Row],[PMI]]-B37</f>
        <v>-3.6000000000000014</v>
      </c>
    </row>
    <row r="39" spans="1:3" x14ac:dyDescent="0.2">
      <c r="A39" s="15">
        <v>41456</v>
      </c>
      <c r="B39" s="14">
        <v>49.5</v>
      </c>
      <c r="C39" s="14">
        <f>Table1346811121415161718192022253033[[#This Row],[PMI]]-B38</f>
        <v>2.3999999999999986</v>
      </c>
    </row>
    <row r="40" spans="1:3" x14ac:dyDescent="0.2">
      <c r="A40" s="15">
        <v>41487</v>
      </c>
      <c r="B40" s="14">
        <v>48.6</v>
      </c>
      <c r="C40" s="14">
        <f>Table1346811121415161718192022253033[[#This Row],[PMI]]-B39</f>
        <v>-0.89999999999999858</v>
      </c>
    </row>
    <row r="41" spans="1:3" x14ac:dyDescent="0.2">
      <c r="A41" s="15">
        <v>41518</v>
      </c>
      <c r="B41" s="14">
        <v>50</v>
      </c>
      <c r="C41" s="14">
        <f>Table1346811121415161718192022253033[[#This Row],[PMI]]-B40</f>
        <v>1.3999999999999986</v>
      </c>
    </row>
    <row r="42" spans="1:3" x14ac:dyDescent="0.2">
      <c r="A42" s="15">
        <v>41548</v>
      </c>
      <c r="B42" s="14">
        <v>52</v>
      </c>
      <c r="C42" s="14">
        <f>Table1346811121415161718192022253033[[#This Row],[PMI]]-B41</f>
        <v>2</v>
      </c>
    </row>
    <row r="43" spans="1:3" x14ac:dyDescent="0.2">
      <c r="A43" s="15">
        <v>41579</v>
      </c>
      <c r="B43" s="14">
        <v>53</v>
      </c>
      <c r="C43" s="14">
        <f>Table1346811121415161718192022253033[[#This Row],[PMI]]-B42</f>
        <v>1</v>
      </c>
    </row>
    <row r="44" spans="1:3" x14ac:dyDescent="0.2">
      <c r="A44" s="15">
        <v>41609</v>
      </c>
      <c r="B44" s="14">
        <v>53.4</v>
      </c>
      <c r="C44" s="14">
        <f>Table1346811121415161718192022253033[[#This Row],[PMI]]-B43</f>
        <v>0.39999999999999858</v>
      </c>
    </row>
    <row r="45" spans="1:3" x14ac:dyDescent="0.2">
      <c r="A45" s="15">
        <v>41640</v>
      </c>
      <c r="B45" s="14">
        <v>55.5</v>
      </c>
      <c r="C45" s="14">
        <f>Table1346811121415161718192022253033[[#This Row],[PMI]]-B44</f>
        <v>2.1000000000000014</v>
      </c>
    </row>
    <row r="46" spans="1:3" x14ac:dyDescent="0.2">
      <c r="A46" s="15">
        <v>41671</v>
      </c>
      <c r="B46" s="14">
        <v>54.7</v>
      </c>
      <c r="C46" s="14">
        <f>Table1346811121415161718192022253033[[#This Row],[PMI]]-B45</f>
        <v>-0.79999999999999716</v>
      </c>
    </row>
    <row r="47" spans="1:3" x14ac:dyDescent="0.2">
      <c r="A47" s="15">
        <v>41699</v>
      </c>
      <c r="B47" s="14">
        <v>52.7</v>
      </c>
      <c r="C47" s="14">
        <f>Table1346811121415161718192022253033[[#This Row],[PMI]]-B46</f>
        <v>-2</v>
      </c>
    </row>
    <row r="48" spans="1:3" x14ac:dyDescent="0.2">
      <c r="A48" s="15">
        <v>41730</v>
      </c>
      <c r="B48" s="14">
        <v>52.3</v>
      </c>
      <c r="C48" s="14">
        <f>Table1346811121415161718192022253033[[#This Row],[PMI]]-B47</f>
        <v>-0.40000000000000568</v>
      </c>
    </row>
    <row r="49" spans="1:3" x14ac:dyDescent="0.2">
      <c r="A49" s="15">
        <v>41760</v>
      </c>
      <c r="B49" s="14">
        <v>52.4</v>
      </c>
      <c r="C49" s="14">
        <f>Table1346811121415161718192022253033[[#This Row],[PMI]]-B48</f>
        <v>0.10000000000000142</v>
      </c>
    </row>
    <row r="50" spans="1:3" x14ac:dyDescent="0.2">
      <c r="A50" s="15">
        <v>41791</v>
      </c>
      <c r="B50" s="14">
        <v>54</v>
      </c>
      <c r="C50" s="14">
        <f>Table1346811121415161718192022253033[[#This Row],[PMI]]-B49</f>
        <v>1.6000000000000014</v>
      </c>
    </row>
    <row r="51" spans="1:3" x14ac:dyDescent="0.2">
      <c r="A51" s="15">
        <v>41821</v>
      </c>
      <c r="B51" s="14">
        <v>55.8</v>
      </c>
      <c r="C51" s="14">
        <f>Table1346811121415161718192022253033[[#This Row],[PMI]]-B50</f>
        <v>1.7999999999999972</v>
      </c>
    </row>
    <row r="52" spans="1:3" x14ac:dyDescent="0.2">
      <c r="A52" s="15">
        <v>41852</v>
      </c>
      <c r="B52" s="14">
        <v>56.1</v>
      </c>
      <c r="C52" s="14">
        <f>Table1346811121415161718192022253033[[#This Row],[PMI]]-B51</f>
        <v>0.30000000000000426</v>
      </c>
    </row>
    <row r="53" spans="1:3" x14ac:dyDescent="0.2">
      <c r="A53" s="15">
        <v>41883</v>
      </c>
      <c r="B53" s="14">
        <v>53.3</v>
      </c>
      <c r="C53" s="14">
        <f>Table1346811121415161718192022253033[[#This Row],[PMI]]-B52</f>
        <v>-2.8000000000000043</v>
      </c>
    </row>
    <row r="54" spans="1:3" x14ac:dyDescent="0.2">
      <c r="A54" s="15">
        <v>41913</v>
      </c>
      <c r="B54" s="14">
        <v>52</v>
      </c>
      <c r="C54" s="14">
        <f>Table1346811121415161718192022253033[[#This Row],[PMI]]-B53</f>
        <v>-1.2999999999999972</v>
      </c>
    </row>
    <row r="55" spans="1:3" x14ac:dyDescent="0.2">
      <c r="A55" s="15">
        <v>41944</v>
      </c>
      <c r="B55" s="14">
        <v>51.4</v>
      </c>
      <c r="C55" s="14">
        <f>Table1346811121415161718192022253033[[#This Row],[PMI]]-B54</f>
        <v>-0.60000000000000142</v>
      </c>
    </row>
    <row r="56" spans="1:3" x14ac:dyDescent="0.2">
      <c r="A56" s="15">
        <v>41974</v>
      </c>
      <c r="B56" s="14">
        <v>50</v>
      </c>
      <c r="C56" s="14">
        <f>Table1346811121415161718192022253033[[#This Row],[PMI]]-B55</f>
        <v>-1.3999999999999986</v>
      </c>
    </row>
    <row r="57" spans="1:3" x14ac:dyDescent="0.2">
      <c r="A57" s="15">
        <v>42005</v>
      </c>
      <c r="B57" s="14">
        <v>51.7</v>
      </c>
      <c r="C57" s="14">
        <f>Table1346811121415161718192022253033[[#This Row],[PMI]]-B56</f>
        <v>1.7000000000000028</v>
      </c>
    </row>
    <row r="58" spans="1:3" x14ac:dyDescent="0.2">
      <c r="A58" s="15">
        <v>42036</v>
      </c>
      <c r="B58" s="14">
        <v>52.1</v>
      </c>
      <c r="C58" s="14">
        <f>Table1346811121415161718192022253033[[#This Row],[PMI]]-B57</f>
        <v>0.39999999999999858</v>
      </c>
    </row>
    <row r="59" spans="1:3" x14ac:dyDescent="0.2">
      <c r="A59" s="15">
        <v>42064</v>
      </c>
      <c r="B59" s="14">
        <v>51</v>
      </c>
      <c r="C59" s="14">
        <f>Table1346811121415161718192022253033[[#This Row],[PMI]]-B58</f>
        <v>-1.1000000000000014</v>
      </c>
    </row>
    <row r="60" spans="1:3" x14ac:dyDescent="0.2">
      <c r="A60" s="15">
        <v>42095</v>
      </c>
      <c r="B60" s="14">
        <v>49.2</v>
      </c>
      <c r="C60" s="14">
        <f>Table1346811121415161718192022253033[[#This Row],[PMI]]-B59</f>
        <v>-1.7999999999999972</v>
      </c>
    </row>
    <row r="61" spans="1:3" x14ac:dyDescent="0.2">
      <c r="A61" s="15">
        <v>42125</v>
      </c>
      <c r="B61" s="14">
        <v>49.3</v>
      </c>
      <c r="C61" s="14">
        <f>Table1346811121415161718192022253033[[#This Row],[PMI]]-B60</f>
        <v>9.9999999999994316E-2</v>
      </c>
    </row>
    <row r="62" spans="1:3" x14ac:dyDescent="0.2">
      <c r="A62" s="15">
        <v>42156</v>
      </c>
      <c r="B62" s="14">
        <v>46.3</v>
      </c>
      <c r="C62" s="14">
        <f>Table1346811121415161718192022253033[[#This Row],[PMI]]-B61</f>
        <v>-3</v>
      </c>
    </row>
    <row r="63" spans="1:3" x14ac:dyDescent="0.2">
      <c r="A63" s="15">
        <v>42186</v>
      </c>
      <c r="B63" s="14">
        <v>47.1</v>
      </c>
      <c r="C63" s="14">
        <f>Table1346811121415161718192022253033[[#This Row],[PMI]]-B62</f>
        <v>0.80000000000000426</v>
      </c>
    </row>
    <row r="64" spans="1:3" x14ac:dyDescent="0.2">
      <c r="A64" s="15">
        <v>42217</v>
      </c>
      <c r="B64" s="14">
        <v>46.1</v>
      </c>
      <c r="C64" s="14">
        <f>Table1346811121415161718192022253033[[#This Row],[PMI]]-B63</f>
        <v>-1</v>
      </c>
    </row>
    <row r="65" spans="1:3" x14ac:dyDescent="0.2">
      <c r="A65" s="15">
        <v>42248</v>
      </c>
      <c r="B65" s="14">
        <v>46.9</v>
      </c>
      <c r="C65" s="14">
        <f>Table1346811121415161718192022253033[[#This Row],[PMI]]-B64</f>
        <v>0.79999999999999716</v>
      </c>
    </row>
    <row r="66" spans="1:3" x14ac:dyDescent="0.2">
      <c r="A66" s="15">
        <v>42278</v>
      </c>
      <c r="B66" s="14">
        <v>47.8</v>
      </c>
      <c r="C66" s="14">
        <f>Table1346811121415161718192022253033[[#This Row],[PMI]]-B65</f>
        <v>0.89999999999999858</v>
      </c>
    </row>
    <row r="67" spans="1:3" x14ac:dyDescent="0.2">
      <c r="A67" s="15">
        <v>42309</v>
      </c>
      <c r="B67" s="14">
        <v>49.5</v>
      </c>
      <c r="C67" s="14">
        <f>Table1346811121415161718192022253033[[#This Row],[PMI]]-B66</f>
        <v>1.7000000000000028</v>
      </c>
    </row>
    <row r="68" spans="1:3" x14ac:dyDescent="0.2">
      <c r="A68" s="15">
        <v>42339</v>
      </c>
      <c r="B68" s="14">
        <v>51.7</v>
      </c>
      <c r="C68" s="14">
        <f>Table1346811121415161718192022253033[[#This Row],[PMI]]-B67</f>
        <v>2.2000000000000028</v>
      </c>
    </row>
    <row r="69" spans="1:3" x14ac:dyDescent="0.2">
      <c r="A69" s="15">
        <v>42370</v>
      </c>
      <c r="B69" s="14">
        <v>50.6</v>
      </c>
      <c r="C69" s="14">
        <f>Table1346811121415161718192022253033[[#This Row],[PMI]]-B68</f>
        <v>-1.1000000000000014</v>
      </c>
    </row>
    <row r="70" spans="1:3" x14ac:dyDescent="0.2">
      <c r="A70" s="15">
        <v>42401</v>
      </c>
      <c r="B70" s="14">
        <v>49.4</v>
      </c>
      <c r="C70" s="14">
        <f>Table1346811121415161718192022253033[[#This Row],[PMI]]-B69</f>
        <v>-1.2000000000000028</v>
      </c>
    </row>
    <row r="71" spans="1:3" x14ac:dyDescent="0.2">
      <c r="A71" s="15">
        <v>42430</v>
      </c>
      <c r="B71" s="14">
        <v>51.1</v>
      </c>
      <c r="C71" s="14">
        <f>Table1346811121415161718192022253033[[#This Row],[PMI]]-B70</f>
        <v>1.7000000000000028</v>
      </c>
    </row>
    <row r="72" spans="1:3" x14ac:dyDescent="0.2">
      <c r="A72" s="15">
        <v>42461</v>
      </c>
      <c r="B72" s="14">
        <v>49.7</v>
      </c>
      <c r="C72" s="14">
        <f>Table1346811121415161718192022253033[[#This Row],[PMI]]-B71</f>
        <v>-1.3999999999999986</v>
      </c>
    </row>
    <row r="73" spans="1:3" x14ac:dyDescent="0.2">
      <c r="A73" s="15">
        <v>42491</v>
      </c>
      <c r="B73" s="14">
        <v>48.5</v>
      </c>
      <c r="C73" s="14">
        <f>Table1346811121415161718192022253033[[#This Row],[PMI]]-B72</f>
        <v>-1.2000000000000028</v>
      </c>
    </row>
    <row r="74" spans="1:3" x14ac:dyDescent="0.2">
      <c r="A74" s="15">
        <v>42522</v>
      </c>
      <c r="B74" s="14">
        <v>50.5</v>
      </c>
      <c r="C74" s="14">
        <f>Table1346811121415161718192022253033[[#This Row],[PMI]]-B73</f>
        <v>2</v>
      </c>
    </row>
    <row r="75" spans="1:3" x14ac:dyDescent="0.2">
      <c r="A75" s="15">
        <v>42552</v>
      </c>
      <c r="B75" s="14">
        <v>51</v>
      </c>
      <c r="C75" s="14">
        <f>Table1346811121415161718192022253033[[#This Row],[PMI]]-B74</f>
        <v>0.5</v>
      </c>
    </row>
    <row r="76" spans="1:3" x14ac:dyDescent="0.2">
      <c r="A76" s="15">
        <v>42583</v>
      </c>
      <c r="B76" s="14">
        <v>51.8</v>
      </c>
      <c r="C76" s="14">
        <f>Table1346811121415161718192022253033[[#This Row],[PMI]]-B75</f>
        <v>0.79999999999999716</v>
      </c>
    </row>
    <row r="77" spans="1:3" x14ac:dyDescent="0.2">
      <c r="A77" s="15">
        <v>42614</v>
      </c>
      <c r="B77" s="14">
        <v>52.2</v>
      </c>
      <c r="C77" s="14">
        <f>Table1346811121415161718192022253033[[#This Row],[PMI]]-B76</f>
        <v>0.40000000000000568</v>
      </c>
    </row>
    <row r="78" spans="1:3" x14ac:dyDescent="0.2">
      <c r="A78" s="15">
        <v>42644</v>
      </c>
      <c r="B78" s="14">
        <v>52.7</v>
      </c>
      <c r="C78" s="14">
        <f>Table1346811121415161718192022253033[[#This Row],[PMI]]-B77</f>
        <v>0.5</v>
      </c>
    </row>
    <row r="79" spans="1:3" x14ac:dyDescent="0.2">
      <c r="A79" s="15">
        <v>42675</v>
      </c>
      <c r="B79" s="14">
        <v>54.7</v>
      </c>
      <c r="C79" s="14">
        <f>Table1346811121415161718192022253033[[#This Row],[PMI]]-B78</f>
        <v>2</v>
      </c>
    </row>
    <row r="80" spans="1:3" x14ac:dyDescent="0.2">
      <c r="A80" s="15">
        <v>42705</v>
      </c>
      <c r="B80" s="14">
        <v>56.2</v>
      </c>
      <c r="C80" s="14">
        <f>Table1346811121415161718192022253033[[#This Row],[PMI]]-B79</f>
        <v>1.5</v>
      </c>
    </row>
    <row r="81" spans="1:3" x14ac:dyDescent="0.2">
      <c r="A81" s="15">
        <v>42736</v>
      </c>
      <c r="B81" s="14">
        <v>55.6</v>
      </c>
      <c r="C81" s="14">
        <f>Table1346811121415161718192022253033[[#This Row],[PMI]]-B80</f>
        <v>-0.60000000000000142</v>
      </c>
    </row>
    <row r="82" spans="1:3" x14ac:dyDescent="0.2">
      <c r="A82" s="15">
        <v>42767</v>
      </c>
      <c r="B82" s="14">
        <v>54.5</v>
      </c>
      <c r="C82" s="14">
        <f>Table1346811121415161718192022253033[[#This Row],[PMI]]-B81</f>
        <v>-1.1000000000000014</v>
      </c>
    </row>
    <row r="83" spans="1:3" x14ac:dyDescent="0.2">
      <c r="A83" s="15">
        <v>42795</v>
      </c>
      <c r="B83" s="14">
        <v>56.2</v>
      </c>
      <c r="C83" s="14">
        <f>Table1346811121415161718192022253033[[#This Row],[PMI]]-B82</f>
        <v>1.7000000000000028</v>
      </c>
    </row>
    <row r="84" spans="1:3" x14ac:dyDescent="0.2">
      <c r="A84" s="15">
        <v>42826</v>
      </c>
      <c r="B84" s="14">
        <v>54.4</v>
      </c>
      <c r="C84" s="14">
        <f>Table1346811121415161718192022253033[[#This Row],[PMI]]-B83</f>
        <v>-1.8000000000000043</v>
      </c>
    </row>
    <row r="85" spans="1:3" x14ac:dyDescent="0.2">
      <c r="A85" s="15">
        <v>42856</v>
      </c>
      <c r="B85" s="14">
        <v>53.1</v>
      </c>
      <c r="C85" s="14">
        <f>Table1346811121415161718192022253033[[#This Row],[PMI]]-B84</f>
        <v>-1.2999999999999972</v>
      </c>
    </row>
    <row r="86" spans="1:3" x14ac:dyDescent="0.2">
      <c r="A86" s="15">
        <v>42887</v>
      </c>
      <c r="B86" s="14">
        <v>53.3</v>
      </c>
      <c r="C86" s="14">
        <f>Table1346811121415161718192022253033[[#This Row],[PMI]]-B85</f>
        <v>0.19999999999999574</v>
      </c>
    </row>
    <row r="87" spans="1:3" x14ac:dyDescent="0.2">
      <c r="A87" s="15">
        <v>42917</v>
      </c>
      <c r="B87" s="14">
        <v>53.6</v>
      </c>
      <c r="C87" s="14">
        <f>Table1346811121415161718192022253033[[#This Row],[PMI]]-B86</f>
        <v>0.30000000000000426</v>
      </c>
    </row>
    <row r="88" spans="1:3" x14ac:dyDescent="0.2">
      <c r="A88" s="15">
        <v>42948</v>
      </c>
      <c r="B88" s="14">
        <v>54.3</v>
      </c>
      <c r="C88" s="14">
        <f>Table1346811121415161718192022253033[[#This Row],[PMI]]-B87</f>
        <v>0.69999999999999574</v>
      </c>
    </row>
    <row r="89" spans="1:3" x14ac:dyDescent="0.2">
      <c r="A89" s="15">
        <v>42979</v>
      </c>
      <c r="B89" s="14">
        <v>54.2</v>
      </c>
      <c r="C89" s="14">
        <f>Table1346811121415161718192022253033[[#This Row],[PMI]]-B88</f>
        <v>-9.9999999999994316E-2</v>
      </c>
    </row>
    <row r="90" spans="1:3" x14ac:dyDescent="0.2">
      <c r="A90" s="15">
        <v>43009</v>
      </c>
      <c r="B90" s="14">
        <v>53.6</v>
      </c>
      <c r="C90" s="14">
        <f>Table1346811121415161718192022253033[[#This Row],[PMI]]-B89</f>
        <v>-0.60000000000000142</v>
      </c>
    </row>
    <row r="91" spans="1:3" x14ac:dyDescent="0.2">
      <c r="A91" s="15">
        <v>43040</v>
      </c>
      <c r="B91" s="14">
        <v>56.3</v>
      </c>
      <c r="C91" s="14">
        <f>Table1346811121415161718192022253033[[#This Row],[PMI]]-B90</f>
        <v>2.6999999999999957</v>
      </c>
    </row>
    <row r="92" spans="1:3" x14ac:dyDescent="0.2">
      <c r="A92" s="15">
        <v>43070</v>
      </c>
      <c r="B92" s="14">
        <v>56.6</v>
      </c>
      <c r="C92" s="14">
        <f>Table1346811121415161718192022253033[[#This Row],[PMI]]-B91</f>
        <v>0.30000000000000426</v>
      </c>
    </row>
    <row r="93" spans="1:3" x14ac:dyDescent="0.2">
      <c r="A93" s="15">
        <v>43101</v>
      </c>
      <c r="B93" s="14">
        <v>56.9</v>
      </c>
      <c r="C93" s="14">
        <f>Table1346811121415161718192022253033[[#This Row],[PMI]]-B92</f>
        <v>0.29999999999999716</v>
      </c>
    </row>
    <row r="94" spans="1:3" x14ac:dyDescent="0.2">
      <c r="A94" s="15">
        <v>43132</v>
      </c>
      <c r="B94" s="14">
        <v>56</v>
      </c>
      <c r="C94" s="14">
        <f>Table1346811121415161718192022253033[[#This Row],[PMI]]-B93</f>
        <v>-0.89999999999999858</v>
      </c>
    </row>
    <row r="95" spans="1:3" x14ac:dyDescent="0.2">
      <c r="A95" s="15">
        <v>43160</v>
      </c>
      <c r="B95" s="14">
        <v>55.3</v>
      </c>
      <c r="C95" s="14">
        <f>Table1346811121415161718192022253033[[#This Row],[PMI]]-B94</f>
        <v>-0.70000000000000284</v>
      </c>
    </row>
    <row r="96" spans="1:3" x14ac:dyDescent="0.2">
      <c r="A96" s="15">
        <v>43191</v>
      </c>
      <c r="B96" s="14">
        <v>54.8</v>
      </c>
      <c r="C96" s="14">
        <f>Table1346811121415161718192022253033[[#This Row],[PMI]]-B95</f>
        <v>-0.5</v>
      </c>
    </row>
    <row r="97" spans="1:3" x14ac:dyDescent="0.2">
      <c r="A97" s="15">
        <v>43221</v>
      </c>
      <c r="B97" s="14">
        <v>53.4</v>
      </c>
      <c r="C97" s="14">
        <f>Table1346811121415161718192022253033[[#This Row],[PMI]]-B96</f>
        <v>-1.3999999999999986</v>
      </c>
    </row>
    <row r="98" spans="1:3" x14ac:dyDescent="0.2">
      <c r="A98" s="15">
        <v>43252</v>
      </c>
      <c r="B98" s="14">
        <v>54.5</v>
      </c>
      <c r="C98" s="14">
        <f>Table1346811121415161718192022253033[[#This Row],[PMI]]-B97</f>
        <v>1.1000000000000014</v>
      </c>
    </row>
    <row r="99" spans="1:3" x14ac:dyDescent="0.2">
      <c r="A99" s="15">
        <v>43282</v>
      </c>
      <c r="B99" s="14">
        <v>53.1</v>
      </c>
      <c r="C99" s="14">
        <f>Table1346811121415161718192022253033[[#This Row],[PMI]]-B98</f>
        <v>-1.3999999999999986</v>
      </c>
    </row>
    <row r="100" spans="1:3" x14ac:dyDescent="0.2">
      <c r="A100" s="15">
        <v>43313</v>
      </c>
      <c r="B100" s="14">
        <v>53</v>
      </c>
      <c r="C100" s="14">
        <f>Table1346811121415161718192022253033[[#This Row],[PMI]]-B99</f>
        <v>-0.10000000000000142</v>
      </c>
    </row>
    <row r="101" spans="1:3" x14ac:dyDescent="0.2">
      <c r="A101" s="15">
        <v>43344</v>
      </c>
      <c r="B101" s="14">
        <v>50.8</v>
      </c>
      <c r="C101" s="14">
        <f>Table1346811121415161718192022253033[[#This Row],[PMI]]-B100</f>
        <v>-2.2000000000000028</v>
      </c>
    </row>
    <row r="102" spans="1:3" x14ac:dyDescent="0.2">
      <c r="A102" s="15">
        <v>43374</v>
      </c>
      <c r="B102" s="14">
        <v>48.7</v>
      </c>
      <c r="C102" s="14">
        <f>Table1346811121415161718192022253033[[#This Row],[PMI]]-B101</f>
        <v>-2.0999999999999943</v>
      </c>
    </row>
    <row r="103" spans="1:3" x14ac:dyDescent="0.2">
      <c r="A103" s="15">
        <v>43405</v>
      </c>
      <c r="B103" s="14">
        <v>48.4</v>
      </c>
      <c r="C103" s="14">
        <f>Table1346811121415161718192022253033[[#This Row],[PMI]]-B102</f>
        <v>-0.30000000000000426</v>
      </c>
    </row>
    <row r="104" spans="1:3" x14ac:dyDescent="0.2">
      <c r="A104" s="15">
        <v>43435</v>
      </c>
      <c r="B104" s="14">
        <v>47.7</v>
      </c>
      <c r="C104" s="14">
        <f>Table1346811121415161718192022253033[[#This Row],[PMI]]-B103</f>
        <v>-0.69999999999999574</v>
      </c>
    </row>
    <row r="105" spans="1:3" x14ac:dyDescent="0.2">
      <c r="A105" s="15">
        <v>43466</v>
      </c>
      <c r="B105" s="14">
        <v>47.5</v>
      </c>
      <c r="C105" s="14">
        <f>Table1346811121415161718192022253033[[#This Row],[PMI]]-B104</f>
        <v>-0.20000000000000284</v>
      </c>
    </row>
    <row r="106" spans="1:3" x14ac:dyDescent="0.2">
      <c r="A106" s="15">
        <v>43497</v>
      </c>
      <c r="B106" s="14">
        <v>46.3</v>
      </c>
      <c r="C106" s="14">
        <f>Table1346811121415161718192022253033[[#This Row],[PMI]]-B105</f>
        <v>-1.2000000000000028</v>
      </c>
    </row>
    <row r="107" spans="1:3" x14ac:dyDescent="0.2">
      <c r="A107" s="15">
        <v>43525</v>
      </c>
      <c r="B107" s="14">
        <v>49</v>
      </c>
      <c r="C107" s="30">
        <f>Table1346811121415161718192022253033[[#This Row],[PMI]]-B106</f>
        <v>2.7000000000000028</v>
      </c>
    </row>
    <row r="108" spans="1:3" x14ac:dyDescent="0.2">
      <c r="A108" s="15">
        <v>43556</v>
      </c>
      <c r="B108" s="14">
        <v>48.2</v>
      </c>
      <c r="C108" s="30">
        <f>Table1346811121415161718192022253033[[#This Row],[PMI]]-B107</f>
        <v>-0.79999999999999716</v>
      </c>
    </row>
    <row r="109" spans="1:3" x14ac:dyDescent="0.2">
      <c r="A109" s="15">
        <v>43586</v>
      </c>
      <c r="B109" s="14">
        <v>48.4</v>
      </c>
      <c r="C109" s="30">
        <f>Table1346811121415161718192022253033[[#This Row],[PMI]]-B108</f>
        <v>0.19999999999999574</v>
      </c>
    </row>
    <row r="110" spans="1:3" x14ac:dyDescent="0.2">
      <c r="A110" s="15">
        <v>43617</v>
      </c>
      <c r="B110" s="14">
        <v>45.5</v>
      </c>
      <c r="C110" s="30">
        <f>Table1346811121415161718192022253033[[#This Row],[PMI]]-B109</f>
        <v>-2.8999999999999986</v>
      </c>
    </row>
    <row r="111" spans="1:3" x14ac:dyDescent="0.2">
      <c r="A111" s="15">
        <v>43647</v>
      </c>
      <c r="B111" s="14">
        <v>48.1</v>
      </c>
      <c r="C111" s="30">
        <f>Table1346811121415161718192022253033[[#This Row],[PMI]]-B110</f>
        <v>2.6000000000000014</v>
      </c>
    </row>
    <row r="112" spans="1:3" x14ac:dyDescent="0.2">
      <c r="A112" s="15">
        <v>43678</v>
      </c>
      <c r="B112" s="14">
        <v>47.9</v>
      </c>
      <c r="C112" s="30">
        <f>Table1346811121415161718192022253033[[#This Row],[PMI]]-B111</f>
        <v>-0.20000000000000284</v>
      </c>
    </row>
    <row r="113" spans="1:3" x14ac:dyDescent="0.2">
      <c r="A113" s="15">
        <v>43709</v>
      </c>
      <c r="B113" s="14">
        <v>50</v>
      </c>
      <c r="C113" s="30">
        <f>Table1346811121415161718192022253033[[#This Row],[PMI]]-B112</f>
        <v>2.1000000000000014</v>
      </c>
    </row>
    <row r="114" spans="1:3" x14ac:dyDescent="0.2">
      <c r="A114" s="15">
        <v>43739</v>
      </c>
      <c r="B114" s="14">
        <v>49.8</v>
      </c>
      <c r="C114" s="30">
        <f>Table1346811121415161718192022253033[[#This Row],[PMI]]-B113</f>
        <v>-0.20000000000000284</v>
      </c>
    </row>
    <row r="115" spans="1:3" x14ac:dyDescent="0.2">
      <c r="A115" s="15">
        <v>43770</v>
      </c>
      <c r="B115" s="14">
        <v>49.8</v>
      </c>
      <c r="C115" s="30">
        <f>Table1346811121415161718192022253033[[#This Row],[PMI]]-B114</f>
        <v>0</v>
      </c>
    </row>
    <row r="116" spans="1:3" x14ac:dyDescent="0.2">
      <c r="A116" s="15">
        <v>43800</v>
      </c>
      <c r="B116" s="14">
        <v>50.8</v>
      </c>
      <c r="C116" s="30">
        <f>Table1346811121415161718192022253033[[#This Row],[PMI]]-B115</f>
        <v>1</v>
      </c>
    </row>
    <row r="117" spans="1:3" x14ac:dyDescent="0.2">
      <c r="A117" s="15">
        <v>43831</v>
      </c>
      <c r="B117" s="14">
        <v>51.8</v>
      </c>
      <c r="C117" s="30">
        <f>Table1346811121415161718192022253033[[#This Row],[PMI]]-B116</f>
        <v>1</v>
      </c>
    </row>
    <row r="118" spans="1:3" x14ac:dyDescent="0.2">
      <c r="A118" s="15">
        <v>43862</v>
      </c>
      <c r="B118" s="14">
        <v>49.9</v>
      </c>
      <c r="C118" s="30">
        <f>Table1346811121415161718192022253033[[#This Row],[PMI]]-B117</f>
        <v>-1.8999999999999986</v>
      </c>
    </row>
    <row r="119" spans="1:3" x14ac:dyDescent="0.2">
      <c r="A119" s="15">
        <v>43891</v>
      </c>
      <c r="B119" s="14">
        <v>50.4</v>
      </c>
      <c r="C119" s="30">
        <f>Table1346811121415161718192022253033[[#This Row],[PMI]]-B118</f>
        <v>0.5</v>
      </c>
    </row>
    <row r="120" spans="1:3" x14ac:dyDescent="0.2">
      <c r="A120" s="15">
        <v>43922</v>
      </c>
      <c r="B120" s="14">
        <v>42.2</v>
      </c>
      <c r="C120" s="30">
        <f>Table1346811121415161718192022253033[[#This Row],[PMI]]-B119</f>
        <v>-8.1999999999999957</v>
      </c>
    </row>
    <row r="121" spans="1:3" x14ac:dyDescent="0.2">
      <c r="A121" s="15">
        <v>43952</v>
      </c>
      <c r="B121" s="14">
        <v>41.9</v>
      </c>
      <c r="C121" s="30">
        <f>Table1346811121415161718192022253033[[#This Row],[PMI]]-B120</f>
        <v>-0.30000000000000426</v>
      </c>
    </row>
    <row r="122" spans="1:3" x14ac:dyDescent="0.2">
      <c r="A122" s="15">
        <v>43983</v>
      </c>
      <c r="B122" s="14">
        <v>46.2</v>
      </c>
      <c r="C122" s="30">
        <f>Table1346811121415161718192022253033[[#This Row],[PMI]]-B121</f>
        <v>4.3000000000000043</v>
      </c>
    </row>
    <row r="123" spans="1:3" x14ac:dyDescent="0.2">
      <c r="A123" s="15">
        <v>44013</v>
      </c>
      <c r="B123" s="14">
        <v>50.6</v>
      </c>
      <c r="C123" s="30">
        <f>Table1346811121415161718192022253033[[#This Row],[PMI]]-B122</f>
        <v>4.3999999999999986</v>
      </c>
    </row>
    <row r="124" spans="1:3" x14ac:dyDescent="0.2">
      <c r="A124" s="15">
        <v>44044</v>
      </c>
      <c r="B124" s="14">
        <v>52.2</v>
      </c>
      <c r="C124" s="30">
        <f>Table1346811121415161718192022253033[[#This Row],[PMI]]-B123</f>
        <v>1.6000000000000014</v>
      </c>
    </row>
    <row r="125" spans="1:3" x14ac:dyDescent="0.2">
      <c r="A125" s="15">
        <v>44075</v>
      </c>
      <c r="B125" s="14">
        <v>55.2</v>
      </c>
      <c r="C125" s="30">
        <f>Table1346811121415161718192022253033[[#This Row],[PMI]]-B124</f>
        <v>3</v>
      </c>
    </row>
    <row r="126" spans="1:3" x14ac:dyDescent="0.2">
      <c r="A126" s="15">
        <v>44105</v>
      </c>
      <c r="B126" s="14">
        <v>55.1</v>
      </c>
      <c r="C126" s="30">
        <f>Table1346811121415161718192022253033[[#This Row],[PMI]]-B125</f>
        <v>-0.10000000000000142</v>
      </c>
    </row>
    <row r="127" spans="1:3" x14ac:dyDescent="0.2">
      <c r="A127" s="15">
        <v>44136</v>
      </c>
      <c r="B127" s="14">
        <v>56.9</v>
      </c>
      <c r="C127" s="30">
        <f>Table1346811121415161718192022253033[[#This Row],[PMI]]-B126</f>
        <v>1.7999999999999972</v>
      </c>
    </row>
    <row r="128" spans="1:3" x14ac:dyDescent="0.2">
      <c r="A128" s="15">
        <v>44166</v>
      </c>
      <c r="B128" s="14">
        <v>59.4</v>
      </c>
      <c r="C128" s="30">
        <f>Table1346811121415161718192022253033[[#This Row],[PMI]]-B127</f>
        <v>2.5</v>
      </c>
    </row>
    <row r="129" spans="1:3" x14ac:dyDescent="0.2">
      <c r="A129" s="15">
        <v>44197</v>
      </c>
      <c r="B129" s="14">
        <v>60.2</v>
      </c>
      <c r="C129" s="30">
        <f>Table1346811121415161718192022253033[[#This Row],[PMI]]-B128</f>
        <v>0.80000000000000426</v>
      </c>
    </row>
    <row r="130" spans="1:3" x14ac:dyDescent="0.2">
      <c r="A130" s="15">
        <v>44228</v>
      </c>
      <c r="B130" s="14">
        <v>60.4</v>
      </c>
      <c r="C130" s="30">
        <f>Table1346811121415161718192022253033[[#This Row],[PMI]]-B129</f>
        <v>0.19999999999999574</v>
      </c>
    </row>
    <row r="131" spans="1:3" x14ac:dyDescent="0.2">
      <c r="A131" s="15">
        <v>44256</v>
      </c>
      <c r="B131" s="14">
        <v>60.8</v>
      </c>
      <c r="C131" s="30">
        <f>Table1346811121415161718192022253033[[#This Row],[PMI]]-B130</f>
        <v>0.39999999999999858</v>
      </c>
    </row>
    <row r="132" spans="1:3" x14ac:dyDescent="0.2">
      <c r="A132" s="15">
        <v>44287</v>
      </c>
      <c r="B132" s="14">
        <v>62.4</v>
      </c>
      <c r="C132" s="30">
        <f>Table1346811121415161718192022253033[[#This Row],[PMI]]-B131</f>
        <v>1.6000000000000014</v>
      </c>
    </row>
    <row r="133" spans="1:3" x14ac:dyDescent="0.2">
      <c r="A133" s="15">
        <v>44317</v>
      </c>
      <c r="B133" s="14">
        <v>62</v>
      </c>
      <c r="C133" s="30">
        <f>Table1346811121415161718192022253033[[#This Row],[PMI]]-B132</f>
        <v>-0.39999999999999858</v>
      </c>
    </row>
    <row r="134" spans="1:3" x14ac:dyDescent="0.2">
      <c r="A134" s="15">
        <v>44348</v>
      </c>
      <c r="B134" s="14">
        <v>57.6</v>
      </c>
      <c r="C134" s="30">
        <f>Table1346811121415161718192022253033[[#This Row],[PMI]]-B133</f>
        <v>-4.3999999999999986</v>
      </c>
    </row>
    <row r="135" spans="1:3" x14ac:dyDescent="0.2">
      <c r="A135" s="15">
        <v>44378</v>
      </c>
      <c r="B135" s="14">
        <v>59.7</v>
      </c>
      <c r="C135" s="30">
        <f>Table1346811121415161718192022253033[[#This Row],[PMI]]-B134</f>
        <v>2.1000000000000014</v>
      </c>
    </row>
    <row r="136" spans="1:3" x14ac:dyDescent="0.2">
      <c r="A136" s="15">
        <v>44409</v>
      </c>
      <c r="B136" s="14">
        <v>58.5</v>
      </c>
      <c r="C136" s="30">
        <f>Table1346811121415161718192022253033[[#This Row],[PMI]]-B135</f>
        <v>-1.2000000000000028</v>
      </c>
    </row>
    <row r="137" spans="1:3" x14ac:dyDescent="0.2">
      <c r="A137" s="15">
        <v>44440</v>
      </c>
      <c r="B137" s="14">
        <v>54.7</v>
      </c>
      <c r="C137" s="30">
        <f>Table1346811121415161718192022253033[[#This Row],[PMI]]-B136</f>
        <v>-3.7999999999999972</v>
      </c>
    </row>
    <row r="138" spans="1:3" x14ac:dyDescent="0.2">
      <c r="A138" s="15">
        <v>44470</v>
      </c>
      <c r="B138" s="14">
        <v>55.2</v>
      </c>
      <c r="C138" s="30">
        <f>Table1346811121415161718192022253033[[#This Row],[PMI]]-B137</f>
        <v>0.5</v>
      </c>
    </row>
    <row r="139" spans="1:3" x14ac:dyDescent="0.2">
      <c r="A139" s="15">
        <v>44501</v>
      </c>
      <c r="B139" s="14">
        <v>54.9</v>
      </c>
      <c r="C139" s="30">
        <f>Table1346811121415161718192022253033[[#This Row],[PMI]]-B138</f>
        <v>-0.30000000000000426</v>
      </c>
    </row>
    <row r="140" spans="1:3" x14ac:dyDescent="0.2">
      <c r="A140" s="15">
        <v>44531</v>
      </c>
      <c r="B140" s="14">
        <v>55.5</v>
      </c>
      <c r="C140" s="30">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9ADF1-D546-4F66-814D-416C6EBC5E0E}">
  <dimension ref="A1:K140"/>
  <sheetViews>
    <sheetView zoomScale="170" zoomScaleNormal="170" workbookViewId="0">
      <pane ySplit="5" topLeftCell="A105"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35</v>
      </c>
      <c r="K1" s="10" t="s">
        <v>21</v>
      </c>
    </row>
    <row r="2" spans="1:11" x14ac:dyDescent="0.2">
      <c r="K2" s="10" t="str">
        <f>A1&amp;K1</f>
        <v>Greece Manufacturing PMI</v>
      </c>
    </row>
    <row r="4" spans="1:11" ht="16" thickBot="1" x14ac:dyDescent="0.25"/>
    <row r="5" spans="1:11" ht="16" thickBot="1" x14ac:dyDescent="0.25">
      <c r="A5" s="27" t="s">
        <v>10</v>
      </c>
      <c r="B5" s="28" t="s">
        <v>11</v>
      </c>
      <c r="C5" s="28" t="s">
        <v>14</v>
      </c>
    </row>
    <row r="6" spans="1:11" x14ac:dyDescent="0.2">
      <c r="A6" s="23">
        <v>40482</v>
      </c>
      <c r="B6" s="24">
        <v>43.6</v>
      </c>
      <c r="C6" s="24"/>
    </row>
    <row r="7" spans="1:11" x14ac:dyDescent="0.2">
      <c r="A7" s="15">
        <v>40483</v>
      </c>
      <c r="B7" s="14">
        <v>43.9</v>
      </c>
      <c r="C7" s="14">
        <f>Table134681112141516171819[[#This Row],[PMI]]-B6</f>
        <v>0.29999999999999716</v>
      </c>
    </row>
    <row r="8" spans="1:11" x14ac:dyDescent="0.2">
      <c r="A8" s="15">
        <v>40513</v>
      </c>
      <c r="B8" s="14">
        <v>43.1</v>
      </c>
      <c r="C8" s="14">
        <f>Table134681112141516171819[[#This Row],[PMI]]-B7</f>
        <v>-0.79999999999999716</v>
      </c>
    </row>
    <row r="9" spans="1:11" x14ac:dyDescent="0.2">
      <c r="A9" s="15">
        <v>40544</v>
      </c>
      <c r="B9" s="14">
        <v>42.8</v>
      </c>
      <c r="C9" s="14">
        <f>Table134681112141516171819[[#This Row],[PMI]]-B8</f>
        <v>-0.30000000000000426</v>
      </c>
    </row>
    <row r="10" spans="1:11" x14ac:dyDescent="0.2">
      <c r="A10" s="15">
        <v>40575</v>
      </c>
      <c r="B10" s="14">
        <v>43.8</v>
      </c>
      <c r="C10" s="14">
        <f>Table134681112141516171819[[#This Row],[PMI]]-B9</f>
        <v>1</v>
      </c>
    </row>
    <row r="11" spans="1:11" x14ac:dyDescent="0.2">
      <c r="A11" s="15">
        <v>40603</v>
      </c>
      <c r="B11" s="14">
        <v>45.4</v>
      </c>
      <c r="C11" s="14">
        <f>Table134681112141516171819[[#This Row],[PMI]]-B10</f>
        <v>1.6000000000000014</v>
      </c>
    </row>
    <row r="12" spans="1:11" x14ac:dyDescent="0.2">
      <c r="A12" s="15">
        <v>40634</v>
      </c>
      <c r="B12" s="14">
        <v>46.8</v>
      </c>
      <c r="C12" s="14">
        <f>Table134681112141516171819[[#This Row],[PMI]]-B11</f>
        <v>1.3999999999999986</v>
      </c>
    </row>
    <row r="13" spans="1:11" x14ac:dyDescent="0.2">
      <c r="A13" s="15">
        <v>40664</v>
      </c>
      <c r="B13" s="14">
        <v>44.5</v>
      </c>
      <c r="C13" s="14">
        <f>Table134681112141516171819[[#This Row],[PMI]]-B12</f>
        <v>-2.2999999999999972</v>
      </c>
    </row>
    <row r="14" spans="1:11" x14ac:dyDescent="0.2">
      <c r="A14" s="15">
        <v>40695</v>
      </c>
      <c r="B14" s="14">
        <v>45.5</v>
      </c>
      <c r="C14" s="14">
        <f>Table134681112141516171819[[#This Row],[PMI]]-B13</f>
        <v>1</v>
      </c>
    </row>
    <row r="15" spans="1:11" x14ac:dyDescent="0.2">
      <c r="A15" s="15">
        <v>40725</v>
      </c>
      <c r="B15" s="14">
        <v>45.2</v>
      </c>
      <c r="C15" s="14">
        <f>Table134681112141516171819[[#This Row],[PMI]]-B14</f>
        <v>-0.29999999999999716</v>
      </c>
    </row>
    <row r="16" spans="1:11" x14ac:dyDescent="0.2">
      <c r="A16" s="15">
        <v>40756</v>
      </c>
      <c r="B16" s="14">
        <v>43.3</v>
      </c>
      <c r="C16" s="14">
        <f>Table134681112141516171819[[#This Row],[PMI]]-B15</f>
        <v>-1.9000000000000057</v>
      </c>
    </row>
    <row r="17" spans="1:3" x14ac:dyDescent="0.2">
      <c r="A17" s="15">
        <v>40787</v>
      </c>
      <c r="B17" s="14">
        <v>43.2</v>
      </c>
      <c r="C17" s="14">
        <f>Table134681112141516171819[[#This Row],[PMI]]-B16</f>
        <v>-9.9999999999994316E-2</v>
      </c>
    </row>
    <row r="18" spans="1:3" x14ac:dyDescent="0.2">
      <c r="A18" s="15">
        <v>40817</v>
      </c>
      <c r="B18" s="14">
        <v>40.5</v>
      </c>
      <c r="C18" s="14">
        <f>Table134681112141516171819[[#This Row],[PMI]]-B17</f>
        <v>-2.7000000000000028</v>
      </c>
    </row>
    <row r="19" spans="1:3" x14ac:dyDescent="0.2">
      <c r="A19" s="15">
        <v>40848</v>
      </c>
      <c r="B19" s="14">
        <v>40.9</v>
      </c>
      <c r="C19" s="14">
        <f>Table134681112141516171819[[#This Row],[PMI]]-B18</f>
        <v>0.39999999999999858</v>
      </c>
    </row>
    <row r="20" spans="1:3" x14ac:dyDescent="0.2">
      <c r="A20" s="15">
        <v>40878</v>
      </c>
      <c r="B20" s="14">
        <v>42</v>
      </c>
      <c r="C20" s="14">
        <f>Table134681112141516171819[[#This Row],[PMI]]-B19</f>
        <v>1.1000000000000014</v>
      </c>
    </row>
    <row r="21" spans="1:3" x14ac:dyDescent="0.2">
      <c r="A21" s="15">
        <v>40909</v>
      </c>
      <c r="B21" s="14">
        <v>41</v>
      </c>
      <c r="C21" s="14">
        <f>Table134681112141516171819[[#This Row],[PMI]]-B20</f>
        <v>-1</v>
      </c>
    </row>
    <row r="22" spans="1:3" x14ac:dyDescent="0.2">
      <c r="A22" s="15">
        <v>40940</v>
      </c>
      <c r="B22" s="14">
        <v>37.700000000000003</v>
      </c>
      <c r="C22" s="14">
        <f>Table134681112141516171819[[#This Row],[PMI]]-B21</f>
        <v>-3.2999999999999972</v>
      </c>
    </row>
    <row r="23" spans="1:3" x14ac:dyDescent="0.2">
      <c r="A23" s="15">
        <v>40969</v>
      </c>
      <c r="B23" s="14">
        <v>41.3</v>
      </c>
      <c r="C23" s="14">
        <f>Table134681112141516171819[[#This Row],[PMI]]-B22</f>
        <v>3.5999999999999943</v>
      </c>
    </row>
    <row r="24" spans="1:3" x14ac:dyDescent="0.2">
      <c r="A24" s="15">
        <v>41000</v>
      </c>
      <c r="B24" s="14">
        <v>40.700000000000003</v>
      </c>
      <c r="C24" s="14">
        <f>Table134681112141516171819[[#This Row],[PMI]]-B23</f>
        <v>-0.59999999999999432</v>
      </c>
    </row>
    <row r="25" spans="1:3" x14ac:dyDescent="0.2">
      <c r="A25" s="15">
        <v>41030</v>
      </c>
      <c r="B25" s="14">
        <v>43.1</v>
      </c>
      <c r="C25" s="14">
        <f>Table134681112141516171819[[#This Row],[PMI]]-B24</f>
        <v>2.3999999999999986</v>
      </c>
    </row>
    <row r="26" spans="1:3" x14ac:dyDescent="0.2">
      <c r="A26" s="15">
        <v>41061</v>
      </c>
      <c r="B26" s="14">
        <v>40.1</v>
      </c>
      <c r="C26" s="14">
        <f>Table134681112141516171819[[#This Row],[PMI]]-B25</f>
        <v>-3</v>
      </c>
    </row>
    <row r="27" spans="1:3" x14ac:dyDescent="0.2">
      <c r="A27" s="15">
        <v>41091</v>
      </c>
      <c r="B27" s="14">
        <v>41.9</v>
      </c>
      <c r="C27" s="14">
        <f>Table134681112141516171819[[#This Row],[PMI]]-B26</f>
        <v>1.7999999999999972</v>
      </c>
    </row>
    <row r="28" spans="1:3" x14ac:dyDescent="0.2">
      <c r="A28" s="15">
        <v>41122</v>
      </c>
      <c r="B28" s="14">
        <v>42.1</v>
      </c>
      <c r="C28" s="14">
        <f>Table134681112141516171819[[#This Row],[PMI]]-B27</f>
        <v>0.20000000000000284</v>
      </c>
    </row>
    <row r="29" spans="1:3" x14ac:dyDescent="0.2">
      <c r="A29" s="15">
        <v>41153</v>
      </c>
      <c r="B29" s="14">
        <v>42.2</v>
      </c>
      <c r="C29" s="14">
        <f>Table134681112141516171819[[#This Row],[PMI]]-B28</f>
        <v>0.10000000000000142</v>
      </c>
    </row>
    <row r="30" spans="1:3" x14ac:dyDescent="0.2">
      <c r="A30" s="15">
        <v>41183</v>
      </c>
      <c r="B30" s="14">
        <v>41</v>
      </c>
      <c r="C30" s="14">
        <f>Table134681112141516171819[[#This Row],[PMI]]-B29</f>
        <v>-1.2000000000000028</v>
      </c>
    </row>
    <row r="31" spans="1:3" x14ac:dyDescent="0.2">
      <c r="A31" s="15">
        <v>41214</v>
      </c>
      <c r="B31" s="14">
        <v>41.8</v>
      </c>
      <c r="C31" s="14">
        <f>Table134681112141516171819[[#This Row],[PMI]]-B30</f>
        <v>0.79999999999999716</v>
      </c>
    </row>
    <row r="32" spans="1:3" x14ac:dyDescent="0.2">
      <c r="A32" s="15">
        <v>41244</v>
      </c>
      <c r="B32" s="14">
        <v>41.4</v>
      </c>
      <c r="C32" s="14">
        <f>Table134681112141516171819[[#This Row],[PMI]]-B31</f>
        <v>-0.39999999999999858</v>
      </c>
    </row>
    <row r="33" spans="1:3" x14ac:dyDescent="0.2">
      <c r="A33" s="15">
        <v>41275</v>
      </c>
      <c r="B33" s="14">
        <v>41.7</v>
      </c>
      <c r="C33" s="14">
        <f>Table134681112141516171819[[#This Row],[PMI]]-B32</f>
        <v>0.30000000000000426</v>
      </c>
    </row>
    <row r="34" spans="1:3" x14ac:dyDescent="0.2">
      <c r="A34" s="15">
        <v>41306</v>
      </c>
      <c r="B34" s="14">
        <v>43</v>
      </c>
      <c r="C34" s="14">
        <f>Table134681112141516171819[[#This Row],[PMI]]-B33</f>
        <v>1.2999999999999972</v>
      </c>
    </row>
    <row r="35" spans="1:3" x14ac:dyDescent="0.2">
      <c r="A35" s="15">
        <v>41334</v>
      </c>
      <c r="B35" s="14">
        <v>42.1</v>
      </c>
      <c r="C35" s="14">
        <f>Table134681112141516171819[[#This Row],[PMI]]-B34</f>
        <v>-0.89999999999999858</v>
      </c>
    </row>
    <row r="36" spans="1:3" x14ac:dyDescent="0.2">
      <c r="A36" s="15">
        <v>41365</v>
      </c>
      <c r="B36" s="14">
        <v>45</v>
      </c>
      <c r="C36" s="14">
        <f>Table134681112141516171819[[#This Row],[PMI]]-B35</f>
        <v>2.8999999999999986</v>
      </c>
    </row>
    <row r="37" spans="1:3" x14ac:dyDescent="0.2">
      <c r="A37" s="15">
        <v>41395</v>
      </c>
      <c r="B37" s="14">
        <v>45.3</v>
      </c>
      <c r="C37" s="14">
        <f>Table134681112141516171819[[#This Row],[PMI]]-B36</f>
        <v>0.29999999999999716</v>
      </c>
    </row>
    <row r="38" spans="1:3" x14ac:dyDescent="0.2">
      <c r="A38" s="15">
        <v>41426</v>
      </c>
      <c r="B38" s="14">
        <v>45.4</v>
      </c>
      <c r="C38" s="14">
        <f>Table134681112141516171819[[#This Row],[PMI]]-B37</f>
        <v>0.10000000000000142</v>
      </c>
    </row>
    <row r="39" spans="1:3" x14ac:dyDescent="0.2">
      <c r="A39" s="15">
        <v>41456</v>
      </c>
      <c r="B39" s="14">
        <v>47</v>
      </c>
      <c r="C39" s="14">
        <f>Table134681112141516171819[[#This Row],[PMI]]-B38</f>
        <v>1.6000000000000014</v>
      </c>
    </row>
    <row r="40" spans="1:3" x14ac:dyDescent="0.2">
      <c r="A40" s="15">
        <v>41487</v>
      </c>
      <c r="B40" s="14">
        <v>48.7</v>
      </c>
      <c r="C40" s="14">
        <f>Table134681112141516171819[[#This Row],[PMI]]-B39</f>
        <v>1.7000000000000028</v>
      </c>
    </row>
    <row r="41" spans="1:3" x14ac:dyDescent="0.2">
      <c r="A41" s="15">
        <v>41518</v>
      </c>
      <c r="B41" s="14">
        <v>47.5</v>
      </c>
      <c r="C41" s="14">
        <f>Table134681112141516171819[[#This Row],[PMI]]-B40</f>
        <v>-1.2000000000000028</v>
      </c>
    </row>
    <row r="42" spans="1:3" x14ac:dyDescent="0.2">
      <c r="A42" s="15">
        <v>41548</v>
      </c>
      <c r="B42" s="14">
        <v>47.3</v>
      </c>
      <c r="C42" s="14">
        <f>Table134681112141516171819[[#This Row],[PMI]]-B41</f>
        <v>-0.20000000000000284</v>
      </c>
    </row>
    <row r="43" spans="1:3" x14ac:dyDescent="0.2">
      <c r="A43" s="15">
        <v>41579</v>
      </c>
      <c r="B43" s="14">
        <v>49.2</v>
      </c>
      <c r="C43" s="14">
        <f>Table134681112141516171819[[#This Row],[PMI]]-B42</f>
        <v>1.9000000000000057</v>
      </c>
    </row>
    <row r="44" spans="1:3" x14ac:dyDescent="0.2">
      <c r="A44" s="15">
        <v>41609</v>
      </c>
      <c r="B44" s="14">
        <v>49.6</v>
      </c>
      <c r="C44" s="14">
        <f>Table134681112141516171819[[#This Row],[PMI]]-B43</f>
        <v>0.39999999999999858</v>
      </c>
    </row>
    <row r="45" spans="1:3" x14ac:dyDescent="0.2">
      <c r="A45" s="15">
        <v>41640</v>
      </c>
      <c r="B45" s="14">
        <v>51.2</v>
      </c>
      <c r="C45" s="14">
        <f>Table134681112141516171819[[#This Row],[PMI]]-B44</f>
        <v>1.6000000000000014</v>
      </c>
    </row>
    <row r="46" spans="1:3" x14ac:dyDescent="0.2">
      <c r="A46" s="15">
        <v>41671</v>
      </c>
      <c r="B46" s="14">
        <v>51.3</v>
      </c>
      <c r="C46" s="14">
        <f>Table134681112141516171819[[#This Row],[PMI]]-B45</f>
        <v>9.9999999999994316E-2</v>
      </c>
    </row>
    <row r="47" spans="1:3" x14ac:dyDescent="0.2">
      <c r="A47" s="15">
        <v>41699</v>
      </c>
      <c r="B47" s="14">
        <v>49.7</v>
      </c>
      <c r="C47" s="14">
        <f>Table134681112141516171819[[#This Row],[PMI]]-B46</f>
        <v>-1.5999999999999943</v>
      </c>
    </row>
    <row r="48" spans="1:3" x14ac:dyDescent="0.2">
      <c r="A48" s="15">
        <v>41730</v>
      </c>
      <c r="B48" s="14">
        <v>51.1</v>
      </c>
      <c r="C48" s="14">
        <f>Table134681112141516171819[[#This Row],[PMI]]-B47</f>
        <v>1.3999999999999986</v>
      </c>
    </row>
    <row r="49" spans="1:3" x14ac:dyDescent="0.2">
      <c r="A49" s="15">
        <v>41760</v>
      </c>
      <c r="B49" s="14">
        <v>51</v>
      </c>
      <c r="C49" s="14">
        <f>Table134681112141516171819[[#This Row],[PMI]]-B48</f>
        <v>-0.10000000000000142</v>
      </c>
    </row>
    <row r="50" spans="1:3" x14ac:dyDescent="0.2">
      <c r="A50" s="15">
        <v>41791</v>
      </c>
      <c r="B50" s="14">
        <v>49.4</v>
      </c>
      <c r="C50" s="14">
        <f>Table134681112141516171819[[#This Row],[PMI]]-B49</f>
        <v>-1.6000000000000014</v>
      </c>
    </row>
    <row r="51" spans="1:3" x14ac:dyDescent="0.2">
      <c r="A51" s="15">
        <v>41821</v>
      </c>
      <c r="B51" s="14">
        <v>48.7</v>
      </c>
      <c r="C51" s="14">
        <f>Table134681112141516171819[[#This Row],[PMI]]-B50</f>
        <v>-0.69999999999999574</v>
      </c>
    </row>
    <row r="52" spans="1:3" x14ac:dyDescent="0.2">
      <c r="A52" s="15">
        <v>41852</v>
      </c>
      <c r="B52" s="14">
        <v>50.1</v>
      </c>
      <c r="C52" s="14">
        <f>Table134681112141516171819[[#This Row],[PMI]]-B51</f>
        <v>1.3999999999999986</v>
      </c>
    </row>
    <row r="53" spans="1:3" x14ac:dyDescent="0.2">
      <c r="A53" s="15">
        <v>41883</v>
      </c>
      <c r="B53" s="14">
        <v>48.4</v>
      </c>
      <c r="C53" s="14">
        <f>Table134681112141516171819[[#This Row],[PMI]]-B52</f>
        <v>-1.7000000000000028</v>
      </c>
    </row>
    <row r="54" spans="1:3" x14ac:dyDescent="0.2">
      <c r="A54" s="15">
        <v>41913</v>
      </c>
      <c r="B54" s="14">
        <v>48.8</v>
      </c>
      <c r="C54" s="14">
        <f>Table134681112141516171819[[#This Row],[PMI]]-B53</f>
        <v>0.39999999999999858</v>
      </c>
    </row>
    <row r="55" spans="1:3" x14ac:dyDescent="0.2">
      <c r="A55" s="15">
        <v>41944</v>
      </c>
      <c r="B55" s="14">
        <v>49.1</v>
      </c>
      <c r="C55" s="14">
        <f>Table134681112141516171819[[#This Row],[PMI]]-B54</f>
        <v>0.30000000000000426</v>
      </c>
    </row>
    <row r="56" spans="1:3" x14ac:dyDescent="0.2">
      <c r="A56" s="15">
        <v>41974</v>
      </c>
      <c r="B56" s="14">
        <v>49.4</v>
      </c>
      <c r="C56" s="14">
        <f>Table134681112141516171819[[#This Row],[PMI]]-B55</f>
        <v>0.29999999999999716</v>
      </c>
    </row>
    <row r="57" spans="1:3" x14ac:dyDescent="0.2">
      <c r="A57" s="15">
        <v>42005</v>
      </c>
      <c r="B57" s="14">
        <v>48.3</v>
      </c>
      <c r="C57" s="14">
        <f>Table134681112141516171819[[#This Row],[PMI]]-B56</f>
        <v>-1.1000000000000014</v>
      </c>
    </row>
    <row r="58" spans="1:3" x14ac:dyDescent="0.2">
      <c r="A58" s="15">
        <v>42036</v>
      </c>
      <c r="B58" s="14">
        <v>48.4</v>
      </c>
      <c r="C58" s="14">
        <f>Table134681112141516171819[[#This Row],[PMI]]-B57</f>
        <v>0.10000000000000142</v>
      </c>
    </row>
    <row r="59" spans="1:3" x14ac:dyDescent="0.2">
      <c r="A59" s="15">
        <v>42064</v>
      </c>
      <c r="B59" s="14">
        <v>48.9</v>
      </c>
      <c r="C59" s="14">
        <f>Table134681112141516171819[[#This Row],[PMI]]-B58</f>
        <v>0.5</v>
      </c>
    </row>
    <row r="60" spans="1:3" x14ac:dyDescent="0.2">
      <c r="A60" s="15">
        <v>42095</v>
      </c>
      <c r="B60" s="14">
        <v>46.5</v>
      </c>
      <c r="C60" s="14">
        <f>Table134681112141516171819[[#This Row],[PMI]]-B59</f>
        <v>-2.3999999999999986</v>
      </c>
    </row>
    <row r="61" spans="1:3" x14ac:dyDescent="0.2">
      <c r="A61" s="15">
        <v>42125</v>
      </c>
      <c r="B61" s="14">
        <v>48</v>
      </c>
      <c r="C61" s="14">
        <f>Table134681112141516171819[[#This Row],[PMI]]-B60</f>
        <v>1.5</v>
      </c>
    </row>
    <row r="62" spans="1:3" x14ac:dyDescent="0.2">
      <c r="A62" s="15">
        <v>42156</v>
      </c>
      <c r="B62" s="14">
        <v>46.9</v>
      </c>
      <c r="C62" s="14">
        <f>Table134681112141516171819[[#This Row],[PMI]]-B61</f>
        <v>-1.1000000000000014</v>
      </c>
    </row>
    <row r="63" spans="1:3" x14ac:dyDescent="0.2">
      <c r="A63" s="15">
        <v>42186</v>
      </c>
      <c r="B63" s="14">
        <v>30.2</v>
      </c>
      <c r="C63" s="14">
        <f>Table134681112141516171819[[#This Row],[PMI]]-B62</f>
        <v>-16.7</v>
      </c>
    </row>
    <row r="64" spans="1:3" x14ac:dyDescent="0.2">
      <c r="A64" s="15">
        <v>42217</v>
      </c>
      <c r="B64" s="14">
        <v>39.1</v>
      </c>
      <c r="C64" s="14">
        <f>Table134681112141516171819[[#This Row],[PMI]]-B63</f>
        <v>8.9000000000000021</v>
      </c>
    </row>
    <row r="65" spans="1:3" x14ac:dyDescent="0.2">
      <c r="A65" s="15">
        <v>42248</v>
      </c>
      <c r="B65" s="14">
        <v>43.3</v>
      </c>
      <c r="C65" s="14">
        <f>Table134681112141516171819[[#This Row],[PMI]]-B64</f>
        <v>4.1999999999999957</v>
      </c>
    </row>
    <row r="66" spans="1:3" x14ac:dyDescent="0.2">
      <c r="A66" s="15">
        <v>42278</v>
      </c>
      <c r="B66" s="14">
        <v>47.3</v>
      </c>
      <c r="C66" s="14">
        <f>Table134681112141516171819[[#This Row],[PMI]]-B65</f>
        <v>4</v>
      </c>
    </row>
    <row r="67" spans="1:3" x14ac:dyDescent="0.2">
      <c r="A67" s="15">
        <v>42309</v>
      </c>
      <c r="B67" s="14">
        <v>48.1</v>
      </c>
      <c r="C67" s="14">
        <f>Table134681112141516171819[[#This Row],[PMI]]-B66</f>
        <v>0.80000000000000426</v>
      </c>
    </row>
    <row r="68" spans="1:3" x14ac:dyDescent="0.2">
      <c r="A68" s="15">
        <v>42339</v>
      </c>
      <c r="B68" s="14">
        <v>50.2</v>
      </c>
      <c r="C68" s="14">
        <f>Table134681112141516171819[[#This Row],[PMI]]-B67</f>
        <v>2.1000000000000014</v>
      </c>
    </row>
    <row r="69" spans="1:3" x14ac:dyDescent="0.2">
      <c r="A69" s="15">
        <v>42370</v>
      </c>
      <c r="B69" s="14">
        <v>50</v>
      </c>
      <c r="C69" s="14">
        <f>Table134681112141516171819[[#This Row],[PMI]]-B68</f>
        <v>-0.20000000000000284</v>
      </c>
    </row>
    <row r="70" spans="1:3" x14ac:dyDescent="0.2">
      <c r="A70" s="15">
        <v>42401</v>
      </c>
      <c r="B70" s="14">
        <v>48.4</v>
      </c>
      <c r="C70" s="14">
        <f>Table134681112141516171819[[#This Row],[PMI]]-B69</f>
        <v>-1.6000000000000014</v>
      </c>
    </row>
    <row r="71" spans="1:3" x14ac:dyDescent="0.2">
      <c r="A71" s="15">
        <v>42430</v>
      </c>
      <c r="B71" s="14">
        <v>49</v>
      </c>
      <c r="C71" s="14">
        <f>Table134681112141516171819[[#This Row],[PMI]]-B70</f>
        <v>0.60000000000000142</v>
      </c>
    </row>
    <row r="72" spans="1:3" x14ac:dyDescent="0.2">
      <c r="A72" s="15">
        <v>42461</v>
      </c>
      <c r="B72" s="14">
        <v>49.7</v>
      </c>
      <c r="C72" s="14">
        <f>Table134681112141516171819[[#This Row],[PMI]]-B71</f>
        <v>0.70000000000000284</v>
      </c>
    </row>
    <row r="73" spans="1:3" x14ac:dyDescent="0.2">
      <c r="A73" s="15">
        <v>42491</v>
      </c>
      <c r="B73" s="14">
        <v>48.4</v>
      </c>
      <c r="C73" s="14">
        <f>Table134681112141516171819[[#This Row],[PMI]]-B72</f>
        <v>-1.3000000000000043</v>
      </c>
    </row>
    <row r="74" spans="1:3" x14ac:dyDescent="0.2">
      <c r="A74" s="15">
        <v>42522</v>
      </c>
      <c r="B74" s="14">
        <v>50.4</v>
      </c>
      <c r="C74" s="14">
        <f>Table134681112141516171819[[#This Row],[PMI]]-B73</f>
        <v>2</v>
      </c>
    </row>
    <row r="75" spans="1:3" x14ac:dyDescent="0.2">
      <c r="A75" s="15">
        <v>42552</v>
      </c>
      <c r="B75" s="14">
        <v>48.7</v>
      </c>
      <c r="C75" s="14">
        <f>Table134681112141516171819[[#This Row],[PMI]]-B74</f>
        <v>-1.6999999999999957</v>
      </c>
    </row>
    <row r="76" spans="1:3" x14ac:dyDescent="0.2">
      <c r="A76" s="15">
        <v>42583</v>
      </c>
      <c r="B76" s="14">
        <v>50.4</v>
      </c>
      <c r="C76" s="14">
        <f>Table134681112141516171819[[#This Row],[PMI]]-B75</f>
        <v>1.6999999999999957</v>
      </c>
    </row>
    <row r="77" spans="1:3" x14ac:dyDescent="0.2">
      <c r="A77" s="15">
        <v>42614</v>
      </c>
      <c r="B77" s="14">
        <v>49.2</v>
      </c>
      <c r="C77" s="14">
        <f>Table134681112141516171819[[#This Row],[PMI]]-B76</f>
        <v>-1.1999999999999957</v>
      </c>
    </row>
    <row r="78" spans="1:3" x14ac:dyDescent="0.2">
      <c r="A78" s="15">
        <v>42644</v>
      </c>
      <c r="B78" s="14">
        <v>48.6</v>
      </c>
      <c r="C78" s="14">
        <f>Table134681112141516171819[[#This Row],[PMI]]-B77</f>
        <v>-0.60000000000000142</v>
      </c>
    </row>
    <row r="79" spans="1:3" x14ac:dyDescent="0.2">
      <c r="A79" s="15">
        <v>42675</v>
      </c>
      <c r="B79" s="14">
        <v>48.3</v>
      </c>
      <c r="C79" s="14">
        <f>Table134681112141516171819[[#This Row],[PMI]]-B78</f>
        <v>-0.30000000000000426</v>
      </c>
    </row>
    <row r="80" spans="1:3" x14ac:dyDescent="0.2">
      <c r="A80" s="15">
        <v>42705</v>
      </c>
      <c r="B80" s="14">
        <v>49.3</v>
      </c>
      <c r="C80" s="14">
        <f>Table134681112141516171819[[#This Row],[PMI]]-B79</f>
        <v>1</v>
      </c>
    </row>
    <row r="81" spans="1:3" x14ac:dyDescent="0.2">
      <c r="A81" s="15">
        <v>42736</v>
      </c>
      <c r="B81" s="14">
        <v>46.6</v>
      </c>
      <c r="C81" s="14">
        <f>Table134681112141516171819[[#This Row],[PMI]]-B80</f>
        <v>-2.6999999999999957</v>
      </c>
    </row>
    <row r="82" spans="1:3" x14ac:dyDescent="0.2">
      <c r="A82" s="15">
        <v>42767</v>
      </c>
      <c r="B82" s="14">
        <v>47.7</v>
      </c>
      <c r="C82" s="14">
        <f>Table134681112141516171819[[#This Row],[PMI]]-B81</f>
        <v>1.1000000000000014</v>
      </c>
    </row>
    <row r="83" spans="1:3" x14ac:dyDescent="0.2">
      <c r="A83" s="15">
        <v>42795</v>
      </c>
      <c r="B83" s="14">
        <v>46.7</v>
      </c>
      <c r="C83" s="14">
        <f>Table134681112141516171819[[#This Row],[PMI]]-B82</f>
        <v>-1</v>
      </c>
    </row>
    <row r="84" spans="1:3" x14ac:dyDescent="0.2">
      <c r="A84" s="15">
        <v>42826</v>
      </c>
      <c r="B84" s="14">
        <v>48.2</v>
      </c>
      <c r="C84" s="14">
        <f>Table134681112141516171819[[#This Row],[PMI]]-B83</f>
        <v>1.5</v>
      </c>
    </row>
    <row r="85" spans="1:3" x14ac:dyDescent="0.2">
      <c r="A85" s="15">
        <v>42856</v>
      </c>
      <c r="B85" s="14">
        <v>49.6</v>
      </c>
      <c r="C85" s="14">
        <f>Table134681112141516171819[[#This Row],[PMI]]-B84</f>
        <v>1.3999999999999986</v>
      </c>
    </row>
    <row r="86" spans="1:3" x14ac:dyDescent="0.2">
      <c r="A86" s="15">
        <v>42887</v>
      </c>
      <c r="B86" s="14">
        <v>50.5</v>
      </c>
      <c r="C86" s="14">
        <f>Table134681112141516171819[[#This Row],[PMI]]-B85</f>
        <v>0.89999999999999858</v>
      </c>
    </row>
    <row r="87" spans="1:3" x14ac:dyDescent="0.2">
      <c r="A87" s="15">
        <v>42917</v>
      </c>
      <c r="B87" s="14">
        <v>50.5</v>
      </c>
      <c r="C87" s="14">
        <f>Table134681112141516171819[[#This Row],[PMI]]-B86</f>
        <v>0</v>
      </c>
    </row>
    <row r="88" spans="1:3" x14ac:dyDescent="0.2">
      <c r="A88" s="15">
        <v>42948</v>
      </c>
      <c r="B88" s="14">
        <v>52.2</v>
      </c>
      <c r="C88" s="14">
        <f>Table134681112141516171819[[#This Row],[PMI]]-B87</f>
        <v>1.7000000000000028</v>
      </c>
    </row>
    <row r="89" spans="1:3" x14ac:dyDescent="0.2">
      <c r="A89" s="15">
        <v>42979</v>
      </c>
      <c r="B89" s="14">
        <v>52.8</v>
      </c>
      <c r="C89" s="14">
        <f>Table134681112141516171819[[#This Row],[PMI]]-B88</f>
        <v>0.59999999999999432</v>
      </c>
    </row>
    <row r="90" spans="1:3" x14ac:dyDescent="0.2">
      <c r="A90" s="15">
        <v>43009</v>
      </c>
      <c r="B90" s="14">
        <v>52.1</v>
      </c>
      <c r="C90" s="14">
        <f>Table134681112141516171819[[#This Row],[PMI]]-B89</f>
        <v>-0.69999999999999574</v>
      </c>
    </row>
    <row r="91" spans="1:3" x14ac:dyDescent="0.2">
      <c r="A91" s="15">
        <v>43040</v>
      </c>
      <c r="B91" s="14">
        <v>52.2</v>
      </c>
      <c r="C91" s="14">
        <f>Table134681112141516171819[[#This Row],[PMI]]-B90</f>
        <v>0.10000000000000142</v>
      </c>
    </row>
    <row r="92" spans="1:3" x14ac:dyDescent="0.2">
      <c r="A92" s="15">
        <v>43070</v>
      </c>
      <c r="B92" s="14">
        <v>53.1</v>
      </c>
      <c r="C92" s="14">
        <f>Table134681112141516171819[[#This Row],[PMI]]-B91</f>
        <v>0.89999999999999858</v>
      </c>
    </row>
    <row r="93" spans="1:3" x14ac:dyDescent="0.2">
      <c r="A93" s="15">
        <v>43101</v>
      </c>
      <c r="B93" s="14">
        <v>55.2</v>
      </c>
      <c r="C93" s="14">
        <f>Table134681112141516171819[[#This Row],[PMI]]-B92</f>
        <v>2.1000000000000014</v>
      </c>
    </row>
    <row r="94" spans="1:3" x14ac:dyDescent="0.2">
      <c r="A94" s="15">
        <v>43132</v>
      </c>
      <c r="B94" s="14">
        <v>56.1</v>
      </c>
      <c r="C94" s="14">
        <f>Table134681112141516171819[[#This Row],[PMI]]-B93</f>
        <v>0.89999999999999858</v>
      </c>
    </row>
    <row r="95" spans="1:3" x14ac:dyDescent="0.2">
      <c r="A95" s="15">
        <v>43160</v>
      </c>
      <c r="B95" s="14">
        <v>55</v>
      </c>
      <c r="C95" s="14">
        <f>Table134681112141516171819[[#This Row],[PMI]]-B94</f>
        <v>-1.1000000000000014</v>
      </c>
    </row>
    <row r="96" spans="1:3" x14ac:dyDescent="0.2">
      <c r="A96" s="15">
        <v>43191</v>
      </c>
      <c r="B96" s="14">
        <v>52.9</v>
      </c>
      <c r="C96" s="14">
        <f>Table134681112141516171819[[#This Row],[PMI]]-B95</f>
        <v>-2.1000000000000014</v>
      </c>
    </row>
    <row r="97" spans="1:3" x14ac:dyDescent="0.2">
      <c r="A97" s="15">
        <v>43221</v>
      </c>
      <c r="B97" s="14">
        <v>54.2</v>
      </c>
      <c r="C97" s="14">
        <f>Table134681112141516171819[[#This Row],[PMI]]-B96</f>
        <v>1.3000000000000043</v>
      </c>
    </row>
    <row r="98" spans="1:3" x14ac:dyDescent="0.2">
      <c r="A98" s="15">
        <v>43252</v>
      </c>
      <c r="B98" s="14">
        <v>53.5</v>
      </c>
      <c r="C98" s="14">
        <f>Table134681112141516171819[[#This Row],[PMI]]-B97</f>
        <v>-0.70000000000000284</v>
      </c>
    </row>
    <row r="99" spans="1:3" x14ac:dyDescent="0.2">
      <c r="A99" s="15">
        <v>43282</v>
      </c>
      <c r="B99" s="14">
        <v>53.5</v>
      </c>
      <c r="C99" s="14">
        <f>Table134681112141516171819[[#This Row],[PMI]]-B98</f>
        <v>0</v>
      </c>
    </row>
    <row r="100" spans="1:3" x14ac:dyDescent="0.2">
      <c r="A100" s="15">
        <v>43313</v>
      </c>
      <c r="B100" s="14">
        <v>53.9</v>
      </c>
      <c r="C100" s="14">
        <f>Table134681112141516171819[[#This Row],[PMI]]-B99</f>
        <v>0.39999999999999858</v>
      </c>
    </row>
    <row r="101" spans="1:3" x14ac:dyDescent="0.2">
      <c r="A101" s="15">
        <v>43344</v>
      </c>
      <c r="B101" s="14">
        <v>53.6</v>
      </c>
      <c r="C101" s="14">
        <f>Table134681112141516171819[[#This Row],[PMI]]-B100</f>
        <v>-0.29999999999999716</v>
      </c>
    </row>
    <row r="102" spans="1:3" x14ac:dyDescent="0.2">
      <c r="A102" s="15">
        <v>43374</v>
      </c>
      <c r="B102" s="14">
        <v>53.1</v>
      </c>
      <c r="C102" s="14">
        <f>Table134681112141516171819[[#This Row],[PMI]]-B101</f>
        <v>-0.5</v>
      </c>
    </row>
    <row r="103" spans="1:3" x14ac:dyDescent="0.2">
      <c r="A103" s="15">
        <v>43405</v>
      </c>
      <c r="B103" s="14">
        <v>54</v>
      </c>
      <c r="C103" s="14">
        <f>Table134681112141516171819[[#This Row],[PMI]]-B102</f>
        <v>0.89999999999999858</v>
      </c>
    </row>
    <row r="104" spans="1:3" x14ac:dyDescent="0.2">
      <c r="A104" s="15">
        <v>43435</v>
      </c>
      <c r="B104" s="14">
        <v>53.8</v>
      </c>
      <c r="C104" s="14">
        <f>Table134681112141516171819[[#This Row],[PMI]]-B103</f>
        <v>-0.20000000000000284</v>
      </c>
    </row>
    <row r="105" spans="1:3" x14ac:dyDescent="0.2">
      <c r="A105" s="15">
        <v>43466</v>
      </c>
      <c r="B105" s="14">
        <v>53.7</v>
      </c>
      <c r="C105" s="14">
        <f>Table134681112141516171819[[#This Row],[PMI]]-B104</f>
        <v>-9.9999999999994316E-2</v>
      </c>
    </row>
    <row r="106" spans="1:3" x14ac:dyDescent="0.2">
      <c r="A106" s="15">
        <v>43497</v>
      </c>
      <c r="B106" s="14">
        <v>54.2</v>
      </c>
      <c r="C106" s="14">
        <f>Table134681112141516171819[[#This Row],[PMI]]-B105</f>
        <v>0.5</v>
      </c>
    </row>
    <row r="107" spans="1:3" x14ac:dyDescent="0.2">
      <c r="A107" s="15">
        <v>43525</v>
      </c>
      <c r="B107" s="14">
        <v>54.7</v>
      </c>
      <c r="C107" s="30">
        <f>Table134681112141516171819[[#This Row],[PMI]]-B106</f>
        <v>0.5</v>
      </c>
    </row>
    <row r="108" spans="1:3" x14ac:dyDescent="0.2">
      <c r="A108" s="15">
        <v>43556</v>
      </c>
      <c r="B108" s="14">
        <v>56.6</v>
      </c>
      <c r="C108" s="30">
        <f>Table134681112141516171819[[#This Row],[PMI]]-B107</f>
        <v>1.8999999999999986</v>
      </c>
    </row>
    <row r="109" spans="1:3" x14ac:dyDescent="0.2">
      <c r="A109" s="15">
        <v>43586</v>
      </c>
      <c r="B109" s="14">
        <v>54.2</v>
      </c>
      <c r="C109" s="30">
        <f>Table134681112141516171819[[#This Row],[PMI]]-B108</f>
        <v>-2.3999999999999986</v>
      </c>
    </row>
    <row r="110" spans="1:3" x14ac:dyDescent="0.2">
      <c r="A110" s="15">
        <v>43617</v>
      </c>
      <c r="B110" s="14">
        <v>52.4</v>
      </c>
      <c r="C110" s="30">
        <f>Table134681112141516171819[[#This Row],[PMI]]-B109</f>
        <v>-1.8000000000000043</v>
      </c>
    </row>
    <row r="111" spans="1:3" x14ac:dyDescent="0.2">
      <c r="A111" s="15">
        <v>43647</v>
      </c>
      <c r="B111" s="14">
        <v>54.6</v>
      </c>
      <c r="C111" s="30">
        <f>Table134681112141516171819[[#This Row],[PMI]]-B110</f>
        <v>2.2000000000000028</v>
      </c>
    </row>
    <row r="112" spans="1:3" x14ac:dyDescent="0.2">
      <c r="A112" s="15">
        <v>43678</v>
      </c>
      <c r="B112" s="14">
        <v>54.9</v>
      </c>
      <c r="C112" s="30">
        <f>Table134681112141516171819[[#This Row],[PMI]]-B111</f>
        <v>0.29999999999999716</v>
      </c>
    </row>
    <row r="113" spans="1:3" x14ac:dyDescent="0.2">
      <c r="A113" s="15">
        <v>43709</v>
      </c>
      <c r="B113" s="14">
        <v>53.6</v>
      </c>
      <c r="C113" s="30">
        <f>Table134681112141516171819[[#This Row],[PMI]]-B112</f>
        <v>-1.2999999999999972</v>
      </c>
    </row>
    <row r="114" spans="1:3" x14ac:dyDescent="0.2">
      <c r="A114" s="15">
        <v>43739</v>
      </c>
      <c r="B114" s="14">
        <v>53.5</v>
      </c>
      <c r="C114" s="30">
        <f>Table134681112141516171819[[#This Row],[PMI]]-B113</f>
        <v>-0.10000000000000142</v>
      </c>
    </row>
    <row r="115" spans="1:3" x14ac:dyDescent="0.2">
      <c r="A115" s="15">
        <v>43770</v>
      </c>
      <c r="B115" s="14">
        <v>54.1</v>
      </c>
      <c r="C115" s="30">
        <f>Table134681112141516171819[[#This Row],[PMI]]-B114</f>
        <v>0.60000000000000142</v>
      </c>
    </row>
    <row r="116" spans="1:3" x14ac:dyDescent="0.2">
      <c r="A116" s="15">
        <v>43800</v>
      </c>
      <c r="B116" s="14">
        <v>53.9</v>
      </c>
      <c r="C116" s="30">
        <f>Table134681112141516171819[[#This Row],[PMI]]-B115</f>
        <v>-0.20000000000000284</v>
      </c>
    </row>
    <row r="117" spans="1:3" x14ac:dyDescent="0.2">
      <c r="A117" s="15">
        <v>43831</v>
      </c>
      <c r="B117" s="14">
        <v>54.4</v>
      </c>
      <c r="C117" s="30">
        <f>Table134681112141516171819[[#This Row],[PMI]]-B116</f>
        <v>0.5</v>
      </c>
    </row>
    <row r="118" spans="1:3" x14ac:dyDescent="0.2">
      <c r="A118" s="15">
        <v>43862</v>
      </c>
      <c r="B118" s="14">
        <v>56.2</v>
      </c>
      <c r="C118" s="30">
        <f>Table134681112141516171819[[#This Row],[PMI]]-B117</f>
        <v>1.8000000000000043</v>
      </c>
    </row>
    <row r="119" spans="1:3" x14ac:dyDescent="0.2">
      <c r="A119" s="15">
        <v>43891</v>
      </c>
      <c r="B119" s="14">
        <v>42.5</v>
      </c>
      <c r="C119" s="30">
        <f>Table134681112141516171819[[#This Row],[PMI]]-B118</f>
        <v>-13.700000000000003</v>
      </c>
    </row>
    <row r="120" spans="1:3" x14ac:dyDescent="0.2">
      <c r="A120" s="15">
        <v>43922</v>
      </c>
      <c r="B120" s="14">
        <v>29.5</v>
      </c>
      <c r="C120" s="30">
        <f>Table134681112141516171819[[#This Row],[PMI]]-B119</f>
        <v>-13</v>
      </c>
    </row>
    <row r="121" spans="1:3" x14ac:dyDescent="0.2">
      <c r="A121" s="15">
        <v>43952</v>
      </c>
      <c r="B121" s="14">
        <v>41.1</v>
      </c>
      <c r="C121" s="30">
        <f>Table134681112141516171819[[#This Row],[PMI]]-B120</f>
        <v>11.600000000000001</v>
      </c>
    </row>
    <row r="122" spans="1:3" x14ac:dyDescent="0.2">
      <c r="A122" s="15">
        <v>43983</v>
      </c>
      <c r="B122" s="14">
        <v>49.4</v>
      </c>
      <c r="C122" s="30">
        <f>Table134681112141516171819[[#This Row],[PMI]]-B121</f>
        <v>8.2999999999999972</v>
      </c>
    </row>
    <row r="123" spans="1:3" x14ac:dyDescent="0.2">
      <c r="A123" s="15">
        <v>44013</v>
      </c>
      <c r="B123" s="14">
        <v>48.6</v>
      </c>
      <c r="C123" s="30">
        <f>Table134681112141516171819[[#This Row],[PMI]]-B122</f>
        <v>-0.79999999999999716</v>
      </c>
    </row>
    <row r="124" spans="1:3" x14ac:dyDescent="0.2">
      <c r="A124" s="15">
        <v>44044</v>
      </c>
      <c r="B124" s="14">
        <v>49.4</v>
      </c>
      <c r="C124" s="30">
        <f>Table134681112141516171819[[#This Row],[PMI]]-B123</f>
        <v>0.79999999999999716</v>
      </c>
    </row>
    <row r="125" spans="1:3" x14ac:dyDescent="0.2">
      <c r="A125" s="15">
        <v>44075</v>
      </c>
      <c r="B125" s="14">
        <v>50</v>
      </c>
      <c r="C125" s="30">
        <f>Table134681112141516171819[[#This Row],[PMI]]-B124</f>
        <v>0.60000000000000142</v>
      </c>
    </row>
    <row r="126" spans="1:3" x14ac:dyDescent="0.2">
      <c r="A126" s="15">
        <v>44105</v>
      </c>
      <c r="B126" s="14">
        <v>48.7</v>
      </c>
      <c r="C126" s="30">
        <f>Table134681112141516171819[[#This Row],[PMI]]-B125</f>
        <v>-1.2999999999999972</v>
      </c>
    </row>
    <row r="127" spans="1:3" x14ac:dyDescent="0.2">
      <c r="A127" s="15">
        <v>44136</v>
      </c>
      <c r="B127" s="14">
        <v>42.3</v>
      </c>
      <c r="C127" s="30">
        <f>Table134681112141516171819[[#This Row],[PMI]]-B126</f>
        <v>-6.4000000000000057</v>
      </c>
    </row>
    <row r="128" spans="1:3" x14ac:dyDescent="0.2">
      <c r="A128" s="15">
        <v>44166</v>
      </c>
      <c r="B128" s="14">
        <v>46.9</v>
      </c>
      <c r="C128" s="30">
        <f>Table134681112141516171819[[#This Row],[PMI]]-B127</f>
        <v>4.6000000000000014</v>
      </c>
    </row>
    <row r="129" spans="1:3" x14ac:dyDescent="0.2">
      <c r="A129" s="15">
        <v>44197</v>
      </c>
      <c r="B129" s="14">
        <v>50</v>
      </c>
      <c r="C129" s="30">
        <f>Table134681112141516171819[[#This Row],[PMI]]-B128</f>
        <v>3.1000000000000014</v>
      </c>
    </row>
    <row r="130" spans="1:3" x14ac:dyDescent="0.2">
      <c r="A130" s="15">
        <v>44228</v>
      </c>
      <c r="B130" s="14">
        <v>49.4</v>
      </c>
      <c r="C130" s="30">
        <f>Table134681112141516171819[[#This Row],[PMI]]-B129</f>
        <v>-0.60000000000000142</v>
      </c>
    </row>
    <row r="131" spans="1:3" x14ac:dyDescent="0.2">
      <c r="A131" s="15">
        <v>44256</v>
      </c>
      <c r="B131" s="14">
        <v>51.8</v>
      </c>
      <c r="C131" s="30">
        <f>Table134681112141516171819[[#This Row],[PMI]]-B130</f>
        <v>2.3999999999999986</v>
      </c>
    </row>
    <row r="132" spans="1:3" x14ac:dyDescent="0.2">
      <c r="A132" s="15">
        <v>44287</v>
      </c>
      <c r="B132" s="14">
        <v>54.4</v>
      </c>
      <c r="C132" s="30">
        <f>Table134681112141516171819[[#This Row],[PMI]]-B131</f>
        <v>2.6000000000000014</v>
      </c>
    </row>
    <row r="133" spans="1:3" x14ac:dyDescent="0.2">
      <c r="A133" s="15">
        <v>44317</v>
      </c>
      <c r="B133" s="14">
        <v>58</v>
      </c>
      <c r="C133" s="30">
        <f>Table134681112141516171819[[#This Row],[PMI]]-B132</f>
        <v>3.6000000000000014</v>
      </c>
    </row>
    <row r="134" spans="1:3" x14ac:dyDescent="0.2">
      <c r="A134" s="15">
        <v>44348</v>
      </c>
      <c r="B134" s="14">
        <v>58.6</v>
      </c>
      <c r="C134" s="30">
        <f>Table134681112141516171819[[#This Row],[PMI]]-B133</f>
        <v>0.60000000000000142</v>
      </c>
    </row>
    <row r="135" spans="1:3" x14ac:dyDescent="0.2">
      <c r="A135" s="15">
        <v>44378</v>
      </c>
      <c r="B135" s="14">
        <v>57.4</v>
      </c>
      <c r="C135" s="30">
        <f>Table134681112141516171819[[#This Row],[PMI]]-B134</f>
        <v>-1.2000000000000028</v>
      </c>
    </row>
    <row r="136" spans="1:3" x14ac:dyDescent="0.2">
      <c r="A136" s="15">
        <v>44409</v>
      </c>
      <c r="B136" s="14">
        <v>59.3</v>
      </c>
      <c r="C136" s="30">
        <f>Table134681112141516171819[[#This Row],[PMI]]-B135</f>
        <v>1.8999999999999986</v>
      </c>
    </row>
    <row r="137" spans="1:3" x14ac:dyDescent="0.2">
      <c r="A137" s="15">
        <v>44440</v>
      </c>
      <c r="B137" s="14">
        <v>58.4</v>
      </c>
      <c r="C137" s="30">
        <f>Table134681112141516171819[[#This Row],[PMI]]-B136</f>
        <v>-0.89999999999999858</v>
      </c>
    </row>
    <row r="138" spans="1:3" x14ac:dyDescent="0.2">
      <c r="A138" s="15">
        <v>44470</v>
      </c>
      <c r="B138" s="14">
        <v>58.9</v>
      </c>
      <c r="C138" s="30">
        <f>Table134681112141516171819[[#This Row],[PMI]]-B137</f>
        <v>0.5</v>
      </c>
    </row>
    <row r="139" spans="1:3" x14ac:dyDescent="0.2">
      <c r="A139" s="15">
        <v>44501</v>
      </c>
      <c r="B139" s="14">
        <v>58.8</v>
      </c>
      <c r="C139" s="30">
        <f>Table134681112141516171819[[#This Row],[PMI]]-B138</f>
        <v>-0.10000000000000142</v>
      </c>
    </row>
    <row r="140" spans="1:3" x14ac:dyDescent="0.2">
      <c r="A140" s="15">
        <v>44531</v>
      </c>
      <c r="B140" s="14">
        <v>59</v>
      </c>
      <c r="C140" s="30">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3A589-BC11-442A-BB87-C06BC00C7DAC}">
  <dimension ref="A1:K140"/>
  <sheetViews>
    <sheetView zoomScale="160" zoomScaleNormal="160" workbookViewId="0">
      <pane ySplit="5" topLeftCell="A102"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36</v>
      </c>
      <c r="K1" s="10" t="s">
        <v>21</v>
      </c>
    </row>
    <row r="2" spans="1:11" x14ac:dyDescent="0.2">
      <c r="K2" s="10" t="str">
        <f>A1&amp;K1</f>
        <v>Ireland Manufacturing PMI</v>
      </c>
    </row>
    <row r="4" spans="1:11" ht="16" thickBot="1" x14ac:dyDescent="0.25"/>
    <row r="5" spans="1:11" ht="16" thickBot="1" x14ac:dyDescent="0.25">
      <c r="A5" s="27" t="s">
        <v>10</v>
      </c>
      <c r="B5" s="28" t="s">
        <v>11</v>
      </c>
      <c r="C5" s="28" t="s">
        <v>14</v>
      </c>
    </row>
    <row r="6" spans="1:11" x14ac:dyDescent="0.2">
      <c r="A6" s="23">
        <v>40452</v>
      </c>
      <c r="B6" s="24">
        <v>50.9</v>
      </c>
      <c r="C6" s="24"/>
    </row>
    <row r="7" spans="1:11" x14ac:dyDescent="0.2">
      <c r="A7" s="15">
        <v>40483</v>
      </c>
      <c r="B7" s="14">
        <v>51.2</v>
      </c>
      <c r="C7" s="14">
        <f>Table13468111214151617181920[[#This Row],[PMI]]-B6</f>
        <v>0.30000000000000426</v>
      </c>
    </row>
    <row r="8" spans="1:11" x14ac:dyDescent="0.2">
      <c r="A8" s="15">
        <v>40513</v>
      </c>
      <c r="B8" s="14">
        <v>52.2</v>
      </c>
      <c r="C8" s="14">
        <f>Table13468111214151617181920[[#This Row],[PMI]]-B7</f>
        <v>1</v>
      </c>
    </row>
    <row r="9" spans="1:11" x14ac:dyDescent="0.2">
      <c r="A9" s="15">
        <v>40544</v>
      </c>
      <c r="B9" s="14">
        <v>55.8</v>
      </c>
      <c r="C9" s="14">
        <f>Table13468111214151617181920[[#This Row],[PMI]]-B8</f>
        <v>3.5999999999999943</v>
      </c>
    </row>
    <row r="10" spans="1:11" x14ac:dyDescent="0.2">
      <c r="A10" s="15">
        <v>40575</v>
      </c>
      <c r="B10" s="14">
        <v>56.7</v>
      </c>
      <c r="C10" s="14">
        <f>Table13468111214151617181920[[#This Row],[PMI]]-B9</f>
        <v>0.90000000000000568</v>
      </c>
    </row>
    <row r="11" spans="1:11" x14ac:dyDescent="0.2">
      <c r="A11" s="15">
        <v>40603</v>
      </c>
      <c r="B11" s="14">
        <v>55.7</v>
      </c>
      <c r="C11" s="14">
        <f>Table13468111214151617181920[[#This Row],[PMI]]-B10</f>
        <v>-1</v>
      </c>
    </row>
    <row r="12" spans="1:11" x14ac:dyDescent="0.2">
      <c r="A12" s="15">
        <v>40634</v>
      </c>
      <c r="B12" s="14">
        <v>56</v>
      </c>
      <c r="C12" s="14">
        <f>Table13468111214151617181920[[#This Row],[PMI]]-B11</f>
        <v>0.29999999999999716</v>
      </c>
    </row>
    <row r="13" spans="1:11" x14ac:dyDescent="0.2">
      <c r="A13" s="15">
        <v>40664</v>
      </c>
      <c r="B13" s="14">
        <v>51.8</v>
      </c>
      <c r="C13" s="14">
        <f>Table13468111214151617181920[[#This Row],[PMI]]-B12</f>
        <v>-4.2000000000000028</v>
      </c>
    </row>
    <row r="14" spans="1:11" x14ac:dyDescent="0.2">
      <c r="A14" s="15">
        <v>40695</v>
      </c>
      <c r="B14" s="14">
        <v>49.8</v>
      </c>
      <c r="C14" s="14">
        <f>Table13468111214151617181920[[#This Row],[PMI]]-B13</f>
        <v>-2</v>
      </c>
    </row>
    <row r="15" spans="1:11" x14ac:dyDescent="0.2">
      <c r="A15" s="15">
        <v>40725</v>
      </c>
      <c r="B15" s="14">
        <v>48.2</v>
      </c>
      <c r="C15" s="14">
        <f>Table13468111214151617181920[[#This Row],[PMI]]-B14</f>
        <v>-1.5999999999999943</v>
      </c>
    </row>
    <row r="16" spans="1:11" x14ac:dyDescent="0.2">
      <c r="A16" s="15">
        <v>40756</v>
      </c>
      <c r="B16" s="14">
        <v>49.7</v>
      </c>
      <c r="C16" s="14">
        <f>Table13468111214151617181920[[#This Row],[PMI]]-B15</f>
        <v>1.5</v>
      </c>
    </row>
    <row r="17" spans="1:3" x14ac:dyDescent="0.2">
      <c r="A17" s="15">
        <v>40787</v>
      </c>
      <c r="B17" s="14">
        <v>47.3</v>
      </c>
      <c r="C17" s="14">
        <f>Table13468111214151617181920[[#This Row],[PMI]]-B16</f>
        <v>-2.4000000000000057</v>
      </c>
    </row>
    <row r="18" spans="1:3" x14ac:dyDescent="0.2">
      <c r="A18" s="15">
        <v>40817</v>
      </c>
      <c r="B18" s="14">
        <v>50.1</v>
      </c>
      <c r="C18" s="14">
        <f>Table13468111214151617181920[[#This Row],[PMI]]-B17</f>
        <v>2.8000000000000043</v>
      </c>
    </row>
    <row r="19" spans="1:3" x14ac:dyDescent="0.2">
      <c r="A19" s="15">
        <v>40848</v>
      </c>
      <c r="B19" s="14">
        <v>48.5</v>
      </c>
      <c r="C19" s="14">
        <f>Table13468111214151617181920[[#This Row],[PMI]]-B18</f>
        <v>-1.6000000000000014</v>
      </c>
    </row>
    <row r="20" spans="1:3" x14ac:dyDescent="0.2">
      <c r="A20" s="15">
        <v>40878</v>
      </c>
      <c r="B20" s="14">
        <v>49.8</v>
      </c>
      <c r="C20" s="14">
        <f>Table13468111214151617181920[[#This Row],[PMI]]-B19</f>
        <v>1.2999999999999972</v>
      </c>
    </row>
    <row r="21" spans="1:3" x14ac:dyDescent="0.2">
      <c r="A21" s="15">
        <v>40909</v>
      </c>
      <c r="B21" s="14">
        <v>49.3</v>
      </c>
      <c r="C21" s="14">
        <f>Table13468111214151617181920[[#This Row],[PMI]]-B20</f>
        <v>-0.5</v>
      </c>
    </row>
    <row r="22" spans="1:3" x14ac:dyDescent="0.2">
      <c r="A22" s="15">
        <v>40940</v>
      </c>
      <c r="B22" s="14">
        <v>49.7</v>
      </c>
      <c r="C22" s="14">
        <f>Table13468111214151617181920[[#This Row],[PMI]]-B21</f>
        <v>0.40000000000000568</v>
      </c>
    </row>
    <row r="23" spans="1:3" x14ac:dyDescent="0.2">
      <c r="A23" s="15">
        <v>40969</v>
      </c>
      <c r="B23" s="14">
        <v>51.5</v>
      </c>
      <c r="C23" s="14">
        <f>Table13468111214151617181920[[#This Row],[PMI]]-B22</f>
        <v>1.7999999999999972</v>
      </c>
    </row>
    <row r="24" spans="1:3" x14ac:dyDescent="0.2">
      <c r="A24" s="15">
        <v>41000</v>
      </c>
      <c r="B24" s="14">
        <v>50.1</v>
      </c>
      <c r="C24" s="14">
        <f>Table13468111214151617181920[[#This Row],[PMI]]-B23</f>
        <v>-1.3999999999999986</v>
      </c>
    </row>
    <row r="25" spans="1:3" x14ac:dyDescent="0.2">
      <c r="A25" s="15">
        <v>41030</v>
      </c>
      <c r="B25" s="14">
        <v>51.2</v>
      </c>
      <c r="C25" s="14">
        <f>Table13468111214151617181920[[#This Row],[PMI]]-B24</f>
        <v>1.1000000000000014</v>
      </c>
    </row>
    <row r="26" spans="1:3" x14ac:dyDescent="0.2">
      <c r="A26" s="15">
        <v>41061</v>
      </c>
      <c r="B26" s="14">
        <v>53.1</v>
      </c>
      <c r="C26" s="14">
        <f>Table13468111214151617181920[[#This Row],[PMI]]-B25</f>
        <v>1.8999999999999986</v>
      </c>
    </row>
    <row r="27" spans="1:3" x14ac:dyDescent="0.2">
      <c r="A27" s="15">
        <v>41091</v>
      </c>
      <c r="B27" s="14">
        <v>53.9</v>
      </c>
      <c r="C27" s="14">
        <f>Table13468111214151617181920[[#This Row],[PMI]]-B26</f>
        <v>0.79999999999999716</v>
      </c>
    </row>
    <row r="28" spans="1:3" x14ac:dyDescent="0.2">
      <c r="A28" s="15">
        <v>41122</v>
      </c>
      <c r="B28" s="14">
        <v>50.9</v>
      </c>
      <c r="C28" s="14">
        <f>Table13468111214151617181920[[#This Row],[PMI]]-B27</f>
        <v>-3</v>
      </c>
    </row>
    <row r="29" spans="1:3" x14ac:dyDescent="0.2">
      <c r="A29" s="15">
        <v>41153</v>
      </c>
      <c r="B29" s="14">
        <v>51.8</v>
      </c>
      <c r="C29" s="14">
        <f>Table13468111214151617181920[[#This Row],[PMI]]-B28</f>
        <v>0.89999999999999858</v>
      </c>
    </row>
    <row r="30" spans="1:3" x14ac:dyDescent="0.2">
      <c r="A30" s="15">
        <v>41183</v>
      </c>
      <c r="B30" s="14">
        <v>52.1</v>
      </c>
      <c r="C30" s="14">
        <f>Table13468111214151617181920[[#This Row],[PMI]]-B29</f>
        <v>0.30000000000000426</v>
      </c>
    </row>
    <row r="31" spans="1:3" x14ac:dyDescent="0.2">
      <c r="A31" s="15">
        <v>41214</v>
      </c>
      <c r="B31" s="14">
        <v>52.4</v>
      </c>
      <c r="C31" s="14">
        <f>Table13468111214151617181920[[#This Row],[PMI]]-B30</f>
        <v>0.29999999999999716</v>
      </c>
    </row>
    <row r="32" spans="1:3" x14ac:dyDescent="0.2">
      <c r="A32" s="15">
        <v>41244</v>
      </c>
      <c r="B32" s="14">
        <v>51.4</v>
      </c>
      <c r="C32" s="14">
        <f>Table13468111214151617181920[[#This Row],[PMI]]-B31</f>
        <v>-1</v>
      </c>
    </row>
    <row r="33" spans="1:3" x14ac:dyDescent="0.2">
      <c r="A33" s="15">
        <v>41275</v>
      </c>
      <c r="B33" s="14">
        <v>50.3</v>
      </c>
      <c r="C33" s="14">
        <f>Table13468111214151617181920[[#This Row],[PMI]]-B32</f>
        <v>-1.1000000000000014</v>
      </c>
    </row>
    <row r="34" spans="1:3" x14ac:dyDescent="0.2">
      <c r="A34" s="15">
        <v>41306</v>
      </c>
      <c r="B34" s="14">
        <v>51.5</v>
      </c>
      <c r="C34" s="14">
        <f>Table13468111214151617181920[[#This Row],[PMI]]-B33</f>
        <v>1.2000000000000028</v>
      </c>
    </row>
    <row r="35" spans="1:3" x14ac:dyDescent="0.2">
      <c r="A35" s="15">
        <v>41334</v>
      </c>
      <c r="B35" s="14">
        <v>48.6</v>
      </c>
      <c r="C35" s="14">
        <f>Table13468111214151617181920[[#This Row],[PMI]]-B34</f>
        <v>-2.8999999999999986</v>
      </c>
    </row>
    <row r="36" spans="1:3" x14ac:dyDescent="0.2">
      <c r="A36" s="15">
        <v>41365</v>
      </c>
      <c r="B36" s="14">
        <v>48</v>
      </c>
      <c r="C36" s="14">
        <f>Table13468111214151617181920[[#This Row],[PMI]]-B35</f>
        <v>-0.60000000000000142</v>
      </c>
    </row>
    <row r="37" spans="1:3" x14ac:dyDescent="0.2">
      <c r="A37" s="15">
        <v>41395</v>
      </c>
      <c r="B37" s="14">
        <v>49.7</v>
      </c>
      <c r="C37" s="14">
        <f>Table13468111214151617181920[[#This Row],[PMI]]-B36</f>
        <v>1.7000000000000028</v>
      </c>
    </row>
    <row r="38" spans="1:3" x14ac:dyDescent="0.2">
      <c r="A38" s="15">
        <v>41426</v>
      </c>
      <c r="B38" s="14">
        <v>50.3</v>
      </c>
      <c r="C38" s="14">
        <f>Table13468111214151617181920[[#This Row],[PMI]]-B37</f>
        <v>0.59999999999999432</v>
      </c>
    </row>
    <row r="39" spans="1:3" x14ac:dyDescent="0.2">
      <c r="A39" s="15">
        <v>41456</v>
      </c>
      <c r="B39" s="14">
        <v>51</v>
      </c>
      <c r="C39" s="14">
        <f>Table13468111214151617181920[[#This Row],[PMI]]-B38</f>
        <v>0.70000000000000284</v>
      </c>
    </row>
    <row r="40" spans="1:3" x14ac:dyDescent="0.2">
      <c r="A40" s="15">
        <v>41487</v>
      </c>
      <c r="B40" s="14">
        <v>52</v>
      </c>
      <c r="C40" s="14">
        <f>Table13468111214151617181920[[#This Row],[PMI]]-B39</f>
        <v>1</v>
      </c>
    </row>
    <row r="41" spans="1:3" x14ac:dyDescent="0.2">
      <c r="A41" s="15">
        <v>41518</v>
      </c>
      <c r="B41" s="14">
        <v>52.7</v>
      </c>
      <c r="C41" s="14">
        <f>Table13468111214151617181920[[#This Row],[PMI]]-B40</f>
        <v>0.70000000000000284</v>
      </c>
    </row>
    <row r="42" spans="1:3" x14ac:dyDescent="0.2">
      <c r="A42" s="15">
        <v>41548</v>
      </c>
      <c r="B42" s="14">
        <v>54.9</v>
      </c>
      <c r="C42" s="14">
        <f>Table13468111214151617181920[[#This Row],[PMI]]-B41</f>
        <v>2.1999999999999957</v>
      </c>
    </row>
    <row r="43" spans="1:3" x14ac:dyDescent="0.2">
      <c r="A43" s="15">
        <v>41579</v>
      </c>
      <c r="B43" s="14">
        <v>52.4</v>
      </c>
      <c r="C43" s="14">
        <f>Table13468111214151617181920[[#This Row],[PMI]]-B42</f>
        <v>-2.5</v>
      </c>
    </row>
    <row r="44" spans="1:3" x14ac:dyDescent="0.2">
      <c r="A44" s="15">
        <v>41609</v>
      </c>
      <c r="B44" s="14">
        <v>53.5</v>
      </c>
      <c r="C44" s="14">
        <f>Table13468111214151617181920[[#This Row],[PMI]]-B43</f>
        <v>1.1000000000000014</v>
      </c>
    </row>
    <row r="45" spans="1:3" x14ac:dyDescent="0.2">
      <c r="A45" s="15">
        <v>41640</v>
      </c>
      <c r="B45" s="14">
        <v>52.8</v>
      </c>
      <c r="C45" s="14">
        <f>Table13468111214151617181920[[#This Row],[PMI]]-B44</f>
        <v>-0.70000000000000284</v>
      </c>
    </row>
    <row r="46" spans="1:3" x14ac:dyDescent="0.2">
      <c r="A46" s="15">
        <v>41671</v>
      </c>
      <c r="B46" s="14">
        <v>52.9</v>
      </c>
      <c r="C46" s="14">
        <f>Table13468111214151617181920[[#This Row],[PMI]]-B45</f>
        <v>0.10000000000000142</v>
      </c>
    </row>
    <row r="47" spans="1:3" x14ac:dyDescent="0.2">
      <c r="A47" s="15">
        <v>41699</v>
      </c>
      <c r="B47" s="14">
        <v>55.5</v>
      </c>
      <c r="C47" s="14">
        <f>Table13468111214151617181920[[#This Row],[PMI]]-B46</f>
        <v>2.6000000000000014</v>
      </c>
    </row>
    <row r="48" spans="1:3" x14ac:dyDescent="0.2">
      <c r="A48" s="15">
        <v>41730</v>
      </c>
      <c r="B48" s="14">
        <v>56.1</v>
      </c>
      <c r="C48" s="14">
        <f>Table13468111214151617181920[[#This Row],[PMI]]-B47</f>
        <v>0.60000000000000142</v>
      </c>
    </row>
    <row r="49" spans="1:3" x14ac:dyDescent="0.2">
      <c r="A49" s="15">
        <v>41760</v>
      </c>
      <c r="B49" s="14">
        <v>55</v>
      </c>
      <c r="C49" s="14">
        <f>Table13468111214151617181920[[#This Row],[PMI]]-B48</f>
        <v>-1.1000000000000014</v>
      </c>
    </row>
    <row r="50" spans="1:3" x14ac:dyDescent="0.2">
      <c r="A50" s="15">
        <v>41791</v>
      </c>
      <c r="B50" s="14">
        <v>55.3</v>
      </c>
      <c r="C50" s="14">
        <f>Table13468111214151617181920[[#This Row],[PMI]]-B49</f>
        <v>0.29999999999999716</v>
      </c>
    </row>
    <row r="51" spans="1:3" x14ac:dyDescent="0.2">
      <c r="A51" s="15">
        <v>41821</v>
      </c>
      <c r="B51" s="14">
        <v>55.4</v>
      </c>
      <c r="C51" s="14">
        <f>Table13468111214151617181920[[#This Row],[PMI]]-B50</f>
        <v>0.10000000000000142</v>
      </c>
    </row>
    <row r="52" spans="1:3" x14ac:dyDescent="0.2">
      <c r="A52" s="15">
        <v>41852</v>
      </c>
      <c r="B52" s="14">
        <v>57.3</v>
      </c>
      <c r="C52" s="14">
        <f>Table13468111214151617181920[[#This Row],[PMI]]-B51</f>
        <v>1.8999999999999986</v>
      </c>
    </row>
    <row r="53" spans="1:3" x14ac:dyDescent="0.2">
      <c r="A53" s="15">
        <v>41883</v>
      </c>
      <c r="B53" s="14">
        <v>55.7</v>
      </c>
      <c r="C53" s="14">
        <f>Table13468111214151617181920[[#This Row],[PMI]]-B52</f>
        <v>-1.5999999999999943</v>
      </c>
    </row>
    <row r="54" spans="1:3" x14ac:dyDescent="0.2">
      <c r="A54" s="15">
        <v>41913</v>
      </c>
      <c r="B54" s="14">
        <v>56.6</v>
      </c>
      <c r="C54" s="14">
        <f>Table13468111214151617181920[[#This Row],[PMI]]-B53</f>
        <v>0.89999999999999858</v>
      </c>
    </row>
    <row r="55" spans="1:3" x14ac:dyDescent="0.2">
      <c r="A55" s="15">
        <v>41944</v>
      </c>
      <c r="B55" s="14">
        <v>56.2</v>
      </c>
      <c r="C55" s="14">
        <f>Table13468111214151617181920[[#This Row],[PMI]]-B54</f>
        <v>-0.39999999999999858</v>
      </c>
    </row>
    <row r="56" spans="1:3" x14ac:dyDescent="0.2">
      <c r="A56" s="15">
        <v>41974</v>
      </c>
      <c r="B56" s="14">
        <v>56.9</v>
      </c>
      <c r="C56" s="14">
        <f>Table13468111214151617181920[[#This Row],[PMI]]-B55</f>
        <v>0.69999999999999574</v>
      </c>
    </row>
    <row r="57" spans="1:3" x14ac:dyDescent="0.2">
      <c r="A57" s="15">
        <v>42005</v>
      </c>
      <c r="B57" s="14">
        <v>55.1</v>
      </c>
      <c r="C57" s="14">
        <f>Table13468111214151617181920[[#This Row],[PMI]]-B56</f>
        <v>-1.7999999999999972</v>
      </c>
    </row>
    <row r="58" spans="1:3" x14ac:dyDescent="0.2">
      <c r="A58" s="15">
        <v>42036</v>
      </c>
      <c r="B58" s="14">
        <v>57.5</v>
      </c>
      <c r="C58" s="14">
        <f>Table13468111214151617181920[[#This Row],[PMI]]-B57</f>
        <v>2.3999999999999986</v>
      </c>
    </row>
    <row r="59" spans="1:3" x14ac:dyDescent="0.2">
      <c r="A59" s="15">
        <v>42064</v>
      </c>
      <c r="B59" s="14">
        <v>56.8</v>
      </c>
      <c r="C59" s="14">
        <f>Table13468111214151617181920[[#This Row],[PMI]]-B58</f>
        <v>-0.70000000000000284</v>
      </c>
    </row>
    <row r="60" spans="1:3" x14ac:dyDescent="0.2">
      <c r="A60" s="15">
        <v>42095</v>
      </c>
      <c r="B60" s="14">
        <v>55.8</v>
      </c>
      <c r="C60" s="14">
        <f>Table13468111214151617181920[[#This Row],[PMI]]-B59</f>
        <v>-1</v>
      </c>
    </row>
    <row r="61" spans="1:3" x14ac:dyDescent="0.2">
      <c r="A61" s="15">
        <v>42125</v>
      </c>
      <c r="B61" s="14">
        <v>57.1</v>
      </c>
      <c r="C61" s="14">
        <f>Table13468111214151617181920[[#This Row],[PMI]]-B60</f>
        <v>1.3000000000000043</v>
      </c>
    </row>
    <row r="62" spans="1:3" x14ac:dyDescent="0.2">
      <c r="A62" s="15">
        <v>42156</v>
      </c>
      <c r="B62" s="14">
        <v>54.6</v>
      </c>
      <c r="C62" s="14">
        <f>Table13468111214151617181920[[#This Row],[PMI]]-B61</f>
        <v>-2.5</v>
      </c>
    </row>
    <row r="63" spans="1:3" x14ac:dyDescent="0.2">
      <c r="A63" s="15">
        <v>42186</v>
      </c>
      <c r="B63" s="14">
        <v>56.7</v>
      </c>
      <c r="C63" s="14">
        <f>Table13468111214151617181920[[#This Row],[PMI]]-B62</f>
        <v>2.1000000000000014</v>
      </c>
    </row>
    <row r="64" spans="1:3" x14ac:dyDescent="0.2">
      <c r="A64" s="15">
        <v>42217</v>
      </c>
      <c r="B64" s="14">
        <v>53.6</v>
      </c>
      <c r="C64" s="14">
        <f>Table13468111214151617181920[[#This Row],[PMI]]-B63</f>
        <v>-3.1000000000000014</v>
      </c>
    </row>
    <row r="65" spans="1:3" x14ac:dyDescent="0.2">
      <c r="A65" s="15">
        <v>42248</v>
      </c>
      <c r="B65" s="14">
        <v>53.8</v>
      </c>
      <c r="C65" s="14">
        <f>Table13468111214151617181920[[#This Row],[PMI]]-B64</f>
        <v>0.19999999999999574</v>
      </c>
    </row>
    <row r="66" spans="1:3" x14ac:dyDescent="0.2">
      <c r="A66" s="15">
        <v>42278</v>
      </c>
      <c r="B66" s="14">
        <v>53.6</v>
      </c>
      <c r="C66" s="14">
        <f>Table13468111214151617181920[[#This Row],[PMI]]-B65</f>
        <v>-0.19999999999999574</v>
      </c>
    </row>
    <row r="67" spans="1:3" x14ac:dyDescent="0.2">
      <c r="A67" s="15">
        <v>42309</v>
      </c>
      <c r="B67" s="14">
        <v>53.3</v>
      </c>
      <c r="C67" s="14">
        <f>Table13468111214151617181920[[#This Row],[PMI]]-B66</f>
        <v>-0.30000000000000426</v>
      </c>
    </row>
    <row r="68" spans="1:3" x14ac:dyDescent="0.2">
      <c r="A68" s="15">
        <v>42339</v>
      </c>
      <c r="B68" s="14">
        <v>54.2</v>
      </c>
      <c r="C68" s="14">
        <f>Table13468111214151617181920[[#This Row],[PMI]]-B67</f>
        <v>0.90000000000000568</v>
      </c>
    </row>
    <row r="69" spans="1:3" x14ac:dyDescent="0.2">
      <c r="A69" s="15">
        <v>42370</v>
      </c>
      <c r="B69" s="14">
        <v>54.3</v>
      </c>
      <c r="C69" s="14">
        <f>Table13468111214151617181920[[#This Row],[PMI]]-B68</f>
        <v>9.9999999999994316E-2</v>
      </c>
    </row>
    <row r="70" spans="1:3" x14ac:dyDescent="0.2">
      <c r="A70" s="15">
        <v>42401</v>
      </c>
      <c r="B70" s="14">
        <v>52.9</v>
      </c>
      <c r="C70" s="14">
        <f>Table13468111214151617181920[[#This Row],[PMI]]-B69</f>
        <v>-1.3999999999999986</v>
      </c>
    </row>
    <row r="71" spans="1:3" x14ac:dyDescent="0.2">
      <c r="A71" s="15">
        <v>42430</v>
      </c>
      <c r="B71" s="14">
        <v>54.9</v>
      </c>
      <c r="C71" s="14">
        <f>Table13468111214151617181920[[#This Row],[PMI]]-B70</f>
        <v>2</v>
      </c>
    </row>
    <row r="72" spans="1:3" x14ac:dyDescent="0.2">
      <c r="A72" s="15">
        <v>42461</v>
      </c>
      <c r="B72" s="14">
        <v>52.6</v>
      </c>
      <c r="C72" s="14">
        <f>Table13468111214151617181920[[#This Row],[PMI]]-B71</f>
        <v>-2.2999999999999972</v>
      </c>
    </row>
    <row r="73" spans="1:3" x14ac:dyDescent="0.2">
      <c r="A73" s="15">
        <v>42491</v>
      </c>
      <c r="B73" s="14">
        <v>51.5</v>
      </c>
      <c r="C73" s="14">
        <f>Table13468111214151617181920[[#This Row],[PMI]]-B72</f>
        <v>-1.1000000000000014</v>
      </c>
    </row>
    <row r="74" spans="1:3" x14ac:dyDescent="0.2">
      <c r="A74" s="15">
        <v>42522</v>
      </c>
      <c r="B74" s="14">
        <v>53</v>
      </c>
      <c r="C74" s="14">
        <f>Table13468111214151617181920[[#This Row],[PMI]]-B73</f>
        <v>1.5</v>
      </c>
    </row>
    <row r="75" spans="1:3" x14ac:dyDescent="0.2">
      <c r="A75" s="15">
        <v>42552</v>
      </c>
      <c r="B75" s="14">
        <v>50.2</v>
      </c>
      <c r="C75" s="14">
        <f>Table13468111214151617181920[[#This Row],[PMI]]-B74</f>
        <v>-2.7999999999999972</v>
      </c>
    </row>
    <row r="76" spans="1:3" x14ac:dyDescent="0.2">
      <c r="A76" s="15">
        <v>42583</v>
      </c>
      <c r="B76" s="14">
        <v>51.7</v>
      </c>
      <c r="C76" s="14">
        <f>Table13468111214151617181920[[#This Row],[PMI]]-B75</f>
        <v>1.5</v>
      </c>
    </row>
    <row r="77" spans="1:3" x14ac:dyDescent="0.2">
      <c r="A77" s="15">
        <v>42614</v>
      </c>
      <c r="B77" s="14">
        <v>51.3</v>
      </c>
      <c r="C77" s="14">
        <f>Table13468111214151617181920[[#This Row],[PMI]]-B76</f>
        <v>-0.40000000000000568</v>
      </c>
    </row>
    <row r="78" spans="1:3" x14ac:dyDescent="0.2">
      <c r="A78" s="15">
        <v>42644</v>
      </c>
      <c r="B78" s="14">
        <v>52.1</v>
      </c>
      <c r="C78" s="14">
        <f>Table13468111214151617181920[[#This Row],[PMI]]-B77</f>
        <v>0.80000000000000426</v>
      </c>
    </row>
    <row r="79" spans="1:3" x14ac:dyDescent="0.2">
      <c r="A79" s="15">
        <v>42675</v>
      </c>
      <c r="B79" s="14">
        <v>53.7</v>
      </c>
      <c r="C79" s="14">
        <f>Table13468111214151617181920[[#This Row],[PMI]]-B78</f>
        <v>1.6000000000000014</v>
      </c>
    </row>
    <row r="80" spans="1:3" x14ac:dyDescent="0.2">
      <c r="A80" s="15">
        <v>42705</v>
      </c>
      <c r="B80" s="14">
        <v>55.7</v>
      </c>
      <c r="C80" s="14">
        <f>Table13468111214151617181920[[#This Row],[PMI]]-B79</f>
        <v>2</v>
      </c>
    </row>
    <row r="81" spans="1:3" x14ac:dyDescent="0.2">
      <c r="A81" s="15">
        <v>42736</v>
      </c>
      <c r="B81" s="14">
        <v>55.5</v>
      </c>
      <c r="C81" s="14">
        <f>Table13468111214151617181920[[#This Row],[PMI]]-B80</f>
        <v>-0.20000000000000284</v>
      </c>
    </row>
    <row r="82" spans="1:3" x14ac:dyDescent="0.2">
      <c r="A82" s="15">
        <v>42767</v>
      </c>
      <c r="B82" s="14">
        <v>53.8</v>
      </c>
      <c r="C82" s="14">
        <f>Table13468111214151617181920[[#This Row],[PMI]]-B81</f>
        <v>-1.7000000000000028</v>
      </c>
    </row>
    <row r="83" spans="1:3" x14ac:dyDescent="0.2">
      <c r="A83" s="15">
        <v>42795</v>
      </c>
      <c r="B83" s="14">
        <v>53.6</v>
      </c>
      <c r="C83" s="14">
        <f>Table13468111214151617181920[[#This Row],[PMI]]-B82</f>
        <v>-0.19999999999999574</v>
      </c>
    </row>
    <row r="84" spans="1:3" x14ac:dyDescent="0.2">
      <c r="A84" s="15">
        <v>42826</v>
      </c>
      <c r="B84" s="14">
        <v>55</v>
      </c>
      <c r="C84" s="14">
        <f>Table13468111214151617181920[[#This Row],[PMI]]-B83</f>
        <v>1.3999999999999986</v>
      </c>
    </row>
    <row r="85" spans="1:3" x14ac:dyDescent="0.2">
      <c r="A85" s="15">
        <v>42856</v>
      </c>
      <c r="B85" s="14">
        <v>55.9</v>
      </c>
      <c r="C85" s="14">
        <f>Table13468111214151617181920[[#This Row],[PMI]]-B84</f>
        <v>0.89999999999999858</v>
      </c>
    </row>
    <row r="86" spans="1:3" x14ac:dyDescent="0.2">
      <c r="A86" s="15">
        <v>42887</v>
      </c>
      <c r="B86" s="14">
        <v>56</v>
      </c>
      <c r="C86" s="14">
        <f>Table13468111214151617181920[[#This Row],[PMI]]-B85</f>
        <v>0.10000000000000142</v>
      </c>
    </row>
    <row r="87" spans="1:3" x14ac:dyDescent="0.2">
      <c r="A87" s="15">
        <v>42917</v>
      </c>
      <c r="B87" s="14">
        <v>54.6</v>
      </c>
      <c r="C87" s="14">
        <f>Table13468111214151617181920[[#This Row],[PMI]]-B86</f>
        <v>-1.3999999999999986</v>
      </c>
    </row>
    <row r="88" spans="1:3" x14ac:dyDescent="0.2">
      <c r="A88" s="15">
        <v>42948</v>
      </c>
      <c r="B88" s="14">
        <v>56.1</v>
      </c>
      <c r="C88" s="14">
        <f>Table13468111214151617181920[[#This Row],[PMI]]-B87</f>
        <v>1.5</v>
      </c>
    </row>
    <row r="89" spans="1:3" x14ac:dyDescent="0.2">
      <c r="A89" s="15">
        <v>42979</v>
      </c>
      <c r="B89" s="14">
        <v>55.4</v>
      </c>
      <c r="C89" s="14">
        <f>Table13468111214151617181920[[#This Row],[PMI]]-B88</f>
        <v>-0.70000000000000284</v>
      </c>
    </row>
    <row r="90" spans="1:3" x14ac:dyDescent="0.2">
      <c r="A90" s="15">
        <v>43009</v>
      </c>
      <c r="B90" s="14">
        <v>54.4</v>
      </c>
      <c r="C90" s="14">
        <f>Table13468111214151617181920[[#This Row],[PMI]]-B89</f>
        <v>-1</v>
      </c>
    </row>
    <row r="91" spans="1:3" x14ac:dyDescent="0.2">
      <c r="A91" s="15">
        <v>43040</v>
      </c>
      <c r="B91" s="14">
        <v>58.1</v>
      </c>
      <c r="C91" s="14">
        <f>Table13468111214151617181920[[#This Row],[PMI]]-B90</f>
        <v>3.7000000000000028</v>
      </c>
    </row>
    <row r="92" spans="1:3" x14ac:dyDescent="0.2">
      <c r="A92" s="15">
        <v>43070</v>
      </c>
      <c r="B92" s="14">
        <v>59.1</v>
      </c>
      <c r="C92" s="14">
        <f>Table13468111214151617181920[[#This Row],[PMI]]-B91</f>
        <v>1</v>
      </c>
    </row>
    <row r="93" spans="1:3" x14ac:dyDescent="0.2">
      <c r="A93" s="15">
        <v>43101</v>
      </c>
      <c r="B93" s="14">
        <v>57.6</v>
      </c>
      <c r="C93" s="14">
        <f>Table13468111214151617181920[[#This Row],[PMI]]-B92</f>
        <v>-1.5</v>
      </c>
    </row>
    <row r="94" spans="1:3" x14ac:dyDescent="0.2">
      <c r="A94" s="15">
        <v>43132</v>
      </c>
      <c r="B94" s="14">
        <v>56.2</v>
      </c>
      <c r="C94" s="14">
        <f>Table13468111214151617181920[[#This Row],[PMI]]-B93</f>
        <v>-1.3999999999999986</v>
      </c>
    </row>
    <row r="95" spans="1:3" x14ac:dyDescent="0.2">
      <c r="A95" s="15">
        <v>43160</v>
      </c>
      <c r="B95" s="14">
        <v>54.1</v>
      </c>
      <c r="C95" s="14">
        <f>Table13468111214151617181920[[#This Row],[PMI]]-B94</f>
        <v>-2.1000000000000014</v>
      </c>
    </row>
    <row r="96" spans="1:3" x14ac:dyDescent="0.2">
      <c r="A96" s="15">
        <v>43191</v>
      </c>
      <c r="B96" s="14">
        <v>55.3</v>
      </c>
      <c r="C96" s="14">
        <f>Table13468111214151617181920[[#This Row],[PMI]]-B95</f>
        <v>1.1999999999999957</v>
      </c>
    </row>
    <row r="97" spans="1:3" x14ac:dyDescent="0.2">
      <c r="A97" s="15">
        <v>43221</v>
      </c>
      <c r="B97" s="14">
        <v>55.4</v>
      </c>
      <c r="C97" s="14">
        <f>Table13468111214151617181920[[#This Row],[PMI]]-B96</f>
        <v>0.10000000000000142</v>
      </c>
    </row>
    <row r="98" spans="1:3" x14ac:dyDescent="0.2">
      <c r="A98" s="15">
        <v>43252</v>
      </c>
      <c r="B98" s="14">
        <v>56.6</v>
      </c>
      <c r="C98" s="14">
        <f>Table13468111214151617181920[[#This Row],[PMI]]-B97</f>
        <v>1.2000000000000028</v>
      </c>
    </row>
    <row r="99" spans="1:3" x14ac:dyDescent="0.2">
      <c r="A99" s="15">
        <v>43282</v>
      </c>
      <c r="B99" s="14">
        <v>56.3</v>
      </c>
      <c r="C99" s="14">
        <f>Table13468111214151617181920[[#This Row],[PMI]]-B98</f>
        <v>-0.30000000000000426</v>
      </c>
    </row>
    <row r="100" spans="1:3" x14ac:dyDescent="0.2">
      <c r="A100" s="15">
        <v>43313</v>
      </c>
      <c r="B100" s="14">
        <v>57.5</v>
      </c>
      <c r="C100" s="14">
        <f>Table13468111214151617181920[[#This Row],[PMI]]-B99</f>
        <v>1.2000000000000028</v>
      </c>
    </row>
    <row r="101" spans="1:3" x14ac:dyDescent="0.2">
      <c r="A101" s="15">
        <v>43344</v>
      </c>
      <c r="B101" s="14">
        <v>56.3</v>
      </c>
      <c r="C101" s="14">
        <f>Table13468111214151617181920[[#This Row],[PMI]]-B100</f>
        <v>-1.2000000000000028</v>
      </c>
    </row>
    <row r="102" spans="1:3" x14ac:dyDescent="0.2">
      <c r="A102" s="15">
        <v>43374</v>
      </c>
      <c r="B102" s="14">
        <v>54.9</v>
      </c>
      <c r="C102" s="14">
        <f>Table13468111214151617181920[[#This Row],[PMI]]-B101</f>
        <v>-1.3999999999999986</v>
      </c>
    </row>
    <row r="103" spans="1:3" x14ac:dyDescent="0.2">
      <c r="A103" s="15">
        <v>43405</v>
      </c>
      <c r="B103" s="14">
        <v>55.4</v>
      </c>
      <c r="C103" s="14">
        <f>Table13468111214151617181920[[#This Row],[PMI]]-B102</f>
        <v>0.5</v>
      </c>
    </row>
    <row r="104" spans="1:3" x14ac:dyDescent="0.2">
      <c r="A104" s="15">
        <v>43435</v>
      </c>
      <c r="B104" s="14">
        <v>54.5</v>
      </c>
      <c r="C104" s="14">
        <f>Table13468111214151617181920[[#This Row],[PMI]]-B103</f>
        <v>-0.89999999999999858</v>
      </c>
    </row>
    <row r="105" spans="1:3" x14ac:dyDescent="0.2">
      <c r="A105" s="15">
        <v>43466</v>
      </c>
      <c r="B105" s="14">
        <v>52.6</v>
      </c>
      <c r="C105" s="14">
        <f>Table13468111214151617181920[[#This Row],[PMI]]-B104</f>
        <v>-1.8999999999999986</v>
      </c>
    </row>
    <row r="106" spans="1:3" x14ac:dyDescent="0.2">
      <c r="A106" s="15">
        <v>43497</v>
      </c>
      <c r="B106" s="14">
        <v>54</v>
      </c>
      <c r="C106" s="14">
        <f>Table13468111214151617181920[[#This Row],[PMI]]-B105</f>
        <v>1.3999999999999986</v>
      </c>
    </row>
    <row r="107" spans="1:3" x14ac:dyDescent="0.2">
      <c r="A107" s="15">
        <v>43525</v>
      </c>
      <c r="B107" s="14">
        <v>53.9</v>
      </c>
      <c r="C107" s="30">
        <f>Table13468111214151617181920[[#This Row],[PMI]]-B106</f>
        <v>-0.10000000000000142</v>
      </c>
    </row>
    <row r="108" spans="1:3" x14ac:dyDescent="0.2">
      <c r="A108" s="15">
        <v>43556</v>
      </c>
      <c r="B108" s="14">
        <v>52.5</v>
      </c>
      <c r="C108" s="30">
        <f>Table13468111214151617181920[[#This Row],[PMI]]-B107</f>
        <v>-1.3999999999999986</v>
      </c>
    </row>
    <row r="109" spans="1:3" x14ac:dyDescent="0.2">
      <c r="A109" s="15">
        <v>43586</v>
      </c>
      <c r="B109" s="14">
        <v>50.4</v>
      </c>
      <c r="C109" s="30">
        <f>Table13468111214151617181920[[#This Row],[PMI]]-B108</f>
        <v>-2.1000000000000014</v>
      </c>
    </row>
    <row r="110" spans="1:3" x14ac:dyDescent="0.2">
      <c r="A110" s="15">
        <v>43617</v>
      </c>
      <c r="B110" s="14">
        <v>49.8</v>
      </c>
      <c r="C110" s="30">
        <f>Table13468111214151617181920[[#This Row],[PMI]]-B109</f>
        <v>-0.60000000000000142</v>
      </c>
    </row>
    <row r="111" spans="1:3" x14ac:dyDescent="0.2">
      <c r="A111" s="15">
        <v>43647</v>
      </c>
      <c r="B111" s="14">
        <v>48.7</v>
      </c>
      <c r="C111" s="30">
        <f>Table13468111214151617181920[[#This Row],[PMI]]-B110</f>
        <v>-1.0999999999999943</v>
      </c>
    </row>
    <row r="112" spans="1:3" x14ac:dyDescent="0.2">
      <c r="A112" s="15">
        <v>43678</v>
      </c>
      <c r="B112" s="14">
        <v>48.6</v>
      </c>
      <c r="C112" s="30">
        <f>Table13468111214151617181920[[#This Row],[PMI]]-B111</f>
        <v>-0.10000000000000142</v>
      </c>
    </row>
    <row r="113" spans="1:3" x14ac:dyDescent="0.2">
      <c r="A113" s="15">
        <v>43709</v>
      </c>
      <c r="B113" s="14">
        <v>48.7</v>
      </c>
      <c r="C113" s="30">
        <f>Table13468111214151617181920[[#This Row],[PMI]]-B112</f>
        <v>0.10000000000000142</v>
      </c>
    </row>
    <row r="114" spans="1:3" x14ac:dyDescent="0.2">
      <c r="A114" s="15">
        <v>43739</v>
      </c>
      <c r="B114" s="14">
        <v>50.7</v>
      </c>
      <c r="C114" s="30">
        <f>Table13468111214151617181920[[#This Row],[PMI]]-B113</f>
        <v>2</v>
      </c>
    </row>
    <row r="115" spans="1:3" x14ac:dyDescent="0.2">
      <c r="A115" s="15">
        <v>43770</v>
      </c>
      <c r="B115" s="14">
        <v>49.7</v>
      </c>
      <c r="C115" s="30">
        <f>Table13468111214151617181920[[#This Row],[PMI]]-B114</f>
        <v>-1</v>
      </c>
    </row>
    <row r="116" spans="1:3" x14ac:dyDescent="0.2">
      <c r="A116" s="15">
        <v>43800</v>
      </c>
      <c r="B116" s="14">
        <v>49.5</v>
      </c>
      <c r="C116" s="30">
        <f>Table13468111214151617181920[[#This Row],[PMI]]-B115</f>
        <v>-0.20000000000000284</v>
      </c>
    </row>
    <row r="117" spans="1:3" x14ac:dyDescent="0.2">
      <c r="A117" s="15">
        <v>43831</v>
      </c>
      <c r="B117" s="14">
        <v>51.4</v>
      </c>
      <c r="C117" s="30">
        <f>Table13468111214151617181920[[#This Row],[PMI]]-B116</f>
        <v>1.8999999999999986</v>
      </c>
    </row>
    <row r="118" spans="1:3" x14ac:dyDescent="0.2">
      <c r="A118" s="15">
        <v>43862</v>
      </c>
      <c r="B118" s="14">
        <v>51.2</v>
      </c>
      <c r="C118" s="30">
        <f>Table13468111214151617181920[[#This Row],[PMI]]-B117</f>
        <v>-0.19999999999999574</v>
      </c>
    </row>
    <row r="119" spans="1:3" x14ac:dyDescent="0.2">
      <c r="A119" s="15">
        <v>43891</v>
      </c>
      <c r="B119" s="14">
        <v>45.1</v>
      </c>
      <c r="C119" s="30">
        <f>Table13468111214151617181920[[#This Row],[PMI]]-B118</f>
        <v>-6.1000000000000014</v>
      </c>
    </row>
    <row r="120" spans="1:3" x14ac:dyDescent="0.2">
      <c r="A120" s="15">
        <v>43922</v>
      </c>
      <c r="B120" s="14">
        <v>36</v>
      </c>
      <c r="C120" s="30">
        <f>Table13468111214151617181920[[#This Row],[PMI]]-B119</f>
        <v>-9.1000000000000014</v>
      </c>
    </row>
    <row r="121" spans="1:3" x14ac:dyDescent="0.2">
      <c r="A121" s="15">
        <v>43952</v>
      </c>
      <c r="B121" s="14">
        <v>39.200000000000003</v>
      </c>
      <c r="C121" s="30">
        <f>Table13468111214151617181920[[#This Row],[PMI]]-B120</f>
        <v>3.2000000000000028</v>
      </c>
    </row>
    <row r="122" spans="1:3" x14ac:dyDescent="0.2">
      <c r="A122" s="15">
        <v>43983</v>
      </c>
      <c r="B122" s="14">
        <v>51</v>
      </c>
      <c r="C122" s="30">
        <f>Table13468111214151617181920[[#This Row],[PMI]]-B121</f>
        <v>11.799999999999997</v>
      </c>
    </row>
    <row r="123" spans="1:3" x14ac:dyDescent="0.2">
      <c r="A123" s="15">
        <v>44013</v>
      </c>
      <c r="B123" s="14">
        <v>57.3</v>
      </c>
      <c r="C123" s="30">
        <f>Table13468111214151617181920[[#This Row],[PMI]]-B122</f>
        <v>6.2999999999999972</v>
      </c>
    </row>
    <row r="124" spans="1:3" x14ac:dyDescent="0.2">
      <c r="A124" s="15">
        <v>44044</v>
      </c>
      <c r="B124" s="14">
        <v>52.3</v>
      </c>
      <c r="C124" s="30">
        <f>Table13468111214151617181920[[#This Row],[PMI]]-B123</f>
        <v>-5</v>
      </c>
    </row>
    <row r="125" spans="1:3" x14ac:dyDescent="0.2">
      <c r="A125" s="15">
        <v>44075</v>
      </c>
      <c r="B125" s="14">
        <v>50</v>
      </c>
      <c r="C125" s="30">
        <f>Table13468111214151617181920[[#This Row],[PMI]]-B124</f>
        <v>-2.2999999999999972</v>
      </c>
    </row>
    <row r="126" spans="1:3" x14ac:dyDescent="0.2">
      <c r="A126" s="15">
        <v>44105</v>
      </c>
      <c r="B126" s="14">
        <v>50.3</v>
      </c>
      <c r="C126" s="30">
        <f>Table13468111214151617181920[[#This Row],[PMI]]-B125</f>
        <v>0.29999999999999716</v>
      </c>
    </row>
    <row r="127" spans="1:3" x14ac:dyDescent="0.2">
      <c r="A127" s="15">
        <v>44136</v>
      </c>
      <c r="B127" s="14">
        <v>52.2</v>
      </c>
      <c r="C127" s="30">
        <f>Table13468111214151617181920[[#This Row],[PMI]]-B126</f>
        <v>1.9000000000000057</v>
      </c>
    </row>
    <row r="128" spans="1:3" x14ac:dyDescent="0.2">
      <c r="A128" s="15">
        <v>44166</v>
      </c>
      <c r="B128" s="14">
        <v>57.2</v>
      </c>
      <c r="C128" s="30">
        <f>Table13468111214151617181920[[#This Row],[PMI]]-B127</f>
        <v>5</v>
      </c>
    </row>
    <row r="129" spans="1:3" x14ac:dyDescent="0.2">
      <c r="A129" s="15">
        <v>44197</v>
      </c>
      <c r="B129" s="14">
        <v>51.8</v>
      </c>
      <c r="C129" s="30">
        <f>Table13468111214151617181920[[#This Row],[PMI]]-B128</f>
        <v>-5.4000000000000057</v>
      </c>
    </row>
    <row r="130" spans="1:3" x14ac:dyDescent="0.2">
      <c r="A130" s="15">
        <v>44228</v>
      </c>
      <c r="B130" s="14">
        <v>52</v>
      </c>
      <c r="C130" s="30">
        <f>Table13468111214151617181920[[#This Row],[PMI]]-B129</f>
        <v>0.20000000000000284</v>
      </c>
    </row>
    <row r="131" spans="1:3" x14ac:dyDescent="0.2">
      <c r="A131" s="15">
        <v>44256</v>
      </c>
      <c r="B131" s="14">
        <v>57.1</v>
      </c>
      <c r="C131" s="30">
        <f>Table13468111214151617181920[[#This Row],[PMI]]-B130</f>
        <v>5.1000000000000014</v>
      </c>
    </row>
    <row r="132" spans="1:3" x14ac:dyDescent="0.2">
      <c r="A132" s="15">
        <v>44287</v>
      </c>
      <c r="B132" s="14">
        <v>60.8</v>
      </c>
      <c r="C132" s="30">
        <f>Table13468111214151617181920[[#This Row],[PMI]]-B131</f>
        <v>3.6999999999999957</v>
      </c>
    </row>
    <row r="133" spans="1:3" x14ac:dyDescent="0.2">
      <c r="A133" s="15">
        <v>44317</v>
      </c>
      <c r="B133" s="14">
        <v>64.099999999999994</v>
      </c>
      <c r="C133" s="30">
        <f>Table13468111214151617181920[[#This Row],[PMI]]-B132</f>
        <v>3.2999999999999972</v>
      </c>
    </row>
    <row r="134" spans="1:3" x14ac:dyDescent="0.2">
      <c r="A134" s="15">
        <v>44348</v>
      </c>
      <c r="B134" s="14">
        <v>64</v>
      </c>
      <c r="C134" s="30">
        <f>Table13468111214151617181920[[#This Row],[PMI]]-B133</f>
        <v>-9.9999999999994316E-2</v>
      </c>
    </row>
    <row r="135" spans="1:3" x14ac:dyDescent="0.2">
      <c r="A135" s="15">
        <v>44378</v>
      </c>
      <c r="B135" s="14">
        <v>63.3</v>
      </c>
      <c r="C135" s="30">
        <f>Table13468111214151617181920[[#This Row],[PMI]]-B134</f>
        <v>-0.70000000000000284</v>
      </c>
    </row>
    <row r="136" spans="1:3" x14ac:dyDescent="0.2">
      <c r="A136" s="15">
        <v>44409</v>
      </c>
      <c r="B136" s="14">
        <v>62.8</v>
      </c>
      <c r="C136" s="30">
        <f>Table13468111214151617181920[[#This Row],[PMI]]-B135</f>
        <v>-0.5</v>
      </c>
    </row>
    <row r="137" spans="1:3" x14ac:dyDescent="0.2">
      <c r="A137" s="15">
        <v>44440</v>
      </c>
      <c r="B137" s="14">
        <v>60.3</v>
      </c>
      <c r="C137" s="30">
        <f>Table13468111214151617181920[[#This Row],[PMI]]-B136</f>
        <v>-2.5</v>
      </c>
    </row>
    <row r="138" spans="1:3" x14ac:dyDescent="0.2">
      <c r="A138" s="15">
        <v>44470</v>
      </c>
      <c r="B138" s="14">
        <v>62.1</v>
      </c>
      <c r="C138" s="30">
        <f>Table13468111214151617181920[[#This Row],[PMI]]-B137</f>
        <v>1.8000000000000043</v>
      </c>
    </row>
    <row r="139" spans="1:3" x14ac:dyDescent="0.2">
      <c r="A139" s="15">
        <v>44501</v>
      </c>
      <c r="B139" s="14">
        <v>59.9</v>
      </c>
      <c r="C139" s="30">
        <f>Table13468111214151617181920[[#This Row],[PMI]]-B138</f>
        <v>-2.2000000000000028</v>
      </c>
    </row>
    <row r="140" spans="1:3" x14ac:dyDescent="0.2">
      <c r="A140" s="15">
        <v>44531</v>
      </c>
      <c r="B140" s="14">
        <v>58.3</v>
      </c>
      <c r="C140" s="30">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AF0DE-8AF0-4D0E-B6E2-5D0411E59046}">
  <dimension ref="A1:K140"/>
  <sheetViews>
    <sheetView zoomScale="160" zoomScaleNormal="160" workbookViewId="0">
      <pane ySplit="5" topLeftCell="A100"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52</v>
      </c>
      <c r="K1" s="10" t="s">
        <v>21</v>
      </c>
    </row>
    <row r="2" spans="1:11" x14ac:dyDescent="0.2">
      <c r="K2" s="10" t="str">
        <f>A1&amp;K1</f>
        <v>Turkey Manufacturing PMI</v>
      </c>
    </row>
    <row r="4" spans="1:11" ht="16" thickBot="1" x14ac:dyDescent="0.25"/>
    <row r="5" spans="1:11" ht="16" thickBot="1" x14ac:dyDescent="0.25">
      <c r="A5" s="27" t="s">
        <v>10</v>
      </c>
      <c r="B5" s="28" t="s">
        <v>11</v>
      </c>
      <c r="C5" s="28" t="s">
        <v>14</v>
      </c>
    </row>
    <row r="6" spans="1:11" x14ac:dyDescent="0.2">
      <c r="A6" s="23">
        <v>40452</v>
      </c>
      <c r="B6" s="24">
        <v>54.3</v>
      </c>
      <c r="C6" s="24"/>
    </row>
    <row r="7" spans="1:11" x14ac:dyDescent="0.2">
      <c r="A7" s="15">
        <v>40483</v>
      </c>
      <c r="B7" s="14">
        <v>56.4</v>
      </c>
      <c r="C7" s="14">
        <f>Table134681112141516171819202225303334[[#This Row],[PMI]]-B6</f>
        <v>2.1000000000000014</v>
      </c>
    </row>
    <row r="8" spans="1:11" x14ac:dyDescent="0.2">
      <c r="A8" s="15">
        <v>40513</v>
      </c>
      <c r="B8" s="14">
        <v>56.4</v>
      </c>
      <c r="C8" s="14">
        <f>Table134681112141516171819202225303334[[#This Row],[PMI]]-B7</f>
        <v>0</v>
      </c>
    </row>
    <row r="9" spans="1:11" x14ac:dyDescent="0.2">
      <c r="A9" s="15">
        <v>40544</v>
      </c>
      <c r="B9" s="14">
        <v>57.2</v>
      </c>
      <c r="C9" s="14">
        <f>Table134681112141516171819202225303334[[#This Row],[PMI]]-B8</f>
        <v>0.80000000000000426</v>
      </c>
    </row>
    <row r="10" spans="1:11" x14ac:dyDescent="0.2">
      <c r="A10" s="15">
        <v>40575</v>
      </c>
      <c r="B10" s="14">
        <v>58.5</v>
      </c>
      <c r="C10" s="14">
        <f>Table134681112141516171819202225303334[[#This Row],[PMI]]-B9</f>
        <v>1.2999999999999972</v>
      </c>
    </row>
    <row r="11" spans="1:11" x14ac:dyDescent="0.2">
      <c r="A11" s="15">
        <v>40603</v>
      </c>
      <c r="B11" s="14">
        <v>56.1</v>
      </c>
      <c r="C11" s="14">
        <f>Table134681112141516171819202225303334[[#This Row],[PMI]]-B10</f>
        <v>-2.3999999999999986</v>
      </c>
    </row>
    <row r="12" spans="1:11" x14ac:dyDescent="0.2">
      <c r="A12" s="15">
        <v>40634</v>
      </c>
      <c r="B12" s="14">
        <v>52.7</v>
      </c>
      <c r="C12" s="14">
        <f>Table134681112141516171819202225303334[[#This Row],[PMI]]-B11</f>
        <v>-3.3999999999999986</v>
      </c>
    </row>
    <row r="13" spans="1:11" x14ac:dyDescent="0.2">
      <c r="A13" s="15">
        <v>40664</v>
      </c>
      <c r="B13" s="14">
        <v>50.6</v>
      </c>
      <c r="C13" s="14">
        <f>Table134681112141516171819202225303334[[#This Row],[PMI]]-B12</f>
        <v>-2.1000000000000014</v>
      </c>
    </row>
    <row r="14" spans="1:11" x14ac:dyDescent="0.2">
      <c r="A14" s="15">
        <v>40695</v>
      </c>
      <c r="B14" s="14">
        <v>52.3</v>
      </c>
      <c r="C14" s="14">
        <f>Table134681112141516171819202225303334[[#This Row],[PMI]]-B13</f>
        <v>1.6999999999999957</v>
      </c>
    </row>
    <row r="15" spans="1:11" x14ac:dyDescent="0.2">
      <c r="A15" s="15">
        <v>40725</v>
      </c>
      <c r="B15" s="14">
        <v>52.3</v>
      </c>
      <c r="C15" s="14">
        <f>Table134681112141516171819202225303334[[#This Row],[PMI]]-B14</f>
        <v>0</v>
      </c>
    </row>
    <row r="16" spans="1:11" x14ac:dyDescent="0.2">
      <c r="A16" s="15">
        <v>40756</v>
      </c>
      <c r="B16" s="14">
        <v>49.8</v>
      </c>
      <c r="C16" s="14">
        <f>Table134681112141516171819202225303334[[#This Row],[PMI]]-B15</f>
        <v>-2.5</v>
      </c>
    </row>
    <row r="17" spans="1:3" x14ac:dyDescent="0.2">
      <c r="A17" s="15">
        <v>40787</v>
      </c>
      <c r="B17" s="14">
        <v>51.5</v>
      </c>
      <c r="C17" s="14">
        <f>Table134681112141516171819202225303334[[#This Row],[PMI]]-B16</f>
        <v>1.7000000000000028</v>
      </c>
    </row>
    <row r="18" spans="1:3" x14ac:dyDescent="0.2">
      <c r="A18" s="15">
        <v>40817</v>
      </c>
      <c r="B18" s="14">
        <v>53.3</v>
      </c>
      <c r="C18" s="14">
        <f>Table134681112141516171819202225303334[[#This Row],[PMI]]-B17</f>
        <v>1.7999999999999972</v>
      </c>
    </row>
    <row r="19" spans="1:3" x14ac:dyDescent="0.2">
      <c r="A19" s="15">
        <v>40848</v>
      </c>
      <c r="B19" s="14">
        <v>52.3</v>
      </c>
      <c r="C19" s="14">
        <f>Table134681112141516171819202225303334[[#This Row],[PMI]]-B18</f>
        <v>-1</v>
      </c>
    </row>
    <row r="20" spans="1:3" x14ac:dyDescent="0.2">
      <c r="A20" s="15">
        <v>40878</v>
      </c>
      <c r="B20" s="14">
        <v>52</v>
      </c>
      <c r="C20" s="14">
        <f>Table134681112141516171819202225303334[[#This Row],[PMI]]-B19</f>
        <v>-0.29999999999999716</v>
      </c>
    </row>
    <row r="21" spans="1:3" x14ac:dyDescent="0.2">
      <c r="A21" s="15">
        <v>40909</v>
      </c>
      <c r="B21" s="14">
        <v>51.7</v>
      </c>
      <c r="C21" s="14">
        <f>Table134681112141516171819202225303334[[#This Row],[PMI]]-B20</f>
        <v>-0.29999999999999716</v>
      </c>
    </row>
    <row r="22" spans="1:3" x14ac:dyDescent="0.2">
      <c r="A22" s="15">
        <v>40940</v>
      </c>
      <c r="B22" s="14">
        <v>49.6</v>
      </c>
      <c r="C22" s="14">
        <f>Table134681112141516171819202225303334[[#This Row],[PMI]]-B21</f>
        <v>-2.1000000000000014</v>
      </c>
    </row>
    <row r="23" spans="1:3" x14ac:dyDescent="0.2">
      <c r="A23" s="15">
        <v>40969</v>
      </c>
      <c r="B23" s="14">
        <v>49.6</v>
      </c>
      <c r="C23" s="14">
        <f>Table134681112141516171819202225303334[[#This Row],[PMI]]-B22</f>
        <v>0</v>
      </c>
    </row>
    <row r="24" spans="1:3" x14ac:dyDescent="0.2">
      <c r="A24" s="15">
        <v>41000</v>
      </c>
      <c r="B24" s="14">
        <v>52.3</v>
      </c>
      <c r="C24" s="14">
        <f>Table134681112141516171819202225303334[[#This Row],[PMI]]-B23</f>
        <v>2.6999999999999957</v>
      </c>
    </row>
    <row r="25" spans="1:3" x14ac:dyDescent="0.2">
      <c r="A25" s="15">
        <v>41030</v>
      </c>
      <c r="B25" s="14">
        <v>50.2</v>
      </c>
      <c r="C25" s="14">
        <f>Table134681112141516171819202225303334[[#This Row],[PMI]]-B24</f>
        <v>-2.0999999999999943</v>
      </c>
    </row>
    <row r="26" spans="1:3" x14ac:dyDescent="0.2">
      <c r="A26" s="15">
        <v>41061</v>
      </c>
      <c r="B26" s="14">
        <v>51.4</v>
      </c>
      <c r="C26" s="14">
        <f>Table134681112141516171819202225303334[[#This Row],[PMI]]-B25</f>
        <v>1.1999999999999957</v>
      </c>
    </row>
    <row r="27" spans="1:3" x14ac:dyDescent="0.2">
      <c r="A27" s="15">
        <v>41091</v>
      </c>
      <c r="B27" s="14">
        <v>49.4</v>
      </c>
      <c r="C27" s="14">
        <f>Table134681112141516171819202225303334[[#This Row],[PMI]]-B26</f>
        <v>-2</v>
      </c>
    </row>
    <row r="28" spans="1:3" x14ac:dyDescent="0.2">
      <c r="A28" s="15">
        <v>41122</v>
      </c>
      <c r="B28" s="14">
        <v>50</v>
      </c>
      <c r="C28" s="14">
        <f>Table134681112141516171819202225303334[[#This Row],[PMI]]-B27</f>
        <v>0.60000000000000142</v>
      </c>
    </row>
    <row r="29" spans="1:3" x14ac:dyDescent="0.2">
      <c r="A29" s="15">
        <v>41153</v>
      </c>
      <c r="B29" s="14">
        <v>52.2</v>
      </c>
      <c r="C29" s="14">
        <f>Table134681112141516171819202225303334[[#This Row],[PMI]]-B28</f>
        <v>2.2000000000000028</v>
      </c>
    </row>
    <row r="30" spans="1:3" x14ac:dyDescent="0.2">
      <c r="A30" s="15">
        <v>41183</v>
      </c>
      <c r="B30" s="14">
        <v>52.5</v>
      </c>
      <c r="C30" s="14">
        <f>Table134681112141516171819202225303334[[#This Row],[PMI]]-B29</f>
        <v>0.29999999999999716</v>
      </c>
    </row>
    <row r="31" spans="1:3" x14ac:dyDescent="0.2">
      <c r="A31" s="15">
        <v>41214</v>
      </c>
      <c r="B31" s="14">
        <v>51.6</v>
      </c>
      <c r="C31" s="14">
        <f>Table134681112141516171819202225303334[[#This Row],[PMI]]-B30</f>
        <v>-0.89999999999999858</v>
      </c>
    </row>
    <row r="32" spans="1:3" x14ac:dyDescent="0.2">
      <c r="A32" s="15">
        <v>41244</v>
      </c>
      <c r="B32" s="14">
        <v>53.1</v>
      </c>
      <c r="C32" s="14">
        <f>Table134681112141516171819202225303334[[#This Row],[PMI]]-B31</f>
        <v>1.5</v>
      </c>
    </row>
    <row r="33" spans="1:3" x14ac:dyDescent="0.2">
      <c r="A33" s="15">
        <v>41275</v>
      </c>
      <c r="B33" s="14">
        <v>54</v>
      </c>
      <c r="C33" s="14">
        <f>Table134681112141516171819202225303334[[#This Row],[PMI]]-B32</f>
        <v>0.89999999999999858</v>
      </c>
    </row>
    <row r="34" spans="1:3" x14ac:dyDescent="0.2">
      <c r="A34" s="15">
        <v>41306</v>
      </c>
      <c r="B34" s="14">
        <v>53.5</v>
      </c>
      <c r="C34" s="14">
        <f>Table134681112141516171819202225303334[[#This Row],[PMI]]-B33</f>
        <v>-0.5</v>
      </c>
    </row>
    <row r="35" spans="1:3" x14ac:dyDescent="0.2">
      <c r="A35" s="15">
        <v>41334</v>
      </c>
      <c r="B35" s="14">
        <v>52.3</v>
      </c>
      <c r="C35" s="14">
        <f>Table134681112141516171819202225303334[[#This Row],[PMI]]-B34</f>
        <v>-1.2000000000000028</v>
      </c>
    </row>
    <row r="36" spans="1:3" x14ac:dyDescent="0.2">
      <c r="A36" s="15">
        <v>41365</v>
      </c>
      <c r="B36" s="14">
        <v>51.3</v>
      </c>
      <c r="C36" s="14">
        <f>Table134681112141516171819202225303334[[#This Row],[PMI]]-B35</f>
        <v>-1</v>
      </c>
    </row>
    <row r="37" spans="1:3" x14ac:dyDescent="0.2">
      <c r="A37" s="15">
        <v>41395</v>
      </c>
      <c r="B37" s="14">
        <v>51.1</v>
      </c>
      <c r="C37" s="14">
        <f>Table134681112141516171819202225303334[[#This Row],[PMI]]-B36</f>
        <v>-0.19999999999999574</v>
      </c>
    </row>
    <row r="38" spans="1:3" x14ac:dyDescent="0.2">
      <c r="A38" s="15">
        <v>41426</v>
      </c>
      <c r="B38" s="14">
        <v>51.2</v>
      </c>
      <c r="C38" s="14">
        <f>Table134681112141516171819202225303334[[#This Row],[PMI]]-B37</f>
        <v>0.10000000000000142</v>
      </c>
    </row>
    <row r="39" spans="1:3" x14ac:dyDescent="0.2">
      <c r="A39" s="15">
        <v>41456</v>
      </c>
      <c r="B39" s="14">
        <v>49.8</v>
      </c>
      <c r="C39" s="14">
        <f>Table134681112141516171819202225303334[[#This Row],[PMI]]-B38</f>
        <v>-1.4000000000000057</v>
      </c>
    </row>
    <row r="40" spans="1:3" x14ac:dyDescent="0.2">
      <c r="A40" s="15">
        <v>41487</v>
      </c>
      <c r="B40" s="14">
        <v>50.9</v>
      </c>
      <c r="C40" s="14">
        <f>Table134681112141516171819202225303334[[#This Row],[PMI]]-B39</f>
        <v>1.1000000000000014</v>
      </c>
    </row>
    <row r="41" spans="1:3" x14ac:dyDescent="0.2">
      <c r="A41" s="15">
        <v>41518</v>
      </c>
      <c r="B41" s="14">
        <v>54</v>
      </c>
      <c r="C41" s="14">
        <f>Table134681112141516171819202225303334[[#This Row],[PMI]]-B40</f>
        <v>3.1000000000000014</v>
      </c>
    </row>
    <row r="42" spans="1:3" x14ac:dyDescent="0.2">
      <c r="A42" s="15">
        <v>41548</v>
      </c>
      <c r="B42" s="14">
        <v>53.3</v>
      </c>
      <c r="C42" s="14">
        <f>Table134681112141516171819202225303334[[#This Row],[PMI]]-B41</f>
        <v>-0.70000000000000284</v>
      </c>
    </row>
    <row r="43" spans="1:3" x14ac:dyDescent="0.2">
      <c r="A43" s="15">
        <v>41579</v>
      </c>
      <c r="B43" s="14">
        <v>55</v>
      </c>
      <c r="C43" s="14">
        <f>Table134681112141516171819202225303334[[#This Row],[PMI]]-B42</f>
        <v>1.7000000000000028</v>
      </c>
    </row>
    <row r="44" spans="1:3" x14ac:dyDescent="0.2">
      <c r="A44" s="15">
        <v>41609</v>
      </c>
      <c r="B44" s="14">
        <v>53.5</v>
      </c>
      <c r="C44" s="14">
        <f>Table134681112141516171819202225303334[[#This Row],[PMI]]-B43</f>
        <v>-1.5</v>
      </c>
    </row>
    <row r="45" spans="1:3" x14ac:dyDescent="0.2">
      <c r="A45" s="15">
        <v>41640</v>
      </c>
      <c r="B45" s="14">
        <v>52.7</v>
      </c>
      <c r="C45" s="14">
        <f>Table134681112141516171819202225303334[[#This Row],[PMI]]-B44</f>
        <v>-0.79999999999999716</v>
      </c>
    </row>
    <row r="46" spans="1:3" x14ac:dyDescent="0.2">
      <c r="A46" s="15">
        <v>41671</v>
      </c>
      <c r="B46" s="14">
        <v>53.4</v>
      </c>
      <c r="C46" s="14">
        <f>Table134681112141516171819202225303334[[#This Row],[PMI]]-B45</f>
        <v>0.69999999999999574</v>
      </c>
    </row>
    <row r="47" spans="1:3" x14ac:dyDescent="0.2">
      <c r="A47" s="15">
        <v>41699</v>
      </c>
      <c r="B47" s="14">
        <v>51.7</v>
      </c>
      <c r="C47" s="14">
        <f>Table134681112141516171819202225303334[[#This Row],[PMI]]-B46</f>
        <v>-1.6999999999999957</v>
      </c>
    </row>
    <row r="48" spans="1:3" x14ac:dyDescent="0.2">
      <c r="A48" s="15">
        <v>41730</v>
      </c>
      <c r="B48" s="14">
        <v>51.1</v>
      </c>
      <c r="C48" s="14">
        <f>Table134681112141516171819202225303334[[#This Row],[PMI]]-B47</f>
        <v>-0.60000000000000142</v>
      </c>
    </row>
    <row r="49" spans="1:3" x14ac:dyDescent="0.2">
      <c r="A49" s="15">
        <v>41760</v>
      </c>
      <c r="B49" s="14">
        <v>50.1</v>
      </c>
      <c r="C49" s="14">
        <f>Table134681112141516171819202225303334[[#This Row],[PMI]]-B48</f>
        <v>-1</v>
      </c>
    </row>
    <row r="50" spans="1:3" x14ac:dyDescent="0.2">
      <c r="A50" s="15">
        <v>41791</v>
      </c>
      <c r="B50" s="14">
        <v>48.8</v>
      </c>
      <c r="C50" s="14">
        <f>Table134681112141516171819202225303334[[#This Row],[PMI]]-B49</f>
        <v>-1.3000000000000043</v>
      </c>
    </row>
    <row r="51" spans="1:3" x14ac:dyDescent="0.2">
      <c r="A51" s="15">
        <v>41821</v>
      </c>
      <c r="B51" s="14">
        <v>48.5</v>
      </c>
      <c r="C51" s="14">
        <f>Table134681112141516171819202225303334[[#This Row],[PMI]]-B50</f>
        <v>-0.29999999999999716</v>
      </c>
    </row>
    <row r="52" spans="1:3" x14ac:dyDescent="0.2">
      <c r="A52" s="15">
        <v>41852</v>
      </c>
      <c r="B52" s="14">
        <v>50</v>
      </c>
      <c r="C52" s="14">
        <f>Table134681112141516171819202225303334[[#This Row],[PMI]]-B51</f>
        <v>1.5</v>
      </c>
    </row>
    <row r="53" spans="1:3" x14ac:dyDescent="0.2">
      <c r="A53" s="15">
        <v>41883</v>
      </c>
      <c r="B53" s="14">
        <v>50.4</v>
      </c>
      <c r="C53" s="14">
        <f>Table134681112141516171819202225303334[[#This Row],[PMI]]-B52</f>
        <v>0.39999999999999858</v>
      </c>
    </row>
    <row r="54" spans="1:3" x14ac:dyDescent="0.2">
      <c r="A54" s="15">
        <v>41913</v>
      </c>
      <c r="B54" s="14">
        <v>51.5</v>
      </c>
      <c r="C54" s="14">
        <f>Table134681112141516171819202225303334[[#This Row],[PMI]]-B53</f>
        <v>1.1000000000000014</v>
      </c>
    </row>
    <row r="55" spans="1:3" x14ac:dyDescent="0.2">
      <c r="A55" s="15">
        <v>41944</v>
      </c>
      <c r="B55" s="14">
        <v>52.2</v>
      </c>
      <c r="C55" s="14">
        <f>Table134681112141516171819202225303334[[#This Row],[PMI]]-B54</f>
        <v>0.70000000000000284</v>
      </c>
    </row>
    <row r="56" spans="1:3" x14ac:dyDescent="0.2">
      <c r="A56" s="15">
        <v>41974</v>
      </c>
      <c r="B56" s="14">
        <v>51.4</v>
      </c>
      <c r="C56" s="14">
        <f>Table134681112141516171819202225303334[[#This Row],[PMI]]-B55</f>
        <v>-0.80000000000000426</v>
      </c>
    </row>
    <row r="57" spans="1:3" x14ac:dyDescent="0.2">
      <c r="A57" s="15">
        <v>42005</v>
      </c>
      <c r="B57" s="14">
        <v>49.8</v>
      </c>
      <c r="C57" s="14">
        <f>Table134681112141516171819202225303334[[#This Row],[PMI]]-B56</f>
        <v>-1.6000000000000014</v>
      </c>
    </row>
    <row r="58" spans="1:3" x14ac:dyDescent="0.2">
      <c r="A58" s="15">
        <v>42036</v>
      </c>
      <c r="B58" s="14">
        <v>49.6</v>
      </c>
      <c r="C58" s="14">
        <f>Table134681112141516171819202225303334[[#This Row],[PMI]]-B57</f>
        <v>-0.19999999999999574</v>
      </c>
    </row>
    <row r="59" spans="1:3" x14ac:dyDescent="0.2">
      <c r="A59" s="15">
        <v>42064</v>
      </c>
      <c r="B59" s="14">
        <v>48</v>
      </c>
      <c r="C59" s="14">
        <f>Table134681112141516171819202225303334[[#This Row],[PMI]]-B58</f>
        <v>-1.6000000000000014</v>
      </c>
    </row>
    <row r="60" spans="1:3" x14ac:dyDescent="0.2">
      <c r="A60" s="15">
        <v>42095</v>
      </c>
      <c r="B60" s="14">
        <v>48.5</v>
      </c>
      <c r="C60" s="14">
        <f>Table134681112141516171819202225303334[[#This Row],[PMI]]-B59</f>
        <v>0.5</v>
      </c>
    </row>
    <row r="61" spans="1:3" x14ac:dyDescent="0.2">
      <c r="A61" s="15">
        <v>42125</v>
      </c>
      <c r="B61" s="14">
        <v>50.2</v>
      </c>
      <c r="C61" s="14">
        <f>Table134681112141516171819202225303334[[#This Row],[PMI]]-B60</f>
        <v>1.7000000000000028</v>
      </c>
    </row>
    <row r="62" spans="1:3" x14ac:dyDescent="0.2">
      <c r="A62" s="15">
        <v>42156</v>
      </c>
      <c r="B62" s="14">
        <v>49</v>
      </c>
      <c r="C62" s="14">
        <f>Table134681112141516171819202225303334[[#This Row],[PMI]]-B61</f>
        <v>-1.2000000000000028</v>
      </c>
    </row>
    <row r="63" spans="1:3" x14ac:dyDescent="0.2">
      <c r="A63" s="15">
        <v>42186</v>
      </c>
      <c r="B63" s="14">
        <v>50.1</v>
      </c>
      <c r="C63" s="14">
        <f>Table134681112141516171819202225303334[[#This Row],[PMI]]-B62</f>
        <v>1.1000000000000014</v>
      </c>
    </row>
    <row r="64" spans="1:3" x14ac:dyDescent="0.2">
      <c r="A64" s="15">
        <v>42217</v>
      </c>
      <c r="B64" s="14">
        <v>49.3</v>
      </c>
      <c r="C64" s="14">
        <f>Table134681112141516171819202225303334[[#This Row],[PMI]]-B63</f>
        <v>-0.80000000000000426</v>
      </c>
    </row>
    <row r="65" spans="1:3" x14ac:dyDescent="0.2">
      <c r="A65" s="15">
        <v>42248</v>
      </c>
      <c r="B65" s="14">
        <v>48.8</v>
      </c>
      <c r="C65" s="14">
        <f>Table134681112141516171819202225303334[[#This Row],[PMI]]-B64</f>
        <v>-0.5</v>
      </c>
    </row>
    <row r="66" spans="1:3" x14ac:dyDescent="0.2">
      <c r="A66" s="15">
        <v>42278</v>
      </c>
      <c r="B66" s="14">
        <v>49.5</v>
      </c>
      <c r="C66" s="14">
        <f>Table134681112141516171819202225303334[[#This Row],[PMI]]-B65</f>
        <v>0.70000000000000284</v>
      </c>
    </row>
    <row r="67" spans="1:3" x14ac:dyDescent="0.2">
      <c r="A67" s="15">
        <v>42309</v>
      </c>
      <c r="B67" s="14">
        <v>50.9</v>
      </c>
      <c r="C67" s="14">
        <f>Table134681112141516171819202225303334[[#This Row],[PMI]]-B66</f>
        <v>1.3999999999999986</v>
      </c>
    </row>
    <row r="68" spans="1:3" x14ac:dyDescent="0.2">
      <c r="A68" s="15">
        <v>42339</v>
      </c>
      <c r="B68" s="14">
        <v>52.2</v>
      </c>
      <c r="C68" s="14">
        <f>Table134681112141516171819202225303334[[#This Row],[PMI]]-B67</f>
        <v>1.3000000000000043</v>
      </c>
    </row>
    <row r="69" spans="1:3" x14ac:dyDescent="0.2">
      <c r="A69" s="15">
        <v>42370</v>
      </c>
      <c r="B69" s="14">
        <v>50.9</v>
      </c>
      <c r="C69" s="14">
        <f>Table134681112141516171819202225303334[[#This Row],[PMI]]-B68</f>
        <v>-1.3000000000000043</v>
      </c>
    </row>
    <row r="70" spans="1:3" x14ac:dyDescent="0.2">
      <c r="A70" s="15">
        <v>42401</v>
      </c>
      <c r="B70" s="14">
        <v>50.3</v>
      </c>
      <c r="C70" s="14">
        <f>Table134681112141516171819202225303334[[#This Row],[PMI]]-B69</f>
        <v>-0.60000000000000142</v>
      </c>
    </row>
    <row r="71" spans="1:3" x14ac:dyDescent="0.2">
      <c r="A71" s="15">
        <v>42430</v>
      </c>
      <c r="B71" s="14">
        <v>49.2</v>
      </c>
      <c r="C71" s="14">
        <f>Table134681112141516171819202225303334[[#This Row],[PMI]]-B70</f>
        <v>-1.0999999999999943</v>
      </c>
    </row>
    <row r="72" spans="1:3" x14ac:dyDescent="0.2">
      <c r="A72" s="15">
        <v>42461</v>
      </c>
      <c r="B72" s="14">
        <v>48.9</v>
      </c>
      <c r="C72" s="14">
        <f>Table134681112141516171819202225303334[[#This Row],[PMI]]-B71</f>
        <v>-0.30000000000000426</v>
      </c>
    </row>
    <row r="73" spans="1:3" x14ac:dyDescent="0.2">
      <c r="A73" s="15">
        <v>42491</v>
      </c>
      <c r="B73" s="14">
        <v>49.4</v>
      </c>
      <c r="C73" s="14">
        <f>Table134681112141516171819202225303334[[#This Row],[PMI]]-B72</f>
        <v>0.5</v>
      </c>
    </row>
    <row r="74" spans="1:3" x14ac:dyDescent="0.2">
      <c r="A74" s="15">
        <v>42522</v>
      </c>
      <c r="B74" s="14">
        <v>47.4</v>
      </c>
      <c r="C74" s="14">
        <f>Table134681112141516171819202225303334[[#This Row],[PMI]]-B73</f>
        <v>-2</v>
      </c>
    </row>
    <row r="75" spans="1:3" x14ac:dyDescent="0.2">
      <c r="A75" s="15">
        <v>42552</v>
      </c>
      <c r="B75" s="14">
        <v>47.6</v>
      </c>
      <c r="C75" s="14">
        <f>Table134681112141516171819202225303334[[#This Row],[PMI]]-B74</f>
        <v>0.20000000000000284</v>
      </c>
    </row>
    <row r="76" spans="1:3" x14ac:dyDescent="0.2">
      <c r="A76" s="15">
        <v>42583</v>
      </c>
      <c r="B76" s="14">
        <v>47</v>
      </c>
      <c r="C76" s="14">
        <f>Table134681112141516171819202225303334[[#This Row],[PMI]]-B75</f>
        <v>-0.60000000000000142</v>
      </c>
    </row>
    <row r="77" spans="1:3" x14ac:dyDescent="0.2">
      <c r="A77" s="15">
        <v>42614</v>
      </c>
      <c r="B77" s="14">
        <v>48.3</v>
      </c>
      <c r="C77" s="14">
        <f>Table134681112141516171819202225303334[[#This Row],[PMI]]-B76</f>
        <v>1.2999999999999972</v>
      </c>
    </row>
    <row r="78" spans="1:3" x14ac:dyDescent="0.2">
      <c r="A78" s="15">
        <v>42644</v>
      </c>
      <c r="B78" s="14">
        <v>49.8</v>
      </c>
      <c r="C78" s="14">
        <f>Table134681112141516171819202225303334[[#This Row],[PMI]]-B77</f>
        <v>1.5</v>
      </c>
    </row>
    <row r="79" spans="1:3" x14ac:dyDescent="0.2">
      <c r="A79" s="15">
        <v>42675</v>
      </c>
      <c r="B79" s="14">
        <v>48.8</v>
      </c>
      <c r="C79" s="14">
        <f>Table134681112141516171819202225303334[[#This Row],[PMI]]-B78</f>
        <v>-1</v>
      </c>
    </row>
    <row r="80" spans="1:3" x14ac:dyDescent="0.2">
      <c r="A80" s="15">
        <v>42705</v>
      </c>
      <c r="B80" s="14">
        <v>47.7</v>
      </c>
      <c r="C80" s="14">
        <f>Table134681112141516171819202225303334[[#This Row],[PMI]]-B79</f>
        <v>-1.0999999999999943</v>
      </c>
    </row>
    <row r="81" spans="1:3" x14ac:dyDescent="0.2">
      <c r="A81" s="15">
        <v>42736</v>
      </c>
      <c r="B81" s="14">
        <v>48.7</v>
      </c>
      <c r="C81" s="14">
        <f>Table134681112141516171819202225303334[[#This Row],[PMI]]-B80</f>
        <v>1</v>
      </c>
    </row>
    <row r="82" spans="1:3" x14ac:dyDescent="0.2">
      <c r="A82" s="15">
        <v>42767</v>
      </c>
      <c r="B82" s="14">
        <v>49.7</v>
      </c>
      <c r="C82" s="14">
        <f>Table134681112141516171819202225303334[[#This Row],[PMI]]-B81</f>
        <v>1</v>
      </c>
    </row>
    <row r="83" spans="1:3" x14ac:dyDescent="0.2">
      <c r="A83" s="15">
        <v>42795</v>
      </c>
      <c r="B83" s="14">
        <v>52.3</v>
      </c>
      <c r="C83" s="14">
        <f>Table134681112141516171819202225303334[[#This Row],[PMI]]-B82</f>
        <v>2.5999999999999943</v>
      </c>
    </row>
    <row r="84" spans="1:3" x14ac:dyDescent="0.2">
      <c r="A84" s="15">
        <v>42826</v>
      </c>
      <c r="B84" s="14">
        <v>51.7</v>
      </c>
      <c r="C84" s="14">
        <f>Table134681112141516171819202225303334[[#This Row],[PMI]]-B83</f>
        <v>-0.59999999999999432</v>
      </c>
    </row>
    <row r="85" spans="1:3" x14ac:dyDescent="0.2">
      <c r="A85" s="15">
        <v>42856</v>
      </c>
      <c r="B85" s="14">
        <v>53.5</v>
      </c>
      <c r="C85" s="14">
        <f>Table134681112141516171819202225303334[[#This Row],[PMI]]-B84</f>
        <v>1.7999999999999972</v>
      </c>
    </row>
    <row r="86" spans="1:3" x14ac:dyDescent="0.2">
      <c r="A86" s="15">
        <v>42887</v>
      </c>
      <c r="B86" s="14">
        <v>54.7</v>
      </c>
      <c r="C86" s="14">
        <f>Table134681112141516171819202225303334[[#This Row],[PMI]]-B85</f>
        <v>1.2000000000000028</v>
      </c>
    </row>
    <row r="87" spans="1:3" x14ac:dyDescent="0.2">
      <c r="A87" s="15">
        <v>42917</v>
      </c>
      <c r="B87" s="14">
        <v>53.6</v>
      </c>
      <c r="C87" s="14">
        <f>Table134681112141516171819202225303334[[#This Row],[PMI]]-B86</f>
        <v>-1.1000000000000014</v>
      </c>
    </row>
    <row r="88" spans="1:3" x14ac:dyDescent="0.2">
      <c r="A88" s="15">
        <v>42948</v>
      </c>
      <c r="B88" s="14">
        <v>55.3</v>
      </c>
      <c r="C88" s="14">
        <f>Table134681112141516171819202225303334[[#This Row],[PMI]]-B87</f>
        <v>1.6999999999999957</v>
      </c>
    </row>
    <row r="89" spans="1:3" x14ac:dyDescent="0.2">
      <c r="A89" s="15">
        <v>42979</v>
      </c>
      <c r="B89" s="14">
        <v>53.5</v>
      </c>
      <c r="C89" s="14">
        <f>Table134681112141516171819202225303334[[#This Row],[PMI]]-B88</f>
        <v>-1.7999999999999972</v>
      </c>
    </row>
    <row r="90" spans="1:3" x14ac:dyDescent="0.2">
      <c r="A90" s="15">
        <v>43009</v>
      </c>
      <c r="B90" s="14">
        <v>52.8</v>
      </c>
      <c r="C90" s="14">
        <f>Table134681112141516171819202225303334[[#This Row],[PMI]]-B89</f>
        <v>-0.70000000000000284</v>
      </c>
    </row>
    <row r="91" spans="1:3" x14ac:dyDescent="0.2">
      <c r="A91" s="15">
        <v>43040</v>
      </c>
      <c r="B91" s="14">
        <v>52.9</v>
      </c>
      <c r="C91" s="14">
        <f>Table134681112141516171819202225303334[[#This Row],[PMI]]-B90</f>
        <v>0.10000000000000142</v>
      </c>
    </row>
    <row r="92" spans="1:3" x14ac:dyDescent="0.2">
      <c r="A92" s="15">
        <v>43070</v>
      </c>
      <c r="B92" s="14">
        <v>54.9</v>
      </c>
      <c r="C92" s="14">
        <f>Table134681112141516171819202225303334[[#This Row],[PMI]]-B91</f>
        <v>2</v>
      </c>
    </row>
    <row r="93" spans="1:3" x14ac:dyDescent="0.2">
      <c r="A93" s="15">
        <v>43101</v>
      </c>
      <c r="B93" s="14">
        <v>55.7</v>
      </c>
      <c r="C93" s="14">
        <f>Table134681112141516171819202225303334[[#This Row],[PMI]]-B92</f>
        <v>0.80000000000000426</v>
      </c>
    </row>
    <row r="94" spans="1:3" x14ac:dyDescent="0.2">
      <c r="A94" s="15">
        <v>43132</v>
      </c>
      <c r="B94" s="14">
        <v>55.6</v>
      </c>
      <c r="C94" s="14">
        <f>Table134681112141516171819202225303334[[#This Row],[PMI]]-B93</f>
        <v>-0.10000000000000142</v>
      </c>
    </row>
    <row r="95" spans="1:3" x14ac:dyDescent="0.2">
      <c r="A95" s="15">
        <v>43160</v>
      </c>
      <c r="B95" s="14">
        <v>51.8</v>
      </c>
      <c r="C95" s="14">
        <f>Table134681112141516171819202225303334[[#This Row],[PMI]]-B94</f>
        <v>-3.8000000000000043</v>
      </c>
    </row>
    <row r="96" spans="1:3" x14ac:dyDescent="0.2">
      <c r="A96" s="15">
        <v>43191</v>
      </c>
      <c r="B96" s="14">
        <v>48.9</v>
      </c>
      <c r="C96" s="14">
        <f>Table134681112141516171819202225303334[[#This Row],[PMI]]-B95</f>
        <v>-2.8999999999999986</v>
      </c>
    </row>
    <row r="97" spans="1:3" x14ac:dyDescent="0.2">
      <c r="A97" s="15">
        <v>43221</v>
      </c>
      <c r="B97" s="14">
        <v>46.4</v>
      </c>
      <c r="C97" s="14">
        <f>Table134681112141516171819202225303334[[#This Row],[PMI]]-B96</f>
        <v>-2.5</v>
      </c>
    </row>
    <row r="98" spans="1:3" x14ac:dyDescent="0.2">
      <c r="A98" s="15">
        <v>43252</v>
      </c>
      <c r="B98" s="14">
        <v>46.8</v>
      </c>
      <c r="C98" s="14">
        <f>Table134681112141516171819202225303334[[#This Row],[PMI]]-B97</f>
        <v>0.39999999999999858</v>
      </c>
    </row>
    <row r="99" spans="1:3" x14ac:dyDescent="0.2">
      <c r="A99" s="15">
        <v>43282</v>
      </c>
      <c r="B99" s="14">
        <v>49</v>
      </c>
      <c r="C99" s="14">
        <f>Table134681112141516171819202225303334[[#This Row],[PMI]]-B98</f>
        <v>2.2000000000000028</v>
      </c>
    </row>
    <row r="100" spans="1:3" x14ac:dyDescent="0.2">
      <c r="A100" s="15">
        <v>43313</v>
      </c>
      <c r="B100" s="14">
        <v>46.4</v>
      </c>
      <c r="C100" s="14">
        <f>Table134681112141516171819202225303334[[#This Row],[PMI]]-B99</f>
        <v>-2.6000000000000014</v>
      </c>
    </row>
    <row r="101" spans="1:3" x14ac:dyDescent="0.2">
      <c r="A101" s="15">
        <v>43344</v>
      </c>
      <c r="B101" s="14">
        <v>42.7</v>
      </c>
      <c r="C101" s="14">
        <f>Table134681112141516171819202225303334[[#This Row],[PMI]]-B100</f>
        <v>-3.6999999999999957</v>
      </c>
    </row>
    <row r="102" spans="1:3" x14ac:dyDescent="0.2">
      <c r="A102" s="15">
        <v>43374</v>
      </c>
      <c r="B102" s="14">
        <v>44.3</v>
      </c>
      <c r="C102" s="14">
        <f>Table134681112141516171819202225303334[[#This Row],[PMI]]-B101</f>
        <v>1.5999999999999943</v>
      </c>
    </row>
    <row r="103" spans="1:3" x14ac:dyDescent="0.2">
      <c r="A103" s="15">
        <v>43405</v>
      </c>
      <c r="B103" s="14">
        <v>44.7</v>
      </c>
      <c r="C103" s="14">
        <f>Table134681112141516171819202225303334[[#This Row],[PMI]]-B102</f>
        <v>0.40000000000000568</v>
      </c>
    </row>
    <row r="104" spans="1:3" x14ac:dyDescent="0.2">
      <c r="A104" s="15">
        <v>43435</v>
      </c>
      <c r="B104" s="14">
        <v>44.2</v>
      </c>
      <c r="C104" s="14">
        <f>Table134681112141516171819202225303334[[#This Row],[PMI]]-B103</f>
        <v>-0.5</v>
      </c>
    </row>
    <row r="105" spans="1:3" x14ac:dyDescent="0.2">
      <c r="A105" s="15">
        <v>43466</v>
      </c>
      <c r="B105" s="14">
        <v>44.2</v>
      </c>
      <c r="C105" s="14">
        <f>Table134681112141516171819202225303334[[#This Row],[PMI]]-B104</f>
        <v>0</v>
      </c>
    </row>
    <row r="106" spans="1:3" x14ac:dyDescent="0.2">
      <c r="A106" s="15">
        <v>43497</v>
      </c>
      <c r="B106" s="14">
        <v>46.4</v>
      </c>
      <c r="C106" s="14">
        <f>Table134681112141516171819202225303334[[#This Row],[PMI]]-B105</f>
        <v>2.1999999999999957</v>
      </c>
    </row>
    <row r="107" spans="1:3" x14ac:dyDescent="0.2">
      <c r="A107" s="15">
        <v>43525</v>
      </c>
      <c r="B107" s="14">
        <v>47.2</v>
      </c>
      <c r="C107" s="30">
        <f>Table134681112141516171819202225303334[[#This Row],[PMI]]-B106</f>
        <v>0.80000000000000426</v>
      </c>
    </row>
    <row r="108" spans="1:3" x14ac:dyDescent="0.2">
      <c r="A108" s="15">
        <v>43556</v>
      </c>
      <c r="B108" s="14">
        <v>46.8</v>
      </c>
      <c r="C108" s="30">
        <f>Table134681112141516171819202225303334[[#This Row],[PMI]]-B107</f>
        <v>-0.40000000000000568</v>
      </c>
    </row>
    <row r="109" spans="1:3" x14ac:dyDescent="0.2">
      <c r="A109" s="15">
        <v>43586</v>
      </c>
      <c r="B109" s="14">
        <v>45.3</v>
      </c>
      <c r="C109" s="30">
        <f>Table134681112141516171819202225303334[[#This Row],[PMI]]-B108</f>
        <v>-1.5</v>
      </c>
    </row>
    <row r="110" spans="1:3" x14ac:dyDescent="0.2">
      <c r="A110" s="15">
        <v>43617</v>
      </c>
      <c r="B110" s="14">
        <v>47.9</v>
      </c>
      <c r="C110" s="30">
        <f>Table134681112141516171819202225303334[[#This Row],[PMI]]-B109</f>
        <v>2.6000000000000014</v>
      </c>
    </row>
    <row r="111" spans="1:3" x14ac:dyDescent="0.2">
      <c r="A111" s="15">
        <v>43647</v>
      </c>
      <c r="B111" s="14">
        <v>46.7</v>
      </c>
      <c r="C111" s="30">
        <f>Table134681112141516171819202225303334[[#This Row],[PMI]]-B110</f>
        <v>-1.1999999999999957</v>
      </c>
    </row>
    <row r="112" spans="1:3" x14ac:dyDescent="0.2">
      <c r="A112" s="15">
        <v>43678</v>
      </c>
      <c r="B112" s="14">
        <v>48</v>
      </c>
      <c r="C112" s="30">
        <f>Table134681112141516171819202225303334[[#This Row],[PMI]]-B111</f>
        <v>1.2999999999999972</v>
      </c>
    </row>
    <row r="113" spans="1:3" x14ac:dyDescent="0.2">
      <c r="A113" s="15">
        <v>43709</v>
      </c>
      <c r="B113" s="14">
        <v>50</v>
      </c>
      <c r="C113" s="30">
        <f>Table134681112141516171819202225303334[[#This Row],[PMI]]-B112</f>
        <v>2</v>
      </c>
    </row>
    <row r="114" spans="1:3" x14ac:dyDescent="0.2">
      <c r="A114" s="15">
        <v>43739</v>
      </c>
      <c r="B114" s="14">
        <v>49</v>
      </c>
      <c r="C114" s="30">
        <f>Table134681112141516171819202225303334[[#This Row],[PMI]]-B113</f>
        <v>-1</v>
      </c>
    </row>
    <row r="115" spans="1:3" x14ac:dyDescent="0.2">
      <c r="A115" s="15">
        <v>43770</v>
      </c>
      <c r="B115" s="14">
        <v>49.5</v>
      </c>
      <c r="C115" s="30">
        <f>Table134681112141516171819202225303334[[#This Row],[PMI]]-B114</f>
        <v>0.5</v>
      </c>
    </row>
    <row r="116" spans="1:3" x14ac:dyDescent="0.2">
      <c r="A116" s="15">
        <v>43800</v>
      </c>
      <c r="B116" s="14">
        <v>49.5</v>
      </c>
      <c r="C116" s="30">
        <f>Table134681112141516171819202225303334[[#This Row],[PMI]]-B115</f>
        <v>0</v>
      </c>
    </row>
    <row r="117" spans="1:3" x14ac:dyDescent="0.2">
      <c r="A117" s="15">
        <v>43831</v>
      </c>
      <c r="B117" s="14">
        <v>51.3</v>
      </c>
      <c r="C117" s="30">
        <f>Table134681112141516171819202225303334[[#This Row],[PMI]]-B116</f>
        <v>1.7999999999999972</v>
      </c>
    </row>
    <row r="118" spans="1:3" x14ac:dyDescent="0.2">
      <c r="A118" s="15">
        <v>43862</v>
      </c>
      <c r="B118" s="14">
        <v>52.4</v>
      </c>
      <c r="C118" s="30">
        <f>Table134681112141516171819202225303334[[#This Row],[PMI]]-B117</f>
        <v>1.1000000000000014</v>
      </c>
    </row>
    <row r="119" spans="1:3" x14ac:dyDescent="0.2">
      <c r="A119" s="15">
        <v>43891</v>
      </c>
      <c r="B119" s="14">
        <v>48.1</v>
      </c>
      <c r="C119" s="30">
        <f>Table134681112141516171819202225303334[[#This Row],[PMI]]-B118</f>
        <v>-4.2999999999999972</v>
      </c>
    </row>
    <row r="120" spans="1:3" x14ac:dyDescent="0.2">
      <c r="A120" s="15">
        <v>43922</v>
      </c>
      <c r="B120" s="14">
        <v>33.4</v>
      </c>
      <c r="C120" s="30">
        <f>Table134681112141516171819202225303334[[#This Row],[PMI]]-B119</f>
        <v>-14.700000000000003</v>
      </c>
    </row>
    <row r="121" spans="1:3" x14ac:dyDescent="0.2">
      <c r="A121" s="15">
        <v>43952</v>
      </c>
      <c r="B121" s="14">
        <v>40.9</v>
      </c>
      <c r="C121" s="30">
        <f>Table134681112141516171819202225303334[[#This Row],[PMI]]-B120</f>
        <v>7.5</v>
      </c>
    </row>
    <row r="122" spans="1:3" x14ac:dyDescent="0.2">
      <c r="A122" s="15">
        <v>43983</v>
      </c>
      <c r="B122" s="14">
        <v>53.9</v>
      </c>
      <c r="C122" s="30">
        <f>Table134681112141516171819202225303334[[#This Row],[PMI]]-B121</f>
        <v>13</v>
      </c>
    </row>
    <row r="123" spans="1:3" x14ac:dyDescent="0.2">
      <c r="A123" s="15">
        <v>44013</v>
      </c>
      <c r="B123" s="14">
        <v>56.9</v>
      </c>
      <c r="C123" s="30">
        <f>Table134681112141516171819202225303334[[#This Row],[PMI]]-B122</f>
        <v>3</v>
      </c>
    </row>
    <row r="124" spans="1:3" x14ac:dyDescent="0.2">
      <c r="A124" s="15">
        <v>44044</v>
      </c>
      <c r="B124" s="14">
        <v>54.3</v>
      </c>
      <c r="C124" s="30">
        <f>Table134681112141516171819202225303334[[#This Row],[PMI]]-B123</f>
        <v>-2.6000000000000014</v>
      </c>
    </row>
    <row r="125" spans="1:3" x14ac:dyDescent="0.2">
      <c r="A125" s="15">
        <v>44075</v>
      </c>
      <c r="B125" s="14">
        <v>52.8</v>
      </c>
      <c r="C125" s="30">
        <f>Table134681112141516171819202225303334[[#This Row],[PMI]]-B124</f>
        <v>-1.5</v>
      </c>
    </row>
    <row r="126" spans="1:3" x14ac:dyDescent="0.2">
      <c r="A126" s="15">
        <v>44105</v>
      </c>
      <c r="B126" s="14">
        <v>53.9</v>
      </c>
      <c r="C126" s="30">
        <f>Table134681112141516171819202225303334[[#This Row],[PMI]]-B125</f>
        <v>1.1000000000000014</v>
      </c>
    </row>
    <row r="127" spans="1:3" x14ac:dyDescent="0.2">
      <c r="A127" s="15">
        <v>44136</v>
      </c>
      <c r="B127" s="14">
        <v>51.4</v>
      </c>
      <c r="C127" s="30">
        <f>Table134681112141516171819202225303334[[#This Row],[PMI]]-B126</f>
        <v>-2.5</v>
      </c>
    </row>
    <row r="128" spans="1:3" x14ac:dyDescent="0.2">
      <c r="A128" s="15">
        <v>44166</v>
      </c>
      <c r="B128" s="14">
        <v>50.8</v>
      </c>
      <c r="C128" s="30">
        <f>Table134681112141516171819202225303334[[#This Row],[PMI]]-B127</f>
        <v>-0.60000000000000142</v>
      </c>
    </row>
    <row r="129" spans="1:3" x14ac:dyDescent="0.2">
      <c r="A129" s="15">
        <v>44197</v>
      </c>
      <c r="B129" s="14">
        <v>54.4</v>
      </c>
      <c r="C129" s="30">
        <f>Table134681112141516171819202225303334[[#This Row],[PMI]]-B128</f>
        <v>3.6000000000000014</v>
      </c>
    </row>
    <row r="130" spans="1:3" x14ac:dyDescent="0.2">
      <c r="A130" s="15">
        <v>44228</v>
      </c>
      <c r="B130" s="14">
        <v>51.7</v>
      </c>
      <c r="C130" s="30">
        <f>Table134681112141516171819202225303334[[#This Row],[PMI]]-B129</f>
        <v>-2.6999999999999957</v>
      </c>
    </row>
    <row r="131" spans="1:3" x14ac:dyDescent="0.2">
      <c r="A131" s="15">
        <v>44256</v>
      </c>
      <c r="B131" s="14">
        <v>52.6</v>
      </c>
      <c r="C131" s="30">
        <f>Table134681112141516171819202225303334[[#This Row],[PMI]]-B130</f>
        <v>0.89999999999999858</v>
      </c>
    </row>
    <row r="132" spans="1:3" x14ac:dyDescent="0.2">
      <c r="A132" s="15">
        <v>44287</v>
      </c>
      <c r="B132" s="14">
        <v>50.4</v>
      </c>
      <c r="C132" s="30">
        <f>Table134681112141516171819202225303334[[#This Row],[PMI]]-B131</f>
        <v>-2.2000000000000028</v>
      </c>
    </row>
    <row r="133" spans="1:3" x14ac:dyDescent="0.2">
      <c r="A133" s="15">
        <v>44317</v>
      </c>
      <c r="B133" s="14">
        <v>49.3</v>
      </c>
      <c r="C133" s="30">
        <f>Table134681112141516171819202225303334[[#This Row],[PMI]]-B132</f>
        <v>-1.1000000000000014</v>
      </c>
    </row>
    <row r="134" spans="1:3" x14ac:dyDescent="0.2">
      <c r="A134" s="15">
        <v>44348</v>
      </c>
      <c r="B134" s="14">
        <v>51.3</v>
      </c>
      <c r="C134" s="30">
        <f>Table134681112141516171819202225303334[[#This Row],[PMI]]-B133</f>
        <v>2</v>
      </c>
    </row>
    <row r="135" spans="1:3" x14ac:dyDescent="0.2">
      <c r="A135" s="15">
        <v>44378</v>
      </c>
      <c r="B135" s="14">
        <v>54</v>
      </c>
      <c r="C135" s="30">
        <f>Table134681112141516171819202225303334[[#This Row],[PMI]]-B134</f>
        <v>2.7000000000000028</v>
      </c>
    </row>
    <row r="136" spans="1:3" x14ac:dyDescent="0.2">
      <c r="A136" s="15">
        <v>44409</v>
      </c>
      <c r="B136" s="14">
        <v>54.1</v>
      </c>
      <c r="C136" s="30">
        <f>Table134681112141516171819202225303334[[#This Row],[PMI]]-B135</f>
        <v>0.10000000000000142</v>
      </c>
    </row>
    <row r="137" spans="1:3" x14ac:dyDescent="0.2">
      <c r="A137" s="15">
        <v>44440</v>
      </c>
      <c r="B137" s="14">
        <v>52.5</v>
      </c>
      <c r="C137" s="30">
        <f>Table134681112141516171819202225303334[[#This Row],[PMI]]-B136</f>
        <v>-1.6000000000000014</v>
      </c>
    </row>
    <row r="138" spans="1:3" x14ac:dyDescent="0.2">
      <c r="A138" s="15">
        <v>44470</v>
      </c>
      <c r="B138" s="14">
        <v>51.2</v>
      </c>
      <c r="C138" s="30">
        <f>Table134681112141516171819202225303334[[#This Row],[PMI]]-B137</f>
        <v>-1.2999999999999972</v>
      </c>
    </row>
    <row r="139" spans="1:3" x14ac:dyDescent="0.2">
      <c r="A139" s="15">
        <v>44501</v>
      </c>
      <c r="B139" s="14">
        <v>52</v>
      </c>
      <c r="C139" s="30">
        <f>Table134681112141516171819202225303334[[#This Row],[PMI]]-B138</f>
        <v>0.79999999999999716</v>
      </c>
    </row>
    <row r="140" spans="1:3" x14ac:dyDescent="0.2">
      <c r="A140" s="15">
        <v>44531</v>
      </c>
      <c r="B140" s="14">
        <v>52.1</v>
      </c>
      <c r="C140" s="30">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5BEC2-3A87-4D27-899A-11BA367120FF}">
  <dimension ref="A1:K140"/>
  <sheetViews>
    <sheetView zoomScale="160" zoomScaleNormal="160" workbookViewId="0">
      <pane ySplit="5" topLeftCell="A99" activePane="bottomLeft" state="frozen"/>
      <selection pane="bottomLeft" activeCell="R139" sqref="R139"/>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53</v>
      </c>
      <c r="K1" s="10" t="s">
        <v>21</v>
      </c>
    </row>
    <row r="2" spans="1:11" x14ac:dyDescent="0.2">
      <c r="K2" s="10" t="str">
        <f>A1&amp;K1</f>
        <v>Czech Republic Manufacturing PMI</v>
      </c>
    </row>
    <row r="4" spans="1:11" ht="16" thickBot="1" x14ac:dyDescent="0.25"/>
    <row r="5" spans="1:11" ht="16" thickBot="1" x14ac:dyDescent="0.25">
      <c r="A5" s="27" t="s">
        <v>10</v>
      </c>
      <c r="B5" s="28" t="s">
        <v>11</v>
      </c>
      <c r="C5" s="28" t="s">
        <v>14</v>
      </c>
    </row>
    <row r="6" spans="1:11" x14ac:dyDescent="0.2">
      <c r="A6" s="23">
        <v>40452</v>
      </c>
      <c r="B6" s="24">
        <v>57.2</v>
      </c>
      <c r="C6" s="24"/>
    </row>
    <row r="7" spans="1:11" x14ac:dyDescent="0.2">
      <c r="A7" s="15">
        <v>40483</v>
      </c>
      <c r="B7" s="14">
        <v>57.3</v>
      </c>
      <c r="C7" s="14">
        <f>Table13468111214151617181920222530333435[[#This Row],[PMI]]-B6</f>
        <v>9.9999999999994316E-2</v>
      </c>
    </row>
    <row r="8" spans="1:11" x14ac:dyDescent="0.2">
      <c r="A8" s="15">
        <v>40513</v>
      </c>
      <c r="B8" s="14">
        <v>58.4</v>
      </c>
      <c r="C8" s="14">
        <f>Table13468111214151617181920222530333435[[#This Row],[PMI]]-B7</f>
        <v>1.1000000000000014</v>
      </c>
    </row>
    <row r="9" spans="1:11" x14ac:dyDescent="0.2">
      <c r="A9" s="15">
        <v>40544</v>
      </c>
      <c r="B9" s="14">
        <v>60.5</v>
      </c>
      <c r="C9" s="14">
        <f>Table13468111214151617181920222530333435[[#This Row],[PMI]]-B8</f>
        <v>2.1000000000000014</v>
      </c>
    </row>
    <row r="10" spans="1:11" x14ac:dyDescent="0.2">
      <c r="A10" s="15">
        <v>40575</v>
      </c>
      <c r="B10" s="14">
        <v>59.8</v>
      </c>
      <c r="C10" s="14">
        <f>Table13468111214151617181920222530333435[[#This Row],[PMI]]-B9</f>
        <v>-0.70000000000000284</v>
      </c>
    </row>
    <row r="11" spans="1:11" x14ac:dyDescent="0.2">
      <c r="A11" s="15">
        <v>40603</v>
      </c>
      <c r="B11" s="14">
        <v>58.6</v>
      </c>
      <c r="C11" s="14">
        <f>Table13468111214151617181920222530333435[[#This Row],[PMI]]-B10</f>
        <v>-1.1999999999999957</v>
      </c>
    </row>
    <row r="12" spans="1:11" x14ac:dyDescent="0.2">
      <c r="A12" s="15">
        <v>40634</v>
      </c>
      <c r="B12" s="14">
        <v>59</v>
      </c>
      <c r="C12" s="14">
        <f>Table13468111214151617181920222530333435[[#This Row],[PMI]]-B11</f>
        <v>0.39999999999999858</v>
      </c>
    </row>
    <row r="13" spans="1:11" x14ac:dyDescent="0.2">
      <c r="A13" s="15">
        <v>40664</v>
      </c>
      <c r="B13" s="14">
        <v>55.9</v>
      </c>
      <c r="C13" s="14">
        <f>Table13468111214151617181920222530333435[[#This Row],[PMI]]-B12</f>
        <v>-3.1000000000000014</v>
      </c>
    </row>
    <row r="14" spans="1:11" x14ac:dyDescent="0.2">
      <c r="A14" s="15">
        <v>40695</v>
      </c>
      <c r="B14" s="14">
        <v>55.1</v>
      </c>
      <c r="C14" s="14">
        <f>Table13468111214151617181920222530333435[[#This Row],[PMI]]-B13</f>
        <v>-0.79999999999999716</v>
      </c>
    </row>
    <row r="15" spans="1:11" x14ac:dyDescent="0.2">
      <c r="A15" s="15">
        <v>40725</v>
      </c>
      <c r="B15" s="14">
        <v>53.4</v>
      </c>
      <c r="C15" s="14">
        <f>Table13468111214151617181920222530333435[[#This Row],[PMI]]-B14</f>
        <v>-1.7000000000000028</v>
      </c>
    </row>
    <row r="16" spans="1:11" x14ac:dyDescent="0.2">
      <c r="A16" s="15">
        <v>40756</v>
      </c>
      <c r="B16" s="14">
        <v>53.4</v>
      </c>
      <c r="C16" s="14">
        <f>Table13468111214151617181920222530333435[[#This Row],[PMI]]-B15</f>
        <v>0</v>
      </c>
    </row>
    <row r="17" spans="1:3" x14ac:dyDescent="0.2">
      <c r="A17" s="15">
        <v>40787</v>
      </c>
      <c r="B17" s="14">
        <v>52.3</v>
      </c>
      <c r="C17" s="14">
        <f>Table13468111214151617181920222530333435[[#This Row],[PMI]]-B16</f>
        <v>-1.1000000000000014</v>
      </c>
    </row>
    <row r="18" spans="1:3" x14ac:dyDescent="0.2">
      <c r="A18" s="15">
        <v>40817</v>
      </c>
      <c r="B18" s="14">
        <v>51.7</v>
      </c>
      <c r="C18" s="14">
        <f>Table13468111214151617181920222530333435[[#This Row],[PMI]]-B17</f>
        <v>-0.59999999999999432</v>
      </c>
    </row>
    <row r="19" spans="1:3" x14ac:dyDescent="0.2">
      <c r="A19" s="15">
        <v>40848</v>
      </c>
      <c r="B19" s="14">
        <v>48.6</v>
      </c>
      <c r="C19" s="14">
        <f>Table13468111214151617181920222530333435[[#This Row],[PMI]]-B18</f>
        <v>-3.1000000000000014</v>
      </c>
    </row>
    <row r="20" spans="1:3" x14ac:dyDescent="0.2">
      <c r="A20" s="15">
        <v>40878</v>
      </c>
      <c r="B20" s="14">
        <v>49.2</v>
      </c>
      <c r="C20" s="14">
        <f>Table13468111214151617181920222530333435[[#This Row],[PMI]]-B19</f>
        <v>0.60000000000000142</v>
      </c>
    </row>
    <row r="21" spans="1:3" x14ac:dyDescent="0.2">
      <c r="A21" s="15">
        <v>40909</v>
      </c>
      <c r="B21" s="14">
        <v>48.8</v>
      </c>
      <c r="C21" s="14">
        <f>Table13468111214151617181920222530333435[[#This Row],[PMI]]-B20</f>
        <v>-0.40000000000000568</v>
      </c>
    </row>
    <row r="22" spans="1:3" x14ac:dyDescent="0.2">
      <c r="A22" s="15">
        <v>40940</v>
      </c>
      <c r="B22" s="14">
        <v>50.5</v>
      </c>
      <c r="C22" s="14">
        <f>Table13468111214151617181920222530333435[[#This Row],[PMI]]-B21</f>
        <v>1.7000000000000028</v>
      </c>
    </row>
    <row r="23" spans="1:3" x14ac:dyDescent="0.2">
      <c r="A23" s="15">
        <v>40969</v>
      </c>
      <c r="B23" s="14">
        <v>52.1</v>
      </c>
      <c r="C23" s="14">
        <f>Table13468111214151617181920222530333435[[#This Row],[PMI]]-B22</f>
        <v>1.6000000000000014</v>
      </c>
    </row>
    <row r="24" spans="1:3" x14ac:dyDescent="0.2">
      <c r="A24" s="15">
        <v>41000</v>
      </c>
      <c r="B24" s="14">
        <v>49.7</v>
      </c>
      <c r="C24" s="14">
        <f>Table13468111214151617181920222530333435[[#This Row],[PMI]]-B23</f>
        <v>-2.3999999999999986</v>
      </c>
    </row>
    <row r="25" spans="1:3" x14ac:dyDescent="0.2">
      <c r="A25" s="15">
        <v>41030</v>
      </c>
      <c r="B25" s="14">
        <v>47.6</v>
      </c>
      <c r="C25" s="14">
        <f>Table13468111214151617181920222530333435[[#This Row],[PMI]]-B24</f>
        <v>-2.1000000000000014</v>
      </c>
    </row>
    <row r="26" spans="1:3" x14ac:dyDescent="0.2">
      <c r="A26" s="15">
        <v>41061</v>
      </c>
      <c r="B26" s="14">
        <v>49.4</v>
      </c>
      <c r="C26" s="14">
        <f>Table13468111214151617181920222530333435[[#This Row],[PMI]]-B25</f>
        <v>1.7999999999999972</v>
      </c>
    </row>
    <row r="27" spans="1:3" x14ac:dyDescent="0.2">
      <c r="A27" s="15">
        <v>41091</v>
      </c>
      <c r="B27" s="14">
        <v>49.5</v>
      </c>
      <c r="C27" s="14">
        <f>Table13468111214151617181920222530333435[[#This Row],[PMI]]-B26</f>
        <v>0.10000000000000142</v>
      </c>
    </row>
    <row r="28" spans="1:3" x14ac:dyDescent="0.2">
      <c r="A28" s="15">
        <v>41122</v>
      </c>
      <c r="B28" s="14">
        <v>48.7</v>
      </c>
      <c r="C28" s="14">
        <f>Table13468111214151617181920222530333435[[#This Row],[PMI]]-B27</f>
        <v>-0.79999999999999716</v>
      </c>
    </row>
    <row r="29" spans="1:3" x14ac:dyDescent="0.2">
      <c r="A29" s="15">
        <v>41153</v>
      </c>
      <c r="B29" s="14">
        <v>48</v>
      </c>
      <c r="C29" s="14">
        <f>Table13468111214151617181920222530333435[[#This Row],[PMI]]-B28</f>
        <v>-0.70000000000000284</v>
      </c>
    </row>
    <row r="30" spans="1:3" x14ac:dyDescent="0.2">
      <c r="A30" s="15">
        <v>41183</v>
      </c>
      <c r="B30" s="14">
        <v>47.2</v>
      </c>
      <c r="C30" s="14">
        <f>Table13468111214151617181920222530333435[[#This Row],[PMI]]-B29</f>
        <v>-0.79999999999999716</v>
      </c>
    </row>
    <row r="31" spans="1:3" x14ac:dyDescent="0.2">
      <c r="A31" s="15">
        <v>41214</v>
      </c>
      <c r="B31" s="14">
        <v>48.2</v>
      </c>
      <c r="C31" s="14">
        <f>Table13468111214151617181920222530333435[[#This Row],[PMI]]-B30</f>
        <v>1</v>
      </c>
    </row>
    <row r="32" spans="1:3" x14ac:dyDescent="0.2">
      <c r="A32" s="15">
        <v>41244</v>
      </c>
      <c r="B32" s="14">
        <v>46</v>
      </c>
      <c r="C32" s="14">
        <f>Table13468111214151617181920222530333435[[#This Row],[PMI]]-B31</f>
        <v>-2.2000000000000028</v>
      </c>
    </row>
    <row r="33" spans="1:3" x14ac:dyDescent="0.2">
      <c r="A33" s="15">
        <v>41275</v>
      </c>
      <c r="B33" s="14">
        <v>48.3</v>
      </c>
      <c r="C33" s="14">
        <f>Table13468111214151617181920222530333435[[#This Row],[PMI]]-B32</f>
        <v>2.2999999999999972</v>
      </c>
    </row>
    <row r="34" spans="1:3" x14ac:dyDescent="0.2">
      <c r="A34" s="15">
        <v>41306</v>
      </c>
      <c r="B34" s="14">
        <v>49.9</v>
      </c>
      <c r="C34" s="14">
        <f>Table13468111214151617181920222530333435[[#This Row],[PMI]]-B33</f>
        <v>1.6000000000000014</v>
      </c>
    </row>
    <row r="35" spans="1:3" x14ac:dyDescent="0.2">
      <c r="A35" s="15">
        <v>41334</v>
      </c>
      <c r="B35" s="14">
        <v>49.1</v>
      </c>
      <c r="C35" s="14">
        <f>Table13468111214151617181920222530333435[[#This Row],[PMI]]-B34</f>
        <v>-0.79999999999999716</v>
      </c>
    </row>
    <row r="36" spans="1:3" x14ac:dyDescent="0.2">
      <c r="A36" s="15">
        <v>41365</v>
      </c>
      <c r="B36" s="14">
        <v>49.5</v>
      </c>
      <c r="C36" s="14">
        <f>Table13468111214151617181920222530333435[[#This Row],[PMI]]-B35</f>
        <v>0.39999999999999858</v>
      </c>
    </row>
    <row r="37" spans="1:3" x14ac:dyDescent="0.2">
      <c r="A37" s="15">
        <v>41395</v>
      </c>
      <c r="B37" s="14">
        <v>50.1</v>
      </c>
      <c r="C37" s="14">
        <f>Table13468111214151617181920222530333435[[#This Row],[PMI]]-B36</f>
        <v>0.60000000000000142</v>
      </c>
    </row>
    <row r="38" spans="1:3" x14ac:dyDescent="0.2">
      <c r="A38" s="15">
        <v>41426</v>
      </c>
      <c r="B38" s="14">
        <v>51</v>
      </c>
      <c r="C38" s="14">
        <f>Table13468111214151617181920222530333435[[#This Row],[PMI]]-B37</f>
        <v>0.89999999999999858</v>
      </c>
    </row>
    <row r="39" spans="1:3" x14ac:dyDescent="0.2">
      <c r="A39" s="15">
        <v>41456</v>
      </c>
      <c r="B39" s="14">
        <v>52</v>
      </c>
      <c r="C39" s="14">
        <f>Table13468111214151617181920222530333435[[#This Row],[PMI]]-B38</f>
        <v>1</v>
      </c>
    </row>
    <row r="40" spans="1:3" x14ac:dyDescent="0.2">
      <c r="A40" s="15">
        <v>41487</v>
      </c>
      <c r="B40" s="14">
        <v>53.9</v>
      </c>
      <c r="C40" s="14">
        <f>Table13468111214151617181920222530333435[[#This Row],[PMI]]-B39</f>
        <v>1.8999999999999986</v>
      </c>
    </row>
    <row r="41" spans="1:3" x14ac:dyDescent="0.2">
      <c r="A41" s="15">
        <v>41518</v>
      </c>
      <c r="B41" s="14">
        <v>53.4</v>
      </c>
      <c r="C41" s="14">
        <f>Table13468111214151617181920222530333435[[#This Row],[PMI]]-B40</f>
        <v>-0.5</v>
      </c>
    </row>
    <row r="42" spans="1:3" x14ac:dyDescent="0.2">
      <c r="A42" s="15">
        <v>41548</v>
      </c>
      <c r="B42" s="14">
        <v>54.5</v>
      </c>
      <c r="C42" s="14">
        <f>Table13468111214151617181920222530333435[[#This Row],[PMI]]-B41</f>
        <v>1.1000000000000014</v>
      </c>
    </row>
    <row r="43" spans="1:3" x14ac:dyDescent="0.2">
      <c r="A43" s="15">
        <v>41579</v>
      </c>
      <c r="B43" s="14">
        <v>55.4</v>
      </c>
      <c r="C43" s="14">
        <f>Table13468111214151617181920222530333435[[#This Row],[PMI]]-B42</f>
        <v>0.89999999999999858</v>
      </c>
    </row>
    <row r="44" spans="1:3" x14ac:dyDescent="0.2">
      <c r="A44" s="15">
        <v>41609</v>
      </c>
      <c r="B44" s="14">
        <v>54.9</v>
      </c>
      <c r="C44" s="14">
        <f>Table13468111214151617181920222530333435[[#This Row],[PMI]]-B43</f>
        <v>-0.5</v>
      </c>
    </row>
    <row r="45" spans="1:3" x14ac:dyDescent="0.2">
      <c r="A45" s="15">
        <v>41640</v>
      </c>
      <c r="B45" s="14">
        <v>55.9</v>
      </c>
      <c r="C45" s="14">
        <f>Table13468111214151617181920222530333435[[#This Row],[PMI]]-B44</f>
        <v>1</v>
      </c>
    </row>
    <row r="46" spans="1:3" x14ac:dyDescent="0.2">
      <c r="A46" s="15">
        <v>41671</v>
      </c>
      <c r="B46" s="14">
        <v>56.5</v>
      </c>
      <c r="C46" s="14">
        <f>Table13468111214151617181920222530333435[[#This Row],[PMI]]-B45</f>
        <v>0.60000000000000142</v>
      </c>
    </row>
    <row r="47" spans="1:3" x14ac:dyDescent="0.2">
      <c r="A47" s="15">
        <v>41699</v>
      </c>
      <c r="B47" s="14">
        <v>55.5</v>
      </c>
      <c r="C47" s="14">
        <f>Table13468111214151617181920222530333435[[#This Row],[PMI]]-B46</f>
        <v>-1</v>
      </c>
    </row>
    <row r="48" spans="1:3" x14ac:dyDescent="0.2">
      <c r="A48" s="15">
        <v>41730</v>
      </c>
      <c r="B48" s="14">
        <v>56.5</v>
      </c>
      <c r="C48" s="14">
        <f>Table13468111214151617181920222530333435[[#This Row],[PMI]]-B47</f>
        <v>1</v>
      </c>
    </row>
    <row r="49" spans="1:3" x14ac:dyDescent="0.2">
      <c r="A49" s="15">
        <v>41760</v>
      </c>
      <c r="B49" s="14">
        <v>57.3</v>
      </c>
      <c r="C49" s="14">
        <f>Table13468111214151617181920222530333435[[#This Row],[PMI]]-B48</f>
        <v>0.79999999999999716</v>
      </c>
    </row>
    <row r="50" spans="1:3" x14ac:dyDescent="0.2">
      <c r="A50" s="15">
        <v>41791</v>
      </c>
      <c r="B50" s="14">
        <v>54.7</v>
      </c>
      <c r="C50" s="14">
        <f>Table13468111214151617181920222530333435[[#This Row],[PMI]]-B49</f>
        <v>-2.5999999999999943</v>
      </c>
    </row>
    <row r="51" spans="1:3" x14ac:dyDescent="0.2">
      <c r="A51" s="15">
        <v>41821</v>
      </c>
      <c r="B51" s="14">
        <v>56.463888888888903</v>
      </c>
      <c r="C51" s="14">
        <f>Table13468111214151617181920222530333435[[#This Row],[PMI]]-B50</f>
        <v>1.7638888888888999</v>
      </c>
    </row>
    <row r="52" spans="1:3" x14ac:dyDescent="0.2">
      <c r="A52" s="15">
        <v>41852</v>
      </c>
      <c r="B52" s="14">
        <v>54.3</v>
      </c>
      <c r="C52" s="14">
        <f>Table13468111214151617181920222530333435[[#This Row],[PMI]]-B51</f>
        <v>-2.1638888888889056</v>
      </c>
    </row>
    <row r="53" spans="1:3" x14ac:dyDescent="0.2">
      <c r="A53" s="15">
        <v>41883</v>
      </c>
      <c r="B53" s="14">
        <v>55.6</v>
      </c>
      <c r="C53" s="14">
        <f>Table13468111214151617181920222530333435[[#This Row],[PMI]]-B52</f>
        <v>1.3000000000000043</v>
      </c>
    </row>
    <row r="54" spans="1:3" x14ac:dyDescent="0.2">
      <c r="A54" s="15">
        <v>41913</v>
      </c>
      <c r="B54" s="14">
        <v>54.4</v>
      </c>
      <c r="C54" s="14">
        <f>Table13468111214151617181920222530333435[[#This Row],[PMI]]-B53</f>
        <v>-1.2000000000000028</v>
      </c>
    </row>
    <row r="55" spans="1:3" x14ac:dyDescent="0.2">
      <c r="A55" s="15">
        <v>41944</v>
      </c>
      <c r="B55" s="14">
        <v>55.6</v>
      </c>
      <c r="C55" s="14">
        <f>Table13468111214151617181920222530333435[[#This Row],[PMI]]-B54</f>
        <v>1.2000000000000028</v>
      </c>
    </row>
    <row r="56" spans="1:3" x14ac:dyDescent="0.2">
      <c r="A56" s="15">
        <v>41974</v>
      </c>
      <c r="B56" s="14">
        <v>53.3</v>
      </c>
      <c r="C56" s="14">
        <f>Table13468111214151617181920222530333435[[#This Row],[PMI]]-B55</f>
        <v>-2.3000000000000043</v>
      </c>
    </row>
    <row r="57" spans="1:3" x14ac:dyDescent="0.2">
      <c r="A57" s="15">
        <v>42005</v>
      </c>
      <c r="B57" s="14">
        <v>56.1</v>
      </c>
      <c r="C57" s="14">
        <f>Table13468111214151617181920222530333435[[#This Row],[PMI]]-B56</f>
        <v>2.8000000000000043</v>
      </c>
    </row>
    <row r="58" spans="1:3" x14ac:dyDescent="0.2">
      <c r="A58" s="15">
        <v>42036</v>
      </c>
      <c r="B58" s="14">
        <v>55.6</v>
      </c>
      <c r="C58" s="14">
        <f>Table13468111214151617181920222530333435[[#This Row],[PMI]]-B57</f>
        <v>-0.5</v>
      </c>
    </row>
    <row r="59" spans="1:3" x14ac:dyDescent="0.2">
      <c r="A59" s="15">
        <v>42064</v>
      </c>
      <c r="B59" s="14">
        <v>56.1</v>
      </c>
      <c r="C59" s="14">
        <f>Table13468111214151617181920222530333435[[#This Row],[PMI]]-B58</f>
        <v>0.5</v>
      </c>
    </row>
    <row r="60" spans="1:3" x14ac:dyDescent="0.2">
      <c r="A60" s="15">
        <v>42095</v>
      </c>
      <c r="B60" s="14">
        <v>54.7</v>
      </c>
      <c r="C60" s="14">
        <f>Table13468111214151617181920222530333435[[#This Row],[PMI]]-B59</f>
        <v>-1.3999999999999986</v>
      </c>
    </row>
    <row r="61" spans="1:3" x14ac:dyDescent="0.2">
      <c r="A61" s="15">
        <v>42125</v>
      </c>
      <c r="B61" s="14">
        <v>55.5</v>
      </c>
      <c r="C61" s="14">
        <f>Table13468111214151617181920222530333435[[#This Row],[PMI]]-B60</f>
        <v>0.79999999999999716</v>
      </c>
    </row>
    <row r="62" spans="1:3" x14ac:dyDescent="0.2">
      <c r="A62" s="15">
        <v>42156</v>
      </c>
      <c r="B62" s="14">
        <v>56.9</v>
      </c>
      <c r="C62" s="14">
        <f>Table13468111214151617181920222530333435[[#This Row],[PMI]]-B61</f>
        <v>1.3999999999999986</v>
      </c>
    </row>
    <row r="63" spans="1:3" x14ac:dyDescent="0.2">
      <c r="A63" s="15">
        <v>42186</v>
      </c>
      <c r="B63" s="14">
        <v>57.5</v>
      </c>
      <c r="C63" s="14">
        <f>Table13468111214151617181920222530333435[[#This Row],[PMI]]-B62</f>
        <v>0.60000000000000142</v>
      </c>
    </row>
    <row r="64" spans="1:3" x14ac:dyDescent="0.2">
      <c r="A64" s="15">
        <v>42217</v>
      </c>
      <c r="B64" s="14">
        <v>56.6</v>
      </c>
      <c r="C64" s="14">
        <f>Table13468111214151617181920222530333435[[#This Row],[PMI]]-B63</f>
        <v>-0.89999999999999858</v>
      </c>
    </row>
    <row r="65" spans="1:3" x14ac:dyDescent="0.2">
      <c r="A65" s="15">
        <v>42248</v>
      </c>
      <c r="B65" s="14">
        <v>55.5</v>
      </c>
      <c r="C65" s="14">
        <f>Table13468111214151617181920222530333435[[#This Row],[PMI]]-B64</f>
        <v>-1.1000000000000014</v>
      </c>
    </row>
    <row r="66" spans="1:3" x14ac:dyDescent="0.2">
      <c r="A66" s="15">
        <v>42278</v>
      </c>
      <c r="B66" s="14">
        <v>54</v>
      </c>
      <c r="C66" s="14">
        <f>Table13468111214151617181920222530333435[[#This Row],[PMI]]-B65</f>
        <v>-1.5</v>
      </c>
    </row>
    <row r="67" spans="1:3" x14ac:dyDescent="0.2">
      <c r="A67" s="15">
        <v>42309</v>
      </c>
      <c r="B67" s="14">
        <v>54.2</v>
      </c>
      <c r="C67" s="14">
        <f>Table13468111214151617181920222530333435[[#This Row],[PMI]]-B66</f>
        <v>0.20000000000000284</v>
      </c>
    </row>
    <row r="68" spans="1:3" x14ac:dyDescent="0.2">
      <c r="A68" s="15">
        <v>42339</v>
      </c>
      <c r="B68" s="14">
        <v>55.6</v>
      </c>
      <c r="C68" s="14">
        <f>Table13468111214151617181920222530333435[[#This Row],[PMI]]-B67</f>
        <v>1.3999999999999986</v>
      </c>
    </row>
    <row r="69" spans="1:3" x14ac:dyDescent="0.2">
      <c r="A69" s="15">
        <v>42370</v>
      </c>
      <c r="B69" s="14">
        <v>56.9</v>
      </c>
      <c r="C69" s="14">
        <f>Table13468111214151617181920222530333435[[#This Row],[PMI]]-B68</f>
        <v>1.2999999999999972</v>
      </c>
    </row>
    <row r="70" spans="1:3" x14ac:dyDescent="0.2">
      <c r="A70" s="15">
        <v>42401</v>
      </c>
      <c r="B70" s="14">
        <v>55.5</v>
      </c>
      <c r="C70" s="14">
        <f>Table13468111214151617181920222530333435[[#This Row],[PMI]]-B69</f>
        <v>-1.3999999999999986</v>
      </c>
    </row>
    <row r="71" spans="1:3" x14ac:dyDescent="0.2">
      <c r="A71" s="15">
        <v>42430</v>
      </c>
      <c r="B71" s="14">
        <v>54.3</v>
      </c>
      <c r="C71" s="14">
        <f>Table13468111214151617181920222530333435[[#This Row],[PMI]]-B70</f>
        <v>-1.2000000000000028</v>
      </c>
    </row>
    <row r="72" spans="1:3" x14ac:dyDescent="0.2">
      <c r="A72" s="15">
        <v>42461</v>
      </c>
      <c r="B72" s="14">
        <v>53.6</v>
      </c>
      <c r="C72" s="14">
        <f>Table13468111214151617181920222530333435[[#This Row],[PMI]]-B71</f>
        <v>-0.69999999999999574</v>
      </c>
    </row>
    <row r="73" spans="1:3" x14ac:dyDescent="0.2">
      <c r="A73" s="15">
        <v>42491</v>
      </c>
      <c r="B73" s="14">
        <v>53.3</v>
      </c>
      <c r="C73" s="14">
        <f>Table13468111214151617181920222530333435[[#This Row],[PMI]]-B72</f>
        <v>-0.30000000000000426</v>
      </c>
    </row>
    <row r="74" spans="1:3" x14ac:dyDescent="0.2">
      <c r="A74" s="15">
        <v>42522</v>
      </c>
      <c r="B74" s="14">
        <v>51.8</v>
      </c>
      <c r="C74" s="14">
        <f>Table13468111214151617181920222530333435[[#This Row],[PMI]]-B73</f>
        <v>-1.5</v>
      </c>
    </row>
    <row r="75" spans="1:3" x14ac:dyDescent="0.2">
      <c r="A75" s="15">
        <v>42552</v>
      </c>
      <c r="B75" s="14">
        <v>49.3</v>
      </c>
      <c r="C75" s="14">
        <f>Table13468111214151617181920222530333435[[#This Row],[PMI]]-B74</f>
        <v>-2.5</v>
      </c>
    </row>
    <row r="76" spans="1:3" x14ac:dyDescent="0.2">
      <c r="A76" s="15">
        <v>42583</v>
      </c>
      <c r="B76" s="14">
        <v>50.1</v>
      </c>
      <c r="C76" s="14">
        <f>Table13468111214151617181920222530333435[[#This Row],[PMI]]-B75</f>
        <v>0.80000000000000426</v>
      </c>
    </row>
    <row r="77" spans="1:3" x14ac:dyDescent="0.2">
      <c r="A77" s="15">
        <v>42614</v>
      </c>
      <c r="B77" s="14">
        <v>52</v>
      </c>
      <c r="C77" s="14">
        <f>Table13468111214151617181920222530333435[[#This Row],[PMI]]-B76</f>
        <v>1.8999999999999986</v>
      </c>
    </row>
    <row r="78" spans="1:3" x14ac:dyDescent="0.2">
      <c r="A78" s="15">
        <v>42644</v>
      </c>
      <c r="B78" s="14">
        <v>53.3</v>
      </c>
      <c r="C78" s="14">
        <f>Table13468111214151617181920222530333435[[#This Row],[PMI]]-B77</f>
        <v>1.2999999999999972</v>
      </c>
    </row>
    <row r="79" spans="1:3" x14ac:dyDescent="0.2">
      <c r="A79" s="15">
        <v>42675</v>
      </c>
      <c r="B79" s="14">
        <v>52.2</v>
      </c>
      <c r="C79" s="14">
        <f>Table13468111214151617181920222530333435[[#This Row],[PMI]]-B78</f>
        <v>-1.0999999999999943</v>
      </c>
    </row>
    <row r="80" spans="1:3" x14ac:dyDescent="0.2">
      <c r="A80" s="15">
        <v>42705</v>
      </c>
      <c r="B80" s="14">
        <v>53.8</v>
      </c>
      <c r="C80" s="14">
        <f>Table13468111214151617181920222530333435[[#This Row],[PMI]]-B79</f>
        <v>1.5999999999999943</v>
      </c>
    </row>
    <row r="81" spans="1:3" x14ac:dyDescent="0.2">
      <c r="A81" s="15">
        <v>42736</v>
      </c>
      <c r="B81" s="14">
        <v>55.7</v>
      </c>
      <c r="C81" s="14">
        <f>Table13468111214151617181920222530333435[[#This Row],[PMI]]-B80</f>
        <v>1.9000000000000057</v>
      </c>
    </row>
    <row r="82" spans="1:3" x14ac:dyDescent="0.2">
      <c r="A82" s="15">
        <v>42767</v>
      </c>
      <c r="B82" s="14">
        <v>57.6</v>
      </c>
      <c r="C82" s="14">
        <f>Table13468111214151617181920222530333435[[#This Row],[PMI]]-B81</f>
        <v>1.8999999999999986</v>
      </c>
    </row>
    <row r="83" spans="1:3" x14ac:dyDescent="0.2">
      <c r="A83" s="15">
        <v>42795</v>
      </c>
      <c r="B83" s="14">
        <v>57.5</v>
      </c>
      <c r="C83" s="14">
        <f>Table13468111214151617181920222530333435[[#This Row],[PMI]]-B82</f>
        <v>-0.10000000000000142</v>
      </c>
    </row>
    <row r="84" spans="1:3" x14ac:dyDescent="0.2">
      <c r="A84" s="15">
        <v>42826</v>
      </c>
      <c r="B84" s="14">
        <v>57.5</v>
      </c>
      <c r="C84" s="14">
        <f>Table13468111214151617181920222530333435[[#This Row],[PMI]]-B83</f>
        <v>0</v>
      </c>
    </row>
    <row r="85" spans="1:3" x14ac:dyDescent="0.2">
      <c r="A85" s="15">
        <v>42856</v>
      </c>
      <c r="B85" s="14">
        <v>56.4</v>
      </c>
      <c r="C85" s="14">
        <f>Table13468111214151617181920222530333435[[#This Row],[PMI]]-B84</f>
        <v>-1.1000000000000014</v>
      </c>
    </row>
    <row r="86" spans="1:3" x14ac:dyDescent="0.2">
      <c r="A86" s="15">
        <v>42887</v>
      </c>
      <c r="B86" s="14">
        <v>56.4</v>
      </c>
      <c r="C86" s="14">
        <f>Table13468111214151617181920222530333435[[#This Row],[PMI]]-B85</f>
        <v>0</v>
      </c>
    </row>
    <row r="87" spans="1:3" x14ac:dyDescent="0.2">
      <c r="A87" s="15">
        <v>42917</v>
      </c>
      <c r="B87" s="14">
        <v>55.3</v>
      </c>
      <c r="C87" s="14">
        <f>Table13468111214151617181920222530333435[[#This Row],[PMI]]-B86</f>
        <v>-1.1000000000000014</v>
      </c>
    </row>
    <row r="88" spans="1:3" x14ac:dyDescent="0.2">
      <c r="A88" s="15">
        <v>42948</v>
      </c>
      <c r="B88" s="14">
        <v>54.9</v>
      </c>
      <c r="C88" s="14">
        <f>Table13468111214151617181920222530333435[[#This Row],[PMI]]-B87</f>
        <v>-0.39999999999999858</v>
      </c>
    </row>
    <row r="89" spans="1:3" x14ac:dyDescent="0.2">
      <c r="A89" s="15">
        <v>42979</v>
      </c>
      <c r="B89" s="14">
        <v>56.6</v>
      </c>
      <c r="C89" s="14">
        <f>Table13468111214151617181920222530333435[[#This Row],[PMI]]-B88</f>
        <v>1.7000000000000028</v>
      </c>
    </row>
    <row r="90" spans="1:3" x14ac:dyDescent="0.2">
      <c r="A90" s="15">
        <v>43009</v>
      </c>
      <c r="B90" s="14">
        <v>58.5</v>
      </c>
      <c r="C90" s="14">
        <f>Table13468111214151617181920222530333435[[#This Row],[PMI]]-B89</f>
        <v>1.8999999999999986</v>
      </c>
    </row>
    <row r="91" spans="1:3" x14ac:dyDescent="0.2">
      <c r="A91" s="15">
        <v>43040</v>
      </c>
      <c r="B91" s="14">
        <v>58.7</v>
      </c>
      <c r="C91" s="14">
        <f>Table13468111214151617181920222530333435[[#This Row],[PMI]]-B90</f>
        <v>0.20000000000000284</v>
      </c>
    </row>
    <row r="92" spans="1:3" x14ac:dyDescent="0.2">
      <c r="A92" s="15">
        <v>43070</v>
      </c>
      <c r="B92" s="14">
        <v>59.8</v>
      </c>
      <c r="C92" s="14">
        <f>Table13468111214151617181920222530333435[[#This Row],[PMI]]-B91</f>
        <v>1.0999999999999943</v>
      </c>
    </row>
    <row r="93" spans="1:3" x14ac:dyDescent="0.2">
      <c r="A93" s="15">
        <v>43101</v>
      </c>
      <c r="B93" s="14">
        <v>59.8</v>
      </c>
      <c r="C93" s="14">
        <f>Table13468111214151617181920222530333435[[#This Row],[PMI]]-B92</f>
        <v>0</v>
      </c>
    </row>
    <row r="94" spans="1:3" x14ac:dyDescent="0.2">
      <c r="A94" s="15">
        <v>43132</v>
      </c>
      <c r="B94" s="14">
        <v>58.8</v>
      </c>
      <c r="C94" s="14">
        <f>Table13468111214151617181920222530333435[[#This Row],[PMI]]-B93</f>
        <v>-1</v>
      </c>
    </row>
    <row r="95" spans="1:3" x14ac:dyDescent="0.2">
      <c r="A95" s="15">
        <v>43160</v>
      </c>
      <c r="B95" s="14">
        <v>57.3</v>
      </c>
      <c r="C95" s="14">
        <f>Table13468111214151617181920222530333435[[#This Row],[PMI]]-B94</f>
        <v>-1.5</v>
      </c>
    </row>
    <row r="96" spans="1:3" x14ac:dyDescent="0.2">
      <c r="A96" s="15">
        <v>43191</v>
      </c>
      <c r="B96" s="14">
        <v>57.2</v>
      </c>
      <c r="C96" s="14">
        <f>Table13468111214151617181920222530333435[[#This Row],[PMI]]-B95</f>
        <v>-9.9999999999994316E-2</v>
      </c>
    </row>
    <row r="97" spans="1:3" x14ac:dyDescent="0.2">
      <c r="A97" s="15">
        <v>43221</v>
      </c>
      <c r="B97" s="14">
        <v>56.5</v>
      </c>
      <c r="C97" s="14">
        <f>Table13468111214151617181920222530333435[[#This Row],[PMI]]-B96</f>
        <v>-0.70000000000000284</v>
      </c>
    </row>
    <row r="98" spans="1:3" x14ac:dyDescent="0.2">
      <c r="A98" s="15">
        <v>43252</v>
      </c>
      <c r="B98" s="14">
        <v>56.8</v>
      </c>
      <c r="C98" s="14">
        <f>Table13468111214151617181920222530333435[[#This Row],[PMI]]-B97</f>
        <v>0.29999999999999716</v>
      </c>
    </row>
    <row r="99" spans="1:3" x14ac:dyDescent="0.2">
      <c r="A99" s="15">
        <v>43282</v>
      </c>
      <c r="B99" s="14">
        <v>55.4</v>
      </c>
      <c r="C99" s="14">
        <f>Table13468111214151617181920222530333435[[#This Row],[PMI]]-B98</f>
        <v>-1.3999999999999986</v>
      </c>
    </row>
    <row r="100" spans="1:3" x14ac:dyDescent="0.2">
      <c r="A100" s="15">
        <v>43313</v>
      </c>
      <c r="B100" s="14">
        <v>54.9</v>
      </c>
      <c r="C100" s="14">
        <f>Table13468111214151617181920222530333435[[#This Row],[PMI]]-B99</f>
        <v>-0.5</v>
      </c>
    </row>
    <row r="101" spans="1:3" x14ac:dyDescent="0.2">
      <c r="A101" s="15">
        <v>43344</v>
      </c>
      <c r="B101" s="14">
        <v>53.4</v>
      </c>
      <c r="C101" s="14">
        <f>Table13468111214151617181920222530333435[[#This Row],[PMI]]-B100</f>
        <v>-1.5</v>
      </c>
    </row>
    <row r="102" spans="1:3" x14ac:dyDescent="0.2">
      <c r="A102" s="15">
        <v>43374</v>
      </c>
      <c r="B102" s="14">
        <v>52.5</v>
      </c>
      <c r="C102" s="14">
        <f>Table13468111214151617181920222530333435[[#This Row],[PMI]]-B101</f>
        <v>-0.89999999999999858</v>
      </c>
    </row>
    <row r="103" spans="1:3" x14ac:dyDescent="0.2">
      <c r="A103" s="15">
        <v>43405</v>
      </c>
      <c r="B103" s="14">
        <v>51.8</v>
      </c>
      <c r="C103" s="14">
        <f>Table13468111214151617181920222530333435[[#This Row],[PMI]]-B102</f>
        <v>-0.70000000000000284</v>
      </c>
    </row>
    <row r="104" spans="1:3" x14ac:dyDescent="0.2">
      <c r="A104" s="15">
        <v>43435</v>
      </c>
      <c r="B104" s="14">
        <v>49.7</v>
      </c>
      <c r="C104" s="14">
        <f>Table13468111214151617181920222530333435[[#This Row],[PMI]]-B103</f>
        <v>-2.0999999999999943</v>
      </c>
    </row>
    <row r="105" spans="1:3" x14ac:dyDescent="0.2">
      <c r="A105" s="15">
        <v>43466</v>
      </c>
      <c r="B105" s="14">
        <v>49</v>
      </c>
      <c r="C105" s="14">
        <f>Table13468111214151617181920222530333435[[#This Row],[PMI]]-B104</f>
        <v>-0.70000000000000284</v>
      </c>
    </row>
    <row r="106" spans="1:3" x14ac:dyDescent="0.2">
      <c r="A106" s="15">
        <v>43497</v>
      </c>
      <c r="B106" s="14">
        <v>48.6</v>
      </c>
      <c r="C106" s="14">
        <f>Table13468111214151617181920222530333435[[#This Row],[PMI]]-B105</f>
        <v>-0.39999999999999858</v>
      </c>
    </row>
    <row r="107" spans="1:3" x14ac:dyDescent="0.2">
      <c r="A107" s="15">
        <v>43525</v>
      </c>
      <c r="B107" s="14">
        <v>47.3</v>
      </c>
      <c r="C107" s="30">
        <f>Table13468111214151617181920222530333435[[#This Row],[PMI]]-B106</f>
        <v>-1.3000000000000043</v>
      </c>
    </row>
    <row r="108" spans="1:3" x14ac:dyDescent="0.2">
      <c r="A108" s="15">
        <v>43556</v>
      </c>
      <c r="B108" s="14">
        <v>46.6</v>
      </c>
      <c r="C108" s="30">
        <f>Table13468111214151617181920222530333435[[#This Row],[PMI]]-B107</f>
        <v>-0.69999999999999574</v>
      </c>
    </row>
    <row r="109" spans="1:3" x14ac:dyDescent="0.2">
      <c r="A109" s="15">
        <v>43586</v>
      </c>
      <c r="B109" s="14">
        <v>46.6</v>
      </c>
      <c r="C109" s="30">
        <f>Table13468111214151617181920222530333435[[#This Row],[PMI]]-B108</f>
        <v>0</v>
      </c>
    </row>
    <row r="110" spans="1:3" x14ac:dyDescent="0.2">
      <c r="A110" s="15">
        <v>43617</v>
      </c>
      <c r="B110" s="14">
        <v>45.9</v>
      </c>
      <c r="C110" s="30">
        <f>Table13468111214151617181920222530333435[[#This Row],[PMI]]-B109</f>
        <v>-0.70000000000000284</v>
      </c>
    </row>
    <row r="111" spans="1:3" x14ac:dyDescent="0.2">
      <c r="A111" s="15">
        <v>43647</v>
      </c>
      <c r="B111" s="14">
        <v>43.1</v>
      </c>
      <c r="C111" s="30">
        <f>Table13468111214151617181920222530333435[[#This Row],[PMI]]-B110</f>
        <v>-2.7999999999999972</v>
      </c>
    </row>
    <row r="112" spans="1:3" x14ac:dyDescent="0.2">
      <c r="A112" s="15">
        <v>43678</v>
      </c>
      <c r="B112" s="14">
        <v>44.9</v>
      </c>
      <c r="C112" s="30">
        <f>Table13468111214151617181920222530333435[[#This Row],[PMI]]-B111</f>
        <v>1.7999999999999972</v>
      </c>
    </row>
    <row r="113" spans="1:3" x14ac:dyDescent="0.2">
      <c r="A113" s="15">
        <v>43709</v>
      </c>
      <c r="B113" s="14">
        <v>44.9</v>
      </c>
      <c r="C113" s="30">
        <f>Table13468111214151617181920222530333435[[#This Row],[PMI]]-B112</f>
        <v>0</v>
      </c>
    </row>
    <row r="114" spans="1:3" x14ac:dyDescent="0.2">
      <c r="A114" s="15">
        <v>43739</v>
      </c>
      <c r="B114" s="14">
        <v>45</v>
      </c>
      <c r="C114" s="30">
        <f>Table13468111214151617181920222530333435[[#This Row],[PMI]]-B113</f>
        <v>0.10000000000000142</v>
      </c>
    </row>
    <row r="115" spans="1:3" x14ac:dyDescent="0.2">
      <c r="A115" s="15">
        <v>43770</v>
      </c>
      <c r="B115" s="14">
        <v>43.5</v>
      </c>
      <c r="C115" s="30">
        <f>Table13468111214151617181920222530333435[[#This Row],[PMI]]-B114</f>
        <v>-1.5</v>
      </c>
    </row>
    <row r="116" spans="1:3" x14ac:dyDescent="0.2">
      <c r="A116" s="15">
        <v>43800</v>
      </c>
      <c r="B116" s="14">
        <v>43.6</v>
      </c>
      <c r="C116" s="30">
        <f>Table13468111214151617181920222530333435[[#This Row],[PMI]]-B115</f>
        <v>0.10000000000000142</v>
      </c>
    </row>
    <row r="117" spans="1:3" x14ac:dyDescent="0.2">
      <c r="A117" s="15">
        <v>43831</v>
      </c>
      <c r="B117" s="14">
        <v>45.2</v>
      </c>
      <c r="C117" s="30">
        <f>Table13468111214151617181920222530333435[[#This Row],[PMI]]-B116</f>
        <v>1.6000000000000014</v>
      </c>
    </row>
    <row r="118" spans="1:3" x14ac:dyDescent="0.2">
      <c r="A118" s="15">
        <v>43862</v>
      </c>
      <c r="B118" s="14">
        <v>46.5</v>
      </c>
      <c r="C118" s="30">
        <f>Table13468111214151617181920222530333435[[#This Row],[PMI]]-B117</f>
        <v>1.2999999999999972</v>
      </c>
    </row>
    <row r="119" spans="1:3" x14ac:dyDescent="0.2">
      <c r="A119" s="15">
        <v>43891</v>
      </c>
      <c r="B119" s="14">
        <v>41.3</v>
      </c>
      <c r="C119" s="30">
        <f>Table13468111214151617181920222530333435[[#This Row],[PMI]]-B118</f>
        <v>-5.2000000000000028</v>
      </c>
    </row>
    <row r="120" spans="1:3" x14ac:dyDescent="0.2">
      <c r="A120" s="15">
        <v>43922</v>
      </c>
      <c r="B120" s="14">
        <v>35.1</v>
      </c>
      <c r="C120" s="30">
        <f>Table13468111214151617181920222530333435[[#This Row],[PMI]]-B119</f>
        <v>-6.1999999999999957</v>
      </c>
    </row>
    <row r="121" spans="1:3" x14ac:dyDescent="0.2">
      <c r="A121" s="15">
        <v>43952</v>
      </c>
      <c r="B121" s="14">
        <v>39.6</v>
      </c>
      <c r="C121" s="30">
        <f>Table13468111214151617181920222530333435[[#This Row],[PMI]]-B120</f>
        <v>4.5</v>
      </c>
    </row>
    <row r="122" spans="1:3" x14ac:dyDescent="0.2">
      <c r="A122" s="15">
        <v>43983</v>
      </c>
      <c r="B122" s="14">
        <v>44.9</v>
      </c>
      <c r="C122" s="30">
        <f>Table13468111214151617181920222530333435[[#This Row],[PMI]]-B121</f>
        <v>5.2999999999999972</v>
      </c>
    </row>
    <row r="123" spans="1:3" x14ac:dyDescent="0.2">
      <c r="A123" s="15">
        <v>44013</v>
      </c>
      <c r="B123" s="14">
        <v>47</v>
      </c>
      <c r="C123" s="30">
        <f>Table13468111214151617181920222530333435[[#This Row],[PMI]]-B122</f>
        <v>2.1000000000000014</v>
      </c>
    </row>
    <row r="124" spans="1:3" x14ac:dyDescent="0.2">
      <c r="A124" s="15">
        <v>44044</v>
      </c>
      <c r="B124" s="14">
        <v>49.1</v>
      </c>
      <c r="C124" s="30">
        <f>Table13468111214151617181920222530333435[[#This Row],[PMI]]-B123</f>
        <v>2.1000000000000014</v>
      </c>
    </row>
    <row r="125" spans="1:3" x14ac:dyDescent="0.2">
      <c r="A125" s="15">
        <v>44075</v>
      </c>
      <c r="B125" s="14">
        <v>50.7</v>
      </c>
      <c r="C125" s="30">
        <f>Table13468111214151617181920222530333435[[#This Row],[PMI]]-B124</f>
        <v>1.6000000000000014</v>
      </c>
    </row>
    <row r="126" spans="1:3" x14ac:dyDescent="0.2">
      <c r="A126" s="15">
        <v>44105</v>
      </c>
      <c r="B126" s="14">
        <v>51.9</v>
      </c>
      <c r="C126" s="30">
        <f>Table13468111214151617181920222530333435[[#This Row],[PMI]]-B125</f>
        <v>1.1999999999999957</v>
      </c>
    </row>
    <row r="127" spans="1:3" x14ac:dyDescent="0.2">
      <c r="A127" s="15">
        <v>44136</v>
      </c>
      <c r="B127" s="14">
        <v>53.9</v>
      </c>
      <c r="C127" s="30">
        <f>Table13468111214151617181920222530333435[[#This Row],[PMI]]-B126</f>
        <v>2</v>
      </c>
    </row>
    <row r="128" spans="1:3" x14ac:dyDescent="0.2">
      <c r="A128" s="15">
        <v>44166</v>
      </c>
      <c r="B128" s="14">
        <v>57</v>
      </c>
      <c r="C128" s="30">
        <f>Table13468111214151617181920222530333435[[#This Row],[PMI]]-B127</f>
        <v>3.1000000000000014</v>
      </c>
    </row>
    <row r="129" spans="1:3" x14ac:dyDescent="0.2">
      <c r="A129" s="15">
        <v>44197</v>
      </c>
      <c r="B129" s="14">
        <v>57</v>
      </c>
      <c r="C129" s="30">
        <f>Table13468111214151617181920222530333435[[#This Row],[PMI]]-B128</f>
        <v>0</v>
      </c>
    </row>
    <row r="130" spans="1:3" x14ac:dyDescent="0.2">
      <c r="A130" s="15">
        <v>44228</v>
      </c>
      <c r="B130" s="14">
        <v>56.5</v>
      </c>
      <c r="C130" s="30">
        <f>Table13468111214151617181920222530333435[[#This Row],[PMI]]-B129</f>
        <v>-0.5</v>
      </c>
    </row>
    <row r="131" spans="1:3" x14ac:dyDescent="0.2">
      <c r="A131" s="15">
        <v>44256</v>
      </c>
      <c r="B131" s="14">
        <v>58</v>
      </c>
      <c r="C131" s="30">
        <f>Table13468111214151617181920222530333435[[#This Row],[PMI]]-B130</f>
        <v>1.5</v>
      </c>
    </row>
    <row r="132" spans="1:3" x14ac:dyDescent="0.2">
      <c r="A132" s="15">
        <v>44287</v>
      </c>
      <c r="B132" s="14">
        <v>58.9</v>
      </c>
      <c r="C132" s="30">
        <f>Table13468111214151617181920222530333435[[#This Row],[PMI]]-B131</f>
        <v>0.89999999999999858</v>
      </c>
    </row>
    <row r="133" spans="1:3" x14ac:dyDescent="0.2">
      <c r="A133" s="15">
        <v>44317</v>
      </c>
      <c r="B133" s="14">
        <v>61.8</v>
      </c>
      <c r="C133" s="30">
        <f>Table13468111214151617181920222530333435[[#This Row],[PMI]]-B132</f>
        <v>2.8999999999999986</v>
      </c>
    </row>
    <row r="134" spans="1:3" x14ac:dyDescent="0.2">
      <c r="A134" s="15">
        <v>44348</v>
      </c>
      <c r="B134" s="14">
        <v>62.7</v>
      </c>
      <c r="C134" s="30">
        <f>Table13468111214151617181920222530333435[[#This Row],[PMI]]-B133</f>
        <v>0.90000000000000568</v>
      </c>
    </row>
    <row r="135" spans="1:3" x14ac:dyDescent="0.2">
      <c r="A135" s="15">
        <v>44378</v>
      </c>
      <c r="B135" s="14">
        <v>62</v>
      </c>
      <c r="C135" s="30">
        <f>Table13468111214151617181920222530333435[[#This Row],[PMI]]-B134</f>
        <v>-0.70000000000000284</v>
      </c>
    </row>
    <row r="136" spans="1:3" x14ac:dyDescent="0.2">
      <c r="A136" s="15">
        <v>44409</v>
      </c>
      <c r="B136" s="14">
        <v>61</v>
      </c>
      <c r="C136" s="30">
        <f>Table13468111214151617181920222530333435[[#This Row],[PMI]]-B135</f>
        <v>-1</v>
      </c>
    </row>
    <row r="137" spans="1:3" x14ac:dyDescent="0.2">
      <c r="A137" s="15">
        <v>44440</v>
      </c>
      <c r="B137" s="14">
        <v>58</v>
      </c>
      <c r="C137" s="30">
        <f>Table13468111214151617181920222530333435[[#This Row],[PMI]]-B136</f>
        <v>-3</v>
      </c>
    </row>
    <row r="138" spans="1:3" x14ac:dyDescent="0.2">
      <c r="A138" s="15">
        <v>44470</v>
      </c>
      <c r="B138" s="14">
        <v>55.1</v>
      </c>
      <c r="C138" s="30">
        <f>Table13468111214151617181920222530333435[[#This Row],[PMI]]-B137</f>
        <v>-2.8999999999999986</v>
      </c>
    </row>
    <row r="139" spans="1:3" x14ac:dyDescent="0.2">
      <c r="A139" s="15">
        <v>44501</v>
      </c>
      <c r="B139" s="14">
        <v>57.1</v>
      </c>
      <c r="C139" s="30">
        <f>Table13468111214151617181920222530333435[[#This Row],[PMI]]-B138</f>
        <v>2</v>
      </c>
    </row>
    <row r="140" spans="1:3" x14ac:dyDescent="0.2">
      <c r="A140" s="15">
        <v>44531</v>
      </c>
      <c r="B140" s="14">
        <v>59.1</v>
      </c>
      <c r="C140" s="30">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32E7D-EF10-4686-823B-E4538920B377}">
  <dimension ref="A1:K140"/>
  <sheetViews>
    <sheetView zoomScale="170" zoomScaleNormal="170" workbookViewId="0">
      <pane ySplit="5" topLeftCell="A105"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54</v>
      </c>
      <c r="K1" s="10" t="s">
        <v>21</v>
      </c>
    </row>
    <row r="2" spans="1:11" x14ac:dyDescent="0.2">
      <c r="K2" s="10" t="str">
        <f>A1&amp;K1</f>
        <v>Poland Manufacturing PMI</v>
      </c>
    </row>
    <row r="4" spans="1:11" ht="16" thickBot="1" x14ac:dyDescent="0.25"/>
    <row r="5" spans="1:11" ht="16" thickBot="1" x14ac:dyDescent="0.25">
      <c r="A5" s="27" t="s">
        <v>10</v>
      </c>
      <c r="B5" s="28" t="s">
        <v>11</v>
      </c>
      <c r="C5" s="28" t="s">
        <v>14</v>
      </c>
    </row>
    <row r="6" spans="1:11" x14ac:dyDescent="0.2">
      <c r="A6" s="23">
        <v>40452</v>
      </c>
      <c r="B6" s="24">
        <v>55.6</v>
      </c>
      <c r="C6" s="24"/>
    </row>
    <row r="7" spans="1:11" x14ac:dyDescent="0.2">
      <c r="A7" s="15">
        <v>40483</v>
      </c>
      <c r="B7" s="14">
        <v>55.9</v>
      </c>
      <c r="C7" s="14">
        <f>Table1346811121415161718192022253033343536[[#This Row],[PMI]]-B6</f>
        <v>0.29999999999999716</v>
      </c>
    </row>
    <row r="8" spans="1:11" x14ac:dyDescent="0.2">
      <c r="A8" s="15">
        <v>40513</v>
      </c>
      <c r="B8" s="14">
        <v>56.3</v>
      </c>
      <c r="C8" s="14">
        <f>Table1346811121415161718192022253033343536[[#This Row],[PMI]]-B7</f>
        <v>0.39999999999999858</v>
      </c>
    </row>
    <row r="9" spans="1:11" x14ac:dyDescent="0.2">
      <c r="A9" s="15">
        <v>40544</v>
      </c>
      <c r="B9" s="14">
        <v>55.6</v>
      </c>
      <c r="C9" s="14">
        <f>Table1346811121415161718192022253033343536[[#This Row],[PMI]]-B8</f>
        <v>-0.69999999999999574</v>
      </c>
    </row>
    <row r="10" spans="1:11" x14ac:dyDescent="0.2">
      <c r="A10" s="15">
        <v>40575</v>
      </c>
      <c r="B10" s="14">
        <v>53.8</v>
      </c>
      <c r="C10" s="14">
        <f>Table1346811121415161718192022253033343536[[#This Row],[PMI]]-B9</f>
        <v>-1.8000000000000043</v>
      </c>
    </row>
    <row r="11" spans="1:11" x14ac:dyDescent="0.2">
      <c r="A11" s="15">
        <v>40603</v>
      </c>
      <c r="B11" s="14">
        <v>54.8</v>
      </c>
      <c r="C11" s="14">
        <f>Table1346811121415161718192022253033343536[[#This Row],[PMI]]-B10</f>
        <v>1</v>
      </c>
    </row>
    <row r="12" spans="1:11" x14ac:dyDescent="0.2">
      <c r="A12" s="15">
        <v>40634</v>
      </c>
      <c r="B12" s="14">
        <v>54.4</v>
      </c>
      <c r="C12" s="14">
        <f>Table1346811121415161718192022253033343536[[#This Row],[PMI]]-B11</f>
        <v>-0.39999999999999858</v>
      </c>
    </row>
    <row r="13" spans="1:11" x14ac:dyDescent="0.2">
      <c r="A13" s="15">
        <v>40664</v>
      </c>
      <c r="B13" s="14">
        <v>52.6</v>
      </c>
      <c r="C13" s="14">
        <f>Table1346811121415161718192022253033343536[[#This Row],[PMI]]-B12</f>
        <v>-1.7999999999999972</v>
      </c>
    </row>
    <row r="14" spans="1:11" x14ac:dyDescent="0.2">
      <c r="A14" s="15">
        <v>40695</v>
      </c>
      <c r="B14" s="14">
        <v>51.2</v>
      </c>
      <c r="C14" s="14">
        <f>Table1346811121415161718192022253033343536[[#This Row],[PMI]]-B13</f>
        <v>-1.3999999999999986</v>
      </c>
    </row>
    <row r="15" spans="1:11" x14ac:dyDescent="0.2">
      <c r="A15" s="15">
        <v>40725</v>
      </c>
      <c r="B15" s="14">
        <v>52.9</v>
      </c>
      <c r="C15" s="14">
        <f>Table1346811121415161718192022253033343536[[#This Row],[PMI]]-B14</f>
        <v>1.6999999999999957</v>
      </c>
    </row>
    <row r="16" spans="1:11" x14ac:dyDescent="0.2">
      <c r="A16" s="15">
        <v>40756</v>
      </c>
      <c r="B16" s="14">
        <v>51.8</v>
      </c>
      <c r="C16" s="14">
        <f>Table1346811121415161718192022253033343536[[#This Row],[PMI]]-B15</f>
        <v>-1.1000000000000014</v>
      </c>
    </row>
    <row r="17" spans="1:3" x14ac:dyDescent="0.2">
      <c r="A17" s="15">
        <v>40787</v>
      </c>
      <c r="B17" s="14">
        <v>50.2</v>
      </c>
      <c r="C17" s="14">
        <f>Table1346811121415161718192022253033343536[[#This Row],[PMI]]-B16</f>
        <v>-1.5999999999999943</v>
      </c>
    </row>
    <row r="18" spans="1:3" x14ac:dyDescent="0.2">
      <c r="A18" s="15">
        <v>40817</v>
      </c>
      <c r="B18" s="14">
        <v>51.7</v>
      </c>
      <c r="C18" s="14">
        <f>Table1346811121415161718192022253033343536[[#This Row],[PMI]]-B17</f>
        <v>1.5</v>
      </c>
    </row>
    <row r="19" spans="1:3" x14ac:dyDescent="0.2">
      <c r="A19" s="15">
        <v>40848</v>
      </c>
      <c r="B19" s="14">
        <v>49.5</v>
      </c>
      <c r="C19" s="14">
        <f>Table1346811121415161718192022253033343536[[#This Row],[PMI]]-B18</f>
        <v>-2.2000000000000028</v>
      </c>
    </row>
    <row r="20" spans="1:3" x14ac:dyDescent="0.2">
      <c r="A20" s="15">
        <v>40878</v>
      </c>
      <c r="B20" s="14">
        <v>48.8</v>
      </c>
      <c r="C20" s="14">
        <f>Table1346811121415161718192022253033343536[[#This Row],[PMI]]-B19</f>
        <v>-0.70000000000000284</v>
      </c>
    </row>
    <row r="21" spans="1:3" x14ac:dyDescent="0.2">
      <c r="A21" s="15">
        <v>40909</v>
      </c>
      <c r="B21" s="14">
        <v>52.2</v>
      </c>
      <c r="C21" s="14">
        <f>Table1346811121415161718192022253033343536[[#This Row],[PMI]]-B20</f>
        <v>3.4000000000000057</v>
      </c>
    </row>
    <row r="22" spans="1:3" x14ac:dyDescent="0.2">
      <c r="A22" s="15">
        <v>40940</v>
      </c>
      <c r="B22" s="14">
        <v>50</v>
      </c>
      <c r="C22" s="14">
        <f>Table1346811121415161718192022253033343536[[#This Row],[PMI]]-B21</f>
        <v>-2.2000000000000028</v>
      </c>
    </row>
    <row r="23" spans="1:3" x14ac:dyDescent="0.2">
      <c r="A23" s="15">
        <v>40969</v>
      </c>
      <c r="B23" s="14">
        <v>50.1</v>
      </c>
      <c r="C23" s="14">
        <f>Table1346811121415161718192022253033343536[[#This Row],[PMI]]-B22</f>
        <v>0.10000000000000142</v>
      </c>
    </row>
    <row r="24" spans="1:3" x14ac:dyDescent="0.2">
      <c r="A24" s="15">
        <v>41000</v>
      </c>
      <c r="B24" s="14">
        <v>49.2</v>
      </c>
      <c r="C24" s="14">
        <f>Table1346811121415161718192022253033343536[[#This Row],[PMI]]-B23</f>
        <v>-0.89999999999999858</v>
      </c>
    </row>
    <row r="25" spans="1:3" x14ac:dyDescent="0.2">
      <c r="A25" s="15">
        <v>41030</v>
      </c>
      <c r="B25" s="14">
        <v>48.9</v>
      </c>
      <c r="C25" s="14">
        <f>Table1346811121415161718192022253033343536[[#This Row],[PMI]]-B24</f>
        <v>-0.30000000000000426</v>
      </c>
    </row>
    <row r="26" spans="1:3" x14ac:dyDescent="0.2">
      <c r="A26" s="15">
        <v>41061</v>
      </c>
      <c r="B26" s="14">
        <v>48</v>
      </c>
      <c r="C26" s="14">
        <f>Table1346811121415161718192022253033343536[[#This Row],[PMI]]-B25</f>
        <v>-0.89999999999999858</v>
      </c>
    </row>
    <row r="27" spans="1:3" x14ac:dyDescent="0.2">
      <c r="A27" s="15">
        <v>41091</v>
      </c>
      <c r="B27" s="14">
        <v>49.7</v>
      </c>
      <c r="C27" s="14">
        <f>Table1346811121415161718192022253033343536[[#This Row],[PMI]]-B26</f>
        <v>1.7000000000000028</v>
      </c>
    </row>
    <row r="28" spans="1:3" x14ac:dyDescent="0.2">
      <c r="A28" s="15">
        <v>41122</v>
      </c>
      <c r="B28" s="14">
        <v>48.3</v>
      </c>
      <c r="C28" s="14">
        <f>Table1346811121415161718192022253033343536[[#This Row],[PMI]]-B27</f>
        <v>-1.4000000000000057</v>
      </c>
    </row>
    <row r="29" spans="1:3" x14ac:dyDescent="0.2">
      <c r="A29" s="15">
        <v>41153</v>
      </c>
      <c r="B29" s="14">
        <v>47</v>
      </c>
      <c r="C29" s="14">
        <f>Table1346811121415161718192022253033343536[[#This Row],[PMI]]-B28</f>
        <v>-1.2999999999999972</v>
      </c>
    </row>
    <row r="30" spans="1:3" x14ac:dyDescent="0.2">
      <c r="A30" s="15">
        <v>41183</v>
      </c>
      <c r="B30" s="14">
        <v>47.3</v>
      </c>
      <c r="C30" s="14">
        <f>Table1346811121415161718192022253033343536[[#This Row],[PMI]]-B29</f>
        <v>0.29999999999999716</v>
      </c>
    </row>
    <row r="31" spans="1:3" x14ac:dyDescent="0.2">
      <c r="A31" s="15">
        <v>41214</v>
      </c>
      <c r="B31" s="14">
        <v>48.2</v>
      </c>
      <c r="C31" s="14">
        <f>Table1346811121415161718192022253033343536[[#This Row],[PMI]]-B30</f>
        <v>0.90000000000000568</v>
      </c>
    </row>
    <row r="32" spans="1:3" x14ac:dyDescent="0.2">
      <c r="A32" s="15">
        <v>41244</v>
      </c>
      <c r="B32" s="14">
        <v>48.3</v>
      </c>
      <c r="C32" s="14">
        <f>Table1346811121415161718192022253033343536[[#This Row],[PMI]]-B31</f>
        <v>9.9999999999994316E-2</v>
      </c>
    </row>
    <row r="33" spans="1:3" x14ac:dyDescent="0.2">
      <c r="A33" s="15">
        <v>41275</v>
      </c>
      <c r="B33" s="14">
        <v>48.6</v>
      </c>
      <c r="C33" s="14">
        <f>Table1346811121415161718192022253033343536[[#This Row],[PMI]]-B32</f>
        <v>0.30000000000000426</v>
      </c>
    </row>
    <row r="34" spans="1:3" x14ac:dyDescent="0.2">
      <c r="A34" s="15">
        <v>41306</v>
      </c>
      <c r="B34" s="14">
        <v>48.9</v>
      </c>
      <c r="C34" s="14">
        <f>Table1346811121415161718192022253033343536[[#This Row],[PMI]]-B33</f>
        <v>0.29999999999999716</v>
      </c>
    </row>
    <row r="35" spans="1:3" x14ac:dyDescent="0.2">
      <c r="A35" s="15">
        <v>41334</v>
      </c>
      <c r="B35" s="14">
        <v>48</v>
      </c>
      <c r="C35" s="14">
        <f>Table1346811121415161718192022253033343536[[#This Row],[PMI]]-B34</f>
        <v>-0.89999999999999858</v>
      </c>
    </row>
    <row r="36" spans="1:3" x14ac:dyDescent="0.2">
      <c r="A36" s="15">
        <v>41365</v>
      </c>
      <c r="B36" s="14">
        <v>48</v>
      </c>
      <c r="C36" s="14">
        <f>Table1346811121415161718192022253033343536[[#This Row],[PMI]]-B35</f>
        <v>0</v>
      </c>
    </row>
    <row r="37" spans="1:3" x14ac:dyDescent="0.2">
      <c r="A37" s="15">
        <v>41395</v>
      </c>
      <c r="B37" s="14">
        <v>46.9</v>
      </c>
      <c r="C37" s="14">
        <f>Table1346811121415161718192022253033343536[[#This Row],[PMI]]-B36</f>
        <v>-1.1000000000000014</v>
      </c>
    </row>
    <row r="38" spans="1:3" x14ac:dyDescent="0.2">
      <c r="A38" s="15">
        <v>41426</v>
      </c>
      <c r="B38" s="14">
        <v>48</v>
      </c>
      <c r="C38" s="14">
        <f>Table1346811121415161718192022253033343536[[#This Row],[PMI]]-B37</f>
        <v>1.1000000000000014</v>
      </c>
    </row>
    <row r="39" spans="1:3" x14ac:dyDescent="0.2">
      <c r="A39" s="15">
        <v>41456</v>
      </c>
      <c r="B39" s="14">
        <v>49.3</v>
      </c>
      <c r="C39" s="14">
        <f>Table1346811121415161718192022253033343536[[#This Row],[PMI]]-B38</f>
        <v>1.2999999999999972</v>
      </c>
    </row>
    <row r="40" spans="1:3" x14ac:dyDescent="0.2">
      <c r="A40" s="15">
        <v>41487</v>
      </c>
      <c r="B40" s="14">
        <v>51.1</v>
      </c>
      <c r="C40" s="14">
        <f>Table1346811121415161718192022253033343536[[#This Row],[PMI]]-B39</f>
        <v>1.8000000000000043</v>
      </c>
    </row>
    <row r="41" spans="1:3" x14ac:dyDescent="0.2">
      <c r="A41" s="15">
        <v>41518</v>
      </c>
      <c r="B41" s="14">
        <v>52.6</v>
      </c>
      <c r="C41" s="14">
        <f>Table1346811121415161718192022253033343536[[#This Row],[PMI]]-B40</f>
        <v>1.5</v>
      </c>
    </row>
    <row r="42" spans="1:3" x14ac:dyDescent="0.2">
      <c r="A42" s="15">
        <v>41548</v>
      </c>
      <c r="B42" s="14">
        <v>53.4</v>
      </c>
      <c r="C42" s="14">
        <f>Table1346811121415161718192022253033343536[[#This Row],[PMI]]-B41</f>
        <v>0.79999999999999716</v>
      </c>
    </row>
    <row r="43" spans="1:3" x14ac:dyDescent="0.2">
      <c r="A43" s="15">
        <v>41579</v>
      </c>
      <c r="B43" s="14">
        <v>54.4</v>
      </c>
      <c r="C43" s="14">
        <f>Table1346811121415161718192022253033343536[[#This Row],[PMI]]-B42</f>
        <v>1</v>
      </c>
    </row>
    <row r="44" spans="1:3" x14ac:dyDescent="0.2">
      <c r="A44" s="15">
        <v>41609</v>
      </c>
      <c r="B44" s="14">
        <v>53.2</v>
      </c>
      <c r="C44" s="14">
        <f>Table1346811121415161718192022253033343536[[#This Row],[PMI]]-B43</f>
        <v>-1.1999999999999957</v>
      </c>
    </row>
    <row r="45" spans="1:3" x14ac:dyDescent="0.2">
      <c r="A45" s="15">
        <v>41640</v>
      </c>
      <c r="B45" s="14">
        <v>55.4</v>
      </c>
      <c r="C45" s="14">
        <f>Table1346811121415161718192022253033343536[[#This Row],[PMI]]-B44</f>
        <v>2.1999999999999957</v>
      </c>
    </row>
    <row r="46" spans="1:3" x14ac:dyDescent="0.2">
      <c r="A46" s="15">
        <v>41671</v>
      </c>
      <c r="B46" s="14">
        <v>55.9</v>
      </c>
      <c r="C46" s="14">
        <f>Table1346811121415161718192022253033343536[[#This Row],[PMI]]-B45</f>
        <v>0.5</v>
      </c>
    </row>
    <row r="47" spans="1:3" x14ac:dyDescent="0.2">
      <c r="A47" s="15">
        <v>41699</v>
      </c>
      <c r="B47" s="14">
        <v>54</v>
      </c>
      <c r="C47" s="14">
        <f>Table1346811121415161718192022253033343536[[#This Row],[PMI]]-B46</f>
        <v>-1.8999999999999986</v>
      </c>
    </row>
    <row r="48" spans="1:3" x14ac:dyDescent="0.2">
      <c r="A48" s="15">
        <v>41730</v>
      </c>
      <c r="B48" s="14">
        <v>51.1</v>
      </c>
      <c r="C48" s="14">
        <f>Table1346811121415161718192022253033343536[[#This Row],[PMI]]-B47</f>
        <v>-2.8999999999999986</v>
      </c>
    </row>
    <row r="49" spans="1:3" x14ac:dyDescent="0.2">
      <c r="A49" s="15">
        <v>41760</v>
      </c>
      <c r="B49" s="14">
        <v>50.8</v>
      </c>
      <c r="C49" s="14">
        <f>Table1346811121415161718192022253033343536[[#This Row],[PMI]]-B48</f>
        <v>-0.30000000000000426</v>
      </c>
    </row>
    <row r="50" spans="1:3" x14ac:dyDescent="0.2">
      <c r="A50" s="15">
        <v>41791</v>
      </c>
      <c r="B50" s="14">
        <v>50.3</v>
      </c>
      <c r="C50" s="14">
        <f>Table1346811121415161718192022253033343536[[#This Row],[PMI]]-B49</f>
        <v>-0.5</v>
      </c>
    </row>
    <row r="51" spans="1:3" x14ac:dyDescent="0.2">
      <c r="A51" s="15">
        <v>41821</v>
      </c>
      <c r="B51" s="14">
        <v>49.4</v>
      </c>
      <c r="C51" s="14">
        <f>Table1346811121415161718192022253033343536[[#This Row],[PMI]]-B50</f>
        <v>-0.89999999999999858</v>
      </c>
    </row>
    <row r="52" spans="1:3" x14ac:dyDescent="0.2">
      <c r="A52" s="15">
        <v>41852</v>
      </c>
      <c r="B52" s="14">
        <v>49</v>
      </c>
      <c r="C52" s="14">
        <f>Table1346811121415161718192022253033343536[[#This Row],[PMI]]-B51</f>
        <v>-0.39999999999999858</v>
      </c>
    </row>
    <row r="53" spans="1:3" x14ac:dyDescent="0.2">
      <c r="A53" s="15">
        <v>41883</v>
      </c>
      <c r="B53" s="14">
        <v>49.5</v>
      </c>
      <c r="C53" s="14">
        <f>Table1346811121415161718192022253033343536[[#This Row],[PMI]]-B52</f>
        <v>0.5</v>
      </c>
    </row>
    <row r="54" spans="1:3" x14ac:dyDescent="0.2">
      <c r="A54" s="15">
        <v>41913</v>
      </c>
      <c r="B54" s="14">
        <v>51.2</v>
      </c>
      <c r="C54" s="14">
        <f>Table1346811121415161718192022253033343536[[#This Row],[PMI]]-B53</f>
        <v>1.7000000000000028</v>
      </c>
    </row>
    <row r="55" spans="1:3" x14ac:dyDescent="0.2">
      <c r="A55" s="15">
        <v>41944</v>
      </c>
      <c r="B55" s="14">
        <v>53.2</v>
      </c>
      <c r="C55" s="14">
        <f>Table1346811121415161718192022253033343536[[#This Row],[PMI]]-B54</f>
        <v>2</v>
      </c>
    </row>
    <row r="56" spans="1:3" x14ac:dyDescent="0.2">
      <c r="A56" s="15">
        <v>41974</v>
      </c>
      <c r="B56" s="14">
        <v>52.8</v>
      </c>
      <c r="C56" s="14">
        <f>Table1346811121415161718192022253033343536[[#This Row],[PMI]]-B55</f>
        <v>-0.40000000000000568</v>
      </c>
    </row>
    <row r="57" spans="1:3" x14ac:dyDescent="0.2">
      <c r="A57" s="15">
        <v>42005</v>
      </c>
      <c r="B57" s="14">
        <v>55.2</v>
      </c>
      <c r="C57" s="14">
        <f>Table1346811121415161718192022253033343536[[#This Row],[PMI]]-B56</f>
        <v>2.4000000000000057</v>
      </c>
    </row>
    <row r="58" spans="1:3" x14ac:dyDescent="0.2">
      <c r="A58" s="15">
        <v>42036</v>
      </c>
      <c r="B58" s="14">
        <v>55.1</v>
      </c>
      <c r="C58" s="14">
        <f>Table1346811121415161718192022253033343536[[#This Row],[PMI]]-B57</f>
        <v>-0.10000000000000142</v>
      </c>
    </row>
    <row r="59" spans="1:3" x14ac:dyDescent="0.2">
      <c r="A59" s="15">
        <v>42064</v>
      </c>
      <c r="B59" s="14">
        <v>54.8</v>
      </c>
      <c r="C59" s="14">
        <f>Table1346811121415161718192022253033343536[[#This Row],[PMI]]-B58</f>
        <v>-0.30000000000000426</v>
      </c>
    </row>
    <row r="60" spans="1:3" x14ac:dyDescent="0.2">
      <c r="A60" s="15">
        <v>42095</v>
      </c>
      <c r="B60" s="14">
        <v>54</v>
      </c>
      <c r="C60" s="14">
        <f>Table1346811121415161718192022253033343536[[#This Row],[PMI]]-B59</f>
        <v>-0.79999999999999716</v>
      </c>
    </row>
    <row r="61" spans="1:3" x14ac:dyDescent="0.2">
      <c r="A61" s="15">
        <v>42125</v>
      </c>
      <c r="B61" s="14">
        <v>52.4</v>
      </c>
      <c r="C61" s="14">
        <f>Table1346811121415161718192022253033343536[[#This Row],[PMI]]-B60</f>
        <v>-1.6000000000000014</v>
      </c>
    </row>
    <row r="62" spans="1:3" x14ac:dyDescent="0.2">
      <c r="A62" s="15">
        <v>42156</v>
      </c>
      <c r="B62" s="14">
        <v>54.3</v>
      </c>
      <c r="C62" s="14">
        <f>Table1346811121415161718192022253033343536[[#This Row],[PMI]]-B61</f>
        <v>1.8999999999999986</v>
      </c>
    </row>
    <row r="63" spans="1:3" x14ac:dyDescent="0.2">
      <c r="A63" s="15">
        <v>42186</v>
      </c>
      <c r="B63" s="14">
        <v>54.5</v>
      </c>
      <c r="C63" s="14">
        <f>Table1346811121415161718192022253033343536[[#This Row],[PMI]]-B62</f>
        <v>0.20000000000000284</v>
      </c>
    </row>
    <row r="64" spans="1:3" x14ac:dyDescent="0.2">
      <c r="A64" s="15">
        <v>42217</v>
      </c>
      <c r="B64" s="14">
        <v>51.1</v>
      </c>
      <c r="C64" s="14">
        <f>Table1346811121415161718192022253033343536[[#This Row],[PMI]]-B63</f>
        <v>-3.3999999999999986</v>
      </c>
    </row>
    <row r="65" spans="1:3" x14ac:dyDescent="0.2">
      <c r="A65" s="15">
        <v>42248</v>
      </c>
      <c r="B65" s="14">
        <v>50.9</v>
      </c>
      <c r="C65" s="14">
        <f>Table1346811121415161718192022253033343536[[#This Row],[PMI]]-B64</f>
        <v>-0.20000000000000284</v>
      </c>
    </row>
    <row r="66" spans="1:3" x14ac:dyDescent="0.2">
      <c r="A66" s="15">
        <v>42278</v>
      </c>
      <c r="B66" s="14">
        <v>52.2</v>
      </c>
      <c r="C66" s="14">
        <f>Table1346811121415161718192022253033343536[[#This Row],[PMI]]-B65</f>
        <v>1.3000000000000043</v>
      </c>
    </row>
    <row r="67" spans="1:3" x14ac:dyDescent="0.2">
      <c r="A67" s="15">
        <v>42309</v>
      </c>
      <c r="B67" s="14">
        <v>52.1</v>
      </c>
      <c r="C67" s="14">
        <f>Table1346811121415161718192022253033343536[[#This Row],[PMI]]-B66</f>
        <v>-0.10000000000000142</v>
      </c>
    </row>
    <row r="68" spans="1:3" x14ac:dyDescent="0.2">
      <c r="A68" s="15">
        <v>42339</v>
      </c>
      <c r="B68" s="14">
        <v>52.1</v>
      </c>
      <c r="C68" s="14">
        <f>Table1346811121415161718192022253033343536[[#This Row],[PMI]]-B67</f>
        <v>0</v>
      </c>
    </row>
    <row r="69" spans="1:3" x14ac:dyDescent="0.2">
      <c r="A69" s="15">
        <v>42370</v>
      </c>
      <c r="B69" s="14">
        <v>50.9</v>
      </c>
      <c r="C69" s="14">
        <f>Table1346811121415161718192022253033343536[[#This Row],[PMI]]-B68</f>
        <v>-1.2000000000000028</v>
      </c>
    </row>
    <row r="70" spans="1:3" x14ac:dyDescent="0.2">
      <c r="A70" s="15">
        <v>42401</v>
      </c>
      <c r="B70" s="14">
        <v>52.8</v>
      </c>
      <c r="C70" s="14">
        <f>Table1346811121415161718192022253033343536[[#This Row],[PMI]]-B69</f>
        <v>1.8999999999999986</v>
      </c>
    </row>
    <row r="71" spans="1:3" x14ac:dyDescent="0.2">
      <c r="A71" s="15">
        <v>42430</v>
      </c>
      <c r="B71" s="14">
        <v>53.8</v>
      </c>
      <c r="C71" s="14">
        <f>Table1346811121415161718192022253033343536[[#This Row],[PMI]]-B70</f>
        <v>1</v>
      </c>
    </row>
    <row r="72" spans="1:3" x14ac:dyDescent="0.2">
      <c r="A72" s="15">
        <v>42461</v>
      </c>
      <c r="B72" s="14">
        <v>51</v>
      </c>
      <c r="C72" s="14">
        <f>Table1346811121415161718192022253033343536[[#This Row],[PMI]]-B71</f>
        <v>-2.7999999999999972</v>
      </c>
    </row>
    <row r="73" spans="1:3" x14ac:dyDescent="0.2">
      <c r="A73" s="15">
        <v>42491</v>
      </c>
      <c r="B73" s="14">
        <v>52.1</v>
      </c>
      <c r="C73" s="14">
        <f>Table1346811121415161718192022253033343536[[#This Row],[PMI]]-B72</f>
        <v>1.1000000000000014</v>
      </c>
    </row>
    <row r="74" spans="1:3" x14ac:dyDescent="0.2">
      <c r="A74" s="15">
        <v>42522</v>
      </c>
      <c r="B74" s="14">
        <v>51.8</v>
      </c>
      <c r="C74" s="14">
        <f>Table1346811121415161718192022253033343536[[#This Row],[PMI]]-B73</f>
        <v>-0.30000000000000426</v>
      </c>
    </row>
    <row r="75" spans="1:3" x14ac:dyDescent="0.2">
      <c r="A75" s="15">
        <v>42552</v>
      </c>
      <c r="B75" s="14">
        <v>50.3</v>
      </c>
      <c r="C75" s="14">
        <f>Table1346811121415161718192022253033343536[[#This Row],[PMI]]-B74</f>
        <v>-1.5</v>
      </c>
    </row>
    <row r="76" spans="1:3" x14ac:dyDescent="0.2">
      <c r="A76" s="15">
        <v>42583</v>
      </c>
      <c r="B76" s="14">
        <v>51.5</v>
      </c>
      <c r="C76" s="14">
        <f>Table1346811121415161718192022253033343536[[#This Row],[PMI]]-B75</f>
        <v>1.2000000000000028</v>
      </c>
    </row>
    <row r="77" spans="1:3" x14ac:dyDescent="0.2">
      <c r="A77" s="15">
        <v>42614</v>
      </c>
      <c r="B77" s="14">
        <v>52.2</v>
      </c>
      <c r="C77" s="14">
        <f>Table1346811121415161718192022253033343536[[#This Row],[PMI]]-B76</f>
        <v>0.70000000000000284</v>
      </c>
    </row>
    <row r="78" spans="1:3" x14ac:dyDescent="0.2">
      <c r="A78" s="15">
        <v>42644</v>
      </c>
      <c r="B78" s="14">
        <v>50.2</v>
      </c>
      <c r="C78" s="14">
        <f>Table1346811121415161718192022253033343536[[#This Row],[PMI]]-B77</f>
        <v>-2</v>
      </c>
    </row>
    <row r="79" spans="1:3" x14ac:dyDescent="0.2">
      <c r="A79" s="15">
        <v>42675</v>
      </c>
      <c r="B79" s="14">
        <v>51.9</v>
      </c>
      <c r="C79" s="14">
        <f>Table1346811121415161718192022253033343536[[#This Row],[PMI]]-B78</f>
        <v>1.6999999999999957</v>
      </c>
    </row>
    <row r="80" spans="1:3" x14ac:dyDescent="0.2">
      <c r="A80" s="15">
        <v>42705</v>
      </c>
      <c r="B80" s="14">
        <v>54.3</v>
      </c>
      <c r="C80" s="14">
        <f>Table1346811121415161718192022253033343536[[#This Row],[PMI]]-B79</f>
        <v>2.3999999999999986</v>
      </c>
    </row>
    <row r="81" spans="1:3" x14ac:dyDescent="0.2">
      <c r="A81" s="15">
        <v>42736</v>
      </c>
      <c r="B81" s="14">
        <v>54.8</v>
      </c>
      <c r="C81" s="14">
        <f>Table1346811121415161718192022253033343536[[#This Row],[PMI]]-B80</f>
        <v>0.5</v>
      </c>
    </row>
    <row r="82" spans="1:3" x14ac:dyDescent="0.2">
      <c r="A82" s="15">
        <v>42767</v>
      </c>
      <c r="B82" s="14">
        <v>54.2</v>
      </c>
      <c r="C82" s="14">
        <f>Table1346811121415161718192022253033343536[[#This Row],[PMI]]-B81</f>
        <v>-0.59999999999999432</v>
      </c>
    </row>
    <row r="83" spans="1:3" x14ac:dyDescent="0.2">
      <c r="A83" s="15">
        <v>42795</v>
      </c>
      <c r="B83" s="14">
        <v>53.5</v>
      </c>
      <c r="C83" s="14">
        <f>Table1346811121415161718192022253033343536[[#This Row],[PMI]]-B82</f>
        <v>-0.70000000000000284</v>
      </c>
    </row>
    <row r="84" spans="1:3" x14ac:dyDescent="0.2">
      <c r="A84" s="15">
        <v>42826</v>
      </c>
      <c r="B84" s="14">
        <v>54.1</v>
      </c>
      <c r="C84" s="14">
        <f>Table1346811121415161718192022253033343536[[#This Row],[PMI]]-B83</f>
        <v>0.60000000000000142</v>
      </c>
    </row>
    <row r="85" spans="1:3" x14ac:dyDescent="0.2">
      <c r="A85" s="15">
        <v>42856</v>
      </c>
      <c r="B85" s="14">
        <v>52.7</v>
      </c>
      <c r="C85" s="14">
        <f>Table1346811121415161718192022253033343536[[#This Row],[PMI]]-B84</f>
        <v>-1.3999999999999986</v>
      </c>
    </row>
    <row r="86" spans="1:3" x14ac:dyDescent="0.2">
      <c r="A86" s="15">
        <v>42887</v>
      </c>
      <c r="B86" s="14">
        <v>53.1</v>
      </c>
      <c r="C86" s="14">
        <f>Table1346811121415161718192022253033343536[[#This Row],[PMI]]-B85</f>
        <v>0.39999999999999858</v>
      </c>
    </row>
    <row r="87" spans="1:3" x14ac:dyDescent="0.2">
      <c r="A87" s="15">
        <v>42917</v>
      </c>
      <c r="B87" s="14">
        <v>52.3</v>
      </c>
      <c r="C87" s="14">
        <f>Table1346811121415161718192022253033343536[[#This Row],[PMI]]-B86</f>
        <v>-0.80000000000000426</v>
      </c>
    </row>
    <row r="88" spans="1:3" x14ac:dyDescent="0.2">
      <c r="A88" s="15">
        <v>42948</v>
      </c>
      <c r="B88" s="14">
        <v>52.5</v>
      </c>
      <c r="C88" s="14">
        <f>Table1346811121415161718192022253033343536[[#This Row],[PMI]]-B87</f>
        <v>0.20000000000000284</v>
      </c>
    </row>
    <row r="89" spans="1:3" x14ac:dyDescent="0.2">
      <c r="A89" s="15">
        <v>42979</v>
      </c>
      <c r="B89" s="14">
        <v>53.7</v>
      </c>
      <c r="C89" s="14">
        <f>Table1346811121415161718192022253033343536[[#This Row],[PMI]]-B88</f>
        <v>1.2000000000000028</v>
      </c>
    </row>
    <row r="90" spans="1:3" x14ac:dyDescent="0.2">
      <c r="A90" s="15">
        <v>43009</v>
      </c>
      <c r="B90" s="14">
        <v>53.4</v>
      </c>
      <c r="C90" s="14">
        <f>Table1346811121415161718192022253033343536[[#This Row],[PMI]]-B89</f>
        <v>-0.30000000000000426</v>
      </c>
    </row>
    <row r="91" spans="1:3" x14ac:dyDescent="0.2">
      <c r="A91" s="15">
        <v>43040</v>
      </c>
      <c r="B91" s="14">
        <v>54.2</v>
      </c>
      <c r="C91" s="14">
        <f>Table1346811121415161718192022253033343536[[#This Row],[PMI]]-B90</f>
        <v>0.80000000000000426</v>
      </c>
    </row>
    <row r="92" spans="1:3" x14ac:dyDescent="0.2">
      <c r="A92" s="15">
        <v>43070</v>
      </c>
      <c r="B92" s="14">
        <v>55</v>
      </c>
      <c r="C92" s="14">
        <f>Table1346811121415161718192022253033343536[[#This Row],[PMI]]-B91</f>
        <v>0.79999999999999716</v>
      </c>
    </row>
    <row r="93" spans="1:3" x14ac:dyDescent="0.2">
      <c r="A93" s="15">
        <v>43101</v>
      </c>
      <c r="B93" s="14">
        <v>54.6</v>
      </c>
      <c r="C93" s="14">
        <f>Table1346811121415161718192022253033343536[[#This Row],[PMI]]-B92</f>
        <v>-0.39999999999999858</v>
      </c>
    </row>
    <row r="94" spans="1:3" x14ac:dyDescent="0.2">
      <c r="A94" s="15">
        <v>43132</v>
      </c>
      <c r="B94" s="14">
        <v>53.7</v>
      </c>
      <c r="C94" s="14">
        <f>Table1346811121415161718192022253033343536[[#This Row],[PMI]]-B93</f>
        <v>-0.89999999999999858</v>
      </c>
    </row>
    <row r="95" spans="1:3" x14ac:dyDescent="0.2">
      <c r="A95" s="15">
        <v>43160</v>
      </c>
      <c r="B95" s="14">
        <v>53.7</v>
      </c>
      <c r="C95" s="14">
        <f>Table1346811121415161718192022253033343536[[#This Row],[PMI]]-B94</f>
        <v>0</v>
      </c>
    </row>
    <row r="96" spans="1:3" x14ac:dyDescent="0.2">
      <c r="A96" s="15">
        <v>43191</v>
      </c>
      <c r="B96" s="14">
        <v>53.9</v>
      </c>
      <c r="C96" s="14">
        <f>Table1346811121415161718192022253033343536[[#This Row],[PMI]]-B95</f>
        <v>0.19999999999999574</v>
      </c>
    </row>
    <row r="97" spans="1:3" x14ac:dyDescent="0.2">
      <c r="A97" s="15">
        <v>43221</v>
      </c>
      <c r="B97" s="14">
        <v>53.3</v>
      </c>
      <c r="C97" s="14">
        <f>Table1346811121415161718192022253033343536[[#This Row],[PMI]]-B96</f>
        <v>-0.60000000000000142</v>
      </c>
    </row>
    <row r="98" spans="1:3" x14ac:dyDescent="0.2">
      <c r="A98" s="15">
        <v>43252</v>
      </c>
      <c r="B98" s="14">
        <v>54.2</v>
      </c>
      <c r="C98" s="14">
        <f>Table1346811121415161718192022253033343536[[#This Row],[PMI]]-B97</f>
        <v>0.90000000000000568</v>
      </c>
    </row>
    <row r="99" spans="1:3" x14ac:dyDescent="0.2">
      <c r="A99" s="15">
        <v>43282</v>
      </c>
      <c r="B99" s="14">
        <v>52.9</v>
      </c>
      <c r="C99" s="14">
        <f>Table1346811121415161718192022253033343536[[#This Row],[PMI]]-B98</f>
        <v>-1.3000000000000043</v>
      </c>
    </row>
    <row r="100" spans="1:3" x14ac:dyDescent="0.2">
      <c r="A100" s="15">
        <v>43313</v>
      </c>
      <c r="B100" s="14">
        <v>51.4</v>
      </c>
      <c r="C100" s="14">
        <f>Table1346811121415161718192022253033343536[[#This Row],[PMI]]-B99</f>
        <v>-1.5</v>
      </c>
    </row>
    <row r="101" spans="1:3" x14ac:dyDescent="0.2">
      <c r="A101" s="15">
        <v>43344</v>
      </c>
      <c r="B101" s="14">
        <v>50.5</v>
      </c>
      <c r="C101" s="14">
        <f>Table1346811121415161718192022253033343536[[#This Row],[PMI]]-B100</f>
        <v>-0.89999999999999858</v>
      </c>
    </row>
    <row r="102" spans="1:3" x14ac:dyDescent="0.2">
      <c r="A102" s="15">
        <v>43374</v>
      </c>
      <c r="B102" s="14">
        <v>50.4</v>
      </c>
      <c r="C102" s="14">
        <f>Table1346811121415161718192022253033343536[[#This Row],[PMI]]-B101</f>
        <v>-0.10000000000000142</v>
      </c>
    </row>
    <row r="103" spans="1:3" x14ac:dyDescent="0.2">
      <c r="A103" s="15">
        <v>43405</v>
      </c>
      <c r="B103" s="14">
        <v>49.5</v>
      </c>
      <c r="C103" s="14">
        <f>Table1346811121415161718192022253033343536[[#This Row],[PMI]]-B102</f>
        <v>-0.89999999999999858</v>
      </c>
    </row>
    <row r="104" spans="1:3" x14ac:dyDescent="0.2">
      <c r="A104" s="15">
        <v>43435</v>
      </c>
      <c r="B104" s="14">
        <v>47.6</v>
      </c>
      <c r="C104" s="14">
        <f>Table1346811121415161718192022253033343536[[#This Row],[PMI]]-B103</f>
        <v>-1.8999999999999986</v>
      </c>
    </row>
    <row r="105" spans="1:3" x14ac:dyDescent="0.2">
      <c r="A105" s="15">
        <v>43466</v>
      </c>
      <c r="B105" s="14">
        <v>48.2</v>
      </c>
      <c r="C105" s="14">
        <f>Table1346811121415161718192022253033343536[[#This Row],[PMI]]-B104</f>
        <v>0.60000000000000142</v>
      </c>
    </row>
    <row r="106" spans="1:3" x14ac:dyDescent="0.2">
      <c r="A106" s="15">
        <v>43497</v>
      </c>
      <c r="B106" s="14">
        <v>47.6</v>
      </c>
      <c r="C106" s="14">
        <f>Table1346811121415161718192022253033343536[[#This Row],[PMI]]-B105</f>
        <v>-0.60000000000000142</v>
      </c>
    </row>
    <row r="107" spans="1:3" x14ac:dyDescent="0.2">
      <c r="A107" s="15">
        <v>43525</v>
      </c>
      <c r="B107" s="14">
        <v>48.7</v>
      </c>
      <c r="C107" s="30">
        <f>Table1346811121415161718192022253033343536[[#This Row],[PMI]]-B106</f>
        <v>1.1000000000000014</v>
      </c>
    </row>
    <row r="108" spans="1:3" x14ac:dyDescent="0.2">
      <c r="A108" s="15">
        <v>43556</v>
      </c>
      <c r="B108" s="14">
        <v>49</v>
      </c>
      <c r="C108" s="30">
        <f>Table1346811121415161718192022253033343536[[#This Row],[PMI]]-B107</f>
        <v>0.29999999999999716</v>
      </c>
    </row>
    <row r="109" spans="1:3" x14ac:dyDescent="0.2">
      <c r="A109" s="15">
        <v>43586</v>
      </c>
      <c r="B109" s="14">
        <v>48.8</v>
      </c>
      <c r="C109" s="30">
        <f>Table1346811121415161718192022253033343536[[#This Row],[PMI]]-B108</f>
        <v>-0.20000000000000284</v>
      </c>
    </row>
    <row r="110" spans="1:3" x14ac:dyDescent="0.2">
      <c r="A110" s="15">
        <v>43617</v>
      </c>
      <c r="B110" s="14">
        <v>48.4</v>
      </c>
      <c r="C110" s="30">
        <f>Table1346811121415161718192022253033343536[[#This Row],[PMI]]-B109</f>
        <v>-0.39999999999999858</v>
      </c>
    </row>
    <row r="111" spans="1:3" x14ac:dyDescent="0.2">
      <c r="A111" s="15">
        <v>43647</v>
      </c>
      <c r="B111" s="14">
        <v>47.4</v>
      </c>
      <c r="C111" s="30">
        <f>Table1346811121415161718192022253033343536[[#This Row],[PMI]]-B110</f>
        <v>-1</v>
      </c>
    </row>
    <row r="112" spans="1:3" x14ac:dyDescent="0.2">
      <c r="A112" s="15">
        <v>43678</v>
      </c>
      <c r="B112" s="14">
        <v>48.8</v>
      </c>
      <c r="C112" s="30">
        <f>Table1346811121415161718192022253033343536[[#This Row],[PMI]]-B111</f>
        <v>1.3999999999999986</v>
      </c>
    </row>
    <row r="113" spans="1:3" x14ac:dyDescent="0.2">
      <c r="A113" s="15">
        <v>43709</v>
      </c>
      <c r="B113" s="14">
        <v>47.8</v>
      </c>
      <c r="C113" s="30">
        <f>Table1346811121415161718192022253033343536[[#This Row],[PMI]]-B112</f>
        <v>-1</v>
      </c>
    </row>
    <row r="114" spans="1:3" x14ac:dyDescent="0.2">
      <c r="A114" s="15">
        <v>43739</v>
      </c>
      <c r="B114" s="14">
        <v>45.6</v>
      </c>
      <c r="C114" s="30">
        <f>Table1346811121415161718192022253033343536[[#This Row],[PMI]]-B113</f>
        <v>-2.1999999999999957</v>
      </c>
    </row>
    <row r="115" spans="1:3" x14ac:dyDescent="0.2">
      <c r="A115" s="15">
        <v>43770</v>
      </c>
      <c r="B115" s="14">
        <v>46.7</v>
      </c>
      <c r="C115" s="30">
        <f>Table1346811121415161718192022253033343536[[#This Row],[PMI]]-B114</f>
        <v>1.1000000000000014</v>
      </c>
    </row>
    <row r="116" spans="1:3" x14ac:dyDescent="0.2">
      <c r="A116" s="15">
        <v>43800</v>
      </c>
      <c r="B116" s="14">
        <v>48</v>
      </c>
      <c r="C116" s="30">
        <f>Table1346811121415161718192022253033343536[[#This Row],[PMI]]-B115</f>
        <v>1.2999999999999972</v>
      </c>
    </row>
    <row r="117" spans="1:3" x14ac:dyDescent="0.2">
      <c r="A117" s="15">
        <v>43831</v>
      </c>
      <c r="B117" s="14">
        <v>47.4</v>
      </c>
      <c r="C117" s="30">
        <f>Table1346811121415161718192022253033343536[[#This Row],[PMI]]-B116</f>
        <v>-0.60000000000000142</v>
      </c>
    </row>
    <row r="118" spans="1:3" x14ac:dyDescent="0.2">
      <c r="A118" s="15">
        <v>43862</v>
      </c>
      <c r="B118" s="14">
        <v>48.2</v>
      </c>
      <c r="C118" s="30">
        <f>Table1346811121415161718192022253033343536[[#This Row],[PMI]]-B117</f>
        <v>0.80000000000000426</v>
      </c>
    </row>
    <row r="119" spans="1:3" x14ac:dyDescent="0.2">
      <c r="A119" s="15">
        <v>43891</v>
      </c>
      <c r="B119" s="14">
        <v>42.4</v>
      </c>
      <c r="C119" s="30">
        <f>Table1346811121415161718192022253033343536[[#This Row],[PMI]]-B118</f>
        <v>-5.8000000000000043</v>
      </c>
    </row>
    <row r="120" spans="1:3" x14ac:dyDescent="0.2">
      <c r="A120" s="15">
        <v>43922</v>
      </c>
      <c r="B120" s="14">
        <v>31.9</v>
      </c>
      <c r="C120" s="30">
        <f>Table1346811121415161718192022253033343536[[#This Row],[PMI]]-B119</f>
        <v>-10.5</v>
      </c>
    </row>
    <row r="121" spans="1:3" x14ac:dyDescent="0.2">
      <c r="A121" s="15">
        <v>43952</v>
      </c>
      <c r="B121" s="14">
        <v>40.6</v>
      </c>
      <c r="C121" s="30">
        <f>Table1346811121415161718192022253033343536[[#This Row],[PMI]]-B120</f>
        <v>8.7000000000000028</v>
      </c>
    </row>
    <row r="122" spans="1:3" x14ac:dyDescent="0.2">
      <c r="A122" s="15">
        <v>43983</v>
      </c>
      <c r="B122" s="14">
        <v>47.2</v>
      </c>
      <c r="C122" s="30">
        <f>Table1346811121415161718192022253033343536[[#This Row],[PMI]]-B121</f>
        <v>6.6000000000000014</v>
      </c>
    </row>
    <row r="123" spans="1:3" x14ac:dyDescent="0.2">
      <c r="A123" s="15">
        <v>44013</v>
      </c>
      <c r="B123" s="14">
        <v>52.8</v>
      </c>
      <c r="C123" s="30">
        <f>Table1346811121415161718192022253033343536[[#This Row],[PMI]]-B122</f>
        <v>5.5999999999999943</v>
      </c>
    </row>
    <row r="124" spans="1:3" x14ac:dyDescent="0.2">
      <c r="A124" s="15">
        <v>44044</v>
      </c>
      <c r="B124" s="14">
        <v>50.6</v>
      </c>
      <c r="C124" s="30">
        <f>Table1346811121415161718192022253033343536[[#This Row],[PMI]]-B123</f>
        <v>-2.1999999999999957</v>
      </c>
    </row>
    <row r="125" spans="1:3" x14ac:dyDescent="0.2">
      <c r="A125" s="15">
        <v>44075</v>
      </c>
      <c r="B125" s="14">
        <v>50.8</v>
      </c>
      <c r="C125" s="30">
        <f>Table1346811121415161718192022253033343536[[#This Row],[PMI]]-B124</f>
        <v>0.19999999999999574</v>
      </c>
    </row>
    <row r="126" spans="1:3" x14ac:dyDescent="0.2">
      <c r="A126" s="15">
        <v>44105</v>
      </c>
      <c r="B126" s="14">
        <v>50.8</v>
      </c>
      <c r="C126" s="30">
        <f>Table1346811121415161718192022253033343536[[#This Row],[PMI]]-B125</f>
        <v>0</v>
      </c>
    </row>
    <row r="127" spans="1:3" x14ac:dyDescent="0.2">
      <c r="A127" s="15">
        <v>44136</v>
      </c>
      <c r="B127" s="14">
        <v>50.8</v>
      </c>
      <c r="C127" s="30">
        <f>Table1346811121415161718192022253033343536[[#This Row],[PMI]]-B126</f>
        <v>0</v>
      </c>
    </row>
    <row r="128" spans="1:3" x14ac:dyDescent="0.2">
      <c r="A128" s="15">
        <v>44166</v>
      </c>
      <c r="B128" s="14">
        <v>51.7</v>
      </c>
      <c r="C128" s="30">
        <f>Table1346811121415161718192022253033343536[[#This Row],[PMI]]-B127</f>
        <v>0.90000000000000568</v>
      </c>
    </row>
    <row r="129" spans="1:3" x14ac:dyDescent="0.2">
      <c r="A129" s="15">
        <v>44197</v>
      </c>
      <c r="B129" s="14">
        <v>51.9</v>
      </c>
      <c r="C129" s="30">
        <f>Table1346811121415161718192022253033343536[[#This Row],[PMI]]-B128</f>
        <v>0.19999999999999574</v>
      </c>
    </row>
    <row r="130" spans="1:3" x14ac:dyDescent="0.2">
      <c r="A130" s="15">
        <v>44228</v>
      </c>
      <c r="B130" s="14">
        <v>53.4</v>
      </c>
      <c r="C130" s="30">
        <f>Table1346811121415161718192022253033343536[[#This Row],[PMI]]-B129</f>
        <v>1.5</v>
      </c>
    </row>
    <row r="131" spans="1:3" x14ac:dyDescent="0.2">
      <c r="A131" s="15">
        <v>44256</v>
      </c>
      <c r="B131" s="14">
        <v>54.3</v>
      </c>
      <c r="C131" s="30">
        <f>Table1346811121415161718192022253033343536[[#This Row],[PMI]]-B130</f>
        <v>0.89999999999999858</v>
      </c>
    </row>
    <row r="132" spans="1:3" x14ac:dyDescent="0.2">
      <c r="A132" s="15">
        <v>44287</v>
      </c>
      <c r="B132" s="14">
        <v>53.7</v>
      </c>
      <c r="C132" s="30">
        <f>Table1346811121415161718192022253033343536[[#This Row],[PMI]]-B131</f>
        <v>-0.59999999999999432</v>
      </c>
    </row>
    <row r="133" spans="1:3" x14ac:dyDescent="0.2">
      <c r="A133" s="15">
        <v>44317</v>
      </c>
      <c r="B133" s="14">
        <v>57.2</v>
      </c>
      <c r="C133" s="30">
        <f>Table1346811121415161718192022253033343536[[#This Row],[PMI]]-B132</f>
        <v>3.5</v>
      </c>
    </row>
    <row r="134" spans="1:3" x14ac:dyDescent="0.2">
      <c r="A134" s="15">
        <v>44348</v>
      </c>
      <c r="B134" s="14">
        <v>59.4</v>
      </c>
      <c r="C134" s="30">
        <f>Table1346811121415161718192022253033343536[[#This Row],[PMI]]-B133</f>
        <v>2.1999999999999957</v>
      </c>
    </row>
    <row r="135" spans="1:3" x14ac:dyDescent="0.2">
      <c r="A135" s="15">
        <v>44378</v>
      </c>
      <c r="B135" s="14">
        <v>57.6</v>
      </c>
      <c r="C135" s="30">
        <f>Table1346811121415161718192022253033343536[[#This Row],[PMI]]-B134</f>
        <v>-1.7999999999999972</v>
      </c>
    </row>
    <row r="136" spans="1:3" x14ac:dyDescent="0.2">
      <c r="A136" s="15">
        <v>44409</v>
      </c>
      <c r="B136" s="14">
        <v>56</v>
      </c>
      <c r="C136" s="30">
        <f>Table1346811121415161718192022253033343536[[#This Row],[PMI]]-B135</f>
        <v>-1.6000000000000014</v>
      </c>
    </row>
    <row r="137" spans="1:3" x14ac:dyDescent="0.2">
      <c r="A137" s="15">
        <v>44440</v>
      </c>
      <c r="B137" s="14">
        <v>53.4</v>
      </c>
      <c r="C137" s="30">
        <f>Table1346811121415161718192022253033343536[[#This Row],[PMI]]-B136</f>
        <v>-2.6000000000000014</v>
      </c>
    </row>
    <row r="138" spans="1:3" x14ac:dyDescent="0.2">
      <c r="A138" s="15">
        <v>44470</v>
      </c>
      <c r="B138" s="14">
        <v>53.8</v>
      </c>
      <c r="C138" s="30">
        <f>Table1346811121415161718192022253033343536[[#This Row],[PMI]]-B137</f>
        <v>0.39999999999999858</v>
      </c>
    </row>
    <row r="139" spans="1:3" x14ac:dyDescent="0.2">
      <c r="A139" s="15">
        <v>44501</v>
      </c>
      <c r="B139" s="14">
        <v>54.4</v>
      </c>
      <c r="C139" s="30">
        <f>Table1346811121415161718192022253033343536[[#This Row],[PMI]]-B138</f>
        <v>0.60000000000000142</v>
      </c>
    </row>
    <row r="140" spans="1:3" x14ac:dyDescent="0.2">
      <c r="A140" s="15">
        <v>44531</v>
      </c>
      <c r="B140" s="14">
        <v>56.1</v>
      </c>
      <c r="C140" s="30">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CA702-35B3-4F71-B056-E4403514A21E}">
  <dimension ref="A1:K341"/>
  <sheetViews>
    <sheetView zoomScale="170" zoomScaleNormal="170" workbookViewId="0">
      <pane ySplit="5" topLeftCell="A306" activePane="bottomLeft" state="frozen"/>
      <selection pane="bottomLeft" activeCell="R335" sqref="R335"/>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20</v>
      </c>
      <c r="K1" s="1" t="s">
        <v>21</v>
      </c>
    </row>
    <row r="2" spans="1:11" x14ac:dyDescent="0.2">
      <c r="K2" s="1" t="str">
        <f>A1&amp;K1</f>
        <v>Denmark Manufacturing PMI</v>
      </c>
    </row>
    <row r="4" spans="1:11" ht="16" thickBot="1" x14ac:dyDescent="0.25"/>
    <row r="5" spans="1:11" ht="16" thickBot="1" x14ac:dyDescent="0.25">
      <c r="A5" s="27" t="s">
        <v>10</v>
      </c>
      <c r="B5" s="28" t="s">
        <v>11</v>
      </c>
      <c r="C5" s="28" t="s">
        <v>14</v>
      </c>
    </row>
    <row r="6" spans="1:11" x14ac:dyDescent="0.2">
      <c r="A6" s="23">
        <v>34335</v>
      </c>
      <c r="B6" s="24">
        <v>62.8</v>
      </c>
      <c r="C6" s="24"/>
    </row>
    <row r="7" spans="1:11" x14ac:dyDescent="0.2">
      <c r="A7" s="15">
        <v>34366</v>
      </c>
      <c r="B7" s="14">
        <v>67.53</v>
      </c>
      <c r="C7" s="14">
        <f>Table13[[#This Row],[PMI]]-B6</f>
        <v>4.730000000000004</v>
      </c>
    </row>
    <row r="8" spans="1:11" x14ac:dyDescent="0.2">
      <c r="A8" s="15">
        <v>34394</v>
      </c>
      <c r="B8" s="14">
        <v>61.89</v>
      </c>
      <c r="C8" s="14">
        <f>Table13[[#This Row],[PMI]]-B7</f>
        <v>-5.6400000000000006</v>
      </c>
    </row>
    <row r="9" spans="1:11" x14ac:dyDescent="0.2">
      <c r="A9" s="15">
        <v>34425</v>
      </c>
      <c r="B9" s="14">
        <v>60.57</v>
      </c>
      <c r="C9" s="14">
        <f>Table13[[#This Row],[PMI]]-B8</f>
        <v>-1.3200000000000003</v>
      </c>
    </row>
    <row r="10" spans="1:11" x14ac:dyDescent="0.2">
      <c r="A10" s="15">
        <v>34455</v>
      </c>
      <c r="B10" s="14">
        <v>63.1</v>
      </c>
      <c r="C10" s="14">
        <f>Table13[[#This Row],[PMI]]-B9</f>
        <v>2.5300000000000011</v>
      </c>
    </row>
    <row r="11" spans="1:11" x14ac:dyDescent="0.2">
      <c r="A11" s="15">
        <v>34486</v>
      </c>
      <c r="B11" s="14">
        <v>62.94</v>
      </c>
      <c r="C11" s="14">
        <f>Table13[[#This Row],[PMI]]-B10</f>
        <v>-0.16000000000000369</v>
      </c>
    </row>
    <row r="12" spans="1:11" x14ac:dyDescent="0.2">
      <c r="A12" s="15">
        <v>34516</v>
      </c>
      <c r="B12" s="14">
        <v>63.1</v>
      </c>
      <c r="C12" s="14">
        <f>Table13[[#This Row],[PMI]]-B11</f>
        <v>0.16000000000000369</v>
      </c>
    </row>
    <row r="13" spans="1:11" x14ac:dyDescent="0.2">
      <c r="A13" s="15">
        <v>34547</v>
      </c>
      <c r="B13" s="14">
        <v>59.49</v>
      </c>
      <c r="C13" s="14">
        <f>Table13[[#This Row],[PMI]]-B12</f>
        <v>-3.6099999999999994</v>
      </c>
    </row>
    <row r="14" spans="1:11" x14ac:dyDescent="0.2">
      <c r="A14" s="15">
        <v>34578</v>
      </c>
      <c r="B14" s="14">
        <v>59.36</v>
      </c>
      <c r="C14" s="14">
        <f>Table13[[#This Row],[PMI]]-B13</f>
        <v>-0.13000000000000256</v>
      </c>
    </row>
    <row r="15" spans="1:11" x14ac:dyDescent="0.2">
      <c r="A15" s="15">
        <v>34608</v>
      </c>
      <c r="B15" s="14">
        <v>61.33</v>
      </c>
      <c r="C15" s="14">
        <f>Table13[[#This Row],[PMI]]-B14</f>
        <v>1.9699999999999989</v>
      </c>
    </row>
    <row r="16" spans="1:11" x14ac:dyDescent="0.2">
      <c r="A16" s="15">
        <v>34639</v>
      </c>
      <c r="B16" s="14">
        <v>60.53</v>
      </c>
      <c r="C16" s="14">
        <f>Table13[[#This Row],[PMI]]-B15</f>
        <v>-0.79999999999999716</v>
      </c>
    </row>
    <row r="17" spans="1:3" x14ac:dyDescent="0.2">
      <c r="A17" s="15">
        <v>34669</v>
      </c>
      <c r="B17" s="14">
        <v>62.29</v>
      </c>
      <c r="C17" s="14">
        <f>Table13[[#This Row],[PMI]]-B16</f>
        <v>1.759999999999998</v>
      </c>
    </row>
    <row r="18" spans="1:3" x14ac:dyDescent="0.2">
      <c r="A18" s="15">
        <v>34700</v>
      </c>
      <c r="B18" s="14">
        <v>62.95</v>
      </c>
      <c r="C18" s="14">
        <f>Table13[[#This Row],[PMI]]-B17</f>
        <v>0.66000000000000369</v>
      </c>
    </row>
    <row r="19" spans="1:3" x14ac:dyDescent="0.2">
      <c r="A19" s="15">
        <v>34731</v>
      </c>
      <c r="B19" s="14">
        <v>63.78</v>
      </c>
      <c r="C19" s="14">
        <f>Table13[[#This Row],[PMI]]-B18</f>
        <v>0.82999999999999829</v>
      </c>
    </row>
    <row r="20" spans="1:3" x14ac:dyDescent="0.2">
      <c r="A20" s="15">
        <v>34759</v>
      </c>
      <c r="B20" s="14">
        <v>61.91</v>
      </c>
      <c r="C20" s="14">
        <f>Table13[[#This Row],[PMI]]-B19</f>
        <v>-1.8700000000000045</v>
      </c>
    </row>
    <row r="21" spans="1:3" x14ac:dyDescent="0.2">
      <c r="A21" s="15">
        <v>34790</v>
      </c>
      <c r="B21" s="14">
        <v>59.68</v>
      </c>
      <c r="C21" s="14">
        <f>Table13[[#This Row],[PMI]]-B20</f>
        <v>-2.2299999999999969</v>
      </c>
    </row>
    <row r="22" spans="1:3" x14ac:dyDescent="0.2">
      <c r="A22" s="15">
        <v>34820</v>
      </c>
      <c r="B22" s="14">
        <v>58.91</v>
      </c>
      <c r="C22" s="14">
        <f>Table13[[#This Row],[PMI]]-B21</f>
        <v>-0.77000000000000313</v>
      </c>
    </row>
    <row r="23" spans="1:3" x14ac:dyDescent="0.2">
      <c r="A23" s="15">
        <v>34851</v>
      </c>
      <c r="B23" s="14">
        <v>58.16</v>
      </c>
      <c r="C23" s="14">
        <f>Table13[[#This Row],[PMI]]-B22</f>
        <v>-0.75</v>
      </c>
    </row>
    <row r="24" spans="1:3" x14ac:dyDescent="0.2">
      <c r="A24" s="15">
        <v>34881</v>
      </c>
      <c r="B24" s="14">
        <v>65.400000000000006</v>
      </c>
      <c r="C24" s="14">
        <f>Table13[[#This Row],[PMI]]-B23</f>
        <v>7.2400000000000091</v>
      </c>
    </row>
    <row r="25" spans="1:3" x14ac:dyDescent="0.2">
      <c r="A25" s="15">
        <v>34912</v>
      </c>
      <c r="B25" s="14">
        <v>56.52</v>
      </c>
      <c r="C25" s="14">
        <f>Table13[[#This Row],[PMI]]-B24</f>
        <v>-8.8800000000000026</v>
      </c>
    </row>
    <row r="26" spans="1:3" x14ac:dyDescent="0.2">
      <c r="A26" s="15">
        <v>34943</v>
      </c>
      <c r="B26" s="14">
        <v>55.66</v>
      </c>
      <c r="C26" s="14">
        <f>Table13[[#This Row],[PMI]]-B25</f>
        <v>-0.86000000000000654</v>
      </c>
    </row>
    <row r="27" spans="1:3" x14ac:dyDescent="0.2">
      <c r="A27" s="15">
        <v>34973</v>
      </c>
      <c r="B27" s="14">
        <v>53.13</v>
      </c>
      <c r="C27" s="14">
        <f>Table13[[#This Row],[PMI]]-B26</f>
        <v>-2.529999999999994</v>
      </c>
    </row>
    <row r="28" spans="1:3" x14ac:dyDescent="0.2">
      <c r="A28" s="15">
        <v>35004</v>
      </c>
      <c r="B28" s="14">
        <v>55.08</v>
      </c>
      <c r="C28" s="14">
        <f>Table13[[#This Row],[PMI]]-B27</f>
        <v>1.9499999999999957</v>
      </c>
    </row>
    <row r="29" spans="1:3" x14ac:dyDescent="0.2">
      <c r="A29" s="15">
        <v>35034</v>
      </c>
      <c r="B29" s="14">
        <v>54.03</v>
      </c>
      <c r="C29" s="14">
        <f>Table13[[#This Row],[PMI]]-B28</f>
        <v>-1.0499999999999972</v>
      </c>
    </row>
    <row r="30" spans="1:3" x14ac:dyDescent="0.2">
      <c r="A30" s="15">
        <v>35065</v>
      </c>
      <c r="B30" s="14">
        <v>50.16</v>
      </c>
      <c r="C30" s="14">
        <f>Table13[[#This Row],[PMI]]-B29</f>
        <v>-3.8700000000000045</v>
      </c>
    </row>
    <row r="31" spans="1:3" x14ac:dyDescent="0.2">
      <c r="A31" s="15">
        <v>35096</v>
      </c>
      <c r="B31" s="14">
        <v>46.38</v>
      </c>
      <c r="C31" s="14">
        <f>Table13[[#This Row],[PMI]]-B30</f>
        <v>-3.779999999999994</v>
      </c>
    </row>
    <row r="32" spans="1:3" x14ac:dyDescent="0.2">
      <c r="A32" s="15">
        <v>35125</v>
      </c>
      <c r="B32" s="14">
        <v>52.65</v>
      </c>
      <c r="C32" s="14">
        <f>Table13[[#This Row],[PMI]]-B31</f>
        <v>6.269999999999996</v>
      </c>
    </row>
    <row r="33" spans="1:3" x14ac:dyDescent="0.2">
      <c r="A33" s="15">
        <v>35156</v>
      </c>
      <c r="B33" s="14">
        <v>54.64</v>
      </c>
      <c r="C33" s="14">
        <f>Table13[[#This Row],[PMI]]-B32</f>
        <v>1.990000000000002</v>
      </c>
    </row>
    <row r="34" spans="1:3" x14ac:dyDescent="0.2">
      <c r="A34" s="15">
        <v>35186</v>
      </c>
      <c r="B34" s="14">
        <v>48.99</v>
      </c>
      <c r="C34" s="14">
        <f>Table13[[#This Row],[PMI]]-B33</f>
        <v>-5.6499999999999986</v>
      </c>
    </row>
    <row r="35" spans="1:3" x14ac:dyDescent="0.2">
      <c r="A35" s="15">
        <v>35217</v>
      </c>
      <c r="B35" s="14">
        <v>50.64</v>
      </c>
      <c r="C35" s="14">
        <f>Table13[[#This Row],[PMI]]-B34</f>
        <v>1.6499999999999986</v>
      </c>
    </row>
    <row r="36" spans="1:3" x14ac:dyDescent="0.2">
      <c r="A36" s="15">
        <v>35247</v>
      </c>
      <c r="B36" s="14">
        <v>54.72</v>
      </c>
      <c r="C36" s="14">
        <f>Table13[[#This Row],[PMI]]-B35</f>
        <v>4.0799999999999983</v>
      </c>
    </row>
    <row r="37" spans="1:3" x14ac:dyDescent="0.2">
      <c r="A37" s="15">
        <v>35278</v>
      </c>
      <c r="B37" s="14">
        <v>56.46</v>
      </c>
      <c r="C37" s="14">
        <f>Table13[[#This Row],[PMI]]-B36</f>
        <v>1.740000000000002</v>
      </c>
    </row>
    <row r="38" spans="1:3" x14ac:dyDescent="0.2">
      <c r="A38" s="15">
        <v>35309</v>
      </c>
      <c r="B38" s="14">
        <v>59.28</v>
      </c>
      <c r="C38" s="14">
        <f>Table13[[#This Row],[PMI]]-B37</f>
        <v>2.8200000000000003</v>
      </c>
    </row>
    <row r="39" spans="1:3" x14ac:dyDescent="0.2">
      <c r="A39" s="15">
        <v>35339</v>
      </c>
      <c r="B39" s="14">
        <v>57.49</v>
      </c>
      <c r="C39" s="14">
        <f>Table13[[#This Row],[PMI]]-B38</f>
        <v>-1.7899999999999991</v>
      </c>
    </row>
    <row r="40" spans="1:3" x14ac:dyDescent="0.2">
      <c r="A40" s="15">
        <v>35370</v>
      </c>
      <c r="B40" s="14">
        <v>61.57</v>
      </c>
      <c r="C40" s="14">
        <f>Table13[[#This Row],[PMI]]-B39</f>
        <v>4.0799999999999983</v>
      </c>
    </row>
    <row r="41" spans="1:3" x14ac:dyDescent="0.2">
      <c r="A41" s="15">
        <v>35400</v>
      </c>
      <c r="B41" s="14">
        <v>60.71</v>
      </c>
      <c r="C41" s="14">
        <f>Table13[[#This Row],[PMI]]-B40</f>
        <v>-0.85999999999999943</v>
      </c>
    </row>
    <row r="42" spans="1:3" x14ac:dyDescent="0.2">
      <c r="A42" s="15">
        <v>35431</v>
      </c>
      <c r="B42" s="14">
        <v>62.72</v>
      </c>
      <c r="C42" s="14">
        <f>Table13[[#This Row],[PMI]]-B41</f>
        <v>2.009999999999998</v>
      </c>
    </row>
    <row r="43" spans="1:3" x14ac:dyDescent="0.2">
      <c r="A43" s="15">
        <v>35462</v>
      </c>
      <c r="B43" s="14">
        <v>57.65</v>
      </c>
      <c r="C43" s="14">
        <f>Table13[[#This Row],[PMI]]-B42</f>
        <v>-5.07</v>
      </c>
    </row>
    <row r="44" spans="1:3" x14ac:dyDescent="0.2">
      <c r="A44" s="15">
        <v>35490</v>
      </c>
      <c r="B44" s="14">
        <v>60.39</v>
      </c>
      <c r="C44" s="14">
        <f>Table13[[#This Row],[PMI]]-B43</f>
        <v>2.740000000000002</v>
      </c>
    </row>
    <row r="45" spans="1:3" x14ac:dyDescent="0.2">
      <c r="A45" s="15">
        <v>35521</v>
      </c>
      <c r="B45" s="14">
        <v>60.87</v>
      </c>
      <c r="C45" s="14">
        <f>Table13[[#This Row],[PMI]]-B44</f>
        <v>0.47999999999999687</v>
      </c>
    </row>
    <row r="46" spans="1:3" x14ac:dyDescent="0.2">
      <c r="A46" s="15">
        <v>35551</v>
      </c>
      <c r="B46" s="14">
        <v>64.19</v>
      </c>
      <c r="C46" s="14">
        <f>Table13[[#This Row],[PMI]]-B45</f>
        <v>3.3200000000000003</v>
      </c>
    </row>
    <row r="47" spans="1:3" x14ac:dyDescent="0.2">
      <c r="A47" s="15">
        <v>35582</v>
      </c>
      <c r="B47" s="14">
        <v>63.39</v>
      </c>
      <c r="C47" s="14">
        <f>Table13[[#This Row],[PMI]]-B46</f>
        <v>-0.79999999999999716</v>
      </c>
    </row>
    <row r="48" spans="1:3" x14ac:dyDescent="0.2">
      <c r="A48" s="15">
        <v>35612</v>
      </c>
      <c r="B48" s="14">
        <v>54.92</v>
      </c>
      <c r="C48" s="14">
        <f>Table13[[#This Row],[PMI]]-B47</f>
        <v>-8.4699999999999989</v>
      </c>
    </row>
    <row r="49" spans="1:3" x14ac:dyDescent="0.2">
      <c r="A49" s="15">
        <v>35643</v>
      </c>
      <c r="B49" s="14">
        <v>61.25</v>
      </c>
      <c r="C49" s="14">
        <f>Table13[[#This Row],[PMI]]-B48</f>
        <v>6.3299999999999983</v>
      </c>
    </row>
    <row r="50" spans="1:3" x14ac:dyDescent="0.2">
      <c r="A50" s="15">
        <v>35674</v>
      </c>
      <c r="B50" s="14">
        <v>61.84</v>
      </c>
      <c r="C50" s="14">
        <f>Table13[[#This Row],[PMI]]-B49</f>
        <v>0.59000000000000341</v>
      </c>
    </row>
    <row r="51" spans="1:3" x14ac:dyDescent="0.2">
      <c r="A51" s="15">
        <v>35704</v>
      </c>
      <c r="B51" s="14">
        <v>58.84</v>
      </c>
      <c r="C51" s="14">
        <f>Table13[[#This Row],[PMI]]-B50</f>
        <v>-3</v>
      </c>
    </row>
    <row r="52" spans="1:3" x14ac:dyDescent="0.2">
      <c r="A52" s="15">
        <v>35735</v>
      </c>
      <c r="B52" s="14">
        <v>56.3</v>
      </c>
      <c r="C52" s="14">
        <f>Table13[[#This Row],[PMI]]-B51</f>
        <v>-2.5400000000000063</v>
      </c>
    </row>
    <row r="53" spans="1:3" x14ac:dyDescent="0.2">
      <c r="A53" s="15">
        <v>35765</v>
      </c>
      <c r="B53" s="14">
        <v>56.74</v>
      </c>
      <c r="C53" s="14">
        <f>Table13[[#This Row],[PMI]]-B52</f>
        <v>0.44000000000000483</v>
      </c>
    </row>
    <row r="54" spans="1:3" x14ac:dyDescent="0.2">
      <c r="A54" s="15">
        <v>35796</v>
      </c>
      <c r="B54" s="14">
        <v>55.77</v>
      </c>
      <c r="C54" s="14">
        <f>Table13[[#This Row],[PMI]]-B53</f>
        <v>-0.96999999999999886</v>
      </c>
    </row>
    <row r="55" spans="1:3" x14ac:dyDescent="0.2">
      <c r="A55" s="15">
        <v>35827</v>
      </c>
      <c r="B55" s="14">
        <v>55.65</v>
      </c>
      <c r="C55" s="14">
        <f>Table13[[#This Row],[PMI]]-B54</f>
        <v>-0.12000000000000455</v>
      </c>
    </row>
    <row r="56" spans="1:3" x14ac:dyDescent="0.2">
      <c r="A56" s="15">
        <v>35855</v>
      </c>
      <c r="B56" s="14">
        <v>58.86</v>
      </c>
      <c r="C56" s="14">
        <f>Table13[[#This Row],[PMI]]-B55</f>
        <v>3.2100000000000009</v>
      </c>
    </row>
    <row r="57" spans="1:3" x14ac:dyDescent="0.2">
      <c r="A57" s="15">
        <v>35886</v>
      </c>
      <c r="B57" s="14">
        <v>58.81</v>
      </c>
      <c r="C57" s="14">
        <f>Table13[[#This Row],[PMI]]-B56</f>
        <v>-4.9999999999997158E-2</v>
      </c>
    </row>
    <row r="58" spans="1:3" x14ac:dyDescent="0.2">
      <c r="A58" s="15">
        <v>35916</v>
      </c>
      <c r="B58" s="14">
        <v>60.33</v>
      </c>
      <c r="C58" s="14">
        <f>Table13[[#This Row],[PMI]]-B57</f>
        <v>1.519999999999996</v>
      </c>
    </row>
    <row r="59" spans="1:3" x14ac:dyDescent="0.2">
      <c r="A59" s="15">
        <v>35947</v>
      </c>
      <c r="B59" s="14">
        <v>57.46</v>
      </c>
      <c r="C59" s="14">
        <f>Table13[[#This Row],[PMI]]-B58</f>
        <v>-2.8699999999999974</v>
      </c>
    </row>
    <row r="60" spans="1:3" x14ac:dyDescent="0.2">
      <c r="A60" s="15">
        <v>35977</v>
      </c>
      <c r="B60" s="14">
        <v>50.71</v>
      </c>
      <c r="C60" s="14">
        <f>Table13[[#This Row],[PMI]]-B59</f>
        <v>-6.75</v>
      </c>
    </row>
    <row r="61" spans="1:3" x14ac:dyDescent="0.2">
      <c r="A61" s="15">
        <v>36008</v>
      </c>
      <c r="B61" s="14">
        <v>62.84</v>
      </c>
      <c r="C61" s="14">
        <f>Table13[[#This Row],[PMI]]-B60</f>
        <v>12.130000000000003</v>
      </c>
    </row>
    <row r="62" spans="1:3" x14ac:dyDescent="0.2">
      <c r="A62" s="15">
        <v>36039</v>
      </c>
      <c r="B62" s="14">
        <v>51.54</v>
      </c>
      <c r="C62" s="14">
        <f>Table13[[#This Row],[PMI]]-B61</f>
        <v>-11.300000000000004</v>
      </c>
    </row>
    <row r="63" spans="1:3" x14ac:dyDescent="0.2">
      <c r="A63" s="15">
        <v>36069</v>
      </c>
      <c r="B63" s="14">
        <v>54.96</v>
      </c>
      <c r="C63" s="14">
        <f>Table13[[#This Row],[PMI]]-B62</f>
        <v>3.4200000000000017</v>
      </c>
    </row>
    <row r="64" spans="1:3" x14ac:dyDescent="0.2">
      <c r="A64" s="15">
        <v>36100</v>
      </c>
      <c r="B64" s="14">
        <v>48.18</v>
      </c>
      <c r="C64" s="14">
        <f>Table13[[#This Row],[PMI]]-B63</f>
        <v>-6.7800000000000011</v>
      </c>
    </row>
    <row r="65" spans="1:3" x14ac:dyDescent="0.2">
      <c r="A65" s="15">
        <v>36130</v>
      </c>
      <c r="B65" s="14">
        <v>49.94</v>
      </c>
      <c r="C65" s="14">
        <f>Table13[[#This Row],[PMI]]-B64</f>
        <v>1.759999999999998</v>
      </c>
    </row>
    <row r="66" spans="1:3" x14ac:dyDescent="0.2">
      <c r="A66" s="15">
        <v>36161</v>
      </c>
      <c r="B66" s="14">
        <v>53.69</v>
      </c>
      <c r="C66" s="14">
        <f>Table13[[#This Row],[PMI]]-B65</f>
        <v>3.75</v>
      </c>
    </row>
    <row r="67" spans="1:3" x14ac:dyDescent="0.2">
      <c r="A67" s="15">
        <v>36192</v>
      </c>
      <c r="B67" s="14">
        <v>55.51</v>
      </c>
      <c r="C67" s="14">
        <f>Table13[[#This Row],[PMI]]-B66</f>
        <v>1.8200000000000003</v>
      </c>
    </row>
    <row r="68" spans="1:3" x14ac:dyDescent="0.2">
      <c r="A68" s="15">
        <v>36220</v>
      </c>
      <c r="B68" s="14">
        <v>45.32</v>
      </c>
      <c r="C68" s="14">
        <f>Table13[[#This Row],[PMI]]-B67</f>
        <v>-10.189999999999998</v>
      </c>
    </row>
    <row r="69" spans="1:3" x14ac:dyDescent="0.2">
      <c r="A69" s="15">
        <v>36251</v>
      </c>
      <c r="B69" s="14">
        <v>50.98</v>
      </c>
      <c r="C69" s="14">
        <f>Table13[[#This Row],[PMI]]-B68</f>
        <v>5.6599999999999966</v>
      </c>
    </row>
    <row r="70" spans="1:3" x14ac:dyDescent="0.2">
      <c r="A70" s="15">
        <v>36281</v>
      </c>
      <c r="B70" s="14">
        <v>48.33</v>
      </c>
      <c r="C70" s="14">
        <f>Table13[[#This Row],[PMI]]-B69</f>
        <v>-2.6499999999999986</v>
      </c>
    </row>
    <row r="71" spans="1:3" x14ac:dyDescent="0.2">
      <c r="A71" s="15">
        <v>36312</v>
      </c>
      <c r="B71" s="14">
        <v>51.51</v>
      </c>
      <c r="C71" s="14">
        <f>Table13[[#This Row],[PMI]]-B70</f>
        <v>3.1799999999999997</v>
      </c>
    </row>
    <row r="72" spans="1:3" x14ac:dyDescent="0.2">
      <c r="A72" s="15">
        <v>36342</v>
      </c>
      <c r="B72" s="14">
        <v>53.07</v>
      </c>
      <c r="C72" s="14">
        <f>Table13[[#This Row],[PMI]]-B71</f>
        <v>1.5600000000000023</v>
      </c>
    </row>
    <row r="73" spans="1:3" x14ac:dyDescent="0.2">
      <c r="A73" s="15">
        <v>36373</v>
      </c>
      <c r="B73" s="14">
        <v>49.58</v>
      </c>
      <c r="C73" s="14">
        <f>Table13[[#This Row],[PMI]]-B72</f>
        <v>-3.490000000000002</v>
      </c>
    </row>
    <row r="74" spans="1:3" x14ac:dyDescent="0.2">
      <c r="A74" s="15">
        <v>36404</v>
      </c>
      <c r="B74" s="14">
        <v>52.05</v>
      </c>
      <c r="C74" s="14">
        <f>Table13[[#This Row],[PMI]]-B73</f>
        <v>2.4699999999999989</v>
      </c>
    </row>
    <row r="75" spans="1:3" x14ac:dyDescent="0.2">
      <c r="A75" s="15">
        <v>36434</v>
      </c>
      <c r="B75" s="14">
        <v>69.790000000000006</v>
      </c>
      <c r="C75" s="14">
        <f>Table13[[#This Row],[PMI]]-B74</f>
        <v>17.740000000000009</v>
      </c>
    </row>
    <row r="76" spans="1:3" x14ac:dyDescent="0.2">
      <c r="A76" s="15">
        <v>36465</v>
      </c>
      <c r="B76" s="14">
        <v>64.63</v>
      </c>
      <c r="C76" s="14">
        <f>Table13[[#This Row],[PMI]]-B75</f>
        <v>-5.1600000000000108</v>
      </c>
    </row>
    <row r="77" spans="1:3" x14ac:dyDescent="0.2">
      <c r="A77" s="15">
        <v>36495</v>
      </c>
      <c r="B77" s="14">
        <v>46.56</v>
      </c>
      <c r="C77" s="14">
        <f>Table13[[#This Row],[PMI]]-B76</f>
        <v>-18.069999999999993</v>
      </c>
    </row>
    <row r="78" spans="1:3" x14ac:dyDescent="0.2">
      <c r="A78" s="15">
        <v>36526</v>
      </c>
      <c r="B78" s="14">
        <v>56.5</v>
      </c>
      <c r="C78" s="14">
        <f>Table13[[#This Row],[PMI]]-B77</f>
        <v>9.9399999999999977</v>
      </c>
    </row>
    <row r="79" spans="1:3" x14ac:dyDescent="0.2">
      <c r="A79" s="15">
        <v>36557</v>
      </c>
      <c r="B79" s="14">
        <v>60.09</v>
      </c>
      <c r="C79" s="14">
        <f>Table13[[#This Row],[PMI]]-B78</f>
        <v>3.5900000000000034</v>
      </c>
    </row>
    <row r="80" spans="1:3" x14ac:dyDescent="0.2">
      <c r="A80" s="15">
        <v>36586</v>
      </c>
      <c r="B80" s="14">
        <v>58.03</v>
      </c>
      <c r="C80" s="14">
        <f>Table13[[#This Row],[PMI]]-B79</f>
        <v>-2.0600000000000023</v>
      </c>
    </row>
    <row r="81" spans="1:3" x14ac:dyDescent="0.2">
      <c r="A81" s="15">
        <v>36617</v>
      </c>
      <c r="B81" s="14">
        <v>54.9</v>
      </c>
      <c r="C81" s="14">
        <f>Table13[[#This Row],[PMI]]-B80</f>
        <v>-3.1300000000000026</v>
      </c>
    </row>
    <row r="82" spans="1:3" x14ac:dyDescent="0.2">
      <c r="A82" s="15">
        <v>36647</v>
      </c>
      <c r="B82" s="14">
        <v>55.18</v>
      </c>
      <c r="C82" s="14">
        <f>Table13[[#This Row],[PMI]]-B81</f>
        <v>0.28000000000000114</v>
      </c>
    </row>
    <row r="83" spans="1:3" x14ac:dyDescent="0.2">
      <c r="A83" s="15">
        <v>36678</v>
      </c>
      <c r="B83" s="14">
        <v>53.67</v>
      </c>
      <c r="C83" s="14">
        <f>Table13[[#This Row],[PMI]]-B82</f>
        <v>-1.509999999999998</v>
      </c>
    </row>
    <row r="84" spans="1:3" x14ac:dyDescent="0.2">
      <c r="A84" s="15">
        <v>36708</v>
      </c>
      <c r="B84" s="14">
        <v>64.069999999999993</v>
      </c>
      <c r="C84" s="14">
        <f>Table13[[#This Row],[PMI]]-B83</f>
        <v>10.399999999999991</v>
      </c>
    </row>
    <row r="85" spans="1:3" x14ac:dyDescent="0.2">
      <c r="A85" s="15">
        <v>36739</v>
      </c>
      <c r="B85" s="14">
        <v>56.81</v>
      </c>
      <c r="C85" s="14">
        <f>Table13[[#This Row],[PMI]]-B84</f>
        <v>-7.2599999999999909</v>
      </c>
    </row>
    <row r="86" spans="1:3" x14ac:dyDescent="0.2">
      <c r="A86" s="15">
        <v>36770</v>
      </c>
      <c r="B86" s="14">
        <v>56.21</v>
      </c>
      <c r="C86" s="14">
        <f>Table13[[#This Row],[PMI]]-B85</f>
        <v>-0.60000000000000142</v>
      </c>
    </row>
    <row r="87" spans="1:3" x14ac:dyDescent="0.2">
      <c r="A87" s="15">
        <v>36800</v>
      </c>
      <c r="B87" s="14">
        <v>59.71</v>
      </c>
      <c r="C87" s="14">
        <f>Table13[[#This Row],[PMI]]-B86</f>
        <v>3.5</v>
      </c>
    </row>
    <row r="88" spans="1:3" x14ac:dyDescent="0.2">
      <c r="A88" s="15">
        <v>36831</v>
      </c>
      <c r="B88" s="14">
        <v>54.29</v>
      </c>
      <c r="C88" s="14">
        <f>Table13[[#This Row],[PMI]]-B87</f>
        <v>-5.4200000000000017</v>
      </c>
    </row>
    <row r="89" spans="1:3" x14ac:dyDescent="0.2">
      <c r="A89" s="15">
        <v>36861</v>
      </c>
      <c r="B89" s="14">
        <v>55.54</v>
      </c>
      <c r="C89" s="14">
        <f>Table13[[#This Row],[PMI]]-B88</f>
        <v>1.25</v>
      </c>
    </row>
    <row r="90" spans="1:3" x14ac:dyDescent="0.2">
      <c r="A90" s="15">
        <v>36892</v>
      </c>
      <c r="B90" s="14">
        <v>52.88</v>
      </c>
      <c r="C90" s="14">
        <f>Table13[[#This Row],[PMI]]-B89</f>
        <v>-2.6599999999999966</v>
      </c>
    </row>
    <row r="91" spans="1:3" x14ac:dyDescent="0.2">
      <c r="A91" s="15">
        <v>36923</v>
      </c>
      <c r="B91" s="14">
        <v>51.59</v>
      </c>
      <c r="C91" s="14">
        <f>Table13[[#This Row],[PMI]]-B90</f>
        <v>-1.2899999999999991</v>
      </c>
    </row>
    <row r="92" spans="1:3" x14ac:dyDescent="0.2">
      <c r="A92" s="15">
        <v>36951</v>
      </c>
      <c r="B92" s="14">
        <v>52.49</v>
      </c>
      <c r="C92" s="14">
        <f>Table13[[#This Row],[PMI]]-B91</f>
        <v>0.89999999999999858</v>
      </c>
    </row>
    <row r="93" spans="1:3" x14ac:dyDescent="0.2">
      <c r="A93" s="15">
        <v>36982</v>
      </c>
      <c r="B93" s="14">
        <v>49.61</v>
      </c>
      <c r="C93" s="14">
        <f>Table13[[#This Row],[PMI]]-B92</f>
        <v>-2.8800000000000026</v>
      </c>
    </row>
    <row r="94" spans="1:3" x14ac:dyDescent="0.2">
      <c r="A94" s="15">
        <v>37012</v>
      </c>
      <c r="B94" s="14">
        <v>52.89</v>
      </c>
      <c r="C94" s="14">
        <f>Table13[[#This Row],[PMI]]-B93</f>
        <v>3.2800000000000011</v>
      </c>
    </row>
    <row r="95" spans="1:3" x14ac:dyDescent="0.2">
      <c r="A95" s="15">
        <v>37043</v>
      </c>
      <c r="B95" s="14">
        <v>53.97</v>
      </c>
      <c r="C95" s="14">
        <f>Table13[[#This Row],[PMI]]-B94</f>
        <v>1.0799999999999983</v>
      </c>
    </row>
    <row r="96" spans="1:3" x14ac:dyDescent="0.2">
      <c r="A96" s="15">
        <v>37073</v>
      </c>
      <c r="B96" s="14">
        <v>50.42</v>
      </c>
      <c r="C96" s="14">
        <f>Table13[[#This Row],[PMI]]-B95</f>
        <v>-3.5499999999999972</v>
      </c>
    </row>
    <row r="97" spans="1:3" x14ac:dyDescent="0.2">
      <c r="A97" s="15">
        <v>37104</v>
      </c>
      <c r="B97" s="14">
        <v>53.21</v>
      </c>
      <c r="C97" s="14">
        <f>Table13[[#This Row],[PMI]]-B96</f>
        <v>2.7899999999999991</v>
      </c>
    </row>
    <row r="98" spans="1:3" x14ac:dyDescent="0.2">
      <c r="A98" s="15">
        <v>37135</v>
      </c>
      <c r="B98" s="14">
        <v>47.75</v>
      </c>
      <c r="C98" s="14">
        <f>Table13[[#This Row],[PMI]]-B97</f>
        <v>-5.4600000000000009</v>
      </c>
    </row>
    <row r="99" spans="1:3" x14ac:dyDescent="0.2">
      <c r="A99" s="15">
        <v>37165</v>
      </c>
      <c r="B99" s="14">
        <v>46.09</v>
      </c>
      <c r="C99" s="14">
        <f>Table13[[#This Row],[PMI]]-B98</f>
        <v>-1.6599999999999966</v>
      </c>
    </row>
    <row r="100" spans="1:3" x14ac:dyDescent="0.2">
      <c r="A100" s="15">
        <v>37196</v>
      </c>
      <c r="B100" s="14">
        <v>50.81</v>
      </c>
      <c r="C100" s="14">
        <f>Table13[[#This Row],[PMI]]-B99</f>
        <v>4.7199999999999989</v>
      </c>
    </row>
    <row r="101" spans="1:3" x14ac:dyDescent="0.2">
      <c r="A101" s="15">
        <v>37226</v>
      </c>
      <c r="B101" s="14">
        <v>46.1</v>
      </c>
      <c r="C101" s="14">
        <f>Table13[[#This Row],[PMI]]-B100</f>
        <v>-4.7100000000000009</v>
      </c>
    </row>
    <row r="102" spans="1:3" x14ac:dyDescent="0.2">
      <c r="A102" s="15">
        <v>37257</v>
      </c>
      <c r="B102" s="14">
        <v>52.42</v>
      </c>
      <c r="C102" s="14">
        <f>Table13[[#This Row],[PMI]]-B101</f>
        <v>6.32</v>
      </c>
    </row>
    <row r="103" spans="1:3" x14ac:dyDescent="0.2">
      <c r="A103" s="15">
        <v>37288</v>
      </c>
      <c r="B103" s="14">
        <v>53.28</v>
      </c>
      <c r="C103" s="14">
        <f>Table13[[#This Row],[PMI]]-B102</f>
        <v>0.85999999999999943</v>
      </c>
    </row>
    <row r="104" spans="1:3" x14ac:dyDescent="0.2">
      <c r="A104" s="15">
        <v>37316</v>
      </c>
      <c r="B104" s="14">
        <v>53.02</v>
      </c>
      <c r="C104" s="14">
        <f>Table13[[#This Row],[PMI]]-B103</f>
        <v>-0.25999999999999801</v>
      </c>
    </row>
    <row r="105" spans="1:3" x14ac:dyDescent="0.2">
      <c r="A105" s="15">
        <v>37347</v>
      </c>
      <c r="B105" s="14">
        <v>55.71</v>
      </c>
      <c r="C105" s="14">
        <f>Table13[[#This Row],[PMI]]-B104</f>
        <v>2.6899999999999977</v>
      </c>
    </row>
    <row r="106" spans="1:3" x14ac:dyDescent="0.2">
      <c r="A106" s="15">
        <v>37377</v>
      </c>
      <c r="B106" s="14">
        <v>52.26</v>
      </c>
      <c r="C106" s="14">
        <f>Table13[[#This Row],[PMI]]-B105</f>
        <v>-3.4500000000000028</v>
      </c>
    </row>
    <row r="107" spans="1:3" x14ac:dyDescent="0.2">
      <c r="A107" s="15">
        <v>37408</v>
      </c>
      <c r="B107" s="14">
        <v>53.98</v>
      </c>
      <c r="C107" s="14">
        <f>Table13[[#This Row],[PMI]]-B106</f>
        <v>1.7199999999999989</v>
      </c>
    </row>
    <row r="108" spans="1:3" x14ac:dyDescent="0.2">
      <c r="A108" s="15">
        <v>37438</v>
      </c>
      <c r="B108" s="14">
        <v>54.33</v>
      </c>
      <c r="C108" s="14">
        <f>Table13[[#This Row],[PMI]]-B107</f>
        <v>0.35000000000000142</v>
      </c>
    </row>
    <row r="109" spans="1:3" x14ac:dyDescent="0.2">
      <c r="A109" s="15">
        <v>37469</v>
      </c>
      <c r="B109" s="14">
        <v>53.11</v>
      </c>
      <c r="C109" s="14">
        <f>Table13[[#This Row],[PMI]]-B108</f>
        <v>-1.2199999999999989</v>
      </c>
    </row>
    <row r="110" spans="1:3" x14ac:dyDescent="0.2">
      <c r="A110" s="15">
        <v>37500</v>
      </c>
      <c r="B110" s="14">
        <v>52.08</v>
      </c>
      <c r="C110" s="14">
        <f>Table13[[#This Row],[PMI]]-B109</f>
        <v>-1.0300000000000011</v>
      </c>
    </row>
    <row r="111" spans="1:3" x14ac:dyDescent="0.2">
      <c r="A111" s="15">
        <v>37530</v>
      </c>
      <c r="B111" s="14">
        <v>47.57</v>
      </c>
      <c r="C111" s="14">
        <f>Table13[[#This Row],[PMI]]-B110</f>
        <v>-4.509999999999998</v>
      </c>
    </row>
    <row r="112" spans="1:3" x14ac:dyDescent="0.2">
      <c r="A112" s="19">
        <v>37561</v>
      </c>
      <c r="B112" s="20">
        <v>47.96</v>
      </c>
      <c r="C112" s="20">
        <f>Table13[[#This Row],[PMI]]-B111</f>
        <v>0.39000000000000057</v>
      </c>
    </row>
    <row r="113" spans="1:3" x14ac:dyDescent="0.2">
      <c r="A113" s="15">
        <v>37591</v>
      </c>
      <c r="B113" s="14">
        <v>48.71</v>
      </c>
      <c r="C113" s="30">
        <f>Table13[[#This Row],[PMI]]-B112</f>
        <v>0.75</v>
      </c>
    </row>
    <row r="114" spans="1:3" x14ac:dyDescent="0.2">
      <c r="A114" s="15">
        <v>37622</v>
      </c>
      <c r="B114" s="14">
        <v>46.3</v>
      </c>
      <c r="C114" s="30">
        <f>Table13[[#This Row],[PMI]]-B113</f>
        <v>-2.4100000000000037</v>
      </c>
    </row>
    <row r="115" spans="1:3" x14ac:dyDescent="0.2">
      <c r="A115" s="15">
        <v>37653</v>
      </c>
      <c r="B115" s="14">
        <v>46.27</v>
      </c>
      <c r="C115" s="30">
        <f>Table13[[#This Row],[PMI]]-B114</f>
        <v>-2.9999999999994031E-2</v>
      </c>
    </row>
    <row r="116" spans="1:3" x14ac:dyDescent="0.2">
      <c r="A116" s="15">
        <v>37681</v>
      </c>
      <c r="B116" s="14">
        <v>49.92</v>
      </c>
      <c r="C116" s="30">
        <f>Table13[[#This Row],[PMI]]-B115</f>
        <v>3.6499999999999986</v>
      </c>
    </row>
    <row r="117" spans="1:3" x14ac:dyDescent="0.2">
      <c r="A117" s="15">
        <v>37712</v>
      </c>
      <c r="B117" s="14">
        <v>52.91</v>
      </c>
      <c r="C117" s="30">
        <f>Table13[[#This Row],[PMI]]-B116</f>
        <v>2.9899999999999949</v>
      </c>
    </row>
    <row r="118" spans="1:3" x14ac:dyDescent="0.2">
      <c r="A118" s="15">
        <v>37742</v>
      </c>
      <c r="B118" s="14">
        <v>50.11</v>
      </c>
      <c r="C118" s="30">
        <f>Table13[[#This Row],[PMI]]-B117</f>
        <v>-2.7999999999999972</v>
      </c>
    </row>
    <row r="119" spans="1:3" x14ac:dyDescent="0.2">
      <c r="A119" s="15">
        <v>37773</v>
      </c>
      <c r="B119" s="14">
        <v>47.14</v>
      </c>
      <c r="C119" s="30">
        <f>Table13[[#This Row],[PMI]]-B118</f>
        <v>-2.9699999999999989</v>
      </c>
    </row>
    <row r="120" spans="1:3" x14ac:dyDescent="0.2">
      <c r="A120" s="15">
        <v>37803</v>
      </c>
      <c r="B120" s="14">
        <v>49.65</v>
      </c>
      <c r="C120" s="30">
        <f>Table13[[#This Row],[PMI]]-B119</f>
        <v>2.509999999999998</v>
      </c>
    </row>
    <row r="121" spans="1:3" x14ac:dyDescent="0.2">
      <c r="A121" s="15">
        <v>37834</v>
      </c>
      <c r="B121" s="14">
        <v>49.78</v>
      </c>
      <c r="C121" s="30">
        <f>Table13[[#This Row],[PMI]]-B120</f>
        <v>0.13000000000000256</v>
      </c>
    </row>
    <row r="122" spans="1:3" x14ac:dyDescent="0.2">
      <c r="A122" s="15">
        <v>37865</v>
      </c>
      <c r="B122" s="14">
        <v>59.65</v>
      </c>
      <c r="C122" s="30">
        <f>Table13[[#This Row],[PMI]]-B121</f>
        <v>9.8699999999999974</v>
      </c>
    </row>
    <row r="123" spans="1:3" x14ac:dyDescent="0.2">
      <c r="A123" s="15">
        <v>37895</v>
      </c>
      <c r="B123" s="14">
        <v>54.14</v>
      </c>
      <c r="C123" s="30">
        <f>Table13[[#This Row],[PMI]]-B122</f>
        <v>-5.509999999999998</v>
      </c>
    </row>
    <row r="124" spans="1:3" x14ac:dyDescent="0.2">
      <c r="A124" s="15">
        <v>37926</v>
      </c>
      <c r="B124" s="14">
        <v>57.7</v>
      </c>
      <c r="C124" s="30">
        <f>Table13[[#This Row],[PMI]]-B123</f>
        <v>3.5600000000000023</v>
      </c>
    </row>
    <row r="125" spans="1:3" x14ac:dyDescent="0.2">
      <c r="A125" s="15">
        <v>37956</v>
      </c>
      <c r="B125" s="14">
        <v>60.4</v>
      </c>
      <c r="C125" s="30">
        <f>Table13[[#This Row],[PMI]]-B124</f>
        <v>2.6999999999999957</v>
      </c>
    </row>
    <row r="126" spans="1:3" x14ac:dyDescent="0.2">
      <c r="A126" s="15">
        <v>37987</v>
      </c>
      <c r="B126" s="14">
        <v>46.37</v>
      </c>
      <c r="C126" s="30">
        <f>Table13[[#This Row],[PMI]]-B125</f>
        <v>-14.030000000000001</v>
      </c>
    </row>
    <row r="127" spans="1:3" x14ac:dyDescent="0.2">
      <c r="A127" s="15">
        <v>38018</v>
      </c>
      <c r="B127" s="14">
        <v>56.97</v>
      </c>
      <c r="C127" s="30">
        <f>Table13[[#This Row],[PMI]]-B126</f>
        <v>10.600000000000001</v>
      </c>
    </row>
    <row r="128" spans="1:3" x14ac:dyDescent="0.2">
      <c r="A128" s="15">
        <v>38047</v>
      </c>
      <c r="B128" s="14">
        <v>58.99</v>
      </c>
      <c r="C128" s="30">
        <f>Table13[[#This Row],[PMI]]-B127</f>
        <v>2.0200000000000031</v>
      </c>
    </row>
    <row r="129" spans="1:3" x14ac:dyDescent="0.2">
      <c r="A129" s="15">
        <v>38078</v>
      </c>
      <c r="B129" s="14">
        <v>59.16</v>
      </c>
      <c r="C129" s="30">
        <f>Table13[[#This Row],[PMI]]-B128</f>
        <v>0.1699999999999946</v>
      </c>
    </row>
    <row r="130" spans="1:3" x14ac:dyDescent="0.2">
      <c r="A130" s="15">
        <v>38108</v>
      </c>
      <c r="B130" s="14">
        <v>61.27</v>
      </c>
      <c r="C130" s="30">
        <f>Table13[[#This Row],[PMI]]-B129</f>
        <v>2.1100000000000065</v>
      </c>
    </row>
    <row r="131" spans="1:3" x14ac:dyDescent="0.2">
      <c r="A131" s="15">
        <v>38139</v>
      </c>
      <c r="B131" s="14">
        <v>51.93</v>
      </c>
      <c r="C131" s="30">
        <f>Table13[[#This Row],[PMI]]-B130</f>
        <v>-9.3400000000000034</v>
      </c>
    </row>
    <row r="132" spans="1:3" x14ac:dyDescent="0.2">
      <c r="A132" s="15">
        <v>38169</v>
      </c>
      <c r="B132" s="14">
        <v>56.18</v>
      </c>
      <c r="C132" s="30">
        <f>Table13[[#This Row],[PMI]]-B131</f>
        <v>4.25</v>
      </c>
    </row>
    <row r="133" spans="1:3" x14ac:dyDescent="0.2">
      <c r="A133" s="15">
        <v>38200</v>
      </c>
      <c r="B133" s="14">
        <v>62.38</v>
      </c>
      <c r="C133" s="30">
        <f>Table13[[#This Row],[PMI]]-B132</f>
        <v>6.2000000000000028</v>
      </c>
    </row>
    <row r="134" spans="1:3" x14ac:dyDescent="0.2">
      <c r="A134" s="15">
        <v>38231</v>
      </c>
      <c r="B134" s="14">
        <v>57.36</v>
      </c>
      <c r="C134" s="30">
        <f>Table13[[#This Row],[PMI]]-B133</f>
        <v>-5.0200000000000031</v>
      </c>
    </row>
    <row r="135" spans="1:3" x14ac:dyDescent="0.2">
      <c r="A135" s="15">
        <v>38261</v>
      </c>
      <c r="B135" s="14">
        <v>56.87</v>
      </c>
      <c r="C135" s="30">
        <f>Table13[[#This Row],[PMI]]-B134</f>
        <v>-0.49000000000000199</v>
      </c>
    </row>
    <row r="136" spans="1:3" x14ac:dyDescent="0.2">
      <c r="A136" s="15">
        <v>38292</v>
      </c>
      <c r="B136" s="14">
        <v>54.39</v>
      </c>
      <c r="C136" s="30">
        <f>Table13[[#This Row],[PMI]]-B135</f>
        <v>-2.4799999999999969</v>
      </c>
    </row>
    <row r="137" spans="1:3" x14ac:dyDescent="0.2">
      <c r="A137" s="15">
        <v>38322</v>
      </c>
      <c r="B137" s="14">
        <v>57.58</v>
      </c>
      <c r="C137" s="30">
        <f>Table13[[#This Row],[PMI]]-B136</f>
        <v>3.1899999999999977</v>
      </c>
    </row>
    <row r="138" spans="1:3" x14ac:dyDescent="0.2">
      <c r="A138" s="15">
        <v>38353</v>
      </c>
      <c r="B138" s="14">
        <v>59.37</v>
      </c>
      <c r="C138" s="30">
        <f>Table13[[#This Row],[PMI]]-B137</f>
        <v>1.7899999999999991</v>
      </c>
    </row>
    <row r="139" spans="1:3" x14ac:dyDescent="0.2">
      <c r="A139" s="15">
        <v>38384</v>
      </c>
      <c r="B139" s="14">
        <v>55.3</v>
      </c>
      <c r="C139" s="30">
        <f>Table13[[#This Row],[PMI]]-B138</f>
        <v>-4.07</v>
      </c>
    </row>
    <row r="140" spans="1:3" x14ac:dyDescent="0.2">
      <c r="A140" s="15">
        <v>38412</v>
      </c>
      <c r="B140" s="14">
        <v>56.66</v>
      </c>
      <c r="C140" s="30">
        <f>Table13[[#This Row],[PMI]]-B139</f>
        <v>1.3599999999999994</v>
      </c>
    </row>
    <row r="141" spans="1:3" x14ac:dyDescent="0.2">
      <c r="A141" s="15">
        <v>38443</v>
      </c>
      <c r="B141" s="14">
        <v>52.88</v>
      </c>
      <c r="C141" s="30">
        <f>Table13[[#This Row],[PMI]]-B140</f>
        <v>-3.779999999999994</v>
      </c>
    </row>
    <row r="142" spans="1:3" x14ac:dyDescent="0.2">
      <c r="A142" s="15">
        <v>38473</v>
      </c>
      <c r="B142" s="14">
        <v>53.51</v>
      </c>
      <c r="C142" s="30">
        <f>Table13[[#This Row],[PMI]]-B141</f>
        <v>0.62999999999999545</v>
      </c>
    </row>
    <row r="143" spans="1:3" x14ac:dyDescent="0.2">
      <c r="A143" s="15">
        <v>38504</v>
      </c>
      <c r="B143" s="14">
        <v>58.58</v>
      </c>
      <c r="C143" s="30">
        <f>Table13[[#This Row],[PMI]]-B142</f>
        <v>5.07</v>
      </c>
    </row>
    <row r="144" spans="1:3" x14ac:dyDescent="0.2">
      <c r="A144" s="15">
        <v>38534</v>
      </c>
      <c r="B144" s="14">
        <v>56.43</v>
      </c>
      <c r="C144" s="30">
        <f>Table13[[#This Row],[PMI]]-B143</f>
        <v>-2.1499999999999986</v>
      </c>
    </row>
    <row r="145" spans="1:3" x14ac:dyDescent="0.2">
      <c r="A145" s="15">
        <v>38565</v>
      </c>
      <c r="B145" s="14">
        <v>56.34</v>
      </c>
      <c r="C145" s="30">
        <f>Table13[[#This Row],[PMI]]-B144</f>
        <v>-8.9999999999996305E-2</v>
      </c>
    </row>
    <row r="146" spans="1:3" x14ac:dyDescent="0.2">
      <c r="A146" s="15">
        <v>38596</v>
      </c>
      <c r="B146" s="14">
        <v>61.16</v>
      </c>
      <c r="C146" s="30">
        <f>Table13[[#This Row],[PMI]]-B145</f>
        <v>4.8199999999999932</v>
      </c>
    </row>
    <row r="147" spans="1:3" x14ac:dyDescent="0.2">
      <c r="A147" s="15">
        <v>38626</v>
      </c>
      <c r="B147" s="14">
        <v>68.930000000000007</v>
      </c>
      <c r="C147" s="30">
        <f>Table13[[#This Row],[PMI]]-B146</f>
        <v>7.7700000000000102</v>
      </c>
    </row>
    <row r="148" spans="1:3" x14ac:dyDescent="0.2">
      <c r="A148" s="15">
        <v>38657</v>
      </c>
      <c r="B148" s="14">
        <v>57.53</v>
      </c>
      <c r="C148" s="30">
        <f>Table13[[#This Row],[PMI]]-B147</f>
        <v>-11.400000000000006</v>
      </c>
    </row>
    <row r="149" spans="1:3" x14ac:dyDescent="0.2">
      <c r="A149" s="15">
        <v>38687</v>
      </c>
      <c r="B149" s="14">
        <v>59.8</v>
      </c>
      <c r="C149" s="30">
        <f>Table13[[#This Row],[PMI]]-B148</f>
        <v>2.269999999999996</v>
      </c>
    </row>
    <row r="150" spans="1:3" x14ac:dyDescent="0.2">
      <c r="A150" s="15">
        <v>38718</v>
      </c>
      <c r="B150" s="14">
        <v>58.97</v>
      </c>
      <c r="C150" s="30">
        <f>Table13[[#This Row],[PMI]]-B149</f>
        <v>-0.82999999999999829</v>
      </c>
    </row>
    <row r="151" spans="1:3" x14ac:dyDescent="0.2">
      <c r="A151" s="15">
        <v>38749</v>
      </c>
      <c r="B151" s="14">
        <v>60.32</v>
      </c>
      <c r="C151" s="30">
        <f>Table13[[#This Row],[PMI]]-B150</f>
        <v>1.3500000000000014</v>
      </c>
    </row>
    <row r="152" spans="1:3" x14ac:dyDescent="0.2">
      <c r="A152" s="15">
        <v>38777</v>
      </c>
      <c r="B152" s="14">
        <v>52.93</v>
      </c>
      <c r="C152" s="30">
        <f>Table13[[#This Row],[PMI]]-B151</f>
        <v>-7.3900000000000006</v>
      </c>
    </row>
    <row r="153" spans="1:3" x14ac:dyDescent="0.2">
      <c r="A153" s="15">
        <v>38808</v>
      </c>
      <c r="B153" s="14">
        <v>55.97</v>
      </c>
      <c r="C153" s="30">
        <f>Table13[[#This Row],[PMI]]-B152</f>
        <v>3.0399999999999991</v>
      </c>
    </row>
    <row r="154" spans="1:3" x14ac:dyDescent="0.2">
      <c r="A154" s="15">
        <v>38838</v>
      </c>
      <c r="B154" s="14">
        <v>56.87</v>
      </c>
      <c r="C154" s="30">
        <f>Table13[[#This Row],[PMI]]-B153</f>
        <v>0.89999999999999858</v>
      </c>
    </row>
    <row r="155" spans="1:3" x14ac:dyDescent="0.2">
      <c r="A155" s="15">
        <v>38869</v>
      </c>
      <c r="B155" s="14">
        <v>56.69</v>
      </c>
      <c r="C155" s="30">
        <f>Table13[[#This Row],[PMI]]-B154</f>
        <v>-0.17999999999999972</v>
      </c>
    </row>
    <row r="156" spans="1:3" x14ac:dyDescent="0.2">
      <c r="A156" s="15">
        <v>38899</v>
      </c>
      <c r="B156" s="14">
        <v>58.32</v>
      </c>
      <c r="C156" s="30">
        <f>Table13[[#This Row],[PMI]]-B155</f>
        <v>1.6300000000000026</v>
      </c>
    </row>
    <row r="157" spans="1:3" x14ac:dyDescent="0.2">
      <c r="A157" s="15">
        <v>38930</v>
      </c>
      <c r="B157" s="14">
        <v>63.49</v>
      </c>
      <c r="C157" s="30">
        <f>Table13[[#This Row],[PMI]]-B156</f>
        <v>5.1700000000000017</v>
      </c>
    </row>
    <row r="158" spans="1:3" x14ac:dyDescent="0.2">
      <c r="A158" s="15">
        <v>38961</v>
      </c>
      <c r="B158" s="14">
        <v>62.87</v>
      </c>
      <c r="C158" s="30">
        <f>Table13[[#This Row],[PMI]]-B157</f>
        <v>-0.62000000000000455</v>
      </c>
    </row>
    <row r="159" spans="1:3" x14ac:dyDescent="0.2">
      <c r="A159" s="15">
        <v>38991</v>
      </c>
      <c r="B159" s="14">
        <v>62.65</v>
      </c>
      <c r="C159" s="30">
        <f>Table13[[#This Row],[PMI]]-B158</f>
        <v>-0.21999999999999886</v>
      </c>
    </row>
    <row r="160" spans="1:3" x14ac:dyDescent="0.2">
      <c r="A160" s="15">
        <v>39022</v>
      </c>
      <c r="B160" s="14">
        <v>66.77</v>
      </c>
      <c r="C160" s="30">
        <f>Table13[[#This Row],[PMI]]-B159</f>
        <v>4.1199999999999974</v>
      </c>
    </row>
    <row r="161" spans="1:3" x14ac:dyDescent="0.2">
      <c r="A161" s="15">
        <v>39052</v>
      </c>
      <c r="B161" s="14">
        <v>62.5</v>
      </c>
      <c r="C161" s="30">
        <f>Table13[[#This Row],[PMI]]-B160</f>
        <v>-4.269999999999996</v>
      </c>
    </row>
    <row r="162" spans="1:3" x14ac:dyDescent="0.2">
      <c r="A162" s="15">
        <v>39083</v>
      </c>
      <c r="B162" s="14">
        <v>55.72</v>
      </c>
      <c r="C162" s="30">
        <f>Table13[[#This Row],[PMI]]-B161</f>
        <v>-6.7800000000000011</v>
      </c>
    </row>
    <row r="163" spans="1:3" x14ac:dyDescent="0.2">
      <c r="A163" s="15">
        <v>39114</v>
      </c>
      <c r="B163" s="14">
        <v>60.51</v>
      </c>
      <c r="C163" s="30">
        <f>Table13[[#This Row],[PMI]]-B162</f>
        <v>4.7899999999999991</v>
      </c>
    </row>
    <row r="164" spans="1:3" x14ac:dyDescent="0.2">
      <c r="A164" s="15">
        <v>39142</v>
      </c>
      <c r="B164" s="14">
        <v>65.52</v>
      </c>
      <c r="C164" s="30">
        <f>Table13[[#This Row],[PMI]]-B163</f>
        <v>5.009999999999998</v>
      </c>
    </row>
    <row r="165" spans="1:3" x14ac:dyDescent="0.2">
      <c r="A165" s="15">
        <v>39173</v>
      </c>
      <c r="B165" s="14">
        <v>63.43</v>
      </c>
      <c r="C165" s="30">
        <f>Table13[[#This Row],[PMI]]-B164</f>
        <v>-2.0899999999999963</v>
      </c>
    </row>
    <row r="166" spans="1:3" x14ac:dyDescent="0.2">
      <c r="A166" s="15">
        <v>39203</v>
      </c>
      <c r="B166" s="14">
        <v>62.81</v>
      </c>
      <c r="C166" s="30">
        <f>Table13[[#This Row],[PMI]]-B165</f>
        <v>-0.61999999999999744</v>
      </c>
    </row>
    <row r="167" spans="1:3" x14ac:dyDescent="0.2">
      <c r="A167" s="15">
        <v>39234</v>
      </c>
      <c r="B167" s="14">
        <v>59.06</v>
      </c>
      <c r="C167" s="30">
        <f>Table13[[#This Row],[PMI]]-B166</f>
        <v>-3.75</v>
      </c>
    </row>
    <row r="168" spans="1:3" x14ac:dyDescent="0.2">
      <c r="A168" s="15">
        <v>39264</v>
      </c>
      <c r="B168" s="14">
        <v>63.94</v>
      </c>
      <c r="C168" s="30">
        <f>Table13[[#This Row],[PMI]]-B167</f>
        <v>4.8799999999999955</v>
      </c>
    </row>
    <row r="169" spans="1:3" x14ac:dyDescent="0.2">
      <c r="A169" s="15">
        <v>39295</v>
      </c>
      <c r="B169" s="14">
        <v>55.08</v>
      </c>
      <c r="C169" s="30">
        <f>Table13[[#This Row],[PMI]]-B168</f>
        <v>-8.86</v>
      </c>
    </row>
    <row r="170" spans="1:3" x14ac:dyDescent="0.2">
      <c r="A170" s="15">
        <v>39326</v>
      </c>
      <c r="B170" s="14">
        <v>57.16</v>
      </c>
      <c r="C170" s="30">
        <f>Table13[[#This Row],[PMI]]-B169</f>
        <v>2.0799999999999983</v>
      </c>
    </row>
    <row r="171" spans="1:3" x14ac:dyDescent="0.2">
      <c r="A171" s="15">
        <v>39356</v>
      </c>
      <c r="B171" s="14">
        <v>59.94</v>
      </c>
      <c r="C171" s="30">
        <f>Table13[[#This Row],[PMI]]-B170</f>
        <v>2.7800000000000011</v>
      </c>
    </row>
    <row r="172" spans="1:3" x14ac:dyDescent="0.2">
      <c r="A172" s="15">
        <v>39387</v>
      </c>
      <c r="B172" s="14">
        <v>57.03</v>
      </c>
      <c r="C172" s="30">
        <f>Table13[[#This Row],[PMI]]-B171</f>
        <v>-2.9099999999999966</v>
      </c>
    </row>
    <row r="173" spans="1:3" x14ac:dyDescent="0.2">
      <c r="A173" s="15">
        <v>39417</v>
      </c>
      <c r="B173" s="14">
        <v>55.62</v>
      </c>
      <c r="C173" s="30">
        <f>Table13[[#This Row],[PMI]]-B172</f>
        <v>-1.4100000000000037</v>
      </c>
    </row>
    <row r="174" spans="1:3" x14ac:dyDescent="0.2">
      <c r="A174" s="15">
        <v>39448</v>
      </c>
      <c r="B174" s="14">
        <v>56.34</v>
      </c>
      <c r="C174" s="30">
        <f>Table13[[#This Row],[PMI]]-B173</f>
        <v>0.72000000000000597</v>
      </c>
    </row>
    <row r="175" spans="1:3" x14ac:dyDescent="0.2">
      <c r="A175" s="15">
        <v>39479</v>
      </c>
      <c r="B175" s="14">
        <v>64.819999999999993</v>
      </c>
      <c r="C175" s="30">
        <f>Table13[[#This Row],[PMI]]-B174</f>
        <v>8.4799999999999898</v>
      </c>
    </row>
    <row r="176" spans="1:3" x14ac:dyDescent="0.2">
      <c r="A176" s="15">
        <v>39508</v>
      </c>
      <c r="B176" s="14">
        <v>57.03</v>
      </c>
      <c r="C176" s="30">
        <f>Table13[[#This Row],[PMI]]-B175</f>
        <v>-7.789999999999992</v>
      </c>
    </row>
    <row r="177" spans="1:3" x14ac:dyDescent="0.2">
      <c r="A177" s="15">
        <v>39539</v>
      </c>
      <c r="B177" s="14">
        <v>44.91</v>
      </c>
      <c r="C177" s="30">
        <f>Table13[[#This Row],[PMI]]-B176</f>
        <v>-12.120000000000005</v>
      </c>
    </row>
    <row r="178" spans="1:3" x14ac:dyDescent="0.2">
      <c r="A178" s="15">
        <v>39569</v>
      </c>
      <c r="B178" s="14">
        <v>66.78</v>
      </c>
      <c r="C178" s="30">
        <f>Table13[[#This Row],[PMI]]-B177</f>
        <v>21.870000000000005</v>
      </c>
    </row>
    <row r="179" spans="1:3" x14ac:dyDescent="0.2">
      <c r="A179" s="15">
        <v>39600</v>
      </c>
      <c r="B179" s="14">
        <v>62.6</v>
      </c>
      <c r="C179" s="30">
        <f>Table13[[#This Row],[PMI]]-B178</f>
        <v>-4.18</v>
      </c>
    </row>
    <row r="180" spans="1:3" x14ac:dyDescent="0.2">
      <c r="A180" s="15">
        <v>39630</v>
      </c>
      <c r="B180" s="14">
        <v>38.909999999999997</v>
      </c>
      <c r="C180" s="30">
        <f>Table13[[#This Row],[PMI]]-B179</f>
        <v>-23.690000000000005</v>
      </c>
    </row>
    <row r="181" spans="1:3" x14ac:dyDescent="0.2">
      <c r="A181" s="15">
        <v>39661</v>
      </c>
      <c r="B181" s="14">
        <v>48.73</v>
      </c>
      <c r="C181" s="30">
        <f>Table13[[#This Row],[PMI]]-B180</f>
        <v>9.82</v>
      </c>
    </row>
    <row r="182" spans="1:3" x14ac:dyDescent="0.2">
      <c r="A182" s="15">
        <v>39692</v>
      </c>
      <c r="B182" s="14">
        <v>52.91</v>
      </c>
      <c r="C182" s="30">
        <f>Table13[[#This Row],[PMI]]-B181</f>
        <v>4.18</v>
      </c>
    </row>
    <row r="183" spans="1:3" x14ac:dyDescent="0.2">
      <c r="A183" s="15">
        <v>39722</v>
      </c>
      <c r="B183" s="14">
        <v>40.79</v>
      </c>
      <c r="C183" s="30">
        <f>Table13[[#This Row],[PMI]]-B182</f>
        <v>-12.119999999999997</v>
      </c>
    </row>
    <row r="184" spans="1:3" x14ac:dyDescent="0.2">
      <c r="A184" s="15">
        <v>39753</v>
      </c>
      <c r="B184" s="14">
        <v>45.47</v>
      </c>
      <c r="C184" s="30">
        <f>Table13[[#This Row],[PMI]]-B183</f>
        <v>4.68</v>
      </c>
    </row>
    <row r="185" spans="1:3" x14ac:dyDescent="0.2">
      <c r="A185" s="15">
        <v>39783</v>
      </c>
      <c r="B185" s="14">
        <v>40.299999999999997</v>
      </c>
      <c r="C185" s="30">
        <f>Table13[[#This Row],[PMI]]-B184</f>
        <v>-5.1700000000000017</v>
      </c>
    </row>
    <row r="186" spans="1:3" x14ac:dyDescent="0.2">
      <c r="A186" s="15">
        <v>39814</v>
      </c>
      <c r="B186" s="14">
        <v>25.32</v>
      </c>
      <c r="C186" s="30">
        <f>Table13[[#This Row],[PMI]]-B185</f>
        <v>-14.979999999999997</v>
      </c>
    </row>
    <row r="187" spans="1:3" x14ac:dyDescent="0.2">
      <c r="A187" s="15">
        <v>39845</v>
      </c>
      <c r="B187" s="14">
        <v>25.02</v>
      </c>
      <c r="C187" s="30">
        <f>Table13[[#This Row],[PMI]]-B186</f>
        <v>-0.30000000000000071</v>
      </c>
    </row>
    <row r="188" spans="1:3" x14ac:dyDescent="0.2">
      <c r="A188" s="15">
        <v>39873</v>
      </c>
      <c r="B188" s="14">
        <v>30.56</v>
      </c>
      <c r="C188" s="30">
        <f>Table13[[#This Row],[PMI]]-B187</f>
        <v>5.5399999999999991</v>
      </c>
    </row>
    <row r="189" spans="1:3" x14ac:dyDescent="0.2">
      <c r="A189" s="15">
        <v>39904</v>
      </c>
      <c r="B189" s="14">
        <v>34.450000000000003</v>
      </c>
      <c r="C189" s="30">
        <f>Table13[[#This Row],[PMI]]-B188</f>
        <v>3.8900000000000041</v>
      </c>
    </row>
    <row r="190" spans="1:3" x14ac:dyDescent="0.2">
      <c r="A190" s="15">
        <v>39934</v>
      </c>
      <c r="B190" s="14">
        <v>27.75</v>
      </c>
      <c r="C190" s="30">
        <f>Table13[[#This Row],[PMI]]-B189</f>
        <v>-6.7000000000000028</v>
      </c>
    </row>
    <row r="191" spans="1:3" x14ac:dyDescent="0.2">
      <c r="A191" s="15">
        <v>39965</v>
      </c>
      <c r="B191" s="14">
        <v>42</v>
      </c>
      <c r="C191" s="30">
        <f>Table13[[#This Row],[PMI]]-B190</f>
        <v>14.25</v>
      </c>
    </row>
    <row r="192" spans="1:3" x14ac:dyDescent="0.2">
      <c r="A192" s="15">
        <v>39995</v>
      </c>
      <c r="B192" s="14">
        <v>47.7</v>
      </c>
      <c r="C192" s="30">
        <f>Table13[[#This Row],[PMI]]-B191</f>
        <v>5.7000000000000028</v>
      </c>
    </row>
    <row r="193" spans="1:3" x14ac:dyDescent="0.2">
      <c r="A193" s="15">
        <v>40026</v>
      </c>
      <c r="B193" s="14">
        <v>42.59</v>
      </c>
      <c r="C193" s="30">
        <f>Table13[[#This Row],[PMI]]-B192</f>
        <v>-5.1099999999999994</v>
      </c>
    </row>
    <row r="194" spans="1:3" x14ac:dyDescent="0.2">
      <c r="A194" s="15">
        <v>40057</v>
      </c>
      <c r="B194" s="14">
        <v>42.73</v>
      </c>
      <c r="C194" s="30">
        <f>Table13[[#This Row],[PMI]]-B193</f>
        <v>0.13999999999999346</v>
      </c>
    </row>
    <row r="195" spans="1:3" x14ac:dyDescent="0.2">
      <c r="A195" s="15">
        <v>40087</v>
      </c>
      <c r="B195" s="14">
        <v>49.89</v>
      </c>
      <c r="C195" s="30">
        <f>Table13[[#This Row],[PMI]]-B194</f>
        <v>7.1600000000000037</v>
      </c>
    </row>
    <row r="196" spans="1:3" x14ac:dyDescent="0.2">
      <c r="A196" s="15">
        <v>40118</v>
      </c>
      <c r="B196" s="14">
        <v>50.67</v>
      </c>
      <c r="C196" s="30">
        <f>Table13[[#This Row],[PMI]]-B195</f>
        <v>0.78000000000000114</v>
      </c>
    </row>
    <row r="197" spans="1:3" x14ac:dyDescent="0.2">
      <c r="A197" s="15">
        <v>40148</v>
      </c>
      <c r="B197" s="14">
        <v>49.48</v>
      </c>
      <c r="C197" s="30">
        <f>Table13[[#This Row],[PMI]]-B196</f>
        <v>-1.1900000000000048</v>
      </c>
    </row>
    <row r="198" spans="1:3" x14ac:dyDescent="0.2">
      <c r="A198" s="15">
        <v>40179</v>
      </c>
      <c r="B198" s="14">
        <v>50.96</v>
      </c>
      <c r="C198" s="30">
        <f>Table13[[#This Row],[PMI]]-B197</f>
        <v>1.480000000000004</v>
      </c>
    </row>
    <row r="199" spans="1:3" x14ac:dyDescent="0.2">
      <c r="A199" s="15">
        <v>40210</v>
      </c>
      <c r="B199" s="14">
        <v>48.93</v>
      </c>
      <c r="C199" s="30">
        <f>Table13[[#This Row],[PMI]]-B198</f>
        <v>-2.0300000000000011</v>
      </c>
    </row>
    <row r="200" spans="1:3" x14ac:dyDescent="0.2">
      <c r="A200" s="15">
        <v>40238</v>
      </c>
      <c r="B200" s="14">
        <v>51.66</v>
      </c>
      <c r="C200" s="30">
        <f>Table13[[#This Row],[PMI]]-B199</f>
        <v>2.7299999999999969</v>
      </c>
    </row>
    <row r="201" spans="1:3" x14ac:dyDescent="0.2">
      <c r="A201" s="15">
        <v>40269</v>
      </c>
      <c r="B201" s="14">
        <v>49.02</v>
      </c>
      <c r="C201" s="30">
        <f>Table13[[#This Row],[PMI]]-B200</f>
        <v>-2.6399999999999935</v>
      </c>
    </row>
    <row r="202" spans="1:3" x14ac:dyDescent="0.2">
      <c r="A202" s="15">
        <v>40299</v>
      </c>
      <c r="B202" s="14">
        <v>51.33</v>
      </c>
      <c r="C202" s="30">
        <f>Table13[[#This Row],[PMI]]-B201</f>
        <v>2.3099999999999952</v>
      </c>
    </row>
    <row r="203" spans="1:3" x14ac:dyDescent="0.2">
      <c r="A203" s="15">
        <v>40330</v>
      </c>
      <c r="B203" s="14">
        <v>50.2</v>
      </c>
      <c r="C203" s="30">
        <f>Table13[[#This Row],[PMI]]-B202</f>
        <v>-1.1299999999999955</v>
      </c>
    </row>
    <row r="204" spans="1:3" x14ac:dyDescent="0.2">
      <c r="A204" s="15">
        <v>40360</v>
      </c>
      <c r="B204" s="14">
        <v>54.3</v>
      </c>
      <c r="C204" s="30">
        <f>Table13[[#This Row],[PMI]]-B203</f>
        <v>4.0999999999999943</v>
      </c>
    </row>
    <row r="205" spans="1:3" x14ac:dyDescent="0.2">
      <c r="A205" s="15">
        <v>40391</v>
      </c>
      <c r="B205" s="14">
        <v>54.73</v>
      </c>
      <c r="C205" s="30">
        <f>Table13[[#This Row],[PMI]]-B204</f>
        <v>0.42999999999999972</v>
      </c>
    </row>
    <row r="206" spans="1:3" x14ac:dyDescent="0.2">
      <c r="A206" s="15">
        <v>40422</v>
      </c>
      <c r="B206" s="14">
        <v>56.27</v>
      </c>
      <c r="C206" s="30">
        <f>Table13[[#This Row],[PMI]]-B205</f>
        <v>1.5400000000000063</v>
      </c>
    </row>
    <row r="207" spans="1:3" x14ac:dyDescent="0.2">
      <c r="A207" s="15">
        <v>40452</v>
      </c>
      <c r="B207" s="14">
        <v>56.89</v>
      </c>
      <c r="C207" s="30">
        <f>Table13[[#This Row],[PMI]]-B206</f>
        <v>0.61999999999999744</v>
      </c>
    </row>
    <row r="208" spans="1:3" x14ac:dyDescent="0.2">
      <c r="A208" s="15">
        <v>40483</v>
      </c>
      <c r="B208" s="14">
        <v>55.8</v>
      </c>
      <c r="C208" s="30">
        <f>Table13[[#This Row],[PMI]]-B207</f>
        <v>-1.0900000000000034</v>
      </c>
    </row>
    <row r="209" spans="1:3" x14ac:dyDescent="0.2">
      <c r="A209" s="15">
        <v>40513</v>
      </c>
      <c r="B209" s="14">
        <v>62.4</v>
      </c>
      <c r="C209" s="30">
        <f>Table13[[#This Row],[PMI]]-B208</f>
        <v>6.6000000000000014</v>
      </c>
    </row>
    <row r="210" spans="1:3" x14ac:dyDescent="0.2">
      <c r="A210" s="15">
        <v>40544</v>
      </c>
      <c r="B210" s="14">
        <v>57.21</v>
      </c>
      <c r="C210" s="30">
        <f>Table13[[#This Row],[PMI]]-B209</f>
        <v>-5.1899999999999977</v>
      </c>
    </row>
    <row r="211" spans="1:3" x14ac:dyDescent="0.2">
      <c r="A211" s="15">
        <v>40575</v>
      </c>
      <c r="B211" s="14">
        <v>60.78</v>
      </c>
      <c r="C211" s="30">
        <f>Table13[[#This Row],[PMI]]-B210</f>
        <v>3.5700000000000003</v>
      </c>
    </row>
    <row r="212" spans="1:3" x14ac:dyDescent="0.2">
      <c r="A212" s="15">
        <v>40603</v>
      </c>
      <c r="B212" s="14">
        <v>62.07</v>
      </c>
      <c r="C212" s="30">
        <f>Table13[[#This Row],[PMI]]-B211</f>
        <v>1.2899999999999991</v>
      </c>
    </row>
    <row r="213" spans="1:3" x14ac:dyDescent="0.2">
      <c r="A213" s="15">
        <v>40634</v>
      </c>
      <c r="B213" s="14">
        <v>63.05</v>
      </c>
      <c r="C213" s="30">
        <f>Table13[[#This Row],[PMI]]-B212</f>
        <v>0.97999999999999687</v>
      </c>
    </row>
    <row r="214" spans="1:3" x14ac:dyDescent="0.2">
      <c r="A214" s="15">
        <v>40664</v>
      </c>
      <c r="B214" s="14">
        <v>58.59</v>
      </c>
      <c r="C214" s="30">
        <f>Table13[[#This Row],[PMI]]-B213</f>
        <v>-4.4599999999999937</v>
      </c>
    </row>
    <row r="215" spans="1:3" x14ac:dyDescent="0.2">
      <c r="A215" s="15">
        <v>40695</v>
      </c>
      <c r="B215" s="14">
        <v>58.05</v>
      </c>
      <c r="C215" s="30">
        <f>Table13[[#This Row],[PMI]]-B214</f>
        <v>-0.54000000000000625</v>
      </c>
    </row>
    <row r="216" spans="1:3" x14ac:dyDescent="0.2">
      <c r="A216" s="15">
        <v>40725</v>
      </c>
      <c r="B216" s="14">
        <v>58.37</v>
      </c>
      <c r="C216" s="30">
        <f>Table13[[#This Row],[PMI]]-B215</f>
        <v>0.32000000000000028</v>
      </c>
    </row>
    <row r="217" spans="1:3" x14ac:dyDescent="0.2">
      <c r="A217" s="15">
        <v>40756</v>
      </c>
      <c r="B217" s="14">
        <v>55.07</v>
      </c>
      <c r="C217" s="30">
        <f>Table13[[#This Row],[PMI]]-B216</f>
        <v>-3.2999999999999972</v>
      </c>
    </row>
    <row r="218" spans="1:3" x14ac:dyDescent="0.2">
      <c r="A218" s="15">
        <v>40787</v>
      </c>
      <c r="B218" s="14">
        <v>64.400000000000006</v>
      </c>
      <c r="C218" s="30">
        <f>Table13[[#This Row],[PMI]]-B217</f>
        <v>9.3300000000000054</v>
      </c>
    </row>
    <row r="219" spans="1:3" x14ac:dyDescent="0.2">
      <c r="A219" s="15">
        <v>40817</v>
      </c>
      <c r="B219" s="14">
        <v>43.91</v>
      </c>
      <c r="C219" s="30">
        <f>Table13[[#This Row],[PMI]]-B218</f>
        <v>-20.490000000000009</v>
      </c>
    </row>
    <row r="220" spans="1:3" x14ac:dyDescent="0.2">
      <c r="A220" s="15">
        <v>40848</v>
      </c>
      <c r="B220" s="14">
        <v>47.79</v>
      </c>
      <c r="C220" s="30">
        <f>Table13[[#This Row],[PMI]]-B219</f>
        <v>3.8800000000000026</v>
      </c>
    </row>
    <row r="221" spans="1:3" x14ac:dyDescent="0.2">
      <c r="A221" s="15">
        <v>40878</v>
      </c>
      <c r="B221" s="14">
        <v>58.44</v>
      </c>
      <c r="C221" s="30">
        <f>Table13[[#This Row],[PMI]]-B220</f>
        <v>10.649999999999999</v>
      </c>
    </row>
    <row r="222" spans="1:3" x14ac:dyDescent="0.2">
      <c r="A222" s="15">
        <v>40909</v>
      </c>
      <c r="B222" s="14">
        <v>52.12</v>
      </c>
      <c r="C222" s="30">
        <f>Table13[[#This Row],[PMI]]-B221</f>
        <v>-6.32</v>
      </c>
    </row>
    <row r="223" spans="1:3" x14ac:dyDescent="0.2">
      <c r="A223" s="15">
        <v>40940</v>
      </c>
      <c r="B223" s="14">
        <v>53.88</v>
      </c>
      <c r="C223" s="30">
        <f>Table13[[#This Row],[PMI]]-B222</f>
        <v>1.7600000000000051</v>
      </c>
    </row>
    <row r="224" spans="1:3" x14ac:dyDescent="0.2">
      <c r="A224" s="15">
        <v>40969</v>
      </c>
      <c r="B224" s="14">
        <v>50.34</v>
      </c>
      <c r="C224" s="30">
        <f>Table13[[#This Row],[PMI]]-B223</f>
        <v>-3.5399999999999991</v>
      </c>
    </row>
    <row r="225" spans="1:3" x14ac:dyDescent="0.2">
      <c r="A225" s="15">
        <v>41000</v>
      </c>
      <c r="B225" s="14">
        <v>63.6</v>
      </c>
      <c r="C225" s="30">
        <f>Table13[[#This Row],[PMI]]-B224</f>
        <v>13.259999999999998</v>
      </c>
    </row>
    <row r="226" spans="1:3" x14ac:dyDescent="0.2">
      <c r="A226" s="15">
        <v>41030</v>
      </c>
      <c r="B226" s="14">
        <v>51.42</v>
      </c>
      <c r="C226" s="30">
        <f>Table13[[#This Row],[PMI]]-B225</f>
        <v>-12.18</v>
      </c>
    </row>
    <row r="227" spans="1:3" x14ac:dyDescent="0.2">
      <c r="A227" s="15">
        <v>41061</v>
      </c>
      <c r="B227" s="14">
        <v>52.69</v>
      </c>
      <c r="C227" s="30">
        <f>Table13[[#This Row],[PMI]]-B226</f>
        <v>1.269999999999996</v>
      </c>
    </row>
    <row r="228" spans="1:3" x14ac:dyDescent="0.2">
      <c r="A228" s="15">
        <v>41091</v>
      </c>
      <c r="B228" s="14">
        <v>47.21</v>
      </c>
      <c r="C228" s="30">
        <f>Table13[[#This Row],[PMI]]-B227</f>
        <v>-5.4799999999999969</v>
      </c>
    </row>
    <row r="229" spans="1:3" x14ac:dyDescent="0.2">
      <c r="A229" s="15">
        <v>41122</v>
      </c>
      <c r="B229" s="14">
        <v>51.06</v>
      </c>
      <c r="C229" s="30">
        <f>Table13[[#This Row],[PMI]]-B228</f>
        <v>3.8500000000000014</v>
      </c>
    </row>
    <row r="230" spans="1:3" x14ac:dyDescent="0.2">
      <c r="A230" s="15">
        <v>41153</v>
      </c>
      <c r="B230" s="14">
        <v>52.09</v>
      </c>
      <c r="C230" s="30">
        <f>Table13[[#This Row],[PMI]]-B229</f>
        <v>1.0300000000000011</v>
      </c>
    </row>
    <row r="231" spans="1:3" x14ac:dyDescent="0.2">
      <c r="A231" s="15">
        <v>41183</v>
      </c>
      <c r="B231" s="14">
        <v>57.41</v>
      </c>
      <c r="C231" s="30">
        <f>Table13[[#This Row],[PMI]]-B230</f>
        <v>5.3199999999999932</v>
      </c>
    </row>
    <row r="232" spans="1:3" x14ac:dyDescent="0.2">
      <c r="A232" s="15">
        <v>41214</v>
      </c>
      <c r="B232" s="14">
        <v>56.29</v>
      </c>
      <c r="C232" s="30">
        <f>Table13[[#This Row],[PMI]]-B231</f>
        <v>-1.1199999999999974</v>
      </c>
    </row>
    <row r="233" spans="1:3" x14ac:dyDescent="0.2">
      <c r="A233" s="15">
        <v>41244</v>
      </c>
      <c r="B233" s="14">
        <v>57.62</v>
      </c>
      <c r="C233" s="30">
        <f>Table13[[#This Row],[PMI]]-B232</f>
        <v>1.3299999999999983</v>
      </c>
    </row>
    <row r="234" spans="1:3" x14ac:dyDescent="0.2">
      <c r="A234" s="15">
        <v>41275</v>
      </c>
      <c r="B234" s="14">
        <v>55.27</v>
      </c>
      <c r="C234" s="30">
        <f>Table13[[#This Row],[PMI]]-B233</f>
        <v>-2.3499999999999943</v>
      </c>
    </row>
    <row r="235" spans="1:3" x14ac:dyDescent="0.2">
      <c r="A235" s="15">
        <v>41306</v>
      </c>
      <c r="B235" s="14">
        <v>61.23</v>
      </c>
      <c r="C235" s="30">
        <f>Table13[[#This Row],[PMI]]-B234</f>
        <v>5.9599999999999937</v>
      </c>
    </row>
    <row r="236" spans="1:3" x14ac:dyDescent="0.2">
      <c r="A236" s="15">
        <v>41334</v>
      </c>
      <c r="B236" s="14">
        <v>49.81</v>
      </c>
      <c r="C236" s="30">
        <f>Table13[[#This Row],[PMI]]-B235</f>
        <v>-11.419999999999995</v>
      </c>
    </row>
    <row r="237" spans="1:3" x14ac:dyDescent="0.2">
      <c r="A237" s="15">
        <v>41365</v>
      </c>
      <c r="B237" s="14">
        <v>49.29</v>
      </c>
      <c r="C237" s="30">
        <f>Table13[[#This Row],[PMI]]-B236</f>
        <v>-0.52000000000000313</v>
      </c>
    </row>
    <row r="238" spans="1:3" x14ac:dyDescent="0.2">
      <c r="A238" s="15">
        <v>41395</v>
      </c>
      <c r="B238" s="14">
        <v>54.75</v>
      </c>
      <c r="C238" s="30">
        <f>Table13[[#This Row],[PMI]]-B237</f>
        <v>5.4600000000000009</v>
      </c>
    </row>
    <row r="239" spans="1:3" x14ac:dyDescent="0.2">
      <c r="A239" s="15">
        <v>41426</v>
      </c>
      <c r="B239" s="14">
        <v>57.73</v>
      </c>
      <c r="C239" s="30">
        <f>Table13[[#This Row],[PMI]]-B238</f>
        <v>2.9799999999999969</v>
      </c>
    </row>
    <row r="240" spans="1:3" x14ac:dyDescent="0.2">
      <c r="A240" s="15">
        <v>41456</v>
      </c>
      <c r="B240" s="14">
        <v>59.18</v>
      </c>
      <c r="C240" s="30">
        <f>Table13[[#This Row],[PMI]]-B239</f>
        <v>1.4500000000000028</v>
      </c>
    </row>
    <row r="241" spans="1:3" x14ac:dyDescent="0.2">
      <c r="A241" s="15">
        <v>41487</v>
      </c>
      <c r="B241" s="14">
        <v>60.29</v>
      </c>
      <c r="C241" s="30">
        <f>Table13[[#This Row],[PMI]]-B240</f>
        <v>1.1099999999999994</v>
      </c>
    </row>
    <row r="242" spans="1:3" x14ac:dyDescent="0.2">
      <c r="A242" s="15">
        <v>41518</v>
      </c>
      <c r="B242" s="14">
        <v>55.74</v>
      </c>
      <c r="C242" s="30">
        <f>Table13[[#This Row],[PMI]]-B241</f>
        <v>-4.5499999999999972</v>
      </c>
    </row>
    <row r="243" spans="1:3" x14ac:dyDescent="0.2">
      <c r="A243" s="15">
        <v>41548</v>
      </c>
      <c r="B243" s="14">
        <v>55.71</v>
      </c>
      <c r="C243" s="30">
        <f>Table13[[#This Row],[PMI]]-B242</f>
        <v>-3.0000000000001137E-2</v>
      </c>
    </row>
    <row r="244" spans="1:3" x14ac:dyDescent="0.2">
      <c r="A244" s="15">
        <v>41579</v>
      </c>
      <c r="B244" s="14">
        <v>57.85</v>
      </c>
      <c r="C244" s="30">
        <f>Table13[[#This Row],[PMI]]-B243</f>
        <v>2.1400000000000006</v>
      </c>
    </row>
    <row r="245" spans="1:3" x14ac:dyDescent="0.2">
      <c r="A245" s="15">
        <v>41609</v>
      </c>
      <c r="B245" s="14">
        <v>53.45</v>
      </c>
      <c r="C245" s="30">
        <f>Table13[[#This Row],[PMI]]-B244</f>
        <v>-4.3999999999999986</v>
      </c>
    </row>
    <row r="246" spans="1:3" x14ac:dyDescent="0.2">
      <c r="A246" s="15">
        <v>41640</v>
      </c>
      <c r="B246" s="14">
        <v>55.6</v>
      </c>
      <c r="C246" s="30">
        <f>Table13[[#This Row],[PMI]]-B245</f>
        <v>2.1499999999999986</v>
      </c>
    </row>
    <row r="247" spans="1:3" x14ac:dyDescent="0.2">
      <c r="A247" s="15">
        <v>41671</v>
      </c>
      <c r="B247" s="14">
        <v>56.77</v>
      </c>
      <c r="C247" s="30">
        <f>Table13[[#This Row],[PMI]]-B246</f>
        <v>1.1700000000000017</v>
      </c>
    </row>
    <row r="248" spans="1:3" x14ac:dyDescent="0.2">
      <c r="A248" s="15">
        <v>41699</v>
      </c>
      <c r="B248" s="14">
        <v>60.3</v>
      </c>
      <c r="C248" s="30">
        <f>Table13[[#This Row],[PMI]]-B247</f>
        <v>3.529999999999994</v>
      </c>
    </row>
    <row r="249" spans="1:3" x14ac:dyDescent="0.2">
      <c r="A249" s="15">
        <v>41730</v>
      </c>
      <c r="B249" s="14">
        <v>60.5</v>
      </c>
      <c r="C249" s="30">
        <f>Table13[[#This Row],[PMI]]-B248</f>
        <v>0.20000000000000284</v>
      </c>
    </row>
    <row r="250" spans="1:3" x14ac:dyDescent="0.2">
      <c r="A250" s="15">
        <v>41760</v>
      </c>
      <c r="B250" s="14">
        <v>58.71</v>
      </c>
      <c r="C250" s="30">
        <f>Table13[[#This Row],[PMI]]-B249</f>
        <v>-1.7899999999999991</v>
      </c>
    </row>
    <row r="251" spans="1:3" x14ac:dyDescent="0.2">
      <c r="A251" s="15">
        <v>41791</v>
      </c>
      <c r="B251" s="14">
        <v>51.76</v>
      </c>
      <c r="C251" s="30">
        <f>Table13[[#This Row],[PMI]]-B250</f>
        <v>-6.9500000000000028</v>
      </c>
    </row>
    <row r="252" spans="1:3" x14ac:dyDescent="0.2">
      <c r="A252" s="15">
        <v>41821</v>
      </c>
      <c r="B252" s="14">
        <v>49.75</v>
      </c>
      <c r="C252" s="30">
        <f>Table13[[#This Row],[PMI]]-B251</f>
        <v>-2.009999999999998</v>
      </c>
    </row>
    <row r="253" spans="1:3" x14ac:dyDescent="0.2">
      <c r="A253" s="15">
        <v>41852</v>
      </c>
      <c r="B253" s="14">
        <v>48.13</v>
      </c>
      <c r="C253" s="30">
        <f>Table13[[#This Row],[PMI]]-B252</f>
        <v>-1.6199999999999974</v>
      </c>
    </row>
    <row r="254" spans="1:3" x14ac:dyDescent="0.2">
      <c r="A254" s="15">
        <v>41883</v>
      </c>
      <c r="B254" s="14">
        <v>51.33</v>
      </c>
      <c r="C254" s="30">
        <f>Table13[[#This Row],[PMI]]-B253</f>
        <v>3.1999999999999957</v>
      </c>
    </row>
    <row r="255" spans="1:3" x14ac:dyDescent="0.2">
      <c r="A255" s="15">
        <v>41913</v>
      </c>
      <c r="B255" s="14">
        <v>54.04</v>
      </c>
      <c r="C255" s="30">
        <f>Table13[[#This Row],[PMI]]-B254</f>
        <v>2.7100000000000009</v>
      </c>
    </row>
    <row r="256" spans="1:3" x14ac:dyDescent="0.2">
      <c r="A256" s="15">
        <v>41944</v>
      </c>
      <c r="B256" s="14">
        <v>51.5</v>
      </c>
      <c r="C256" s="30">
        <f>Table13[[#This Row],[PMI]]-B255</f>
        <v>-2.5399999999999991</v>
      </c>
    </row>
    <row r="257" spans="1:3" x14ac:dyDescent="0.2">
      <c r="A257" s="15">
        <v>41974</v>
      </c>
      <c r="B257" s="14">
        <v>53.85</v>
      </c>
      <c r="C257" s="30">
        <f>Table13[[#This Row],[PMI]]-B256</f>
        <v>2.3500000000000014</v>
      </c>
    </row>
    <row r="258" spans="1:3" x14ac:dyDescent="0.2">
      <c r="A258" s="15">
        <v>42005</v>
      </c>
      <c r="B258" s="14">
        <v>55.25</v>
      </c>
      <c r="C258" s="30">
        <f>Table13[[#This Row],[PMI]]-B257</f>
        <v>1.3999999999999986</v>
      </c>
    </row>
    <row r="259" spans="1:3" x14ac:dyDescent="0.2">
      <c r="A259" s="15">
        <v>42036</v>
      </c>
      <c r="B259" s="14">
        <v>57.96</v>
      </c>
      <c r="C259" s="30">
        <f>Table13[[#This Row],[PMI]]-B258</f>
        <v>2.7100000000000009</v>
      </c>
    </row>
    <row r="260" spans="1:3" x14ac:dyDescent="0.2">
      <c r="A260" s="15">
        <v>42064</v>
      </c>
      <c r="B260" s="14">
        <v>58.54</v>
      </c>
      <c r="C260" s="30">
        <f>Table13[[#This Row],[PMI]]-B259</f>
        <v>0.57999999999999829</v>
      </c>
    </row>
    <row r="261" spans="1:3" x14ac:dyDescent="0.2">
      <c r="A261" s="15">
        <v>42095</v>
      </c>
      <c r="B261" s="14">
        <v>53.3</v>
      </c>
      <c r="C261" s="30">
        <f>Table13[[#This Row],[PMI]]-B260</f>
        <v>-5.240000000000002</v>
      </c>
    </row>
    <row r="262" spans="1:3" x14ac:dyDescent="0.2">
      <c r="A262" s="15">
        <v>42125</v>
      </c>
      <c r="B262" s="14">
        <v>52.73</v>
      </c>
      <c r="C262" s="30">
        <f>Table13[[#This Row],[PMI]]-B261</f>
        <v>-0.57000000000000028</v>
      </c>
    </row>
    <row r="263" spans="1:3" x14ac:dyDescent="0.2">
      <c r="A263" s="15">
        <v>42156</v>
      </c>
      <c r="B263" s="14">
        <v>54.46</v>
      </c>
      <c r="C263" s="30">
        <f>Table13[[#This Row],[PMI]]-B262</f>
        <v>1.730000000000004</v>
      </c>
    </row>
    <row r="264" spans="1:3" x14ac:dyDescent="0.2">
      <c r="A264" s="15">
        <v>42186</v>
      </c>
      <c r="B264" s="14">
        <v>52.31</v>
      </c>
      <c r="C264" s="30">
        <f>Table13[[#This Row],[PMI]]-B263</f>
        <v>-2.1499999999999986</v>
      </c>
    </row>
    <row r="265" spans="1:3" x14ac:dyDescent="0.2">
      <c r="A265" s="15">
        <v>42217</v>
      </c>
      <c r="B265" s="14">
        <v>62.51</v>
      </c>
      <c r="C265" s="30">
        <f>Table13[[#This Row],[PMI]]-B264</f>
        <v>10.199999999999996</v>
      </c>
    </row>
    <row r="266" spans="1:3" x14ac:dyDescent="0.2">
      <c r="A266" s="15">
        <v>42248</v>
      </c>
      <c r="B266" s="14">
        <v>69.37</v>
      </c>
      <c r="C266" s="30">
        <f>Table13[[#This Row],[PMI]]-B265</f>
        <v>6.8600000000000065</v>
      </c>
    </row>
    <row r="267" spans="1:3" x14ac:dyDescent="0.2">
      <c r="A267" s="15">
        <v>42278</v>
      </c>
      <c r="B267" s="14">
        <v>55.62</v>
      </c>
      <c r="C267" s="30">
        <f>Table13[[#This Row],[PMI]]-B266</f>
        <v>-13.750000000000007</v>
      </c>
    </row>
    <row r="268" spans="1:3" x14ac:dyDescent="0.2">
      <c r="A268" s="15">
        <v>42309</v>
      </c>
      <c r="B268" s="14">
        <v>61.47</v>
      </c>
      <c r="C268" s="30">
        <f>Table13[[#This Row],[PMI]]-B267</f>
        <v>5.8500000000000014</v>
      </c>
    </row>
    <row r="269" spans="1:3" x14ac:dyDescent="0.2">
      <c r="A269" s="15">
        <v>42339</v>
      </c>
      <c r="B269" s="14">
        <v>54.76</v>
      </c>
      <c r="C269" s="30">
        <f>Table13[[#This Row],[PMI]]-B268</f>
        <v>-6.7100000000000009</v>
      </c>
    </row>
    <row r="270" spans="1:3" x14ac:dyDescent="0.2">
      <c r="A270" s="15">
        <v>42370</v>
      </c>
      <c r="B270" s="14">
        <v>54.46</v>
      </c>
      <c r="C270" s="30">
        <f>Table13[[#This Row],[PMI]]-B269</f>
        <v>-0.29999999999999716</v>
      </c>
    </row>
    <row r="271" spans="1:3" x14ac:dyDescent="0.2">
      <c r="A271" s="15">
        <v>42401</v>
      </c>
      <c r="B271" s="14">
        <v>50.93</v>
      </c>
      <c r="C271" s="30">
        <f>Table13[[#This Row],[PMI]]-B270</f>
        <v>-3.5300000000000011</v>
      </c>
    </row>
    <row r="272" spans="1:3" x14ac:dyDescent="0.2">
      <c r="A272" s="15">
        <v>42430</v>
      </c>
      <c r="B272" s="14">
        <v>55.11</v>
      </c>
      <c r="C272" s="30">
        <f>Table13[[#This Row],[PMI]]-B271</f>
        <v>4.18</v>
      </c>
    </row>
    <row r="273" spans="1:3" x14ac:dyDescent="0.2">
      <c r="A273" s="15">
        <v>42461</v>
      </c>
      <c r="B273" s="14">
        <v>63.28</v>
      </c>
      <c r="C273" s="30">
        <f>Table13[[#This Row],[PMI]]-B272</f>
        <v>8.1700000000000017</v>
      </c>
    </row>
    <row r="274" spans="1:3" x14ac:dyDescent="0.2">
      <c r="A274" s="15">
        <v>42491</v>
      </c>
      <c r="B274" s="14">
        <v>61.65</v>
      </c>
      <c r="C274" s="30">
        <f>Table13[[#This Row],[PMI]]-B273</f>
        <v>-1.6300000000000026</v>
      </c>
    </row>
    <row r="275" spans="1:3" x14ac:dyDescent="0.2">
      <c r="A275" s="15">
        <v>42522</v>
      </c>
      <c r="B275" s="14">
        <v>59.75</v>
      </c>
      <c r="C275" s="30">
        <f>Table13[[#This Row],[PMI]]-B274</f>
        <v>-1.8999999999999986</v>
      </c>
    </row>
    <row r="276" spans="1:3" x14ac:dyDescent="0.2">
      <c r="A276" s="15">
        <v>42552</v>
      </c>
      <c r="B276" s="14">
        <v>59.53</v>
      </c>
      <c r="C276" s="30">
        <f>Table13[[#This Row],[PMI]]-B275</f>
        <v>-0.21999999999999886</v>
      </c>
    </row>
    <row r="277" spans="1:3" x14ac:dyDescent="0.2">
      <c r="A277" s="15">
        <v>42583</v>
      </c>
      <c r="B277" s="14">
        <v>53.62</v>
      </c>
      <c r="C277" s="30">
        <f>Table13[[#This Row],[PMI]]-B276</f>
        <v>-5.9100000000000037</v>
      </c>
    </row>
    <row r="278" spans="1:3" x14ac:dyDescent="0.2">
      <c r="A278" s="15">
        <v>42614</v>
      </c>
      <c r="B278" s="14">
        <v>58.98</v>
      </c>
      <c r="C278" s="30">
        <f>Table13[[#This Row],[PMI]]-B277</f>
        <v>5.3599999999999994</v>
      </c>
    </row>
    <row r="279" spans="1:3" x14ac:dyDescent="0.2">
      <c r="A279" s="15">
        <v>42644</v>
      </c>
      <c r="B279" s="14">
        <v>57.31</v>
      </c>
      <c r="C279" s="30">
        <f>Table13[[#This Row],[PMI]]-B278</f>
        <v>-1.6699999999999946</v>
      </c>
    </row>
    <row r="280" spans="1:3" x14ac:dyDescent="0.2">
      <c r="A280" s="15">
        <v>42675</v>
      </c>
      <c r="B280" s="14">
        <v>57.22</v>
      </c>
      <c r="C280" s="30">
        <f>Table13[[#This Row],[PMI]]-B279</f>
        <v>-9.0000000000003411E-2</v>
      </c>
    </row>
    <row r="281" spans="1:3" x14ac:dyDescent="0.2">
      <c r="A281" s="15">
        <v>42705</v>
      </c>
      <c r="B281" s="14">
        <v>62.52</v>
      </c>
      <c r="C281" s="30">
        <f>Table13[[#This Row],[PMI]]-B280</f>
        <v>5.3000000000000043</v>
      </c>
    </row>
    <row r="282" spans="1:3" x14ac:dyDescent="0.2">
      <c r="A282" s="15">
        <v>42736</v>
      </c>
      <c r="B282" s="14">
        <v>57.57</v>
      </c>
      <c r="C282" s="30">
        <f>Table13[[#This Row],[PMI]]-B281</f>
        <v>-4.9500000000000028</v>
      </c>
    </row>
    <row r="283" spans="1:3" x14ac:dyDescent="0.2">
      <c r="A283" s="15">
        <v>42767</v>
      </c>
      <c r="B283" s="14">
        <v>56.51</v>
      </c>
      <c r="C283" s="30">
        <f>Table13[[#This Row],[PMI]]-B282</f>
        <v>-1.0600000000000023</v>
      </c>
    </row>
    <row r="284" spans="1:3" x14ac:dyDescent="0.2">
      <c r="A284" s="15">
        <v>42795</v>
      </c>
      <c r="B284" s="14">
        <v>56.62</v>
      </c>
      <c r="C284" s="30">
        <f>Table13[[#This Row],[PMI]]-B283</f>
        <v>0.10999999999999943</v>
      </c>
    </row>
    <row r="285" spans="1:3" x14ac:dyDescent="0.2">
      <c r="A285" s="15">
        <v>42826</v>
      </c>
      <c r="B285" s="14">
        <v>49.11</v>
      </c>
      <c r="C285" s="30">
        <f>Table13[[#This Row],[PMI]]-B284</f>
        <v>-7.509999999999998</v>
      </c>
    </row>
    <row r="286" spans="1:3" x14ac:dyDescent="0.2">
      <c r="A286" s="15">
        <v>42856</v>
      </c>
      <c r="B286" s="14">
        <v>57.99</v>
      </c>
      <c r="C286" s="30">
        <f>Table13[[#This Row],[PMI]]-B285</f>
        <v>8.8800000000000026</v>
      </c>
    </row>
    <row r="287" spans="1:3" x14ac:dyDescent="0.2">
      <c r="A287" s="15">
        <v>42887</v>
      </c>
      <c r="B287" s="14">
        <v>63.61</v>
      </c>
      <c r="C287" s="30">
        <f>Table13[[#This Row],[PMI]]-B286</f>
        <v>5.6199999999999974</v>
      </c>
    </row>
    <row r="288" spans="1:3" x14ac:dyDescent="0.2">
      <c r="A288" s="15">
        <v>42917</v>
      </c>
      <c r="B288" s="14">
        <v>63.72</v>
      </c>
      <c r="C288" s="30">
        <f>Table13[[#This Row],[PMI]]-B287</f>
        <v>0.10999999999999943</v>
      </c>
    </row>
    <row r="289" spans="1:3" x14ac:dyDescent="0.2">
      <c r="A289" s="15">
        <v>42948</v>
      </c>
      <c r="B289" s="14">
        <v>60.57</v>
      </c>
      <c r="C289" s="30">
        <f>Table13[[#This Row],[PMI]]-B288</f>
        <v>-3.1499999999999986</v>
      </c>
    </row>
    <row r="290" spans="1:3" x14ac:dyDescent="0.2">
      <c r="A290" s="15">
        <v>42979</v>
      </c>
      <c r="B290" s="14">
        <v>61.78</v>
      </c>
      <c r="C290" s="30">
        <f>Table13[[#This Row],[PMI]]-B289</f>
        <v>1.2100000000000009</v>
      </c>
    </row>
    <row r="291" spans="1:3" x14ac:dyDescent="0.2">
      <c r="A291" s="15">
        <v>43009</v>
      </c>
      <c r="B291" s="14">
        <v>58.57</v>
      </c>
      <c r="C291" s="30">
        <f>Table13[[#This Row],[PMI]]-B290</f>
        <v>-3.2100000000000009</v>
      </c>
    </row>
    <row r="292" spans="1:3" x14ac:dyDescent="0.2">
      <c r="A292" s="15">
        <v>43040</v>
      </c>
      <c r="B292" s="14">
        <v>58.31</v>
      </c>
      <c r="C292" s="30">
        <f>Table13[[#This Row],[PMI]]-B291</f>
        <v>-0.25999999999999801</v>
      </c>
    </row>
    <row r="293" spans="1:3" x14ac:dyDescent="0.2">
      <c r="A293" s="15">
        <v>43070</v>
      </c>
      <c r="B293" s="14">
        <v>61.04</v>
      </c>
      <c r="C293" s="30">
        <f>Table13[[#This Row],[PMI]]-B292</f>
        <v>2.7299999999999969</v>
      </c>
    </row>
    <row r="294" spans="1:3" x14ac:dyDescent="0.2">
      <c r="A294" s="15">
        <v>43101</v>
      </c>
      <c r="B294" s="14">
        <v>66.650000000000006</v>
      </c>
      <c r="C294" s="30">
        <f>Table13[[#This Row],[PMI]]-B293</f>
        <v>5.6100000000000065</v>
      </c>
    </row>
    <row r="295" spans="1:3" x14ac:dyDescent="0.2">
      <c r="A295" s="15">
        <v>43132</v>
      </c>
      <c r="B295" s="14">
        <v>70.75</v>
      </c>
      <c r="C295" s="30">
        <f>Table13[[#This Row],[PMI]]-B294</f>
        <v>4.0999999999999943</v>
      </c>
    </row>
    <row r="296" spans="1:3" x14ac:dyDescent="0.2">
      <c r="A296" s="15">
        <v>43160</v>
      </c>
      <c r="B296" s="14">
        <v>61.05</v>
      </c>
      <c r="C296" s="30">
        <f>Table13[[#This Row],[PMI]]-B295</f>
        <v>-9.7000000000000028</v>
      </c>
    </row>
    <row r="297" spans="1:3" x14ac:dyDescent="0.2">
      <c r="A297" s="15">
        <v>43191</v>
      </c>
      <c r="B297" s="14">
        <v>54.24</v>
      </c>
      <c r="C297" s="30">
        <f>Table13[[#This Row],[PMI]]-B296</f>
        <v>-6.8099999999999952</v>
      </c>
    </row>
    <row r="298" spans="1:3" x14ac:dyDescent="0.2">
      <c r="A298" s="15">
        <v>43221</v>
      </c>
      <c r="B298" s="14">
        <v>47.78</v>
      </c>
      <c r="C298" s="30">
        <f>Table13[[#This Row],[PMI]]-B297</f>
        <v>-6.4600000000000009</v>
      </c>
    </row>
    <row r="299" spans="1:3" x14ac:dyDescent="0.2">
      <c r="A299" s="15">
        <v>43252</v>
      </c>
      <c r="B299" s="14">
        <v>49.8</v>
      </c>
      <c r="C299" s="30">
        <f>Table13[[#This Row],[PMI]]-B298</f>
        <v>2.019999999999996</v>
      </c>
    </row>
    <row r="300" spans="1:3" x14ac:dyDescent="0.2">
      <c r="A300" s="15">
        <v>43282</v>
      </c>
      <c r="B300" s="14">
        <v>55.7</v>
      </c>
      <c r="C300" s="30">
        <f>Table13[[#This Row],[PMI]]-B299</f>
        <v>5.9000000000000057</v>
      </c>
    </row>
    <row r="301" spans="1:3" x14ac:dyDescent="0.2">
      <c r="A301" s="15">
        <v>43313</v>
      </c>
      <c r="B301" s="14">
        <v>59.15</v>
      </c>
      <c r="C301" s="30">
        <f>Table13[[#This Row],[PMI]]-B300</f>
        <v>3.4499999999999957</v>
      </c>
    </row>
    <row r="302" spans="1:3" x14ac:dyDescent="0.2">
      <c r="A302" s="15">
        <v>43344</v>
      </c>
      <c r="B302" s="14">
        <v>53.7</v>
      </c>
      <c r="C302" s="30">
        <f>Table13[[#This Row],[PMI]]-B301</f>
        <v>-5.4499999999999957</v>
      </c>
    </row>
    <row r="303" spans="1:3" x14ac:dyDescent="0.2">
      <c r="A303" s="15">
        <v>43374</v>
      </c>
      <c r="B303" s="14">
        <v>66.8</v>
      </c>
      <c r="C303" s="30">
        <f>Table13[[#This Row],[PMI]]-B302</f>
        <v>13.099999999999994</v>
      </c>
    </row>
    <row r="304" spans="1:3" x14ac:dyDescent="0.2">
      <c r="A304" s="15">
        <v>43405</v>
      </c>
      <c r="B304" s="14">
        <v>58.2</v>
      </c>
      <c r="C304" s="30">
        <f>Table13[[#This Row],[PMI]]-B303</f>
        <v>-8.5999999999999943</v>
      </c>
    </row>
    <row r="305" spans="1:3" x14ac:dyDescent="0.2">
      <c r="A305" s="15">
        <v>43435</v>
      </c>
      <c r="B305" s="14">
        <v>57.5</v>
      </c>
      <c r="C305" s="30">
        <f>Table13[[#This Row],[PMI]]-B304</f>
        <v>-0.70000000000000284</v>
      </c>
    </row>
    <row r="306" spans="1:3" x14ac:dyDescent="0.2">
      <c r="A306" s="15">
        <v>43466</v>
      </c>
      <c r="B306" s="14">
        <v>51.1</v>
      </c>
      <c r="C306" s="30">
        <f>Table13[[#This Row],[PMI]]-B305</f>
        <v>-6.3999999999999986</v>
      </c>
    </row>
    <row r="307" spans="1:3" x14ac:dyDescent="0.2">
      <c r="A307" s="15">
        <v>43497</v>
      </c>
      <c r="B307" s="14">
        <v>61.6</v>
      </c>
      <c r="C307" s="30">
        <f>Table13[[#This Row],[PMI]]-B306</f>
        <v>10.5</v>
      </c>
    </row>
    <row r="308" spans="1:3" x14ac:dyDescent="0.2">
      <c r="A308" s="15">
        <v>43525</v>
      </c>
      <c r="B308" s="14">
        <v>56.6</v>
      </c>
      <c r="C308" s="30">
        <f>Table13[[#This Row],[PMI]]-B307</f>
        <v>-5</v>
      </c>
    </row>
    <row r="309" spans="1:3" x14ac:dyDescent="0.2">
      <c r="A309" s="15">
        <v>43556</v>
      </c>
      <c r="B309" s="14">
        <v>59.6</v>
      </c>
      <c r="C309" s="30">
        <f>Table13[[#This Row],[PMI]]-B308</f>
        <v>3</v>
      </c>
    </row>
    <row r="310" spans="1:3" x14ac:dyDescent="0.2">
      <c r="A310" s="15">
        <v>43586</v>
      </c>
      <c r="B310" s="14">
        <v>47.6</v>
      </c>
      <c r="C310" s="30">
        <f>Table13[[#This Row],[PMI]]-B309</f>
        <v>-12</v>
      </c>
    </row>
    <row r="311" spans="1:3" x14ac:dyDescent="0.2">
      <c r="A311" s="15">
        <v>43617</v>
      </c>
      <c r="B311" s="14">
        <v>45</v>
      </c>
      <c r="C311" s="30">
        <f>Table13[[#This Row],[PMI]]-B310</f>
        <v>-2.6000000000000014</v>
      </c>
    </row>
    <row r="312" spans="1:3" x14ac:dyDescent="0.2">
      <c r="A312" s="15">
        <v>43647</v>
      </c>
      <c r="B312" s="14">
        <v>49.5</v>
      </c>
      <c r="C312" s="30">
        <f>Table13[[#This Row],[PMI]]-B311</f>
        <v>4.5</v>
      </c>
    </row>
    <row r="313" spans="1:3" x14ac:dyDescent="0.2">
      <c r="A313" s="15">
        <v>43678</v>
      </c>
      <c r="B313" s="14">
        <v>48.7</v>
      </c>
      <c r="C313" s="30">
        <f>Table13[[#This Row],[PMI]]-B312</f>
        <v>-0.79999999999999716</v>
      </c>
    </row>
    <row r="314" spans="1:3" x14ac:dyDescent="0.2">
      <c r="A314" s="15">
        <v>43709</v>
      </c>
      <c r="B314" s="14">
        <v>50.2</v>
      </c>
      <c r="C314" s="30">
        <f>Table13[[#This Row],[PMI]]-B313</f>
        <v>1.5</v>
      </c>
    </row>
    <row r="315" spans="1:3" x14ac:dyDescent="0.2">
      <c r="A315" s="15">
        <v>43739</v>
      </c>
      <c r="B315" s="14">
        <v>49.5</v>
      </c>
      <c r="C315" s="30">
        <f>Table13[[#This Row],[PMI]]-B314</f>
        <v>-0.70000000000000284</v>
      </c>
    </row>
    <row r="316" spans="1:3" x14ac:dyDescent="0.2">
      <c r="A316" s="15">
        <v>43770</v>
      </c>
      <c r="B316" s="14">
        <v>53</v>
      </c>
      <c r="C316" s="30">
        <f>Table13[[#This Row],[PMI]]-B315</f>
        <v>3.5</v>
      </c>
    </row>
    <row r="317" spans="1:3" x14ac:dyDescent="0.2">
      <c r="A317" s="15">
        <v>43800</v>
      </c>
      <c r="B317" s="14">
        <v>50.7</v>
      </c>
      <c r="C317" s="30">
        <f>Table13[[#This Row],[PMI]]-B316</f>
        <v>-2.2999999999999972</v>
      </c>
    </row>
    <row r="318" spans="1:3" x14ac:dyDescent="0.2">
      <c r="A318" s="15">
        <v>43831</v>
      </c>
      <c r="B318" s="14">
        <v>53.2</v>
      </c>
      <c r="C318" s="30">
        <f>Table13[[#This Row],[PMI]]-B317</f>
        <v>2.5</v>
      </c>
    </row>
    <row r="319" spans="1:3" x14ac:dyDescent="0.2">
      <c r="A319" s="15">
        <v>43862</v>
      </c>
      <c r="B319" s="14">
        <v>49.2</v>
      </c>
      <c r="C319" s="30">
        <f>Table13[[#This Row],[PMI]]-B318</f>
        <v>-4</v>
      </c>
    </row>
    <row r="320" spans="1:3" x14ac:dyDescent="0.2">
      <c r="A320" s="15">
        <v>43891</v>
      </c>
      <c r="B320" s="14">
        <v>46.8</v>
      </c>
      <c r="C320" s="30">
        <f>Table13[[#This Row],[PMI]]-B319</f>
        <v>-2.4000000000000057</v>
      </c>
    </row>
    <row r="321" spans="1:3" x14ac:dyDescent="0.2">
      <c r="A321" s="15">
        <v>43922</v>
      </c>
      <c r="B321" s="14">
        <v>38.6</v>
      </c>
      <c r="C321" s="30">
        <f>Table13[[#This Row],[PMI]]-B320</f>
        <v>-8.1999999999999957</v>
      </c>
    </row>
    <row r="322" spans="1:3" x14ac:dyDescent="0.2">
      <c r="A322" s="15">
        <v>43952</v>
      </c>
      <c r="B322" s="14">
        <v>54</v>
      </c>
      <c r="C322" s="30">
        <f>Table13[[#This Row],[PMI]]-B321</f>
        <v>15.399999999999999</v>
      </c>
    </row>
    <row r="323" spans="1:3" x14ac:dyDescent="0.2">
      <c r="A323" s="15">
        <v>43983</v>
      </c>
      <c r="B323" s="14">
        <v>52.2</v>
      </c>
      <c r="C323" s="30">
        <f>Table13[[#This Row],[PMI]]-B322</f>
        <v>-1.7999999999999972</v>
      </c>
    </row>
    <row r="324" spans="1:3" x14ac:dyDescent="0.2">
      <c r="A324" s="15">
        <v>44013</v>
      </c>
      <c r="B324" s="14">
        <v>57.4</v>
      </c>
      <c r="C324" s="30">
        <f>Table13[[#This Row],[PMI]]-B323</f>
        <v>5.1999999999999957</v>
      </c>
    </row>
    <row r="325" spans="1:3" x14ac:dyDescent="0.2">
      <c r="A325" s="15">
        <v>44044</v>
      </c>
      <c r="B325" s="14">
        <v>52.3</v>
      </c>
      <c r="C325" s="30">
        <f>Table13[[#This Row],[PMI]]-B324</f>
        <v>-5.1000000000000014</v>
      </c>
    </row>
    <row r="326" spans="1:3" x14ac:dyDescent="0.2">
      <c r="A326" s="15">
        <v>44075</v>
      </c>
      <c r="B326" s="14">
        <v>54.4</v>
      </c>
      <c r="C326" s="30">
        <f>Table13[[#This Row],[PMI]]-B325</f>
        <v>2.1000000000000014</v>
      </c>
    </row>
    <row r="327" spans="1:3" x14ac:dyDescent="0.2">
      <c r="A327" s="15">
        <v>44105</v>
      </c>
      <c r="B327" s="14">
        <v>61.8</v>
      </c>
      <c r="C327" s="30">
        <f>Table13[[#This Row],[PMI]]-B326</f>
        <v>7.3999999999999986</v>
      </c>
    </row>
    <row r="328" spans="1:3" x14ac:dyDescent="0.2">
      <c r="A328" s="15">
        <v>44136</v>
      </c>
      <c r="B328" s="14">
        <v>47.7</v>
      </c>
      <c r="C328" s="30">
        <f>Table13[[#This Row],[PMI]]-B327</f>
        <v>-14.099999999999994</v>
      </c>
    </row>
    <row r="329" spans="1:3" x14ac:dyDescent="0.2">
      <c r="A329" s="15">
        <v>44166</v>
      </c>
      <c r="B329" s="14">
        <v>41.9</v>
      </c>
      <c r="C329" s="30">
        <f>Table13[[#This Row],[PMI]]-B328</f>
        <v>-5.8000000000000043</v>
      </c>
    </row>
    <row r="330" spans="1:3" x14ac:dyDescent="0.2">
      <c r="A330" s="15">
        <v>44197</v>
      </c>
      <c r="B330" s="14">
        <v>42.1</v>
      </c>
      <c r="C330" s="30">
        <f>Table13[[#This Row],[PMI]]-B329</f>
        <v>0.20000000000000284</v>
      </c>
    </row>
    <row r="331" spans="1:3" x14ac:dyDescent="0.2">
      <c r="A331" s="15">
        <v>44228</v>
      </c>
      <c r="B331" s="14">
        <v>40.799999999999997</v>
      </c>
      <c r="C331" s="30">
        <f>Table13[[#This Row],[PMI]]-B330</f>
        <v>-1.3000000000000043</v>
      </c>
    </row>
    <row r="332" spans="1:3" x14ac:dyDescent="0.2">
      <c r="A332" s="15">
        <v>44256</v>
      </c>
      <c r="B332" s="14">
        <v>67.599999999999994</v>
      </c>
      <c r="C332" s="30">
        <f>Table13[[#This Row],[PMI]]-B331</f>
        <v>26.799999999999997</v>
      </c>
    </row>
    <row r="333" spans="1:3" x14ac:dyDescent="0.2">
      <c r="A333" s="15">
        <v>44287</v>
      </c>
      <c r="B333" s="14">
        <v>72</v>
      </c>
      <c r="C333" s="30">
        <f>Table13[[#This Row],[PMI]]-B332</f>
        <v>4.4000000000000057</v>
      </c>
    </row>
    <row r="334" spans="1:3" x14ac:dyDescent="0.2">
      <c r="A334" s="15">
        <v>44317</v>
      </c>
      <c r="B334" s="14">
        <v>67.7</v>
      </c>
      <c r="C334" s="30">
        <f>Table13[[#This Row],[PMI]]-B333</f>
        <v>-4.2999999999999972</v>
      </c>
    </row>
    <row r="335" spans="1:3" x14ac:dyDescent="0.2">
      <c r="A335" s="15">
        <v>44348</v>
      </c>
      <c r="B335" s="14">
        <v>62.1</v>
      </c>
      <c r="C335" s="30">
        <f>Table13[[#This Row],[PMI]]-B334</f>
        <v>-5.6000000000000014</v>
      </c>
    </row>
    <row r="336" spans="1:3" x14ac:dyDescent="0.2">
      <c r="A336" s="15">
        <v>44378</v>
      </c>
      <c r="B336" s="14">
        <v>69.8</v>
      </c>
      <c r="C336" s="30">
        <f>Table13[[#This Row],[PMI]]-B335</f>
        <v>7.6999999999999957</v>
      </c>
    </row>
    <row r="337" spans="1:3" x14ac:dyDescent="0.2">
      <c r="A337" s="15">
        <v>44409</v>
      </c>
      <c r="B337" s="14">
        <v>67.3</v>
      </c>
      <c r="C337" s="30">
        <f>Table13[[#This Row],[PMI]]-B336</f>
        <v>-2.5</v>
      </c>
    </row>
    <row r="338" spans="1:3" x14ac:dyDescent="0.2">
      <c r="A338" s="15">
        <v>44440</v>
      </c>
      <c r="B338" s="14">
        <v>65.2</v>
      </c>
      <c r="C338" s="30">
        <f>Table13[[#This Row],[PMI]]-B337</f>
        <v>-2.0999999999999943</v>
      </c>
    </row>
    <row r="339" spans="1:3" x14ac:dyDescent="0.2">
      <c r="A339" s="15">
        <v>44470</v>
      </c>
      <c r="B339" s="14">
        <v>71.900000000000006</v>
      </c>
      <c r="C339" s="30">
        <f>Table13[[#This Row],[PMI]]-B338</f>
        <v>6.7000000000000028</v>
      </c>
    </row>
    <row r="340" spans="1:3" x14ac:dyDescent="0.2">
      <c r="A340" s="15">
        <v>44501</v>
      </c>
      <c r="B340" s="14">
        <v>68.2</v>
      </c>
      <c r="C340" s="30">
        <f>Table13[[#This Row],[PMI]]-B339</f>
        <v>-3.7000000000000028</v>
      </c>
    </row>
    <row r="341" spans="1:3" x14ac:dyDescent="0.2">
      <c r="A341" s="15">
        <v>44531</v>
      </c>
      <c r="B341" s="14">
        <v>64.400000000000006</v>
      </c>
      <c r="C341" s="30">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B428-CED0-4323-9508-6EEB7F67A134}">
  <dimension ref="A1:K119"/>
  <sheetViews>
    <sheetView zoomScale="170" zoomScaleNormal="170" workbookViewId="0">
      <pane ySplit="5" topLeftCell="A85" activePane="bottomLeft" state="frozen"/>
      <selection pane="bottomLeft" activeCell="B119" sqref="B119"/>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22</v>
      </c>
      <c r="K1" s="1" t="s">
        <v>21</v>
      </c>
    </row>
    <row r="2" spans="1:11" x14ac:dyDescent="0.2">
      <c r="K2" s="1" t="str">
        <f>A1&amp;K1</f>
        <v>Vietnam Manufacturing PMI</v>
      </c>
    </row>
    <row r="4" spans="1:11" ht="16" thickBot="1" x14ac:dyDescent="0.25"/>
    <row r="5" spans="1:11" ht="16" thickBot="1" x14ac:dyDescent="0.25">
      <c r="A5" s="27" t="s">
        <v>10</v>
      </c>
      <c r="B5" s="28" t="s">
        <v>11</v>
      </c>
      <c r="C5" s="28" t="s">
        <v>14</v>
      </c>
    </row>
    <row r="6" spans="1:11" x14ac:dyDescent="0.2">
      <c r="A6" s="23">
        <v>41091</v>
      </c>
      <c r="B6" s="24">
        <v>43.6</v>
      </c>
      <c r="C6" s="24"/>
    </row>
    <row r="7" spans="1:11" x14ac:dyDescent="0.2">
      <c r="A7" s="15">
        <v>41122</v>
      </c>
      <c r="B7" s="14">
        <v>47.9</v>
      </c>
      <c r="C7" s="14">
        <f>Table134[[#This Row],[PMI]]-B6</f>
        <v>4.2999999999999972</v>
      </c>
    </row>
    <row r="8" spans="1:11" x14ac:dyDescent="0.2">
      <c r="A8" s="15">
        <v>41153</v>
      </c>
      <c r="B8" s="14">
        <v>49.2</v>
      </c>
      <c r="C8" s="14">
        <f>Table134[[#This Row],[PMI]]-B7</f>
        <v>1.3000000000000043</v>
      </c>
    </row>
    <row r="9" spans="1:11" x14ac:dyDescent="0.2">
      <c r="A9" s="15">
        <v>41183</v>
      </c>
      <c r="B9" s="14">
        <v>48.7</v>
      </c>
      <c r="C9" s="14">
        <f>Table134[[#This Row],[PMI]]-B8</f>
        <v>-0.5</v>
      </c>
    </row>
    <row r="10" spans="1:11" x14ac:dyDescent="0.2">
      <c r="A10" s="15">
        <v>41214</v>
      </c>
      <c r="B10" s="14">
        <v>50.5</v>
      </c>
      <c r="C10" s="14">
        <f>Table134[[#This Row],[PMI]]-B9</f>
        <v>1.7999999999999972</v>
      </c>
    </row>
    <row r="11" spans="1:11" x14ac:dyDescent="0.2">
      <c r="A11" s="15">
        <v>41244</v>
      </c>
      <c r="B11" s="14">
        <v>49.3</v>
      </c>
      <c r="C11" s="14">
        <f>Table134[[#This Row],[PMI]]-B10</f>
        <v>-1.2000000000000028</v>
      </c>
    </row>
    <row r="12" spans="1:11" x14ac:dyDescent="0.2">
      <c r="A12" s="15">
        <v>41275</v>
      </c>
      <c r="B12" s="14">
        <v>50.1</v>
      </c>
      <c r="C12" s="14">
        <f>Table134[[#This Row],[PMI]]-B11</f>
        <v>0.80000000000000426</v>
      </c>
    </row>
    <row r="13" spans="1:11" x14ac:dyDescent="0.2">
      <c r="A13" s="15">
        <v>41306</v>
      </c>
      <c r="B13" s="14">
        <v>48.3</v>
      </c>
      <c r="C13" s="14">
        <f>Table134[[#This Row],[PMI]]-B12</f>
        <v>-1.8000000000000043</v>
      </c>
    </row>
    <row r="14" spans="1:11" x14ac:dyDescent="0.2">
      <c r="A14" s="15">
        <v>41334</v>
      </c>
      <c r="B14" s="14">
        <v>48.8</v>
      </c>
      <c r="C14" s="14">
        <f>Table134[[#This Row],[PMI]]-B13</f>
        <v>0.5</v>
      </c>
    </row>
    <row r="15" spans="1:11" x14ac:dyDescent="0.2">
      <c r="A15" s="15">
        <v>41365</v>
      </c>
      <c r="B15" s="14">
        <v>51</v>
      </c>
      <c r="C15" s="14">
        <f>Table134[[#This Row],[PMI]]-B14</f>
        <v>2.2000000000000028</v>
      </c>
    </row>
    <row r="16" spans="1:11" x14ac:dyDescent="0.2">
      <c r="A16" s="15">
        <v>41395</v>
      </c>
      <c r="B16" s="14">
        <v>48.8</v>
      </c>
      <c r="C16" s="14">
        <f>Table134[[#This Row],[PMI]]-B15</f>
        <v>-2.2000000000000028</v>
      </c>
    </row>
    <row r="17" spans="1:3" x14ac:dyDescent="0.2">
      <c r="A17" s="15">
        <v>41426</v>
      </c>
      <c r="B17" s="14">
        <v>51</v>
      </c>
      <c r="C17" s="14">
        <f>Table134[[#This Row],[PMI]]-B16</f>
        <v>2.2000000000000028</v>
      </c>
    </row>
    <row r="18" spans="1:3" x14ac:dyDescent="0.2">
      <c r="A18" s="15">
        <v>41456</v>
      </c>
      <c r="B18" s="14">
        <v>46.4</v>
      </c>
      <c r="C18" s="14">
        <f>Table134[[#This Row],[PMI]]-B17</f>
        <v>-4.6000000000000014</v>
      </c>
    </row>
    <row r="19" spans="1:3" x14ac:dyDescent="0.2">
      <c r="A19" s="15">
        <v>41487</v>
      </c>
      <c r="B19" s="14">
        <v>48.5</v>
      </c>
      <c r="C19" s="14">
        <f>Table134[[#This Row],[PMI]]-B18</f>
        <v>2.1000000000000014</v>
      </c>
    </row>
    <row r="20" spans="1:3" x14ac:dyDescent="0.2">
      <c r="A20" s="15">
        <v>41518</v>
      </c>
      <c r="B20" s="14">
        <v>51.5</v>
      </c>
      <c r="C20" s="14">
        <f>Table134[[#This Row],[PMI]]-B19</f>
        <v>3</v>
      </c>
    </row>
    <row r="21" spans="1:3" x14ac:dyDescent="0.2">
      <c r="A21" s="15">
        <v>41548</v>
      </c>
      <c r="B21" s="14">
        <v>51.5</v>
      </c>
      <c r="C21" s="14">
        <f>Table134[[#This Row],[PMI]]-B20</f>
        <v>0</v>
      </c>
    </row>
    <row r="22" spans="1:3" x14ac:dyDescent="0.2">
      <c r="A22" s="15">
        <v>41579</v>
      </c>
      <c r="B22" s="14">
        <v>50.3</v>
      </c>
      <c r="C22" s="14">
        <f>Table134[[#This Row],[PMI]]-B21</f>
        <v>-1.2000000000000028</v>
      </c>
    </row>
    <row r="23" spans="1:3" x14ac:dyDescent="0.2">
      <c r="A23" s="15">
        <v>41609</v>
      </c>
      <c r="B23" s="14">
        <v>51.8</v>
      </c>
      <c r="C23" s="14">
        <f>Table134[[#This Row],[PMI]]-B22</f>
        <v>1.5</v>
      </c>
    </row>
    <row r="24" spans="1:3" x14ac:dyDescent="0.2">
      <c r="A24" s="15">
        <v>41640</v>
      </c>
      <c r="B24" s="14">
        <v>52.1</v>
      </c>
      <c r="C24" s="14">
        <f>Table134[[#This Row],[PMI]]-B23</f>
        <v>0.30000000000000426</v>
      </c>
    </row>
    <row r="25" spans="1:3" x14ac:dyDescent="0.2">
      <c r="A25" s="15">
        <v>41671</v>
      </c>
      <c r="B25" s="14">
        <v>51</v>
      </c>
      <c r="C25" s="14">
        <f>Table134[[#This Row],[PMI]]-B24</f>
        <v>-1.1000000000000014</v>
      </c>
    </row>
    <row r="26" spans="1:3" x14ac:dyDescent="0.2">
      <c r="A26" s="15">
        <v>41699</v>
      </c>
      <c r="B26" s="14">
        <v>51.3</v>
      </c>
      <c r="C26" s="14">
        <f>Table134[[#This Row],[PMI]]-B25</f>
        <v>0.29999999999999716</v>
      </c>
    </row>
    <row r="27" spans="1:3" x14ac:dyDescent="0.2">
      <c r="A27" s="15">
        <v>41730</v>
      </c>
      <c r="B27" s="14">
        <v>53.1</v>
      </c>
      <c r="C27" s="14">
        <f>Table134[[#This Row],[PMI]]-B26</f>
        <v>1.8000000000000043</v>
      </c>
    </row>
    <row r="28" spans="1:3" x14ac:dyDescent="0.2">
      <c r="A28" s="15">
        <v>41760</v>
      </c>
      <c r="B28" s="14">
        <v>52.5</v>
      </c>
      <c r="C28" s="14">
        <f>Table134[[#This Row],[PMI]]-B27</f>
        <v>-0.60000000000000142</v>
      </c>
    </row>
    <row r="29" spans="1:3" x14ac:dyDescent="0.2">
      <c r="A29" s="15">
        <v>41791</v>
      </c>
      <c r="B29" s="14">
        <v>52.3</v>
      </c>
      <c r="C29" s="14">
        <f>Table134[[#This Row],[PMI]]-B28</f>
        <v>-0.20000000000000284</v>
      </c>
    </row>
    <row r="30" spans="1:3" x14ac:dyDescent="0.2">
      <c r="A30" s="15">
        <v>41821</v>
      </c>
      <c r="B30" s="14">
        <v>51.7</v>
      </c>
      <c r="C30" s="14">
        <f>Table134[[#This Row],[PMI]]-B29</f>
        <v>-0.59999999999999432</v>
      </c>
    </row>
    <row r="31" spans="1:3" x14ac:dyDescent="0.2">
      <c r="A31" s="15">
        <v>41852</v>
      </c>
      <c r="B31" s="14">
        <v>50.3</v>
      </c>
      <c r="C31" s="14">
        <f>Table134[[#This Row],[PMI]]-B30</f>
        <v>-1.4000000000000057</v>
      </c>
    </row>
    <row r="32" spans="1:3" x14ac:dyDescent="0.2">
      <c r="A32" s="15">
        <v>41883</v>
      </c>
      <c r="B32" s="14">
        <v>51.7</v>
      </c>
      <c r="C32" s="14">
        <f>Table134[[#This Row],[PMI]]-B31</f>
        <v>1.4000000000000057</v>
      </c>
    </row>
    <row r="33" spans="1:3" x14ac:dyDescent="0.2">
      <c r="A33" s="15">
        <v>41913</v>
      </c>
      <c r="B33" s="14">
        <v>51</v>
      </c>
      <c r="C33" s="14">
        <f>Table134[[#This Row],[PMI]]-B32</f>
        <v>-0.70000000000000284</v>
      </c>
    </row>
    <row r="34" spans="1:3" x14ac:dyDescent="0.2">
      <c r="A34" s="15">
        <v>41944</v>
      </c>
      <c r="B34" s="14">
        <v>52.7</v>
      </c>
      <c r="C34" s="14">
        <f>Table134[[#This Row],[PMI]]-B33</f>
        <v>1.7000000000000028</v>
      </c>
    </row>
    <row r="35" spans="1:3" x14ac:dyDescent="0.2">
      <c r="A35" s="15">
        <v>41974</v>
      </c>
      <c r="B35" s="14">
        <v>51.5</v>
      </c>
      <c r="C35" s="14">
        <f>Table134[[#This Row],[PMI]]-B34</f>
        <v>-1.2000000000000028</v>
      </c>
    </row>
    <row r="36" spans="1:3" x14ac:dyDescent="0.2">
      <c r="A36" s="15">
        <v>42005</v>
      </c>
      <c r="B36" s="14">
        <v>51.5</v>
      </c>
      <c r="C36" s="14">
        <f>Table134[[#This Row],[PMI]]-B35</f>
        <v>0</v>
      </c>
    </row>
    <row r="37" spans="1:3" x14ac:dyDescent="0.2">
      <c r="A37" s="15">
        <v>42036</v>
      </c>
      <c r="B37" s="14">
        <v>51.7</v>
      </c>
      <c r="C37" s="14">
        <f>Table134[[#This Row],[PMI]]-B36</f>
        <v>0.20000000000000284</v>
      </c>
    </row>
    <row r="38" spans="1:3" x14ac:dyDescent="0.2">
      <c r="A38" s="15">
        <v>42064</v>
      </c>
      <c r="B38" s="14">
        <v>50.7</v>
      </c>
      <c r="C38" s="14">
        <f>Table134[[#This Row],[PMI]]-B37</f>
        <v>-1</v>
      </c>
    </row>
    <row r="39" spans="1:3" x14ac:dyDescent="0.2">
      <c r="A39" s="15">
        <v>42095</v>
      </c>
      <c r="B39" s="14">
        <v>53.5</v>
      </c>
      <c r="C39" s="14">
        <f>Table134[[#This Row],[PMI]]-B38</f>
        <v>2.7999999999999972</v>
      </c>
    </row>
    <row r="40" spans="1:3" x14ac:dyDescent="0.2">
      <c r="A40" s="15">
        <v>42125</v>
      </c>
      <c r="B40" s="14">
        <v>54.8</v>
      </c>
      <c r="C40" s="14">
        <f>Table134[[#This Row],[PMI]]-B39</f>
        <v>1.2999999999999972</v>
      </c>
    </row>
    <row r="41" spans="1:3" x14ac:dyDescent="0.2">
      <c r="A41" s="15">
        <v>42156</v>
      </c>
      <c r="B41" s="14">
        <v>52.2</v>
      </c>
      <c r="C41" s="14">
        <f>Table134[[#This Row],[PMI]]-B40</f>
        <v>-2.5999999999999943</v>
      </c>
    </row>
    <row r="42" spans="1:3" x14ac:dyDescent="0.2">
      <c r="A42" s="15">
        <v>42186</v>
      </c>
      <c r="B42" s="14">
        <v>52.6</v>
      </c>
      <c r="C42" s="14">
        <f>Table134[[#This Row],[PMI]]-B41</f>
        <v>0.39999999999999858</v>
      </c>
    </row>
    <row r="43" spans="1:3" x14ac:dyDescent="0.2">
      <c r="A43" s="15">
        <v>42217</v>
      </c>
      <c r="B43" s="14">
        <v>51.3</v>
      </c>
      <c r="C43" s="14">
        <f>Table134[[#This Row],[PMI]]-B42</f>
        <v>-1.3000000000000043</v>
      </c>
    </row>
    <row r="44" spans="1:3" x14ac:dyDescent="0.2">
      <c r="A44" s="15">
        <v>42248</v>
      </c>
      <c r="B44" s="14">
        <v>49.5</v>
      </c>
      <c r="C44" s="14">
        <f>Table134[[#This Row],[PMI]]-B43</f>
        <v>-1.7999999999999972</v>
      </c>
    </row>
    <row r="45" spans="1:3" x14ac:dyDescent="0.2">
      <c r="A45" s="15">
        <v>42278</v>
      </c>
      <c r="B45" s="14">
        <v>50.1</v>
      </c>
      <c r="C45" s="14">
        <f>Table134[[#This Row],[PMI]]-B44</f>
        <v>0.60000000000000142</v>
      </c>
    </row>
    <row r="46" spans="1:3" x14ac:dyDescent="0.2">
      <c r="A46" s="15">
        <v>42309</v>
      </c>
      <c r="B46" s="14">
        <v>49.4</v>
      </c>
      <c r="C46" s="14">
        <f>Table134[[#This Row],[PMI]]-B45</f>
        <v>-0.70000000000000284</v>
      </c>
    </row>
    <row r="47" spans="1:3" x14ac:dyDescent="0.2">
      <c r="A47" s="15">
        <v>42339</v>
      </c>
      <c r="B47" s="14">
        <v>51.3</v>
      </c>
      <c r="C47" s="14">
        <f>Table134[[#This Row],[PMI]]-B46</f>
        <v>1.8999999999999986</v>
      </c>
    </row>
    <row r="48" spans="1:3" x14ac:dyDescent="0.2">
      <c r="A48" s="15">
        <v>42370</v>
      </c>
      <c r="B48" s="14">
        <v>51.5</v>
      </c>
      <c r="C48" s="14">
        <f>Table134[[#This Row],[PMI]]-B47</f>
        <v>0.20000000000000284</v>
      </c>
    </row>
    <row r="49" spans="1:3" x14ac:dyDescent="0.2">
      <c r="A49" s="15">
        <v>42401</v>
      </c>
      <c r="B49" s="14">
        <v>50.3</v>
      </c>
      <c r="C49" s="14">
        <f>Table134[[#This Row],[PMI]]-B48</f>
        <v>-1.2000000000000028</v>
      </c>
    </row>
    <row r="50" spans="1:3" x14ac:dyDescent="0.2">
      <c r="A50" s="15">
        <v>42430</v>
      </c>
      <c r="B50" s="14">
        <v>50.7</v>
      </c>
      <c r="C50" s="14">
        <f>Table134[[#This Row],[PMI]]-B49</f>
        <v>0.40000000000000568</v>
      </c>
    </row>
    <row r="51" spans="1:3" x14ac:dyDescent="0.2">
      <c r="A51" s="15">
        <v>42461</v>
      </c>
      <c r="B51" s="14">
        <v>52.3</v>
      </c>
      <c r="C51" s="14">
        <f>Table134[[#This Row],[PMI]]-B50</f>
        <v>1.5999999999999943</v>
      </c>
    </row>
    <row r="52" spans="1:3" x14ac:dyDescent="0.2">
      <c r="A52" s="15">
        <v>42491</v>
      </c>
      <c r="B52" s="14">
        <v>52.7</v>
      </c>
      <c r="C52" s="14">
        <f>Table134[[#This Row],[PMI]]-B51</f>
        <v>0.40000000000000568</v>
      </c>
    </row>
    <row r="53" spans="1:3" x14ac:dyDescent="0.2">
      <c r="A53" s="15">
        <v>42522</v>
      </c>
      <c r="B53" s="14">
        <v>52.6</v>
      </c>
      <c r="C53" s="14">
        <f>Table134[[#This Row],[PMI]]-B52</f>
        <v>-0.10000000000000142</v>
      </c>
    </row>
    <row r="54" spans="1:3" x14ac:dyDescent="0.2">
      <c r="A54" s="15">
        <v>42552</v>
      </c>
      <c r="B54" s="14">
        <v>51.9</v>
      </c>
      <c r="C54" s="14">
        <f>Table134[[#This Row],[PMI]]-B53</f>
        <v>-0.70000000000000284</v>
      </c>
    </row>
    <row r="55" spans="1:3" x14ac:dyDescent="0.2">
      <c r="A55" s="15">
        <v>42583</v>
      </c>
      <c r="B55" s="14">
        <v>52.2</v>
      </c>
      <c r="C55" s="14">
        <f>Table134[[#This Row],[PMI]]-B54</f>
        <v>0.30000000000000426</v>
      </c>
    </row>
    <row r="56" spans="1:3" x14ac:dyDescent="0.2">
      <c r="A56" s="15">
        <v>42614</v>
      </c>
      <c r="B56" s="14">
        <v>52.9</v>
      </c>
      <c r="C56" s="14">
        <f>Table134[[#This Row],[PMI]]-B55</f>
        <v>0.69999999999999574</v>
      </c>
    </row>
    <row r="57" spans="1:3" x14ac:dyDescent="0.2">
      <c r="A57" s="15">
        <v>42644</v>
      </c>
      <c r="B57" s="14">
        <v>51.7</v>
      </c>
      <c r="C57" s="14">
        <f>Table134[[#This Row],[PMI]]-B56</f>
        <v>-1.1999999999999957</v>
      </c>
    </row>
    <row r="58" spans="1:3" x14ac:dyDescent="0.2">
      <c r="A58" s="15">
        <v>42675</v>
      </c>
      <c r="B58" s="14">
        <v>54</v>
      </c>
      <c r="C58" s="14">
        <f>Table134[[#This Row],[PMI]]-B57</f>
        <v>2.2999999999999972</v>
      </c>
    </row>
    <row r="59" spans="1:3" x14ac:dyDescent="0.2">
      <c r="A59" s="15">
        <v>42705</v>
      </c>
      <c r="B59" s="14">
        <v>52.4</v>
      </c>
      <c r="C59" s="14">
        <f>Table134[[#This Row],[PMI]]-B58</f>
        <v>-1.6000000000000014</v>
      </c>
    </row>
    <row r="60" spans="1:3" x14ac:dyDescent="0.2">
      <c r="A60" s="15">
        <v>42736</v>
      </c>
      <c r="B60" s="14">
        <v>51.9</v>
      </c>
      <c r="C60" s="14">
        <f>Table134[[#This Row],[PMI]]-B59</f>
        <v>-0.5</v>
      </c>
    </row>
    <row r="61" spans="1:3" x14ac:dyDescent="0.2">
      <c r="A61" s="15">
        <v>42767</v>
      </c>
      <c r="B61" s="14">
        <v>54.2</v>
      </c>
      <c r="C61" s="14">
        <f>Table134[[#This Row],[PMI]]-B60</f>
        <v>2.3000000000000043</v>
      </c>
    </row>
    <row r="62" spans="1:3" x14ac:dyDescent="0.2">
      <c r="A62" s="15">
        <v>42795</v>
      </c>
      <c r="B62" s="14">
        <v>54.6</v>
      </c>
      <c r="C62" s="14">
        <f>Table134[[#This Row],[PMI]]-B61</f>
        <v>0.39999999999999858</v>
      </c>
    </row>
    <row r="63" spans="1:3" x14ac:dyDescent="0.2">
      <c r="A63" s="15">
        <v>42826</v>
      </c>
      <c r="B63" s="14">
        <v>54.1</v>
      </c>
      <c r="C63" s="14">
        <f>Table134[[#This Row],[PMI]]-B62</f>
        <v>-0.5</v>
      </c>
    </row>
    <row r="64" spans="1:3" x14ac:dyDescent="0.2">
      <c r="A64" s="15">
        <v>42856</v>
      </c>
      <c r="B64" s="14">
        <v>51.6</v>
      </c>
      <c r="C64" s="14">
        <f>Table134[[#This Row],[PMI]]-B63</f>
        <v>-2.5</v>
      </c>
    </row>
    <row r="65" spans="1:3" x14ac:dyDescent="0.2">
      <c r="A65" s="15">
        <v>42887</v>
      </c>
      <c r="B65" s="14">
        <v>52.5</v>
      </c>
      <c r="C65" s="14">
        <f>Table134[[#This Row],[PMI]]-B64</f>
        <v>0.89999999999999858</v>
      </c>
    </row>
    <row r="66" spans="1:3" x14ac:dyDescent="0.2">
      <c r="A66" s="15">
        <v>42917</v>
      </c>
      <c r="B66" s="14">
        <v>51.7</v>
      </c>
      <c r="C66" s="14">
        <f>Table134[[#This Row],[PMI]]-B65</f>
        <v>-0.79999999999999716</v>
      </c>
    </row>
    <row r="67" spans="1:3" x14ac:dyDescent="0.2">
      <c r="A67" s="15">
        <v>42948</v>
      </c>
      <c r="B67" s="14">
        <v>51.8</v>
      </c>
      <c r="C67" s="14">
        <f>Table134[[#This Row],[PMI]]-B66</f>
        <v>9.9999999999994316E-2</v>
      </c>
    </row>
    <row r="68" spans="1:3" x14ac:dyDescent="0.2">
      <c r="A68" s="15">
        <v>42979</v>
      </c>
      <c r="B68" s="14">
        <v>53.3</v>
      </c>
      <c r="C68" s="14">
        <f>Table134[[#This Row],[PMI]]-B67</f>
        <v>1.5</v>
      </c>
    </row>
    <row r="69" spans="1:3" x14ac:dyDescent="0.2">
      <c r="A69" s="15">
        <v>43009</v>
      </c>
      <c r="B69" s="14">
        <v>51.6</v>
      </c>
      <c r="C69" s="14">
        <f>Table134[[#This Row],[PMI]]-B68</f>
        <v>-1.6999999999999957</v>
      </c>
    </row>
    <row r="70" spans="1:3" x14ac:dyDescent="0.2">
      <c r="A70" s="15">
        <v>43040</v>
      </c>
      <c r="B70" s="14">
        <v>51.4</v>
      </c>
      <c r="C70" s="14">
        <f>Table134[[#This Row],[PMI]]-B69</f>
        <v>-0.20000000000000284</v>
      </c>
    </row>
    <row r="71" spans="1:3" x14ac:dyDescent="0.2">
      <c r="A71" s="15">
        <v>43070</v>
      </c>
      <c r="B71" s="14">
        <v>52.5</v>
      </c>
      <c r="C71" s="14">
        <f>Table134[[#This Row],[PMI]]-B70</f>
        <v>1.1000000000000014</v>
      </c>
    </row>
    <row r="72" spans="1:3" x14ac:dyDescent="0.2">
      <c r="A72" s="15">
        <v>43101</v>
      </c>
      <c r="B72" s="14">
        <v>53.4</v>
      </c>
      <c r="C72" s="14">
        <f>Table134[[#This Row],[PMI]]-B71</f>
        <v>0.89999999999999858</v>
      </c>
    </row>
    <row r="73" spans="1:3" x14ac:dyDescent="0.2">
      <c r="A73" s="15">
        <v>43132</v>
      </c>
      <c r="B73" s="14">
        <v>53.5</v>
      </c>
      <c r="C73" s="14">
        <f>Table134[[#This Row],[PMI]]-B72</f>
        <v>0.10000000000000142</v>
      </c>
    </row>
    <row r="74" spans="1:3" x14ac:dyDescent="0.2">
      <c r="A74" s="15">
        <v>43160</v>
      </c>
      <c r="B74" s="14">
        <v>51.6</v>
      </c>
      <c r="C74" s="14">
        <f>Table134[[#This Row],[PMI]]-B73</f>
        <v>-1.8999999999999986</v>
      </c>
    </row>
    <row r="75" spans="1:3" x14ac:dyDescent="0.2">
      <c r="A75" s="15">
        <v>43191</v>
      </c>
      <c r="B75" s="14">
        <v>52.9</v>
      </c>
      <c r="C75" s="14">
        <f>Table134[[#This Row],[PMI]]-B74</f>
        <v>1.2999999999999972</v>
      </c>
    </row>
    <row r="76" spans="1:3" x14ac:dyDescent="0.2">
      <c r="A76" s="15">
        <v>43221</v>
      </c>
      <c r="B76" s="14">
        <v>53.9</v>
      </c>
      <c r="C76" s="14">
        <f>Table134[[#This Row],[PMI]]-B75</f>
        <v>1</v>
      </c>
    </row>
    <row r="77" spans="1:3" x14ac:dyDescent="0.2">
      <c r="A77" s="15">
        <v>43252</v>
      </c>
      <c r="B77" s="14">
        <v>55.7</v>
      </c>
      <c r="C77" s="14">
        <f>Table134[[#This Row],[PMI]]-B76</f>
        <v>1.8000000000000043</v>
      </c>
    </row>
    <row r="78" spans="1:3" x14ac:dyDescent="0.2">
      <c r="A78" s="15">
        <v>43282</v>
      </c>
      <c r="B78" s="14">
        <v>54.9</v>
      </c>
      <c r="C78" s="14">
        <f>Table134[[#This Row],[PMI]]-B77</f>
        <v>-0.80000000000000426</v>
      </c>
    </row>
    <row r="79" spans="1:3" x14ac:dyDescent="0.2">
      <c r="A79" s="15">
        <v>43313</v>
      </c>
      <c r="B79" s="14">
        <v>53.7</v>
      </c>
      <c r="C79" s="14">
        <f>Table134[[#This Row],[PMI]]-B78</f>
        <v>-1.1999999999999957</v>
      </c>
    </row>
    <row r="80" spans="1:3" x14ac:dyDescent="0.2">
      <c r="A80" s="15">
        <v>43344</v>
      </c>
      <c r="B80" s="14">
        <v>51.5</v>
      </c>
      <c r="C80" s="14">
        <f>Table134[[#This Row],[PMI]]-B79</f>
        <v>-2.2000000000000028</v>
      </c>
    </row>
    <row r="81" spans="1:3" x14ac:dyDescent="0.2">
      <c r="A81" s="15">
        <v>43374</v>
      </c>
      <c r="B81" s="14">
        <v>53.9</v>
      </c>
      <c r="C81" s="14">
        <f>Table134[[#This Row],[PMI]]-B80</f>
        <v>2.3999999999999986</v>
      </c>
    </row>
    <row r="82" spans="1:3" x14ac:dyDescent="0.2">
      <c r="A82" s="15">
        <v>43405</v>
      </c>
      <c r="B82" s="14">
        <v>56.5</v>
      </c>
      <c r="C82" s="14">
        <f>Table134[[#This Row],[PMI]]-B81</f>
        <v>2.6000000000000014</v>
      </c>
    </row>
    <row r="83" spans="1:3" x14ac:dyDescent="0.2">
      <c r="A83" s="15">
        <v>43435</v>
      </c>
      <c r="B83" s="14">
        <v>53.8</v>
      </c>
      <c r="C83" s="14">
        <f>Table134[[#This Row],[PMI]]-B82</f>
        <v>-2.7000000000000028</v>
      </c>
    </row>
    <row r="84" spans="1:3" x14ac:dyDescent="0.2">
      <c r="A84" s="15">
        <v>43466</v>
      </c>
      <c r="B84" s="14">
        <v>51.9</v>
      </c>
      <c r="C84" s="14">
        <f>Table134[[#This Row],[PMI]]-B83</f>
        <v>-1.8999999999999986</v>
      </c>
    </row>
    <row r="85" spans="1:3" x14ac:dyDescent="0.2">
      <c r="A85" s="15">
        <v>43497</v>
      </c>
      <c r="B85" s="14">
        <v>51.2</v>
      </c>
      <c r="C85" s="14">
        <f>Table134[[#This Row],[PMI]]-B84</f>
        <v>-0.69999999999999574</v>
      </c>
    </row>
    <row r="86" spans="1:3" x14ac:dyDescent="0.2">
      <c r="A86" s="15">
        <v>43525</v>
      </c>
      <c r="B86" s="14">
        <v>51.9</v>
      </c>
      <c r="C86" s="14">
        <f>Table134[[#This Row],[PMI]]-B85</f>
        <v>0.69999999999999574</v>
      </c>
    </row>
    <row r="87" spans="1:3" x14ac:dyDescent="0.2">
      <c r="A87" s="15">
        <v>43556</v>
      </c>
      <c r="B87" s="14">
        <v>52.5</v>
      </c>
      <c r="C87" s="14">
        <f>Table134[[#This Row],[PMI]]-B86</f>
        <v>0.60000000000000142</v>
      </c>
    </row>
    <row r="88" spans="1:3" x14ac:dyDescent="0.2">
      <c r="A88" s="15">
        <v>43586</v>
      </c>
      <c r="B88" s="14">
        <v>52</v>
      </c>
      <c r="C88" s="14">
        <f>Table134[[#This Row],[PMI]]-B87</f>
        <v>-0.5</v>
      </c>
    </row>
    <row r="89" spans="1:3" x14ac:dyDescent="0.2">
      <c r="A89" s="15">
        <v>43617</v>
      </c>
      <c r="B89" s="14">
        <v>52.5</v>
      </c>
      <c r="C89" s="14">
        <f>Table134[[#This Row],[PMI]]-B88</f>
        <v>0.5</v>
      </c>
    </row>
    <row r="90" spans="1:3" x14ac:dyDescent="0.2">
      <c r="A90" s="15">
        <v>43647</v>
      </c>
      <c r="B90" s="14">
        <v>52.6</v>
      </c>
      <c r="C90" s="14">
        <f>Table134[[#This Row],[PMI]]-B89</f>
        <v>0.10000000000000142</v>
      </c>
    </row>
    <row r="91" spans="1:3" x14ac:dyDescent="0.2">
      <c r="A91" s="15">
        <v>43678</v>
      </c>
      <c r="B91" s="14">
        <v>51.4</v>
      </c>
      <c r="C91" s="14">
        <f>Table134[[#This Row],[PMI]]-B90</f>
        <v>-1.2000000000000028</v>
      </c>
    </row>
    <row r="92" spans="1:3" x14ac:dyDescent="0.2">
      <c r="A92" s="15">
        <v>43709</v>
      </c>
      <c r="B92" s="14">
        <v>50.5</v>
      </c>
      <c r="C92" s="14">
        <f>Table134[[#This Row],[PMI]]-B91</f>
        <v>-0.89999999999999858</v>
      </c>
    </row>
    <row r="93" spans="1:3" x14ac:dyDescent="0.2">
      <c r="A93" s="15">
        <v>43739</v>
      </c>
      <c r="B93" s="14">
        <v>50</v>
      </c>
      <c r="C93" s="14">
        <f>Table134[[#This Row],[PMI]]-B92</f>
        <v>-0.5</v>
      </c>
    </row>
    <row r="94" spans="1:3" x14ac:dyDescent="0.2">
      <c r="A94" s="15">
        <v>43770</v>
      </c>
      <c r="B94" s="14">
        <v>51</v>
      </c>
      <c r="C94" s="14">
        <f>Table134[[#This Row],[PMI]]-B93</f>
        <v>1</v>
      </c>
    </row>
    <row r="95" spans="1:3" x14ac:dyDescent="0.2">
      <c r="A95" s="15">
        <v>43800</v>
      </c>
      <c r="B95" s="14">
        <v>50.8</v>
      </c>
      <c r="C95" s="14">
        <f>Table134[[#This Row],[PMI]]-B94</f>
        <v>-0.20000000000000284</v>
      </c>
    </row>
    <row r="96" spans="1:3" x14ac:dyDescent="0.2">
      <c r="A96" s="15">
        <v>43831</v>
      </c>
      <c r="B96" s="14">
        <v>50.6</v>
      </c>
      <c r="C96" s="14">
        <f>Table134[[#This Row],[PMI]]-B95</f>
        <v>-0.19999999999999574</v>
      </c>
    </row>
    <row r="97" spans="1:3" x14ac:dyDescent="0.2">
      <c r="A97" s="15">
        <v>43862</v>
      </c>
      <c r="B97" s="14">
        <v>49</v>
      </c>
      <c r="C97" s="14">
        <f>Table134[[#This Row],[PMI]]-B96</f>
        <v>-1.6000000000000014</v>
      </c>
    </row>
    <row r="98" spans="1:3" x14ac:dyDescent="0.2">
      <c r="A98" s="15">
        <v>43891</v>
      </c>
      <c r="B98" s="14">
        <v>41.9</v>
      </c>
      <c r="C98" s="14">
        <f>Table134[[#This Row],[PMI]]-B97</f>
        <v>-7.1000000000000014</v>
      </c>
    </row>
    <row r="99" spans="1:3" x14ac:dyDescent="0.2">
      <c r="A99" s="15">
        <v>43922</v>
      </c>
      <c r="B99" s="14">
        <v>32.700000000000003</v>
      </c>
      <c r="C99" s="14">
        <f>Table134[[#This Row],[PMI]]-B98</f>
        <v>-9.1999999999999957</v>
      </c>
    </row>
    <row r="100" spans="1:3" x14ac:dyDescent="0.2">
      <c r="A100" s="15">
        <v>43952</v>
      </c>
      <c r="B100" s="14">
        <v>42.7</v>
      </c>
      <c r="C100" s="14">
        <f>Table134[[#This Row],[PMI]]-B99</f>
        <v>10</v>
      </c>
    </row>
    <row r="101" spans="1:3" x14ac:dyDescent="0.2">
      <c r="A101" s="15">
        <v>43983</v>
      </c>
      <c r="B101" s="14">
        <v>51.1</v>
      </c>
      <c r="C101" s="14">
        <f>Table134[[#This Row],[PMI]]-B100</f>
        <v>8.3999999999999986</v>
      </c>
    </row>
    <row r="102" spans="1:3" x14ac:dyDescent="0.2">
      <c r="A102" s="15">
        <v>44013</v>
      </c>
      <c r="B102" s="14">
        <v>47.6</v>
      </c>
      <c r="C102" s="14">
        <f>Table134[[#This Row],[PMI]]-B101</f>
        <v>-3.5</v>
      </c>
    </row>
    <row r="103" spans="1:3" x14ac:dyDescent="0.2">
      <c r="A103" s="15">
        <v>44044</v>
      </c>
      <c r="B103" s="14">
        <v>45.7</v>
      </c>
      <c r="C103" s="14">
        <f>Table134[[#This Row],[PMI]]-B102</f>
        <v>-1.8999999999999986</v>
      </c>
    </row>
    <row r="104" spans="1:3" x14ac:dyDescent="0.2">
      <c r="A104" s="15">
        <v>44075</v>
      </c>
      <c r="B104" s="14">
        <v>52.2</v>
      </c>
      <c r="C104" s="14">
        <f>Table134[[#This Row],[PMI]]-B103</f>
        <v>6.5</v>
      </c>
    </row>
    <row r="105" spans="1:3" x14ac:dyDescent="0.2">
      <c r="A105" s="15">
        <v>44105</v>
      </c>
      <c r="B105" s="14">
        <v>51.8</v>
      </c>
      <c r="C105" s="14">
        <f>Table134[[#This Row],[PMI]]-B104</f>
        <v>-0.40000000000000568</v>
      </c>
    </row>
    <row r="106" spans="1:3" x14ac:dyDescent="0.2">
      <c r="A106" s="15">
        <v>44136</v>
      </c>
      <c r="B106" s="14">
        <v>49.9</v>
      </c>
      <c r="C106" s="14">
        <f>Table134[[#This Row],[PMI]]-B105</f>
        <v>-1.8999999999999986</v>
      </c>
    </row>
    <row r="107" spans="1:3" x14ac:dyDescent="0.2">
      <c r="A107" s="15">
        <v>44166</v>
      </c>
      <c r="B107" s="14">
        <v>51.7</v>
      </c>
      <c r="C107" s="14">
        <f>Table134[[#This Row],[PMI]]-B106</f>
        <v>1.8000000000000043</v>
      </c>
    </row>
    <row r="108" spans="1:3" x14ac:dyDescent="0.2">
      <c r="A108" s="15">
        <v>44197</v>
      </c>
      <c r="B108" s="14">
        <v>51.3</v>
      </c>
      <c r="C108" s="14">
        <f>Table134[[#This Row],[PMI]]-B107</f>
        <v>-0.40000000000000568</v>
      </c>
    </row>
    <row r="109" spans="1:3" x14ac:dyDescent="0.2">
      <c r="A109" s="15">
        <v>44228</v>
      </c>
      <c r="B109" s="14">
        <v>51.6</v>
      </c>
      <c r="C109" s="14">
        <f>Table134[[#This Row],[PMI]]-B108</f>
        <v>0.30000000000000426</v>
      </c>
    </row>
    <row r="110" spans="1:3" x14ac:dyDescent="0.2">
      <c r="A110" s="15">
        <v>44256</v>
      </c>
      <c r="B110" s="14">
        <v>53.6</v>
      </c>
      <c r="C110" s="14">
        <f>Table134[[#This Row],[PMI]]-B109</f>
        <v>2</v>
      </c>
    </row>
    <row r="111" spans="1:3" x14ac:dyDescent="0.2">
      <c r="A111" s="15">
        <v>44287</v>
      </c>
      <c r="B111" s="14">
        <v>54.7</v>
      </c>
      <c r="C111" s="14">
        <f>Table134[[#This Row],[PMI]]-B110</f>
        <v>1.1000000000000014</v>
      </c>
    </row>
    <row r="112" spans="1:3" x14ac:dyDescent="0.2">
      <c r="A112" s="15">
        <v>44317</v>
      </c>
      <c r="B112" s="14">
        <v>53.1</v>
      </c>
      <c r="C112" s="14">
        <f>Table134[[#This Row],[PMI]]-B111</f>
        <v>-1.6000000000000014</v>
      </c>
    </row>
    <row r="113" spans="1:3" x14ac:dyDescent="0.2">
      <c r="A113" s="15">
        <v>44348</v>
      </c>
      <c r="B113" s="14">
        <v>44.1</v>
      </c>
      <c r="C113" s="14">
        <f>Table134[[#This Row],[PMI]]-B112</f>
        <v>-9</v>
      </c>
    </row>
    <row r="114" spans="1:3" x14ac:dyDescent="0.2">
      <c r="A114" s="15">
        <v>44378</v>
      </c>
      <c r="B114" s="14">
        <v>45.1</v>
      </c>
      <c r="C114" s="14">
        <f>Table134[[#This Row],[PMI]]-B113</f>
        <v>1</v>
      </c>
    </row>
    <row r="115" spans="1:3" x14ac:dyDescent="0.2">
      <c r="A115" s="15">
        <v>44409</v>
      </c>
      <c r="B115" s="14">
        <v>40.200000000000003</v>
      </c>
      <c r="C115" s="14">
        <f>Table134[[#This Row],[PMI]]-B114</f>
        <v>-4.8999999999999986</v>
      </c>
    </row>
    <row r="116" spans="1:3" x14ac:dyDescent="0.2">
      <c r="A116" s="15">
        <v>44440</v>
      </c>
      <c r="B116" s="14">
        <v>40.200000000000003</v>
      </c>
      <c r="C116" s="14">
        <f>Table134[[#This Row],[PMI]]-B115</f>
        <v>0</v>
      </c>
    </row>
    <row r="117" spans="1:3" x14ac:dyDescent="0.2">
      <c r="A117" s="15">
        <v>44470</v>
      </c>
      <c r="B117" s="14">
        <v>52.1</v>
      </c>
      <c r="C117" s="14">
        <f>Table134[[#This Row],[PMI]]-B116</f>
        <v>11.899999999999999</v>
      </c>
    </row>
    <row r="118" spans="1:3" x14ac:dyDescent="0.2">
      <c r="A118" s="15">
        <v>44501</v>
      </c>
      <c r="B118" s="14">
        <v>52.2</v>
      </c>
      <c r="C118" s="14">
        <f>Table134[[#This Row],[PMI]]-B117</f>
        <v>0.10000000000000142</v>
      </c>
    </row>
    <row r="119" spans="1:3" x14ac:dyDescent="0.2">
      <c r="A119" s="15">
        <v>44531</v>
      </c>
      <c r="B119" s="14">
        <v>52.5</v>
      </c>
      <c r="C119" s="14">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82B9B-0741-4D44-A589-CEDBEBDF02F0}">
  <dimension ref="A1:K71"/>
  <sheetViews>
    <sheetView zoomScale="160" zoomScaleNormal="160" workbookViewId="0">
      <pane ySplit="5" topLeftCell="A32" activePane="bottomLeft" state="frozen"/>
      <selection pane="bottomLeft" activeCell="A6" sqref="A6:XFD6"/>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23</v>
      </c>
      <c r="K1" s="1" t="s">
        <v>21</v>
      </c>
    </row>
    <row r="2" spans="1:11" x14ac:dyDescent="0.2">
      <c r="K2" s="1" t="str">
        <f>A1&amp;K1</f>
        <v>Thailand Manufacturing PMI</v>
      </c>
    </row>
    <row r="4" spans="1:11" ht="16" thickBot="1" x14ac:dyDescent="0.25"/>
    <row r="5" spans="1:11" ht="16" thickBot="1" x14ac:dyDescent="0.25">
      <c r="A5" s="27" t="s">
        <v>10</v>
      </c>
      <c r="B5" s="28" t="s">
        <v>11</v>
      </c>
      <c r="C5" s="28" t="s">
        <v>14</v>
      </c>
    </row>
    <row r="6" spans="1:11" x14ac:dyDescent="0.2">
      <c r="A6" s="23">
        <v>42552</v>
      </c>
      <c r="B6" s="24">
        <v>49.3</v>
      </c>
      <c r="C6" s="24"/>
    </row>
    <row r="7" spans="1:11" x14ac:dyDescent="0.2">
      <c r="A7" s="15">
        <v>42583</v>
      </c>
      <c r="B7" s="14">
        <v>49.8</v>
      </c>
      <c r="C7" s="14">
        <f>Table1345[[#This Row],[PMI]]-B6</f>
        <v>0.5</v>
      </c>
    </row>
    <row r="8" spans="1:11" x14ac:dyDescent="0.2">
      <c r="A8" s="15">
        <v>42614</v>
      </c>
      <c r="B8" s="14">
        <v>48.8</v>
      </c>
      <c r="C8" s="14">
        <f>Table1345[[#This Row],[PMI]]-B7</f>
        <v>-1</v>
      </c>
    </row>
    <row r="9" spans="1:11" x14ac:dyDescent="0.2">
      <c r="A9" s="15">
        <v>42644</v>
      </c>
      <c r="B9" s="14">
        <v>48.8</v>
      </c>
      <c r="C9" s="14">
        <f>Table1345[[#This Row],[PMI]]-B8</f>
        <v>0</v>
      </c>
    </row>
    <row r="10" spans="1:11" x14ac:dyDescent="0.2">
      <c r="A10" s="15">
        <v>42675</v>
      </c>
      <c r="B10" s="14">
        <v>48.2</v>
      </c>
      <c r="C10" s="14">
        <f>Table1345[[#This Row],[PMI]]-B9</f>
        <v>-0.59999999999999432</v>
      </c>
    </row>
    <row r="11" spans="1:11" x14ac:dyDescent="0.2">
      <c r="A11" s="15">
        <v>42705</v>
      </c>
      <c r="B11" s="14">
        <v>50.6</v>
      </c>
      <c r="C11" s="14">
        <f>Table1345[[#This Row],[PMI]]-B10</f>
        <v>2.3999999999999986</v>
      </c>
    </row>
    <row r="12" spans="1:11" x14ac:dyDescent="0.2">
      <c r="A12" s="15">
        <v>42736</v>
      </c>
      <c r="B12" s="14">
        <v>50.6</v>
      </c>
      <c r="C12" s="14">
        <f>Table1345[[#This Row],[PMI]]-B11</f>
        <v>0</v>
      </c>
    </row>
    <row r="13" spans="1:11" x14ac:dyDescent="0.2">
      <c r="A13" s="15">
        <v>42767</v>
      </c>
      <c r="B13" s="14">
        <v>50.6</v>
      </c>
      <c r="C13" s="14">
        <f>Table1345[[#This Row],[PMI]]-B12</f>
        <v>0</v>
      </c>
    </row>
    <row r="14" spans="1:11" x14ac:dyDescent="0.2">
      <c r="A14" s="15">
        <v>42795</v>
      </c>
      <c r="B14" s="14">
        <v>50.2</v>
      </c>
      <c r="C14" s="14">
        <f>Table1345[[#This Row],[PMI]]-B13</f>
        <v>-0.39999999999999858</v>
      </c>
    </row>
    <row r="15" spans="1:11" x14ac:dyDescent="0.2">
      <c r="A15" s="15">
        <v>42826</v>
      </c>
      <c r="B15" s="14">
        <v>49.8</v>
      </c>
      <c r="C15" s="14">
        <f>Table1345[[#This Row],[PMI]]-B14</f>
        <v>-0.40000000000000568</v>
      </c>
    </row>
    <row r="16" spans="1:11" x14ac:dyDescent="0.2">
      <c r="A16" s="15">
        <v>42856</v>
      </c>
      <c r="B16" s="14">
        <v>49.7</v>
      </c>
      <c r="C16" s="14">
        <f>Table1345[[#This Row],[PMI]]-B15</f>
        <v>-9.9999999999994316E-2</v>
      </c>
    </row>
    <row r="17" spans="1:3" x14ac:dyDescent="0.2">
      <c r="A17" s="15">
        <v>42887</v>
      </c>
      <c r="B17" s="14">
        <v>50.4</v>
      </c>
      <c r="C17" s="14">
        <f>Table1345[[#This Row],[PMI]]-B16</f>
        <v>0.69999999999999574</v>
      </c>
    </row>
    <row r="18" spans="1:3" x14ac:dyDescent="0.2">
      <c r="A18" s="15">
        <v>42917</v>
      </c>
      <c r="B18" s="14">
        <v>49.6</v>
      </c>
      <c r="C18" s="14">
        <f>Table1345[[#This Row],[PMI]]-B17</f>
        <v>-0.79999999999999716</v>
      </c>
    </row>
    <row r="19" spans="1:3" x14ac:dyDescent="0.2">
      <c r="A19" s="15">
        <v>42948</v>
      </c>
      <c r="B19" s="14">
        <v>49.5</v>
      </c>
      <c r="C19" s="14">
        <f>Table1345[[#This Row],[PMI]]-B18</f>
        <v>-0.10000000000000142</v>
      </c>
    </row>
    <row r="20" spans="1:3" x14ac:dyDescent="0.2">
      <c r="A20" s="15">
        <v>42979</v>
      </c>
      <c r="B20" s="14">
        <v>50.3</v>
      </c>
      <c r="C20" s="14">
        <f>Table1345[[#This Row],[PMI]]-B19</f>
        <v>0.79999999999999716</v>
      </c>
    </row>
    <row r="21" spans="1:3" x14ac:dyDescent="0.2">
      <c r="A21" s="15">
        <v>43009</v>
      </c>
      <c r="B21" s="14">
        <v>49.8</v>
      </c>
      <c r="C21" s="14">
        <f>Table1345[[#This Row],[PMI]]-B20</f>
        <v>-0.5</v>
      </c>
    </row>
    <row r="22" spans="1:3" x14ac:dyDescent="0.2">
      <c r="A22" s="15">
        <v>43040</v>
      </c>
      <c r="B22" s="14">
        <v>50</v>
      </c>
      <c r="C22" s="14">
        <f>Table1345[[#This Row],[PMI]]-B21</f>
        <v>0.20000000000000284</v>
      </c>
    </row>
    <row r="23" spans="1:3" x14ac:dyDescent="0.2">
      <c r="A23" s="15">
        <v>43070</v>
      </c>
      <c r="B23" s="14">
        <v>50.4</v>
      </c>
      <c r="C23" s="14">
        <f>Table1345[[#This Row],[PMI]]-B22</f>
        <v>0.39999999999999858</v>
      </c>
    </row>
    <row r="24" spans="1:3" x14ac:dyDescent="0.2">
      <c r="A24" s="15">
        <v>43101</v>
      </c>
      <c r="B24" s="14">
        <v>50.6</v>
      </c>
      <c r="C24" s="14">
        <f>Table1345[[#This Row],[PMI]]-B23</f>
        <v>0.20000000000000284</v>
      </c>
    </row>
    <row r="25" spans="1:3" x14ac:dyDescent="0.2">
      <c r="A25" s="15">
        <v>43132</v>
      </c>
      <c r="B25" s="14">
        <v>50.9</v>
      </c>
      <c r="C25" s="14">
        <f>Table1345[[#This Row],[PMI]]-B24</f>
        <v>0.29999999999999716</v>
      </c>
    </row>
    <row r="26" spans="1:3" x14ac:dyDescent="0.2">
      <c r="A26" s="15">
        <v>43160</v>
      </c>
      <c r="B26" s="14">
        <v>49.1</v>
      </c>
      <c r="C26" s="14">
        <f>Table1345[[#This Row],[PMI]]-B25</f>
        <v>-1.7999999999999972</v>
      </c>
    </row>
    <row r="27" spans="1:3" x14ac:dyDescent="0.2">
      <c r="A27" s="15">
        <v>43191</v>
      </c>
      <c r="B27" s="14">
        <v>49.5</v>
      </c>
      <c r="C27" s="14">
        <f>Table1345[[#This Row],[PMI]]-B26</f>
        <v>0.39999999999999858</v>
      </c>
    </row>
    <row r="28" spans="1:3" x14ac:dyDescent="0.2">
      <c r="A28" s="15">
        <v>43221</v>
      </c>
      <c r="B28" s="14">
        <v>51.1</v>
      </c>
      <c r="C28" s="14">
        <f>Table1345[[#This Row],[PMI]]-B27</f>
        <v>1.6000000000000014</v>
      </c>
    </row>
    <row r="29" spans="1:3" x14ac:dyDescent="0.2">
      <c r="A29" s="15">
        <v>43252</v>
      </c>
      <c r="B29" s="14">
        <v>50.2</v>
      </c>
      <c r="C29" s="14">
        <f>Table1345[[#This Row],[PMI]]-B28</f>
        <v>-0.89999999999999858</v>
      </c>
    </row>
    <row r="30" spans="1:3" x14ac:dyDescent="0.2">
      <c r="A30" s="15">
        <v>43282</v>
      </c>
      <c r="B30" s="14">
        <v>50.1</v>
      </c>
      <c r="C30" s="14">
        <f>Table1345[[#This Row],[PMI]]-B29</f>
        <v>-0.10000000000000142</v>
      </c>
    </row>
    <row r="31" spans="1:3" x14ac:dyDescent="0.2">
      <c r="A31" s="15">
        <v>43313</v>
      </c>
      <c r="B31" s="14">
        <v>49.9</v>
      </c>
      <c r="C31" s="14">
        <f>Table1345[[#This Row],[PMI]]-B30</f>
        <v>-0.20000000000000284</v>
      </c>
    </row>
    <row r="32" spans="1:3" x14ac:dyDescent="0.2">
      <c r="A32" s="15">
        <v>43344</v>
      </c>
      <c r="B32" s="14">
        <v>50</v>
      </c>
      <c r="C32" s="14">
        <f>Table1345[[#This Row],[PMI]]-B31</f>
        <v>0.10000000000000142</v>
      </c>
    </row>
    <row r="33" spans="1:3" x14ac:dyDescent="0.2">
      <c r="A33" s="15">
        <v>43374</v>
      </c>
      <c r="B33" s="14">
        <v>48.9</v>
      </c>
      <c r="C33" s="14">
        <f>Table1345[[#This Row],[PMI]]-B32</f>
        <v>-1.1000000000000014</v>
      </c>
    </row>
    <row r="34" spans="1:3" x14ac:dyDescent="0.2">
      <c r="A34" s="15">
        <v>43405</v>
      </c>
      <c r="B34" s="14">
        <v>49.8</v>
      </c>
      <c r="C34" s="14">
        <f>Table1345[[#This Row],[PMI]]-B33</f>
        <v>0.89999999999999858</v>
      </c>
    </row>
    <row r="35" spans="1:3" x14ac:dyDescent="0.2">
      <c r="A35" s="15">
        <v>43435</v>
      </c>
      <c r="B35" s="14">
        <v>50.3</v>
      </c>
      <c r="C35" s="14">
        <f>Table1345[[#This Row],[PMI]]-B34</f>
        <v>0.5</v>
      </c>
    </row>
    <row r="36" spans="1:3" x14ac:dyDescent="0.2">
      <c r="A36" s="15">
        <v>43466</v>
      </c>
      <c r="B36" s="14">
        <v>50.2</v>
      </c>
      <c r="C36" s="14">
        <f>Table1345[[#This Row],[PMI]]-B35</f>
        <v>-9.9999999999994316E-2</v>
      </c>
    </row>
    <row r="37" spans="1:3" x14ac:dyDescent="0.2">
      <c r="A37" s="15">
        <v>43497</v>
      </c>
      <c r="B37" s="14">
        <v>49.9</v>
      </c>
      <c r="C37" s="14">
        <f>Table1345[[#This Row],[PMI]]-B36</f>
        <v>-0.30000000000000426</v>
      </c>
    </row>
    <row r="38" spans="1:3" x14ac:dyDescent="0.2">
      <c r="A38" s="15">
        <v>43525</v>
      </c>
      <c r="B38" s="14">
        <v>50.3</v>
      </c>
      <c r="C38" s="14">
        <f>Table1345[[#This Row],[PMI]]-B37</f>
        <v>0.39999999999999858</v>
      </c>
    </row>
    <row r="39" spans="1:3" x14ac:dyDescent="0.2">
      <c r="A39" s="15">
        <v>43556</v>
      </c>
      <c r="B39" s="14">
        <v>51</v>
      </c>
      <c r="C39" s="14">
        <f>Table1345[[#This Row],[PMI]]-B38</f>
        <v>0.70000000000000284</v>
      </c>
    </row>
    <row r="40" spans="1:3" x14ac:dyDescent="0.2">
      <c r="A40" s="15">
        <v>43586</v>
      </c>
      <c r="B40" s="14">
        <v>50.7</v>
      </c>
      <c r="C40" s="14">
        <f>Table1345[[#This Row],[PMI]]-B39</f>
        <v>-0.29999999999999716</v>
      </c>
    </row>
    <row r="41" spans="1:3" x14ac:dyDescent="0.2">
      <c r="A41" s="15">
        <v>43617</v>
      </c>
      <c r="B41" s="14">
        <v>50.6</v>
      </c>
      <c r="C41" s="14">
        <f>Table1345[[#This Row],[PMI]]-B40</f>
        <v>-0.10000000000000142</v>
      </c>
    </row>
    <row r="42" spans="1:3" x14ac:dyDescent="0.2">
      <c r="A42" s="15">
        <v>43647</v>
      </c>
      <c r="B42" s="14">
        <v>50.3</v>
      </c>
      <c r="C42" s="14">
        <f>Table1345[[#This Row],[PMI]]-B41</f>
        <v>-0.30000000000000426</v>
      </c>
    </row>
    <row r="43" spans="1:3" x14ac:dyDescent="0.2">
      <c r="A43" s="15">
        <v>43678</v>
      </c>
      <c r="B43" s="14">
        <v>50</v>
      </c>
      <c r="C43" s="14">
        <f>Table1345[[#This Row],[PMI]]-B42</f>
        <v>-0.29999999999999716</v>
      </c>
    </row>
    <row r="44" spans="1:3" x14ac:dyDescent="0.2">
      <c r="A44" s="15">
        <v>43709</v>
      </c>
      <c r="B44" s="14">
        <v>50.6</v>
      </c>
      <c r="C44" s="14">
        <f>Table1345[[#This Row],[PMI]]-B43</f>
        <v>0.60000000000000142</v>
      </c>
    </row>
    <row r="45" spans="1:3" x14ac:dyDescent="0.2">
      <c r="A45" s="15">
        <v>43739</v>
      </c>
      <c r="B45" s="14">
        <v>50</v>
      </c>
      <c r="C45" s="14">
        <f>Table1345[[#This Row],[PMI]]-B44</f>
        <v>-0.60000000000000142</v>
      </c>
    </row>
    <row r="46" spans="1:3" x14ac:dyDescent="0.2">
      <c r="A46" s="15">
        <v>43770</v>
      </c>
      <c r="B46" s="14">
        <v>49.3</v>
      </c>
      <c r="C46" s="14">
        <f>Table1345[[#This Row],[PMI]]-B45</f>
        <v>-0.70000000000000284</v>
      </c>
    </row>
    <row r="47" spans="1:3" x14ac:dyDescent="0.2">
      <c r="A47" s="15">
        <v>43800</v>
      </c>
      <c r="B47" s="14">
        <v>50.1</v>
      </c>
      <c r="C47" s="14">
        <f>Table1345[[#This Row],[PMI]]-B46</f>
        <v>0.80000000000000426</v>
      </c>
    </row>
    <row r="48" spans="1:3" x14ac:dyDescent="0.2">
      <c r="A48" s="15">
        <v>43831</v>
      </c>
      <c r="B48" s="14">
        <v>49.9</v>
      </c>
      <c r="C48" s="14">
        <f>Table1345[[#This Row],[PMI]]-B47</f>
        <v>-0.20000000000000284</v>
      </c>
    </row>
    <row r="49" spans="1:3" x14ac:dyDescent="0.2">
      <c r="A49" s="15">
        <v>43862</v>
      </c>
      <c r="B49" s="14">
        <v>49.5</v>
      </c>
      <c r="C49" s="14">
        <f>Table1345[[#This Row],[PMI]]-B48</f>
        <v>-0.39999999999999858</v>
      </c>
    </row>
    <row r="50" spans="1:3" x14ac:dyDescent="0.2">
      <c r="A50" s="15">
        <v>43891</v>
      </c>
      <c r="B50" s="14">
        <v>46.7</v>
      </c>
      <c r="C50" s="14">
        <f>Table1345[[#This Row],[PMI]]-B49</f>
        <v>-2.7999999999999972</v>
      </c>
    </row>
    <row r="51" spans="1:3" x14ac:dyDescent="0.2">
      <c r="A51" s="15">
        <v>43922</v>
      </c>
      <c r="B51" s="14">
        <v>36.799999999999997</v>
      </c>
      <c r="C51" s="14">
        <f>Table1345[[#This Row],[PMI]]-B50</f>
        <v>-9.9000000000000057</v>
      </c>
    </row>
    <row r="52" spans="1:3" x14ac:dyDescent="0.2">
      <c r="A52" s="15">
        <v>43952</v>
      </c>
      <c r="B52" s="14">
        <v>41.6</v>
      </c>
      <c r="C52" s="14">
        <f>Table1345[[#This Row],[PMI]]-B51</f>
        <v>4.8000000000000043</v>
      </c>
    </row>
    <row r="53" spans="1:3" x14ac:dyDescent="0.2">
      <c r="A53" s="15">
        <v>43983</v>
      </c>
      <c r="B53" s="14">
        <v>43.5</v>
      </c>
      <c r="C53" s="14">
        <f>Table1345[[#This Row],[PMI]]-B52</f>
        <v>1.8999999999999986</v>
      </c>
    </row>
    <row r="54" spans="1:3" x14ac:dyDescent="0.2">
      <c r="A54" s="15">
        <v>44013</v>
      </c>
      <c r="B54" s="14">
        <v>45.9</v>
      </c>
      <c r="C54" s="14">
        <f>Table1345[[#This Row],[PMI]]-B53</f>
        <v>2.3999999999999986</v>
      </c>
    </row>
    <row r="55" spans="1:3" x14ac:dyDescent="0.2">
      <c r="A55" s="15">
        <v>44044</v>
      </c>
      <c r="B55" s="14">
        <v>49.7</v>
      </c>
      <c r="C55" s="14">
        <f>Table1345[[#This Row],[PMI]]-B54</f>
        <v>3.8000000000000043</v>
      </c>
    </row>
    <row r="56" spans="1:3" x14ac:dyDescent="0.2">
      <c r="A56" s="15">
        <v>44075</v>
      </c>
      <c r="B56" s="14">
        <v>49.9</v>
      </c>
      <c r="C56" s="14">
        <f>Table1345[[#This Row],[PMI]]-B55</f>
        <v>0.19999999999999574</v>
      </c>
    </row>
    <row r="57" spans="1:3" x14ac:dyDescent="0.2">
      <c r="A57" s="15">
        <v>44105</v>
      </c>
      <c r="B57" s="14">
        <v>50.8</v>
      </c>
      <c r="C57" s="14">
        <f>Table1345[[#This Row],[PMI]]-B56</f>
        <v>0.89999999999999858</v>
      </c>
    </row>
    <row r="58" spans="1:3" x14ac:dyDescent="0.2">
      <c r="A58" s="15">
        <v>44136</v>
      </c>
      <c r="B58" s="14">
        <v>50.4</v>
      </c>
      <c r="C58" s="14">
        <f>Table1345[[#This Row],[PMI]]-B57</f>
        <v>-0.39999999999999858</v>
      </c>
    </row>
    <row r="59" spans="1:3" x14ac:dyDescent="0.2">
      <c r="A59" s="15">
        <v>44166</v>
      </c>
      <c r="B59" s="14">
        <v>50.8</v>
      </c>
      <c r="C59" s="14">
        <f>Table1345[[#This Row],[PMI]]-B58</f>
        <v>0.39999999999999858</v>
      </c>
    </row>
    <row r="60" spans="1:3" x14ac:dyDescent="0.2">
      <c r="A60" s="15">
        <v>44197</v>
      </c>
      <c r="B60" s="14">
        <v>49</v>
      </c>
      <c r="C60" s="14">
        <f>Table1345[[#This Row],[PMI]]-B59</f>
        <v>-1.7999999999999972</v>
      </c>
    </row>
    <row r="61" spans="1:3" x14ac:dyDescent="0.2">
      <c r="A61" s="15">
        <v>44228</v>
      </c>
      <c r="B61" s="14">
        <v>47.2</v>
      </c>
      <c r="C61" s="14">
        <f>Table1345[[#This Row],[PMI]]-B60</f>
        <v>-1.7999999999999972</v>
      </c>
    </row>
    <row r="62" spans="1:3" x14ac:dyDescent="0.2">
      <c r="A62" s="15">
        <v>44256</v>
      </c>
      <c r="B62" s="14">
        <v>48.8</v>
      </c>
      <c r="C62" s="14">
        <f>Table1345[[#This Row],[PMI]]-B61</f>
        <v>1.5999999999999943</v>
      </c>
    </row>
    <row r="63" spans="1:3" x14ac:dyDescent="0.2">
      <c r="A63" s="15">
        <v>44287</v>
      </c>
      <c r="B63" s="14">
        <v>50.7</v>
      </c>
      <c r="C63" s="14">
        <f>Table1345[[#This Row],[PMI]]-B62</f>
        <v>1.9000000000000057</v>
      </c>
    </row>
    <row r="64" spans="1:3" x14ac:dyDescent="0.2">
      <c r="A64" s="15">
        <v>44317</v>
      </c>
      <c r="B64" s="14">
        <v>47.8</v>
      </c>
      <c r="C64" s="14">
        <f>Table1345[[#This Row],[PMI]]-B63</f>
        <v>-2.9000000000000057</v>
      </c>
    </row>
    <row r="65" spans="1:3" x14ac:dyDescent="0.2">
      <c r="A65" s="15">
        <v>44348</v>
      </c>
      <c r="B65" s="14">
        <v>49.5</v>
      </c>
      <c r="C65" s="14">
        <f>Table1345[[#This Row],[PMI]]-B64</f>
        <v>1.7000000000000028</v>
      </c>
    </row>
    <row r="66" spans="1:3" x14ac:dyDescent="0.2">
      <c r="A66" s="15">
        <v>44378</v>
      </c>
      <c r="B66" s="14">
        <v>48.7</v>
      </c>
      <c r="C66" s="14">
        <f>Table1345[[#This Row],[PMI]]-B65</f>
        <v>-0.79999999999999716</v>
      </c>
    </row>
    <row r="67" spans="1:3" x14ac:dyDescent="0.2">
      <c r="A67" s="15">
        <v>44409</v>
      </c>
      <c r="B67" s="14">
        <v>48.3</v>
      </c>
      <c r="C67" s="14">
        <f>Table1345[[#This Row],[PMI]]-B66</f>
        <v>-0.40000000000000568</v>
      </c>
    </row>
    <row r="68" spans="1:3" x14ac:dyDescent="0.2">
      <c r="A68" s="15">
        <v>44440</v>
      </c>
      <c r="B68" s="14">
        <v>48.9</v>
      </c>
      <c r="C68" s="14">
        <f>Table1345[[#This Row],[PMI]]-B67</f>
        <v>0.60000000000000142</v>
      </c>
    </row>
    <row r="69" spans="1:3" x14ac:dyDescent="0.2">
      <c r="A69" s="15">
        <v>44470</v>
      </c>
      <c r="B69" s="14">
        <v>50.9</v>
      </c>
      <c r="C69" s="14">
        <f>Table1345[[#This Row],[PMI]]-B68</f>
        <v>2</v>
      </c>
    </row>
    <row r="70" spans="1:3" x14ac:dyDescent="0.2">
      <c r="A70" s="15">
        <v>44501</v>
      </c>
      <c r="B70" s="14">
        <v>50.6</v>
      </c>
      <c r="C70" s="14">
        <f>Table1345[[#This Row],[PMI]]-B69</f>
        <v>-0.29999999999999716</v>
      </c>
    </row>
    <row r="71" spans="1:3" x14ac:dyDescent="0.2">
      <c r="A71" s="15">
        <v>44531</v>
      </c>
      <c r="B71" s="14">
        <v>49.5</v>
      </c>
      <c r="C71" s="14">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521FF-0D39-472A-8F72-8F64C39E56CC}">
  <dimension ref="A1:K268"/>
  <sheetViews>
    <sheetView zoomScale="170" zoomScaleNormal="170" workbookViewId="0">
      <pane ySplit="5" topLeftCell="A231" activePane="bottomLeft" state="frozen"/>
      <selection pane="bottomLeft" activeCell="A6" sqref="A6:XFD6"/>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24</v>
      </c>
      <c r="K1" s="1" t="s">
        <v>21</v>
      </c>
    </row>
    <row r="2" spans="1:11" x14ac:dyDescent="0.2">
      <c r="K2" s="1" t="str">
        <f>A1&amp;K1</f>
        <v>South Africa Manufacturing PMI</v>
      </c>
    </row>
    <row r="4" spans="1:11" ht="16" thickBot="1" x14ac:dyDescent="0.25"/>
    <row r="5" spans="1:11" ht="16" thickBot="1" x14ac:dyDescent="0.25">
      <c r="A5" s="27" t="s">
        <v>10</v>
      </c>
      <c r="B5" s="28" t="s">
        <v>11</v>
      </c>
      <c r="C5" s="28" t="s">
        <v>14</v>
      </c>
    </row>
    <row r="6" spans="1:11" x14ac:dyDescent="0.2">
      <c r="A6" s="23">
        <v>36526</v>
      </c>
      <c r="B6" s="24">
        <v>56.66</v>
      </c>
      <c r="C6" s="24"/>
    </row>
    <row r="7" spans="1:11" x14ac:dyDescent="0.2">
      <c r="A7" s="15">
        <v>36557</v>
      </c>
      <c r="B7" s="14">
        <v>57.26</v>
      </c>
      <c r="C7" s="14">
        <f>Table1346[[#This Row],[PMI]]-B6</f>
        <v>0.60000000000000142</v>
      </c>
    </row>
    <row r="8" spans="1:11" x14ac:dyDescent="0.2">
      <c r="A8" s="15">
        <v>36586</v>
      </c>
      <c r="B8" s="14">
        <v>49.83</v>
      </c>
      <c r="C8" s="14">
        <f>Table1346[[#This Row],[PMI]]-B7</f>
        <v>-7.43</v>
      </c>
    </row>
    <row r="9" spans="1:11" x14ac:dyDescent="0.2">
      <c r="A9" s="15">
        <v>36617</v>
      </c>
      <c r="B9" s="14">
        <v>52.72</v>
      </c>
      <c r="C9" s="14">
        <f>Table1346[[#This Row],[PMI]]-B8</f>
        <v>2.8900000000000006</v>
      </c>
    </row>
    <row r="10" spans="1:11" x14ac:dyDescent="0.2">
      <c r="A10" s="15">
        <v>36647</v>
      </c>
      <c r="B10" s="14">
        <v>50.05</v>
      </c>
      <c r="C10" s="14">
        <f>Table1346[[#This Row],[PMI]]-B9</f>
        <v>-2.6700000000000017</v>
      </c>
    </row>
    <row r="11" spans="1:11" x14ac:dyDescent="0.2">
      <c r="A11" s="15">
        <v>36678</v>
      </c>
      <c r="B11" s="14">
        <v>49.65</v>
      </c>
      <c r="C11" s="14">
        <f>Table1346[[#This Row],[PMI]]-B10</f>
        <v>-0.39999999999999858</v>
      </c>
    </row>
    <row r="12" spans="1:11" x14ac:dyDescent="0.2">
      <c r="A12" s="15">
        <v>36708</v>
      </c>
      <c r="B12" s="14">
        <v>49.18</v>
      </c>
      <c r="C12" s="14">
        <f>Table1346[[#This Row],[PMI]]-B11</f>
        <v>-0.46999999999999886</v>
      </c>
    </row>
    <row r="13" spans="1:11" x14ac:dyDescent="0.2">
      <c r="A13" s="15">
        <v>36739</v>
      </c>
      <c r="B13" s="14">
        <v>51.48</v>
      </c>
      <c r="C13" s="14">
        <f>Table1346[[#This Row],[PMI]]-B12</f>
        <v>2.2999999999999972</v>
      </c>
    </row>
    <row r="14" spans="1:11" x14ac:dyDescent="0.2">
      <c r="A14" s="15">
        <v>36770</v>
      </c>
      <c r="B14" s="14">
        <v>53.75</v>
      </c>
      <c r="C14" s="14">
        <f>Table1346[[#This Row],[PMI]]-B13</f>
        <v>2.2700000000000031</v>
      </c>
    </row>
    <row r="15" spans="1:11" x14ac:dyDescent="0.2">
      <c r="A15" s="15">
        <v>36800</v>
      </c>
      <c r="B15" s="14">
        <v>56.34</v>
      </c>
      <c r="C15" s="14">
        <f>Table1346[[#This Row],[PMI]]-B14</f>
        <v>2.5900000000000034</v>
      </c>
    </row>
    <row r="16" spans="1:11" x14ac:dyDescent="0.2">
      <c r="A16" s="15">
        <v>36831</v>
      </c>
      <c r="B16" s="14">
        <v>51.73</v>
      </c>
      <c r="C16" s="14">
        <f>Table1346[[#This Row],[PMI]]-B15</f>
        <v>-4.6100000000000065</v>
      </c>
    </row>
    <row r="17" spans="1:3" x14ac:dyDescent="0.2">
      <c r="A17" s="15">
        <v>36861</v>
      </c>
      <c r="B17" s="14">
        <v>50.48</v>
      </c>
      <c r="C17" s="14">
        <f>Table1346[[#This Row],[PMI]]-B16</f>
        <v>-1.25</v>
      </c>
    </row>
    <row r="18" spans="1:3" x14ac:dyDescent="0.2">
      <c r="A18" s="15">
        <v>36892</v>
      </c>
      <c r="B18" s="14">
        <v>49.29</v>
      </c>
      <c r="C18" s="14">
        <f>Table1346[[#This Row],[PMI]]-B17</f>
        <v>-1.1899999999999977</v>
      </c>
    </row>
    <row r="19" spans="1:3" x14ac:dyDescent="0.2">
      <c r="A19" s="15">
        <v>36923</v>
      </c>
      <c r="B19" s="14">
        <v>53.48</v>
      </c>
      <c r="C19" s="14">
        <f>Table1346[[#This Row],[PMI]]-B18</f>
        <v>4.1899999999999977</v>
      </c>
    </row>
    <row r="20" spans="1:3" x14ac:dyDescent="0.2">
      <c r="A20" s="15">
        <v>36951</v>
      </c>
      <c r="B20" s="14">
        <v>53.61</v>
      </c>
      <c r="C20" s="14">
        <f>Table1346[[#This Row],[PMI]]-B19</f>
        <v>0.13000000000000256</v>
      </c>
    </row>
    <row r="21" spans="1:3" x14ac:dyDescent="0.2">
      <c r="A21" s="15">
        <v>36982</v>
      </c>
      <c r="B21" s="14">
        <v>52.38</v>
      </c>
      <c r="C21" s="14">
        <f>Table1346[[#This Row],[PMI]]-B20</f>
        <v>-1.2299999999999969</v>
      </c>
    </row>
    <row r="22" spans="1:3" x14ac:dyDescent="0.2">
      <c r="A22" s="15">
        <v>37012</v>
      </c>
      <c r="B22" s="14">
        <v>55.01</v>
      </c>
      <c r="C22" s="14">
        <f>Table1346[[#This Row],[PMI]]-B21</f>
        <v>2.6299999999999955</v>
      </c>
    </row>
    <row r="23" spans="1:3" x14ac:dyDescent="0.2">
      <c r="A23" s="15">
        <v>37043</v>
      </c>
      <c r="B23" s="14">
        <v>56.17</v>
      </c>
      <c r="C23" s="14">
        <f>Table1346[[#This Row],[PMI]]-B22</f>
        <v>1.1600000000000037</v>
      </c>
    </row>
    <row r="24" spans="1:3" x14ac:dyDescent="0.2">
      <c r="A24" s="15">
        <v>37073</v>
      </c>
      <c r="B24" s="14">
        <v>51.34</v>
      </c>
      <c r="C24" s="14">
        <f>Table1346[[#This Row],[PMI]]-B23</f>
        <v>-4.8299999999999983</v>
      </c>
    </row>
    <row r="25" spans="1:3" x14ac:dyDescent="0.2">
      <c r="A25" s="15">
        <v>37104</v>
      </c>
      <c r="B25" s="14">
        <v>51.22</v>
      </c>
      <c r="C25" s="14">
        <f>Table1346[[#This Row],[PMI]]-B24</f>
        <v>-0.12000000000000455</v>
      </c>
    </row>
    <row r="26" spans="1:3" x14ac:dyDescent="0.2">
      <c r="A26" s="15">
        <v>37135</v>
      </c>
      <c r="B26" s="14">
        <v>48.76</v>
      </c>
      <c r="C26" s="14">
        <f>Table1346[[#This Row],[PMI]]-B25</f>
        <v>-2.4600000000000009</v>
      </c>
    </row>
    <row r="27" spans="1:3" x14ac:dyDescent="0.2">
      <c r="A27" s="15">
        <v>37165</v>
      </c>
      <c r="B27" s="14">
        <v>50.25</v>
      </c>
      <c r="C27" s="14">
        <f>Table1346[[#This Row],[PMI]]-B26</f>
        <v>1.490000000000002</v>
      </c>
    </row>
    <row r="28" spans="1:3" x14ac:dyDescent="0.2">
      <c r="A28" s="15">
        <v>37196</v>
      </c>
      <c r="B28" s="14">
        <v>54.35</v>
      </c>
      <c r="C28" s="14">
        <f>Table1346[[#This Row],[PMI]]-B27</f>
        <v>4.1000000000000014</v>
      </c>
    </row>
    <row r="29" spans="1:3" x14ac:dyDescent="0.2">
      <c r="A29" s="15">
        <v>37226</v>
      </c>
      <c r="B29" s="14">
        <v>55.35</v>
      </c>
      <c r="C29" s="14">
        <f>Table1346[[#This Row],[PMI]]-B28</f>
        <v>1</v>
      </c>
    </row>
    <row r="30" spans="1:3" x14ac:dyDescent="0.2">
      <c r="A30" s="15">
        <v>37257</v>
      </c>
      <c r="B30" s="14">
        <v>55.53</v>
      </c>
      <c r="C30" s="14">
        <f>Table1346[[#This Row],[PMI]]-B29</f>
        <v>0.17999999999999972</v>
      </c>
    </row>
    <row r="31" spans="1:3" x14ac:dyDescent="0.2">
      <c r="A31" s="15">
        <v>37288</v>
      </c>
      <c r="B31" s="14">
        <v>53.87</v>
      </c>
      <c r="C31" s="14">
        <f>Table1346[[#This Row],[PMI]]-B30</f>
        <v>-1.6600000000000037</v>
      </c>
    </row>
    <row r="32" spans="1:3" x14ac:dyDescent="0.2">
      <c r="A32" s="15">
        <v>37316</v>
      </c>
      <c r="B32" s="14">
        <v>53.63</v>
      </c>
      <c r="C32" s="14">
        <f>Table1346[[#This Row],[PMI]]-B31</f>
        <v>-0.23999999999999488</v>
      </c>
    </row>
    <row r="33" spans="1:3" x14ac:dyDescent="0.2">
      <c r="A33" s="15">
        <v>37347</v>
      </c>
      <c r="B33" s="14">
        <v>60.87</v>
      </c>
      <c r="C33" s="14">
        <f>Table1346[[#This Row],[PMI]]-B32</f>
        <v>7.2399999999999949</v>
      </c>
    </row>
    <row r="34" spans="1:3" x14ac:dyDescent="0.2">
      <c r="A34" s="15">
        <v>37377</v>
      </c>
      <c r="B34" s="14">
        <v>58.74</v>
      </c>
      <c r="C34" s="14">
        <f>Table1346[[#This Row],[PMI]]-B33</f>
        <v>-2.1299999999999955</v>
      </c>
    </row>
    <row r="35" spans="1:3" x14ac:dyDescent="0.2">
      <c r="A35" s="15">
        <v>37408</v>
      </c>
      <c r="B35" s="14">
        <v>56.43</v>
      </c>
      <c r="C35" s="14">
        <f>Table1346[[#This Row],[PMI]]-B34</f>
        <v>-2.3100000000000023</v>
      </c>
    </row>
    <row r="36" spans="1:3" x14ac:dyDescent="0.2">
      <c r="A36" s="15">
        <v>37438</v>
      </c>
      <c r="B36" s="14">
        <v>54.63</v>
      </c>
      <c r="C36" s="14">
        <f>Table1346[[#This Row],[PMI]]-B35</f>
        <v>-1.7999999999999972</v>
      </c>
    </row>
    <row r="37" spans="1:3" x14ac:dyDescent="0.2">
      <c r="A37" s="15">
        <v>37469</v>
      </c>
      <c r="B37" s="14">
        <v>55.58</v>
      </c>
      <c r="C37" s="14">
        <f>Table1346[[#This Row],[PMI]]-B36</f>
        <v>0.94999999999999574</v>
      </c>
    </row>
    <row r="38" spans="1:3" x14ac:dyDescent="0.2">
      <c r="A38" s="15">
        <v>37500</v>
      </c>
      <c r="B38" s="14">
        <v>57.74</v>
      </c>
      <c r="C38" s="14">
        <f>Table1346[[#This Row],[PMI]]-B37</f>
        <v>2.1600000000000037</v>
      </c>
    </row>
    <row r="39" spans="1:3" x14ac:dyDescent="0.2">
      <c r="A39" s="15">
        <v>37530</v>
      </c>
      <c r="B39" s="14">
        <v>56.38</v>
      </c>
      <c r="C39" s="14">
        <f>Table1346[[#This Row],[PMI]]-B38</f>
        <v>-1.3599999999999994</v>
      </c>
    </row>
    <row r="40" spans="1:3" x14ac:dyDescent="0.2">
      <c r="A40" s="15">
        <v>37561</v>
      </c>
      <c r="B40" s="14">
        <v>54.54</v>
      </c>
      <c r="C40" s="14">
        <f>Table1346[[#This Row],[PMI]]-B39</f>
        <v>-1.8400000000000034</v>
      </c>
    </row>
    <row r="41" spans="1:3" x14ac:dyDescent="0.2">
      <c r="A41" s="15">
        <v>37591</v>
      </c>
      <c r="B41" s="14">
        <v>55.28</v>
      </c>
      <c r="C41" s="14">
        <f>Table1346[[#This Row],[PMI]]-B40</f>
        <v>0.74000000000000199</v>
      </c>
    </row>
    <row r="42" spans="1:3" x14ac:dyDescent="0.2">
      <c r="A42" s="15">
        <v>37622</v>
      </c>
      <c r="B42" s="14">
        <v>56.84</v>
      </c>
      <c r="C42" s="14">
        <f>Table1346[[#This Row],[PMI]]-B41</f>
        <v>1.5600000000000023</v>
      </c>
    </row>
    <row r="43" spans="1:3" x14ac:dyDescent="0.2">
      <c r="A43" s="15">
        <v>37653</v>
      </c>
      <c r="B43" s="14">
        <v>52.39</v>
      </c>
      <c r="C43" s="14">
        <f>Table1346[[#This Row],[PMI]]-B42</f>
        <v>-4.4500000000000028</v>
      </c>
    </row>
    <row r="44" spans="1:3" x14ac:dyDescent="0.2">
      <c r="A44" s="15">
        <v>37681</v>
      </c>
      <c r="B44" s="14">
        <v>49.15</v>
      </c>
      <c r="C44" s="14">
        <f>Table1346[[#This Row],[PMI]]-B43</f>
        <v>-3.240000000000002</v>
      </c>
    </row>
    <row r="45" spans="1:3" x14ac:dyDescent="0.2">
      <c r="A45" s="15">
        <v>37712</v>
      </c>
      <c r="B45" s="14">
        <v>48.99</v>
      </c>
      <c r="C45" s="14">
        <f>Table1346[[#This Row],[PMI]]-B44</f>
        <v>-0.15999999999999659</v>
      </c>
    </row>
    <row r="46" spans="1:3" x14ac:dyDescent="0.2">
      <c r="A46" s="15">
        <v>37742</v>
      </c>
      <c r="B46" s="14">
        <v>46.13</v>
      </c>
      <c r="C46" s="14">
        <f>Table1346[[#This Row],[PMI]]-B45</f>
        <v>-2.8599999999999994</v>
      </c>
    </row>
    <row r="47" spans="1:3" x14ac:dyDescent="0.2">
      <c r="A47" s="15">
        <v>37773</v>
      </c>
      <c r="B47" s="14">
        <v>45.22</v>
      </c>
      <c r="C47" s="14">
        <f>Table1346[[#This Row],[PMI]]-B46</f>
        <v>-0.91000000000000369</v>
      </c>
    </row>
    <row r="48" spans="1:3" x14ac:dyDescent="0.2">
      <c r="A48" s="15">
        <v>37803</v>
      </c>
      <c r="B48" s="14">
        <v>47.89</v>
      </c>
      <c r="C48" s="14">
        <f>Table1346[[#This Row],[PMI]]-B47</f>
        <v>2.6700000000000017</v>
      </c>
    </row>
    <row r="49" spans="1:3" x14ac:dyDescent="0.2">
      <c r="A49" s="15">
        <v>37834</v>
      </c>
      <c r="B49" s="14">
        <v>48.44</v>
      </c>
      <c r="C49" s="14">
        <f>Table1346[[#This Row],[PMI]]-B48</f>
        <v>0.54999999999999716</v>
      </c>
    </row>
    <row r="50" spans="1:3" x14ac:dyDescent="0.2">
      <c r="A50" s="15">
        <v>37865</v>
      </c>
      <c r="B50" s="14">
        <v>45.46</v>
      </c>
      <c r="C50" s="14">
        <f>Table1346[[#This Row],[PMI]]-B49</f>
        <v>-2.9799999999999969</v>
      </c>
    </row>
    <row r="51" spans="1:3" x14ac:dyDescent="0.2">
      <c r="A51" s="15">
        <v>37895</v>
      </c>
      <c r="B51" s="14">
        <v>47.73</v>
      </c>
      <c r="C51" s="14">
        <f>Table1346[[#This Row],[PMI]]-B50</f>
        <v>2.269999999999996</v>
      </c>
    </row>
    <row r="52" spans="1:3" x14ac:dyDescent="0.2">
      <c r="A52" s="15">
        <v>37926</v>
      </c>
      <c r="B52" s="14">
        <v>53.1</v>
      </c>
      <c r="C52" s="14">
        <f>Table1346[[#This Row],[PMI]]-B51</f>
        <v>5.3700000000000045</v>
      </c>
    </row>
    <row r="53" spans="1:3" x14ac:dyDescent="0.2">
      <c r="A53" s="15">
        <v>37956</v>
      </c>
      <c r="B53" s="14">
        <v>51.55</v>
      </c>
      <c r="C53" s="14">
        <f>Table1346[[#This Row],[PMI]]-B52</f>
        <v>-1.5500000000000043</v>
      </c>
    </row>
    <row r="54" spans="1:3" x14ac:dyDescent="0.2">
      <c r="A54" s="15">
        <v>37987</v>
      </c>
      <c r="B54" s="14">
        <v>54.61</v>
      </c>
      <c r="C54" s="14">
        <f>Table1346[[#This Row],[PMI]]-B53</f>
        <v>3.0600000000000023</v>
      </c>
    </row>
    <row r="55" spans="1:3" x14ac:dyDescent="0.2">
      <c r="A55" s="15">
        <v>38018</v>
      </c>
      <c r="B55" s="14">
        <v>54.29</v>
      </c>
      <c r="C55" s="14">
        <f>Table1346[[#This Row],[PMI]]-B54</f>
        <v>-0.32000000000000028</v>
      </c>
    </row>
    <row r="56" spans="1:3" x14ac:dyDescent="0.2">
      <c r="A56" s="15">
        <v>38047</v>
      </c>
      <c r="B56" s="14">
        <v>55.84</v>
      </c>
      <c r="C56" s="14">
        <f>Table1346[[#This Row],[PMI]]-B55</f>
        <v>1.5500000000000043</v>
      </c>
    </row>
    <row r="57" spans="1:3" x14ac:dyDescent="0.2">
      <c r="A57" s="15">
        <v>38078</v>
      </c>
      <c r="B57" s="14">
        <v>56.95</v>
      </c>
      <c r="C57" s="14">
        <f>Table1346[[#This Row],[PMI]]-B56</f>
        <v>1.1099999999999994</v>
      </c>
    </row>
    <row r="58" spans="1:3" x14ac:dyDescent="0.2">
      <c r="A58" s="15">
        <v>38108</v>
      </c>
      <c r="B58" s="14">
        <v>56.6</v>
      </c>
      <c r="C58" s="14">
        <f>Table1346[[#This Row],[PMI]]-B57</f>
        <v>-0.35000000000000142</v>
      </c>
    </row>
    <row r="59" spans="1:3" x14ac:dyDescent="0.2">
      <c r="A59" s="15">
        <v>38139</v>
      </c>
      <c r="B59" s="14">
        <v>56.83</v>
      </c>
      <c r="C59" s="14">
        <f>Table1346[[#This Row],[PMI]]-B58</f>
        <v>0.22999999999999687</v>
      </c>
    </row>
    <row r="60" spans="1:3" x14ac:dyDescent="0.2">
      <c r="A60" s="15">
        <v>38169</v>
      </c>
      <c r="B60" s="14">
        <v>55.54</v>
      </c>
      <c r="C60" s="14">
        <f>Table1346[[#This Row],[PMI]]-B59</f>
        <v>-1.2899999999999991</v>
      </c>
    </row>
    <row r="61" spans="1:3" x14ac:dyDescent="0.2">
      <c r="A61" s="15">
        <v>38200</v>
      </c>
      <c r="B61" s="14">
        <v>57.5</v>
      </c>
      <c r="C61" s="14">
        <f>Table1346[[#This Row],[PMI]]-B60</f>
        <v>1.9600000000000009</v>
      </c>
    </row>
    <row r="62" spans="1:3" x14ac:dyDescent="0.2">
      <c r="A62" s="15">
        <v>38231</v>
      </c>
      <c r="B62" s="14">
        <v>57.5</v>
      </c>
      <c r="C62" s="14">
        <f>Table1346[[#This Row],[PMI]]-B61</f>
        <v>0</v>
      </c>
    </row>
    <row r="63" spans="1:3" x14ac:dyDescent="0.2">
      <c r="A63" s="15">
        <v>38261</v>
      </c>
      <c r="B63" s="14">
        <v>55.37</v>
      </c>
      <c r="C63" s="14">
        <f>Table1346[[#This Row],[PMI]]-B62</f>
        <v>-2.1300000000000026</v>
      </c>
    </row>
    <row r="64" spans="1:3" x14ac:dyDescent="0.2">
      <c r="A64" s="15">
        <v>38292</v>
      </c>
      <c r="B64" s="14">
        <v>54.08</v>
      </c>
      <c r="C64" s="14">
        <f>Table1346[[#This Row],[PMI]]-B63</f>
        <v>-1.2899999999999991</v>
      </c>
    </row>
    <row r="65" spans="1:3" x14ac:dyDescent="0.2">
      <c r="A65" s="15">
        <v>38322</v>
      </c>
      <c r="B65" s="14">
        <v>54.34</v>
      </c>
      <c r="C65" s="14">
        <f>Table1346[[#This Row],[PMI]]-B64</f>
        <v>0.26000000000000512</v>
      </c>
    </row>
    <row r="66" spans="1:3" x14ac:dyDescent="0.2">
      <c r="A66" s="15">
        <v>38353</v>
      </c>
      <c r="B66" s="14">
        <v>51.54</v>
      </c>
      <c r="C66" s="14">
        <f>Table1346[[#This Row],[PMI]]-B65</f>
        <v>-2.8000000000000043</v>
      </c>
    </row>
    <row r="67" spans="1:3" x14ac:dyDescent="0.2">
      <c r="A67" s="15">
        <v>38384</v>
      </c>
      <c r="B67" s="14">
        <v>55.55</v>
      </c>
      <c r="C67" s="14">
        <f>Table1346[[#This Row],[PMI]]-B66</f>
        <v>4.009999999999998</v>
      </c>
    </row>
    <row r="68" spans="1:3" x14ac:dyDescent="0.2">
      <c r="A68" s="15">
        <v>38412</v>
      </c>
      <c r="B68" s="14">
        <v>57.65</v>
      </c>
      <c r="C68" s="14">
        <f>Table1346[[#This Row],[PMI]]-B67</f>
        <v>2.1000000000000014</v>
      </c>
    </row>
    <row r="69" spans="1:3" x14ac:dyDescent="0.2">
      <c r="A69" s="15">
        <v>38443</v>
      </c>
      <c r="B69" s="14">
        <v>54.64</v>
      </c>
      <c r="C69" s="14">
        <f>Table1346[[#This Row],[PMI]]-B68</f>
        <v>-3.009999999999998</v>
      </c>
    </row>
    <row r="70" spans="1:3" x14ac:dyDescent="0.2">
      <c r="A70" s="15">
        <v>38473</v>
      </c>
      <c r="B70" s="14">
        <v>53.75</v>
      </c>
      <c r="C70" s="14">
        <f>Table1346[[#This Row],[PMI]]-B69</f>
        <v>-0.89000000000000057</v>
      </c>
    </row>
    <row r="71" spans="1:3" x14ac:dyDescent="0.2">
      <c r="A71" s="15">
        <v>38504</v>
      </c>
      <c r="B71" s="14">
        <v>57.12</v>
      </c>
      <c r="C71" s="14">
        <f>Table1346[[#This Row],[PMI]]-B70</f>
        <v>3.3699999999999974</v>
      </c>
    </row>
    <row r="72" spans="1:3" x14ac:dyDescent="0.2">
      <c r="A72" s="15">
        <v>38534</v>
      </c>
      <c r="B72" s="14">
        <v>57.43</v>
      </c>
      <c r="C72" s="14">
        <f>Table1346[[#This Row],[PMI]]-B71</f>
        <v>0.31000000000000227</v>
      </c>
    </row>
    <row r="73" spans="1:3" x14ac:dyDescent="0.2">
      <c r="A73" s="15">
        <v>38565</v>
      </c>
      <c r="B73" s="14">
        <v>55.2</v>
      </c>
      <c r="C73" s="14">
        <f>Table1346[[#This Row],[PMI]]-B72</f>
        <v>-2.2299999999999969</v>
      </c>
    </row>
    <row r="74" spans="1:3" x14ac:dyDescent="0.2">
      <c r="A74" s="15">
        <v>38596</v>
      </c>
      <c r="B74" s="14">
        <v>54.96</v>
      </c>
      <c r="C74" s="14">
        <f>Table1346[[#This Row],[PMI]]-B73</f>
        <v>-0.24000000000000199</v>
      </c>
    </row>
    <row r="75" spans="1:3" x14ac:dyDescent="0.2">
      <c r="A75" s="15">
        <v>38626</v>
      </c>
      <c r="B75" s="14">
        <v>52.77</v>
      </c>
      <c r="C75" s="14">
        <f>Table1346[[#This Row],[PMI]]-B74</f>
        <v>-2.1899999999999977</v>
      </c>
    </row>
    <row r="76" spans="1:3" x14ac:dyDescent="0.2">
      <c r="A76" s="15">
        <v>38657</v>
      </c>
      <c r="B76" s="14">
        <v>52.02</v>
      </c>
      <c r="C76" s="14">
        <f>Table1346[[#This Row],[PMI]]-B75</f>
        <v>-0.75</v>
      </c>
    </row>
    <row r="77" spans="1:3" x14ac:dyDescent="0.2">
      <c r="A77" s="15">
        <v>38687</v>
      </c>
      <c r="B77" s="14">
        <v>53.31</v>
      </c>
      <c r="C77" s="14">
        <f>Table1346[[#This Row],[PMI]]-B76</f>
        <v>1.2899999999999991</v>
      </c>
    </row>
    <row r="78" spans="1:3" x14ac:dyDescent="0.2">
      <c r="A78" s="15">
        <v>38718</v>
      </c>
      <c r="B78" s="14">
        <v>49.78</v>
      </c>
      <c r="C78" s="14">
        <f>Table1346[[#This Row],[PMI]]-B77</f>
        <v>-3.5300000000000011</v>
      </c>
    </row>
    <row r="79" spans="1:3" x14ac:dyDescent="0.2">
      <c r="A79" s="15">
        <v>38749</v>
      </c>
      <c r="B79" s="14">
        <v>50.11</v>
      </c>
      <c r="C79" s="14">
        <f>Table1346[[#This Row],[PMI]]-B78</f>
        <v>0.32999999999999829</v>
      </c>
    </row>
    <row r="80" spans="1:3" x14ac:dyDescent="0.2">
      <c r="A80" s="15">
        <v>38777</v>
      </c>
      <c r="B80" s="14">
        <v>52.17</v>
      </c>
      <c r="C80" s="14">
        <f>Table1346[[#This Row],[PMI]]-B79</f>
        <v>2.0600000000000023</v>
      </c>
    </row>
    <row r="81" spans="1:3" x14ac:dyDescent="0.2">
      <c r="A81" s="15">
        <v>38808</v>
      </c>
      <c r="B81" s="14">
        <v>54.63</v>
      </c>
      <c r="C81" s="14">
        <f>Table1346[[#This Row],[PMI]]-B80</f>
        <v>2.4600000000000009</v>
      </c>
    </row>
    <row r="82" spans="1:3" x14ac:dyDescent="0.2">
      <c r="A82" s="15">
        <v>38838</v>
      </c>
      <c r="B82" s="14">
        <v>57</v>
      </c>
      <c r="C82" s="14">
        <f>Table1346[[#This Row],[PMI]]-B81</f>
        <v>2.3699999999999974</v>
      </c>
    </row>
    <row r="83" spans="1:3" x14ac:dyDescent="0.2">
      <c r="A83" s="15">
        <v>38869</v>
      </c>
      <c r="B83" s="14">
        <v>58.8</v>
      </c>
      <c r="C83" s="14">
        <f>Table1346[[#This Row],[PMI]]-B82</f>
        <v>1.7999999999999972</v>
      </c>
    </row>
    <row r="84" spans="1:3" x14ac:dyDescent="0.2">
      <c r="A84" s="15">
        <v>38899</v>
      </c>
      <c r="B84" s="14">
        <v>60.27</v>
      </c>
      <c r="C84" s="14">
        <f>Table1346[[#This Row],[PMI]]-B83</f>
        <v>1.470000000000006</v>
      </c>
    </row>
    <row r="85" spans="1:3" x14ac:dyDescent="0.2">
      <c r="A85" s="15">
        <v>38930</v>
      </c>
      <c r="B85" s="14">
        <v>58.68</v>
      </c>
      <c r="C85" s="14">
        <f>Table1346[[#This Row],[PMI]]-B84</f>
        <v>-1.5900000000000034</v>
      </c>
    </row>
    <row r="86" spans="1:3" x14ac:dyDescent="0.2">
      <c r="A86" s="15">
        <v>38961</v>
      </c>
      <c r="B86" s="14">
        <v>56.6</v>
      </c>
      <c r="C86" s="14">
        <f>Table1346[[#This Row],[PMI]]-B85</f>
        <v>-2.0799999999999983</v>
      </c>
    </row>
    <row r="87" spans="1:3" x14ac:dyDescent="0.2">
      <c r="A87" s="15">
        <v>38991</v>
      </c>
      <c r="B87" s="14">
        <v>56.73</v>
      </c>
      <c r="C87" s="14">
        <f>Table1346[[#This Row],[PMI]]-B86</f>
        <v>0.12999999999999545</v>
      </c>
    </row>
    <row r="88" spans="1:3" x14ac:dyDescent="0.2">
      <c r="A88" s="15">
        <v>39022</v>
      </c>
      <c r="B88" s="14">
        <v>56.34</v>
      </c>
      <c r="C88" s="14">
        <f>Table1346[[#This Row],[PMI]]-B87</f>
        <v>-0.38999999999999346</v>
      </c>
    </row>
    <row r="89" spans="1:3" x14ac:dyDescent="0.2">
      <c r="A89" s="15">
        <v>39052</v>
      </c>
      <c r="B89" s="14">
        <v>55.49</v>
      </c>
      <c r="C89" s="14">
        <f>Table1346[[#This Row],[PMI]]-B88</f>
        <v>-0.85000000000000142</v>
      </c>
    </row>
    <row r="90" spans="1:3" x14ac:dyDescent="0.2">
      <c r="A90" s="15">
        <v>39083</v>
      </c>
      <c r="B90" s="14">
        <v>57.79</v>
      </c>
      <c r="C90" s="14">
        <f>Table1346[[#This Row],[PMI]]-B89</f>
        <v>2.2999999999999972</v>
      </c>
    </row>
    <row r="91" spans="1:3" x14ac:dyDescent="0.2">
      <c r="A91" s="15">
        <v>39114</v>
      </c>
      <c r="B91" s="14">
        <v>60.18</v>
      </c>
      <c r="C91" s="14">
        <f>Table1346[[#This Row],[PMI]]-B90</f>
        <v>2.3900000000000006</v>
      </c>
    </row>
    <row r="92" spans="1:3" x14ac:dyDescent="0.2">
      <c r="A92" s="15">
        <v>39142</v>
      </c>
      <c r="B92" s="14">
        <v>60.35</v>
      </c>
      <c r="C92" s="14">
        <f>Table1346[[#This Row],[PMI]]-B91</f>
        <v>0.17000000000000171</v>
      </c>
    </row>
    <row r="93" spans="1:3" x14ac:dyDescent="0.2">
      <c r="A93" s="15">
        <v>39173</v>
      </c>
      <c r="B93" s="14">
        <v>57.89</v>
      </c>
      <c r="C93" s="14">
        <f>Table1346[[#This Row],[PMI]]-B92</f>
        <v>-2.4600000000000009</v>
      </c>
    </row>
    <row r="94" spans="1:3" x14ac:dyDescent="0.2">
      <c r="A94" s="15">
        <v>39203</v>
      </c>
      <c r="B94" s="14">
        <v>56.91</v>
      </c>
      <c r="C94" s="14">
        <f>Table1346[[#This Row],[PMI]]-B93</f>
        <v>-0.98000000000000398</v>
      </c>
    </row>
    <row r="95" spans="1:3" x14ac:dyDescent="0.2">
      <c r="A95" s="15">
        <v>39234</v>
      </c>
      <c r="B95" s="14">
        <v>56.33</v>
      </c>
      <c r="C95" s="14">
        <f>Table1346[[#This Row],[PMI]]-B94</f>
        <v>-0.57999999999999829</v>
      </c>
    </row>
    <row r="96" spans="1:3" x14ac:dyDescent="0.2">
      <c r="A96" s="15">
        <v>39264</v>
      </c>
      <c r="B96" s="14">
        <v>57.52</v>
      </c>
      <c r="C96" s="14">
        <f>Table1346[[#This Row],[PMI]]-B95</f>
        <v>1.1900000000000048</v>
      </c>
    </row>
    <row r="97" spans="1:3" x14ac:dyDescent="0.2">
      <c r="A97" s="15">
        <v>39295</v>
      </c>
      <c r="B97" s="14">
        <v>54.42</v>
      </c>
      <c r="C97" s="14">
        <f>Table1346[[#This Row],[PMI]]-B96</f>
        <v>-3.1000000000000014</v>
      </c>
    </row>
    <row r="98" spans="1:3" x14ac:dyDescent="0.2">
      <c r="A98" s="15">
        <v>39326</v>
      </c>
      <c r="B98" s="14">
        <v>51.63</v>
      </c>
      <c r="C98" s="14">
        <f>Table1346[[#This Row],[PMI]]-B97</f>
        <v>-2.7899999999999991</v>
      </c>
    </row>
    <row r="99" spans="1:3" x14ac:dyDescent="0.2">
      <c r="A99" s="15">
        <v>39356</v>
      </c>
      <c r="B99" s="14">
        <v>54.4</v>
      </c>
      <c r="C99" s="14">
        <f>Table1346[[#This Row],[PMI]]-B98</f>
        <v>2.769999999999996</v>
      </c>
    </row>
    <row r="100" spans="1:3" x14ac:dyDescent="0.2">
      <c r="A100" s="15">
        <v>39387</v>
      </c>
      <c r="B100" s="14">
        <v>53.96</v>
      </c>
      <c r="C100" s="14">
        <f>Table1346[[#This Row],[PMI]]-B99</f>
        <v>-0.43999999999999773</v>
      </c>
    </row>
    <row r="101" spans="1:3" x14ac:dyDescent="0.2">
      <c r="A101" s="15">
        <v>39417</v>
      </c>
      <c r="B101" s="14">
        <v>53.23</v>
      </c>
      <c r="C101" s="14">
        <f>Table1346[[#This Row],[PMI]]-B100</f>
        <v>-0.73000000000000398</v>
      </c>
    </row>
    <row r="102" spans="1:3" x14ac:dyDescent="0.2">
      <c r="A102" s="15">
        <v>39448</v>
      </c>
      <c r="B102" s="14">
        <v>51.3</v>
      </c>
      <c r="C102" s="14">
        <f>Table1346[[#This Row],[PMI]]-B101</f>
        <v>-1.9299999999999997</v>
      </c>
    </row>
    <row r="103" spans="1:3" x14ac:dyDescent="0.2">
      <c r="A103" s="15">
        <v>39479</v>
      </c>
      <c r="B103" s="14">
        <v>45.75</v>
      </c>
      <c r="C103" s="14">
        <f>Table1346[[#This Row],[PMI]]-B102</f>
        <v>-5.5499999999999972</v>
      </c>
    </row>
    <row r="104" spans="1:3" x14ac:dyDescent="0.2">
      <c r="A104" s="15">
        <v>39508</v>
      </c>
      <c r="B104" s="14">
        <v>44.21</v>
      </c>
      <c r="C104" s="14">
        <f>Table1346[[#This Row],[PMI]]-B103</f>
        <v>-1.5399999999999991</v>
      </c>
    </row>
    <row r="105" spans="1:3" x14ac:dyDescent="0.2">
      <c r="A105" s="15">
        <v>39539</v>
      </c>
      <c r="B105" s="14">
        <v>53.72</v>
      </c>
      <c r="C105" s="14">
        <f>Table1346[[#This Row],[PMI]]-B104</f>
        <v>9.509999999999998</v>
      </c>
    </row>
    <row r="106" spans="1:3" x14ac:dyDescent="0.2">
      <c r="A106" s="15">
        <v>39569</v>
      </c>
      <c r="B106" s="14">
        <v>48.8</v>
      </c>
      <c r="C106" s="14">
        <f>Table1346[[#This Row],[PMI]]-B105</f>
        <v>-4.9200000000000017</v>
      </c>
    </row>
    <row r="107" spans="1:3" x14ac:dyDescent="0.2">
      <c r="A107" s="15">
        <v>39600</v>
      </c>
      <c r="B107" s="14">
        <v>45.37</v>
      </c>
      <c r="C107" s="14">
        <f>Table1346[[#This Row],[PMI]]-B106</f>
        <v>-3.4299999999999997</v>
      </c>
    </row>
    <row r="108" spans="1:3" x14ac:dyDescent="0.2">
      <c r="A108" s="15">
        <v>39630</v>
      </c>
      <c r="B108" s="14">
        <v>44.8</v>
      </c>
      <c r="C108" s="14">
        <f>Table1346[[#This Row],[PMI]]-B107</f>
        <v>-0.57000000000000028</v>
      </c>
    </row>
    <row r="109" spans="1:3" x14ac:dyDescent="0.2">
      <c r="A109" s="15">
        <v>39661</v>
      </c>
      <c r="B109" s="14">
        <v>48.3</v>
      </c>
      <c r="C109" s="14">
        <f>Table1346[[#This Row],[PMI]]-B108</f>
        <v>3.5</v>
      </c>
    </row>
    <row r="110" spans="1:3" x14ac:dyDescent="0.2">
      <c r="A110" s="15">
        <v>39692</v>
      </c>
      <c r="B110" s="14">
        <v>47.07</v>
      </c>
      <c r="C110" s="14">
        <f>Table1346[[#This Row],[PMI]]-B109</f>
        <v>-1.2299999999999969</v>
      </c>
    </row>
    <row r="111" spans="1:3" x14ac:dyDescent="0.2">
      <c r="A111" s="15">
        <v>39722</v>
      </c>
      <c r="B111" s="14">
        <v>45.16</v>
      </c>
      <c r="C111" s="14">
        <f>Table1346[[#This Row],[PMI]]-B110</f>
        <v>-1.9100000000000037</v>
      </c>
    </row>
    <row r="112" spans="1:3" x14ac:dyDescent="0.2">
      <c r="A112" s="15">
        <v>39753</v>
      </c>
      <c r="B112" s="14">
        <v>38.97</v>
      </c>
      <c r="C112" s="14">
        <f>Table1346[[#This Row],[PMI]]-B111</f>
        <v>-6.1899999999999977</v>
      </c>
    </row>
    <row r="113" spans="1:3" x14ac:dyDescent="0.2">
      <c r="A113" s="15">
        <v>39783</v>
      </c>
      <c r="B113" s="14">
        <v>40.24</v>
      </c>
      <c r="C113" s="14">
        <f>Table1346[[#This Row],[PMI]]-B112</f>
        <v>1.2700000000000031</v>
      </c>
    </row>
    <row r="114" spans="1:3" x14ac:dyDescent="0.2">
      <c r="A114" s="15">
        <v>39814</v>
      </c>
      <c r="B114" s="14">
        <v>39.9</v>
      </c>
      <c r="C114" s="14">
        <f>Table1346[[#This Row],[PMI]]-B113</f>
        <v>-0.34000000000000341</v>
      </c>
    </row>
    <row r="115" spans="1:3" x14ac:dyDescent="0.2">
      <c r="A115" s="15">
        <v>39845</v>
      </c>
      <c r="B115" s="14">
        <v>37.590000000000003</v>
      </c>
      <c r="C115" s="14">
        <f>Table1346[[#This Row],[PMI]]-B114</f>
        <v>-2.3099999999999952</v>
      </c>
    </row>
    <row r="116" spans="1:3" x14ac:dyDescent="0.2">
      <c r="A116" s="15">
        <v>39873</v>
      </c>
      <c r="B116" s="14">
        <v>35.76</v>
      </c>
      <c r="C116" s="14">
        <f>Table1346[[#This Row],[PMI]]-B115</f>
        <v>-1.8300000000000054</v>
      </c>
    </row>
    <row r="117" spans="1:3" x14ac:dyDescent="0.2">
      <c r="A117" s="15">
        <v>39904</v>
      </c>
      <c r="B117" s="14">
        <v>35.090000000000003</v>
      </c>
      <c r="C117" s="14">
        <f>Table1346[[#This Row],[PMI]]-B116</f>
        <v>-0.6699999999999946</v>
      </c>
    </row>
    <row r="118" spans="1:3" x14ac:dyDescent="0.2">
      <c r="A118" s="15">
        <v>39934</v>
      </c>
      <c r="B118" s="14">
        <v>37.520000000000003</v>
      </c>
      <c r="C118" s="14">
        <f>Table1346[[#This Row],[PMI]]-B117</f>
        <v>2.4299999999999997</v>
      </c>
    </row>
    <row r="119" spans="1:3" x14ac:dyDescent="0.2">
      <c r="A119" s="15">
        <v>39965</v>
      </c>
      <c r="B119" s="14">
        <v>39.700000000000003</v>
      </c>
      <c r="C119" s="14">
        <f>Table1346[[#This Row],[PMI]]-B118</f>
        <v>2.1799999999999997</v>
      </c>
    </row>
    <row r="120" spans="1:3" x14ac:dyDescent="0.2">
      <c r="A120" s="15">
        <v>39995</v>
      </c>
      <c r="B120" s="14">
        <v>39.43</v>
      </c>
      <c r="C120" s="14">
        <f>Table1346[[#This Row],[PMI]]-B119</f>
        <v>-0.27000000000000313</v>
      </c>
    </row>
    <row r="121" spans="1:3" x14ac:dyDescent="0.2">
      <c r="A121" s="15">
        <v>40026</v>
      </c>
      <c r="B121" s="14">
        <v>40.659999999999997</v>
      </c>
      <c r="C121" s="14">
        <f>Table1346[[#This Row],[PMI]]-B120</f>
        <v>1.2299999999999969</v>
      </c>
    </row>
    <row r="122" spans="1:3" x14ac:dyDescent="0.2">
      <c r="A122" s="15">
        <v>40057</v>
      </c>
      <c r="B122" s="14">
        <v>47.46</v>
      </c>
      <c r="C122" s="14">
        <f>Table1346[[#This Row],[PMI]]-B121</f>
        <v>6.8000000000000043</v>
      </c>
    </row>
    <row r="123" spans="1:3" x14ac:dyDescent="0.2">
      <c r="A123" s="15">
        <v>40087</v>
      </c>
      <c r="B123" s="14">
        <v>47.74</v>
      </c>
      <c r="C123" s="14">
        <f>Table1346[[#This Row],[PMI]]-B122</f>
        <v>0.28000000000000114</v>
      </c>
    </row>
    <row r="124" spans="1:3" x14ac:dyDescent="0.2">
      <c r="A124" s="15">
        <v>40118</v>
      </c>
      <c r="B124" s="14">
        <v>49.48</v>
      </c>
      <c r="C124" s="14">
        <f>Table1346[[#This Row],[PMI]]-B123</f>
        <v>1.7399999999999949</v>
      </c>
    </row>
    <row r="125" spans="1:3" x14ac:dyDescent="0.2">
      <c r="A125" s="15">
        <v>40148</v>
      </c>
      <c r="B125" s="14">
        <v>52.58</v>
      </c>
      <c r="C125" s="14">
        <f>Table1346[[#This Row],[PMI]]-B124</f>
        <v>3.1000000000000014</v>
      </c>
    </row>
    <row r="126" spans="1:3" x14ac:dyDescent="0.2">
      <c r="A126" s="15">
        <v>40179</v>
      </c>
      <c r="B126" s="14">
        <v>52.14</v>
      </c>
      <c r="C126" s="14">
        <f>Table1346[[#This Row],[PMI]]-B125</f>
        <v>-0.43999999999999773</v>
      </c>
    </row>
    <row r="127" spans="1:3" x14ac:dyDescent="0.2">
      <c r="A127" s="15">
        <v>40210</v>
      </c>
      <c r="B127" s="14">
        <v>55.72</v>
      </c>
      <c r="C127" s="14">
        <f>Table1346[[#This Row],[PMI]]-B126</f>
        <v>3.5799999999999983</v>
      </c>
    </row>
    <row r="128" spans="1:3" x14ac:dyDescent="0.2">
      <c r="A128" s="15">
        <v>40238</v>
      </c>
      <c r="B128" s="14">
        <v>53.65</v>
      </c>
      <c r="C128" s="14">
        <f>Table1346[[#This Row],[PMI]]-B127</f>
        <v>-2.0700000000000003</v>
      </c>
    </row>
    <row r="129" spans="1:3" x14ac:dyDescent="0.2">
      <c r="A129" s="15">
        <v>40269</v>
      </c>
      <c r="B129" s="14">
        <v>53.24</v>
      </c>
      <c r="C129" s="14">
        <f>Table1346[[#This Row],[PMI]]-B128</f>
        <v>-0.40999999999999659</v>
      </c>
    </row>
    <row r="130" spans="1:3" x14ac:dyDescent="0.2">
      <c r="A130" s="15">
        <v>40299</v>
      </c>
      <c r="B130" s="14">
        <v>51.19</v>
      </c>
      <c r="C130" s="14">
        <f>Table1346[[#This Row],[PMI]]-B129</f>
        <v>-2.0500000000000043</v>
      </c>
    </row>
    <row r="131" spans="1:3" x14ac:dyDescent="0.2">
      <c r="A131" s="15">
        <v>40330</v>
      </c>
      <c r="B131" s="14">
        <v>50.84</v>
      </c>
      <c r="C131" s="14">
        <f>Table1346[[#This Row],[PMI]]-B130</f>
        <v>-0.34999999999999432</v>
      </c>
    </row>
    <row r="132" spans="1:3" x14ac:dyDescent="0.2">
      <c r="A132" s="15">
        <v>40360</v>
      </c>
      <c r="B132" s="14">
        <v>52.65</v>
      </c>
      <c r="C132" s="14">
        <f>Table1346[[#This Row],[PMI]]-B131</f>
        <v>1.8099999999999952</v>
      </c>
    </row>
    <row r="133" spans="1:3" x14ac:dyDescent="0.2">
      <c r="A133" s="15">
        <v>40391</v>
      </c>
      <c r="B133" s="14">
        <v>51.95</v>
      </c>
      <c r="C133" s="14">
        <f>Table1346[[#This Row],[PMI]]-B132</f>
        <v>-0.69999999999999574</v>
      </c>
    </row>
    <row r="134" spans="1:3" x14ac:dyDescent="0.2">
      <c r="A134" s="15">
        <v>40422</v>
      </c>
      <c r="B134" s="14">
        <v>50.14</v>
      </c>
      <c r="C134" s="14">
        <f>Table1346[[#This Row],[PMI]]-B133</f>
        <v>-1.8100000000000023</v>
      </c>
    </row>
    <row r="135" spans="1:3" x14ac:dyDescent="0.2">
      <c r="A135" s="15">
        <v>40452</v>
      </c>
      <c r="B135" s="14">
        <v>51.35</v>
      </c>
      <c r="C135" s="14">
        <f>Table1346[[#This Row],[PMI]]-B134</f>
        <v>1.2100000000000009</v>
      </c>
    </row>
    <row r="136" spans="1:3" x14ac:dyDescent="0.2">
      <c r="A136" s="15">
        <v>40483</v>
      </c>
      <c r="B136" s="14">
        <v>52.54</v>
      </c>
      <c r="C136" s="14">
        <f>Table1346[[#This Row],[PMI]]-B135</f>
        <v>1.1899999999999977</v>
      </c>
    </row>
    <row r="137" spans="1:3" x14ac:dyDescent="0.2">
      <c r="A137" s="15">
        <v>40513</v>
      </c>
      <c r="B137" s="14">
        <v>52.81</v>
      </c>
      <c r="C137" s="14">
        <f>Table1346[[#This Row],[PMI]]-B136</f>
        <v>0.27000000000000313</v>
      </c>
    </row>
    <row r="138" spans="1:3" x14ac:dyDescent="0.2">
      <c r="A138" s="15">
        <v>40544</v>
      </c>
      <c r="B138" s="14">
        <v>53.56</v>
      </c>
      <c r="C138" s="14">
        <f>Table1346[[#This Row],[PMI]]-B137</f>
        <v>0.75</v>
      </c>
    </row>
    <row r="139" spans="1:3" x14ac:dyDescent="0.2">
      <c r="A139" s="15">
        <v>40575</v>
      </c>
      <c r="B139" s="14">
        <v>51.49</v>
      </c>
      <c r="C139" s="14">
        <f>Table1346[[#This Row],[PMI]]-B138</f>
        <v>-2.0700000000000003</v>
      </c>
    </row>
    <row r="140" spans="1:3" x14ac:dyDescent="0.2">
      <c r="A140" s="15">
        <v>40603</v>
      </c>
      <c r="B140" s="14">
        <v>54.71</v>
      </c>
      <c r="C140" s="14">
        <f>Table1346[[#This Row],[PMI]]-B139</f>
        <v>3.2199999999999989</v>
      </c>
    </row>
    <row r="141" spans="1:3" x14ac:dyDescent="0.2">
      <c r="A141" s="15">
        <v>40634</v>
      </c>
      <c r="B141" s="14">
        <v>54.16</v>
      </c>
      <c r="C141" s="14">
        <f>Table1346[[#This Row],[PMI]]-B140</f>
        <v>-0.55000000000000426</v>
      </c>
    </row>
    <row r="142" spans="1:3" x14ac:dyDescent="0.2">
      <c r="A142" s="15">
        <v>40664</v>
      </c>
      <c r="B142" s="14">
        <v>54.1</v>
      </c>
      <c r="C142" s="14">
        <f>Table1346[[#This Row],[PMI]]-B141</f>
        <v>-5.9999999999995168E-2</v>
      </c>
    </row>
    <row r="143" spans="1:3" x14ac:dyDescent="0.2">
      <c r="A143" s="15">
        <v>40695</v>
      </c>
      <c r="B143" s="14">
        <v>55.16</v>
      </c>
      <c r="C143" s="14">
        <f>Table1346[[#This Row],[PMI]]-B142</f>
        <v>1.0599999999999952</v>
      </c>
    </row>
    <row r="144" spans="1:3" x14ac:dyDescent="0.2">
      <c r="A144" s="15">
        <v>40725</v>
      </c>
      <c r="B144" s="14">
        <v>46.16</v>
      </c>
      <c r="C144" s="14">
        <f>Table1346[[#This Row],[PMI]]-B143</f>
        <v>-9</v>
      </c>
    </row>
    <row r="145" spans="1:3" x14ac:dyDescent="0.2">
      <c r="A145" s="15">
        <v>40756</v>
      </c>
      <c r="B145" s="14">
        <v>47.73</v>
      </c>
      <c r="C145" s="14">
        <f>Table1346[[#This Row],[PMI]]-B144</f>
        <v>1.5700000000000003</v>
      </c>
    </row>
    <row r="146" spans="1:3" x14ac:dyDescent="0.2">
      <c r="A146" s="15">
        <v>40787</v>
      </c>
      <c r="B146" s="14">
        <v>52.45</v>
      </c>
      <c r="C146" s="14">
        <f>Table1346[[#This Row],[PMI]]-B145</f>
        <v>4.720000000000006</v>
      </c>
    </row>
    <row r="147" spans="1:3" x14ac:dyDescent="0.2">
      <c r="A147" s="15">
        <v>40817</v>
      </c>
      <c r="B147" s="14">
        <v>52.18</v>
      </c>
      <c r="C147" s="14">
        <f>Table1346[[#This Row],[PMI]]-B146</f>
        <v>-0.27000000000000313</v>
      </c>
    </row>
    <row r="148" spans="1:3" x14ac:dyDescent="0.2">
      <c r="A148" s="15">
        <v>40848</v>
      </c>
      <c r="B148" s="14">
        <v>51.66</v>
      </c>
      <c r="C148" s="14">
        <f>Table1346[[#This Row],[PMI]]-B147</f>
        <v>-0.52000000000000313</v>
      </c>
    </row>
    <row r="149" spans="1:3" x14ac:dyDescent="0.2">
      <c r="A149" s="15">
        <v>40878</v>
      </c>
      <c r="B149" s="14">
        <v>51.4</v>
      </c>
      <c r="C149" s="14">
        <f>Table1346[[#This Row],[PMI]]-B148</f>
        <v>-0.25999999999999801</v>
      </c>
    </row>
    <row r="150" spans="1:3" x14ac:dyDescent="0.2">
      <c r="A150" s="15">
        <v>40909</v>
      </c>
      <c r="B150" s="14">
        <v>52.94</v>
      </c>
      <c r="C150" s="14">
        <f>Table1346[[#This Row],[PMI]]-B149</f>
        <v>1.5399999999999991</v>
      </c>
    </row>
    <row r="151" spans="1:3" x14ac:dyDescent="0.2">
      <c r="A151" s="15">
        <v>40940</v>
      </c>
      <c r="B151" s="14">
        <v>53.51</v>
      </c>
      <c r="C151" s="14">
        <f>Table1346[[#This Row],[PMI]]-B150</f>
        <v>0.57000000000000028</v>
      </c>
    </row>
    <row r="152" spans="1:3" x14ac:dyDescent="0.2">
      <c r="A152" s="15">
        <v>40969</v>
      </c>
      <c r="B152" s="14">
        <v>53.51</v>
      </c>
      <c r="C152" s="14">
        <f>Table1346[[#This Row],[PMI]]-B151</f>
        <v>0</v>
      </c>
    </row>
    <row r="153" spans="1:3" x14ac:dyDescent="0.2">
      <c r="A153" s="15">
        <v>41000</v>
      </c>
      <c r="B153" s="14">
        <v>52.19</v>
      </c>
      <c r="C153" s="14">
        <f>Table1346[[#This Row],[PMI]]-B152</f>
        <v>-1.3200000000000003</v>
      </c>
    </row>
    <row r="154" spans="1:3" x14ac:dyDescent="0.2">
      <c r="A154" s="15">
        <v>41030</v>
      </c>
      <c r="B154" s="14">
        <v>52.57</v>
      </c>
      <c r="C154" s="14">
        <f>Table1346[[#This Row],[PMI]]-B153</f>
        <v>0.38000000000000256</v>
      </c>
    </row>
    <row r="155" spans="1:3" x14ac:dyDescent="0.2">
      <c r="A155" s="15">
        <v>41061</v>
      </c>
      <c r="B155" s="14">
        <v>49.09</v>
      </c>
      <c r="C155" s="14">
        <f>Table1346[[#This Row],[PMI]]-B154</f>
        <v>-3.4799999999999969</v>
      </c>
    </row>
    <row r="156" spans="1:3" x14ac:dyDescent="0.2">
      <c r="A156" s="15">
        <v>41091</v>
      </c>
      <c r="B156" s="14">
        <v>51.13</v>
      </c>
      <c r="C156" s="14">
        <f>Table1346[[#This Row],[PMI]]-B155</f>
        <v>2.0399999999999991</v>
      </c>
    </row>
    <row r="157" spans="1:3" x14ac:dyDescent="0.2">
      <c r="A157" s="15">
        <v>41122</v>
      </c>
      <c r="B157" s="14">
        <v>49.56</v>
      </c>
      <c r="C157" s="14">
        <f>Table1346[[#This Row],[PMI]]-B156</f>
        <v>-1.5700000000000003</v>
      </c>
    </row>
    <row r="158" spans="1:3" x14ac:dyDescent="0.2">
      <c r="A158" s="15">
        <v>41153</v>
      </c>
      <c r="B158" s="14">
        <v>48.42</v>
      </c>
      <c r="C158" s="14">
        <f>Table1346[[#This Row],[PMI]]-B157</f>
        <v>-1.1400000000000006</v>
      </c>
    </row>
    <row r="159" spans="1:3" x14ac:dyDescent="0.2">
      <c r="A159" s="15">
        <v>41183</v>
      </c>
      <c r="B159" s="14">
        <v>48.23</v>
      </c>
      <c r="C159" s="14">
        <f>Table1346[[#This Row],[PMI]]-B158</f>
        <v>-0.19000000000000483</v>
      </c>
    </row>
    <row r="160" spans="1:3" x14ac:dyDescent="0.2">
      <c r="A160" s="15">
        <v>41214</v>
      </c>
      <c r="B160" s="14">
        <v>49.15</v>
      </c>
      <c r="C160" s="14">
        <f>Table1346[[#This Row],[PMI]]-B159</f>
        <v>0.92000000000000171</v>
      </c>
    </row>
    <row r="161" spans="1:3" x14ac:dyDescent="0.2">
      <c r="A161" s="15">
        <v>41244</v>
      </c>
      <c r="B161" s="14">
        <v>48.92</v>
      </c>
      <c r="C161" s="14">
        <f>Table1346[[#This Row],[PMI]]-B160</f>
        <v>-0.22999999999999687</v>
      </c>
    </row>
    <row r="162" spans="1:3" x14ac:dyDescent="0.2">
      <c r="A162" s="15">
        <v>41275</v>
      </c>
      <c r="B162" s="14">
        <v>49.08</v>
      </c>
      <c r="C162" s="14">
        <f>Table1346[[#This Row],[PMI]]-B161</f>
        <v>0.15999999999999659</v>
      </c>
    </row>
    <row r="163" spans="1:3" x14ac:dyDescent="0.2">
      <c r="A163" s="15">
        <v>41306</v>
      </c>
      <c r="B163" s="14">
        <v>51.42</v>
      </c>
      <c r="C163" s="14">
        <f>Table1346[[#This Row],[PMI]]-B162</f>
        <v>2.3400000000000034</v>
      </c>
    </row>
    <row r="164" spans="1:3" x14ac:dyDescent="0.2">
      <c r="A164" s="15">
        <v>41334</v>
      </c>
      <c r="B164" s="14">
        <v>49.04</v>
      </c>
      <c r="C164" s="14">
        <f>Table1346[[#This Row],[PMI]]-B163</f>
        <v>-2.3800000000000026</v>
      </c>
    </row>
    <row r="165" spans="1:3" x14ac:dyDescent="0.2">
      <c r="A165" s="15">
        <v>41365</v>
      </c>
      <c r="B165" s="14">
        <v>49.8</v>
      </c>
      <c r="C165" s="14">
        <f>Table1346[[#This Row],[PMI]]-B164</f>
        <v>0.75999999999999801</v>
      </c>
    </row>
    <row r="166" spans="1:3" x14ac:dyDescent="0.2">
      <c r="A166" s="15">
        <v>41395</v>
      </c>
      <c r="B166" s="14">
        <v>50.21</v>
      </c>
      <c r="C166" s="14">
        <f>Table1346[[#This Row],[PMI]]-B165</f>
        <v>0.41000000000000369</v>
      </c>
    </row>
    <row r="167" spans="1:3" x14ac:dyDescent="0.2">
      <c r="A167" s="15">
        <v>41426</v>
      </c>
      <c r="B167" s="14">
        <v>51.96</v>
      </c>
      <c r="C167" s="14">
        <f>Table1346[[#This Row],[PMI]]-B166</f>
        <v>1.75</v>
      </c>
    </row>
    <row r="168" spans="1:3" x14ac:dyDescent="0.2">
      <c r="A168" s="15">
        <v>41456</v>
      </c>
      <c r="B168" s="14">
        <v>52.15</v>
      </c>
      <c r="C168" s="14">
        <f>Table1346[[#This Row],[PMI]]-B167</f>
        <v>0.18999999999999773</v>
      </c>
    </row>
    <row r="169" spans="1:3" x14ac:dyDescent="0.2">
      <c r="A169" s="15">
        <v>41487</v>
      </c>
      <c r="B169" s="14">
        <v>55.26</v>
      </c>
      <c r="C169" s="14">
        <f>Table1346[[#This Row],[PMI]]-B168</f>
        <v>3.1099999999999994</v>
      </c>
    </row>
    <row r="170" spans="1:3" x14ac:dyDescent="0.2">
      <c r="A170" s="15">
        <v>41518</v>
      </c>
      <c r="B170" s="14">
        <v>49.43</v>
      </c>
      <c r="C170" s="14">
        <f>Table1346[[#This Row],[PMI]]-B169</f>
        <v>-5.8299999999999983</v>
      </c>
    </row>
    <row r="171" spans="1:3" x14ac:dyDescent="0.2">
      <c r="A171" s="15">
        <v>41548</v>
      </c>
      <c r="B171" s="14">
        <v>51.43</v>
      </c>
      <c r="C171" s="14">
        <f>Table1346[[#This Row],[PMI]]-B170</f>
        <v>2</v>
      </c>
    </row>
    <row r="172" spans="1:3" x14ac:dyDescent="0.2">
      <c r="A172" s="15">
        <v>41579</v>
      </c>
      <c r="B172" s="14">
        <v>52</v>
      </c>
      <c r="C172" s="14">
        <f>Table1346[[#This Row],[PMI]]-B171</f>
        <v>0.57000000000000028</v>
      </c>
    </row>
    <row r="173" spans="1:3" x14ac:dyDescent="0.2">
      <c r="A173" s="15">
        <v>41609</v>
      </c>
      <c r="B173" s="14">
        <v>51</v>
      </c>
      <c r="C173" s="14">
        <f>Table1346[[#This Row],[PMI]]-B172</f>
        <v>-1</v>
      </c>
    </row>
    <row r="174" spans="1:3" x14ac:dyDescent="0.2">
      <c r="A174" s="15">
        <v>41640</v>
      </c>
      <c r="B174" s="14">
        <v>49.96</v>
      </c>
      <c r="C174" s="14">
        <f>Table1346[[#This Row],[PMI]]-B173</f>
        <v>-1.0399999999999991</v>
      </c>
    </row>
    <row r="175" spans="1:3" x14ac:dyDescent="0.2">
      <c r="A175" s="15">
        <v>41671</v>
      </c>
      <c r="B175" s="14">
        <v>50.69</v>
      </c>
      <c r="C175" s="14">
        <f>Table1346[[#This Row],[PMI]]-B174</f>
        <v>0.72999999999999687</v>
      </c>
    </row>
    <row r="176" spans="1:3" x14ac:dyDescent="0.2">
      <c r="A176" s="15">
        <v>41699</v>
      </c>
      <c r="B176" s="14">
        <v>50.29</v>
      </c>
      <c r="C176" s="14">
        <f>Table1346[[#This Row],[PMI]]-B175</f>
        <v>-0.39999999999999858</v>
      </c>
    </row>
    <row r="177" spans="1:3" x14ac:dyDescent="0.2">
      <c r="A177" s="15">
        <v>41730</v>
      </c>
      <c r="B177" s="14">
        <v>47.3</v>
      </c>
      <c r="C177" s="14">
        <f>Table1346[[#This Row],[PMI]]-B176</f>
        <v>-2.990000000000002</v>
      </c>
    </row>
    <row r="178" spans="1:3" x14ac:dyDescent="0.2">
      <c r="A178" s="15">
        <v>41760</v>
      </c>
      <c r="B178" s="14">
        <v>44.41</v>
      </c>
      <c r="C178" s="14">
        <f>Table1346[[#This Row],[PMI]]-B177</f>
        <v>-2.8900000000000006</v>
      </c>
    </row>
    <row r="179" spans="1:3" x14ac:dyDescent="0.2">
      <c r="A179" s="15">
        <v>41791</v>
      </c>
      <c r="B179" s="14">
        <v>46.59</v>
      </c>
      <c r="C179" s="14">
        <f>Table1346[[#This Row],[PMI]]-B178</f>
        <v>2.1800000000000068</v>
      </c>
    </row>
    <row r="180" spans="1:3" x14ac:dyDescent="0.2">
      <c r="A180" s="15">
        <v>41821</v>
      </c>
      <c r="B180" s="14">
        <v>45.45</v>
      </c>
      <c r="C180" s="14">
        <f>Table1346[[#This Row],[PMI]]-B179</f>
        <v>-1.1400000000000006</v>
      </c>
    </row>
    <row r="181" spans="1:3" x14ac:dyDescent="0.2">
      <c r="A181" s="15">
        <v>41852</v>
      </c>
      <c r="B181" s="14">
        <v>49</v>
      </c>
      <c r="C181" s="14">
        <f>Table1346[[#This Row],[PMI]]-B180</f>
        <v>3.5499999999999972</v>
      </c>
    </row>
    <row r="182" spans="1:3" x14ac:dyDescent="0.2">
      <c r="A182" s="15">
        <v>41883</v>
      </c>
      <c r="B182" s="14">
        <v>50.35</v>
      </c>
      <c r="C182" s="14">
        <f>Table1346[[#This Row],[PMI]]-B181</f>
        <v>1.3500000000000014</v>
      </c>
    </row>
    <row r="183" spans="1:3" x14ac:dyDescent="0.2">
      <c r="A183" s="15">
        <v>41913</v>
      </c>
      <c r="B183" s="14">
        <v>50.13</v>
      </c>
      <c r="C183" s="14">
        <f>Table1346[[#This Row],[PMI]]-B182</f>
        <v>-0.21999999999999886</v>
      </c>
    </row>
    <row r="184" spans="1:3" x14ac:dyDescent="0.2">
      <c r="A184" s="15">
        <v>41944</v>
      </c>
      <c r="B184" s="14">
        <v>53.12</v>
      </c>
      <c r="C184" s="14">
        <f>Table1346[[#This Row],[PMI]]-B183</f>
        <v>2.9899999999999949</v>
      </c>
    </row>
    <row r="185" spans="1:3" x14ac:dyDescent="0.2">
      <c r="A185" s="15">
        <v>41974</v>
      </c>
      <c r="B185" s="14">
        <v>51.1</v>
      </c>
      <c r="C185" s="14">
        <f>Table1346[[#This Row],[PMI]]-B184</f>
        <v>-2.019999999999996</v>
      </c>
    </row>
    <row r="186" spans="1:3" x14ac:dyDescent="0.2">
      <c r="A186" s="15">
        <v>42005</v>
      </c>
      <c r="B186" s="14">
        <v>53.24</v>
      </c>
      <c r="C186" s="14">
        <f>Table1346[[#This Row],[PMI]]-B185</f>
        <v>2.1400000000000006</v>
      </c>
    </row>
    <row r="187" spans="1:3" x14ac:dyDescent="0.2">
      <c r="A187" s="15">
        <v>42036</v>
      </c>
      <c r="B187" s="14">
        <v>47.66</v>
      </c>
      <c r="C187" s="14">
        <f>Table1346[[#This Row],[PMI]]-B186</f>
        <v>-5.5800000000000054</v>
      </c>
    </row>
    <row r="188" spans="1:3" x14ac:dyDescent="0.2">
      <c r="A188" s="15">
        <v>42064</v>
      </c>
      <c r="B188" s="14">
        <v>47.88</v>
      </c>
      <c r="C188" s="14">
        <f>Table1346[[#This Row],[PMI]]-B187</f>
        <v>0.22000000000000597</v>
      </c>
    </row>
    <row r="189" spans="1:3" x14ac:dyDescent="0.2">
      <c r="A189" s="15">
        <v>42095</v>
      </c>
      <c r="B189" s="14">
        <v>44.92</v>
      </c>
      <c r="C189" s="14">
        <f>Table1346[[#This Row],[PMI]]-B188</f>
        <v>-2.9600000000000009</v>
      </c>
    </row>
    <row r="190" spans="1:3" x14ac:dyDescent="0.2">
      <c r="A190" s="15">
        <v>42125</v>
      </c>
      <c r="B190" s="14">
        <v>50.52</v>
      </c>
      <c r="C190" s="14">
        <f>Table1346[[#This Row],[PMI]]-B189</f>
        <v>5.6000000000000014</v>
      </c>
    </row>
    <row r="191" spans="1:3" x14ac:dyDescent="0.2">
      <c r="A191" s="15">
        <v>42156</v>
      </c>
      <c r="B191" s="14">
        <v>50.31</v>
      </c>
      <c r="C191" s="14">
        <f>Table1346[[#This Row],[PMI]]-B190</f>
        <v>-0.21000000000000085</v>
      </c>
    </row>
    <row r="192" spans="1:3" x14ac:dyDescent="0.2">
      <c r="A192" s="15">
        <v>42186</v>
      </c>
      <c r="B192" s="14">
        <v>50.25</v>
      </c>
      <c r="C192" s="14">
        <f>Table1346[[#This Row],[PMI]]-B191</f>
        <v>-6.0000000000002274E-2</v>
      </c>
    </row>
    <row r="193" spans="1:3" x14ac:dyDescent="0.2">
      <c r="A193" s="15">
        <v>42217</v>
      </c>
      <c r="B193" s="14">
        <v>50.52</v>
      </c>
      <c r="C193" s="14">
        <f>Table1346[[#This Row],[PMI]]-B192</f>
        <v>0.27000000000000313</v>
      </c>
    </row>
    <row r="194" spans="1:3" x14ac:dyDescent="0.2">
      <c r="A194" s="15">
        <v>42248</v>
      </c>
      <c r="B194" s="14">
        <v>50.14</v>
      </c>
      <c r="C194" s="14">
        <f>Table1346[[#This Row],[PMI]]-B193</f>
        <v>-0.38000000000000256</v>
      </c>
    </row>
    <row r="195" spans="1:3" x14ac:dyDescent="0.2">
      <c r="A195" s="15">
        <v>42278</v>
      </c>
      <c r="B195" s="14">
        <v>48.74</v>
      </c>
      <c r="C195" s="14">
        <f>Table1346[[#This Row],[PMI]]-B194</f>
        <v>-1.3999999999999986</v>
      </c>
    </row>
    <row r="196" spans="1:3" x14ac:dyDescent="0.2">
      <c r="A196" s="15">
        <v>42309</v>
      </c>
      <c r="B196" s="14">
        <v>44.73</v>
      </c>
      <c r="C196" s="14">
        <f>Table1346[[#This Row],[PMI]]-B195</f>
        <v>-4.0100000000000051</v>
      </c>
    </row>
    <row r="197" spans="1:3" x14ac:dyDescent="0.2">
      <c r="A197" s="15">
        <v>42339</v>
      </c>
      <c r="B197" s="14">
        <v>47.2</v>
      </c>
      <c r="C197" s="14">
        <f>Table1346[[#This Row],[PMI]]-B196</f>
        <v>2.470000000000006</v>
      </c>
    </row>
    <row r="198" spans="1:3" x14ac:dyDescent="0.2">
      <c r="A198" s="15">
        <v>42370</v>
      </c>
      <c r="B198" s="14">
        <v>43.27</v>
      </c>
      <c r="C198" s="14">
        <f>Table1346[[#This Row],[PMI]]-B197</f>
        <v>-3.9299999999999997</v>
      </c>
    </row>
    <row r="199" spans="1:3" x14ac:dyDescent="0.2">
      <c r="A199" s="15">
        <v>42401</v>
      </c>
      <c r="B199" s="14">
        <v>46.84</v>
      </c>
      <c r="C199" s="14">
        <f>Table1346[[#This Row],[PMI]]-B198</f>
        <v>3.5700000000000003</v>
      </c>
    </row>
    <row r="200" spans="1:3" x14ac:dyDescent="0.2">
      <c r="A200" s="15">
        <v>42430</v>
      </c>
      <c r="B200" s="14">
        <v>49.54</v>
      </c>
      <c r="C200" s="14">
        <f>Table1346[[#This Row],[PMI]]-B199</f>
        <v>2.6999999999999957</v>
      </c>
    </row>
    <row r="201" spans="1:3" x14ac:dyDescent="0.2">
      <c r="A201" s="15">
        <v>42461</v>
      </c>
      <c r="B201" s="14">
        <v>53.33</v>
      </c>
      <c r="C201" s="14">
        <f>Table1346[[#This Row],[PMI]]-B200</f>
        <v>3.7899999999999991</v>
      </c>
    </row>
    <row r="202" spans="1:3" x14ac:dyDescent="0.2">
      <c r="A202" s="15">
        <v>42491</v>
      </c>
      <c r="B202" s="14">
        <v>50.72</v>
      </c>
      <c r="C202" s="14">
        <f>Table1346[[#This Row],[PMI]]-B201</f>
        <v>-2.6099999999999994</v>
      </c>
    </row>
    <row r="203" spans="1:3" x14ac:dyDescent="0.2">
      <c r="A203" s="15">
        <v>42522</v>
      </c>
      <c r="B203" s="14">
        <v>52.14</v>
      </c>
      <c r="C203" s="14">
        <f>Table1346[[#This Row],[PMI]]-B202</f>
        <v>1.4200000000000017</v>
      </c>
    </row>
    <row r="204" spans="1:3" x14ac:dyDescent="0.2">
      <c r="A204" s="15">
        <v>42552</v>
      </c>
      <c r="B204" s="14">
        <v>51.25</v>
      </c>
      <c r="C204" s="14">
        <f>Table1346[[#This Row],[PMI]]-B203</f>
        <v>-0.89000000000000057</v>
      </c>
    </row>
    <row r="205" spans="1:3" x14ac:dyDescent="0.2">
      <c r="A205" s="15">
        <v>42583</v>
      </c>
      <c r="B205" s="14">
        <v>47.94</v>
      </c>
      <c r="C205" s="14">
        <f>Table1346[[#This Row],[PMI]]-B204</f>
        <v>-3.3100000000000023</v>
      </c>
    </row>
    <row r="206" spans="1:3" x14ac:dyDescent="0.2">
      <c r="A206" s="15">
        <v>42614</v>
      </c>
      <c r="B206" s="14">
        <v>49.85</v>
      </c>
      <c r="C206" s="14">
        <f>Table1346[[#This Row],[PMI]]-B205</f>
        <v>1.9100000000000037</v>
      </c>
    </row>
    <row r="207" spans="1:3" x14ac:dyDescent="0.2">
      <c r="A207" s="15">
        <v>42644</v>
      </c>
      <c r="B207" s="14">
        <v>46.47</v>
      </c>
      <c r="C207" s="14">
        <f>Table1346[[#This Row],[PMI]]-B206</f>
        <v>-3.3800000000000026</v>
      </c>
    </row>
    <row r="208" spans="1:3" x14ac:dyDescent="0.2">
      <c r="A208" s="15">
        <v>42675</v>
      </c>
      <c r="B208" s="14">
        <v>49.22</v>
      </c>
      <c r="C208" s="14">
        <f>Table1346[[#This Row],[PMI]]-B207</f>
        <v>2.75</v>
      </c>
    </row>
    <row r="209" spans="1:3" x14ac:dyDescent="0.2">
      <c r="A209" s="15">
        <v>42705</v>
      </c>
      <c r="B209" s="14">
        <v>48.56</v>
      </c>
      <c r="C209" s="14">
        <f>Table1346[[#This Row],[PMI]]-B208</f>
        <v>-0.65999999999999659</v>
      </c>
    </row>
    <row r="210" spans="1:3" x14ac:dyDescent="0.2">
      <c r="A210" s="15">
        <v>42736</v>
      </c>
      <c r="B210" s="14">
        <v>50.08</v>
      </c>
      <c r="C210" s="14">
        <f>Table1346[[#This Row],[PMI]]-B209</f>
        <v>1.519999999999996</v>
      </c>
    </row>
    <row r="211" spans="1:3" x14ac:dyDescent="0.2">
      <c r="A211" s="15">
        <v>42767</v>
      </c>
      <c r="B211" s="14">
        <v>51.22</v>
      </c>
      <c r="C211" s="14">
        <f>Table1346[[#This Row],[PMI]]-B210</f>
        <v>1.1400000000000006</v>
      </c>
    </row>
    <row r="212" spans="1:3" x14ac:dyDescent="0.2">
      <c r="A212" s="15">
        <v>42795</v>
      </c>
      <c r="B212" s="14">
        <v>50.81</v>
      </c>
      <c r="C212" s="14">
        <f>Table1346[[#This Row],[PMI]]-B211</f>
        <v>-0.40999999999999659</v>
      </c>
    </row>
    <row r="213" spans="1:3" x14ac:dyDescent="0.2">
      <c r="A213" s="15">
        <v>42826</v>
      </c>
      <c r="B213" s="14">
        <v>43.53</v>
      </c>
      <c r="C213" s="14">
        <f>Table1346[[#This Row],[PMI]]-B212</f>
        <v>-7.2800000000000011</v>
      </c>
    </row>
    <row r="214" spans="1:3" x14ac:dyDescent="0.2">
      <c r="A214" s="15">
        <v>42856</v>
      </c>
      <c r="B214" s="14">
        <v>50.11</v>
      </c>
      <c r="C214" s="14">
        <f>Table1346[[#This Row],[PMI]]-B213</f>
        <v>6.5799999999999983</v>
      </c>
    </row>
    <row r="215" spans="1:3" x14ac:dyDescent="0.2">
      <c r="A215" s="15">
        <v>42887</v>
      </c>
      <c r="B215" s="14">
        <v>45.98</v>
      </c>
      <c r="C215" s="14">
        <f>Table1346[[#This Row],[PMI]]-B214</f>
        <v>-4.1300000000000026</v>
      </c>
    </row>
    <row r="216" spans="1:3" x14ac:dyDescent="0.2">
      <c r="A216" s="15">
        <v>42917</v>
      </c>
      <c r="B216" s="14">
        <v>42.1</v>
      </c>
      <c r="C216" s="14">
        <f>Table1346[[#This Row],[PMI]]-B215</f>
        <v>-3.8799999999999955</v>
      </c>
    </row>
    <row r="217" spans="1:3" x14ac:dyDescent="0.2">
      <c r="A217" s="15">
        <v>42948</v>
      </c>
      <c r="B217" s="14">
        <v>46.1</v>
      </c>
      <c r="C217" s="14">
        <f>Table1346[[#This Row],[PMI]]-B216</f>
        <v>4</v>
      </c>
    </row>
    <row r="218" spans="1:3" x14ac:dyDescent="0.2">
      <c r="A218" s="15">
        <v>42979</v>
      </c>
      <c r="B218" s="14">
        <v>46.4</v>
      </c>
      <c r="C218" s="14">
        <f>Table1346[[#This Row],[PMI]]-B217</f>
        <v>0.29999999999999716</v>
      </c>
    </row>
    <row r="219" spans="1:3" x14ac:dyDescent="0.2">
      <c r="A219" s="15">
        <v>43009</v>
      </c>
      <c r="B219" s="14">
        <v>48.4</v>
      </c>
      <c r="C219" s="14">
        <f>Table1346[[#This Row],[PMI]]-B218</f>
        <v>2</v>
      </c>
    </row>
    <row r="220" spans="1:3" x14ac:dyDescent="0.2">
      <c r="A220" s="15">
        <v>43040</v>
      </c>
      <c r="B220" s="14">
        <v>48.9</v>
      </c>
      <c r="C220" s="14">
        <f>Table1346[[#This Row],[PMI]]-B219</f>
        <v>0.5</v>
      </c>
    </row>
    <row r="221" spans="1:3" x14ac:dyDescent="0.2">
      <c r="A221" s="15">
        <v>43070</v>
      </c>
      <c r="B221" s="14">
        <v>45.9</v>
      </c>
      <c r="C221" s="14">
        <f>Table1346[[#This Row],[PMI]]-B220</f>
        <v>-3</v>
      </c>
    </row>
    <row r="222" spans="1:3" x14ac:dyDescent="0.2">
      <c r="A222" s="15">
        <v>43101</v>
      </c>
      <c r="B222" s="14">
        <v>49.2</v>
      </c>
      <c r="C222" s="14">
        <f>Table1346[[#This Row],[PMI]]-B221</f>
        <v>3.3000000000000043</v>
      </c>
    </row>
    <row r="223" spans="1:3" x14ac:dyDescent="0.2">
      <c r="A223" s="15">
        <v>43132</v>
      </c>
      <c r="B223" s="14">
        <v>50</v>
      </c>
      <c r="C223" s="14">
        <f>Table1346[[#This Row],[PMI]]-B222</f>
        <v>0.79999999999999716</v>
      </c>
    </row>
    <row r="224" spans="1:3" x14ac:dyDescent="0.2">
      <c r="A224" s="15">
        <v>43160</v>
      </c>
      <c r="B224" s="14">
        <v>46.7</v>
      </c>
      <c r="C224" s="14">
        <f>Table1346[[#This Row],[PMI]]-B223</f>
        <v>-3.2999999999999972</v>
      </c>
    </row>
    <row r="225" spans="1:3" x14ac:dyDescent="0.2">
      <c r="A225" s="15">
        <v>43191</v>
      </c>
      <c r="B225" s="14">
        <v>49.1</v>
      </c>
      <c r="C225" s="14">
        <f>Table1346[[#This Row],[PMI]]-B224</f>
        <v>2.3999999999999986</v>
      </c>
    </row>
    <row r="226" spans="1:3" x14ac:dyDescent="0.2">
      <c r="A226" s="15">
        <v>43221</v>
      </c>
      <c r="B226" s="14">
        <v>49.4</v>
      </c>
      <c r="C226" s="14">
        <f>Table1346[[#This Row],[PMI]]-B225</f>
        <v>0.29999999999999716</v>
      </c>
    </row>
    <row r="227" spans="1:3" x14ac:dyDescent="0.2">
      <c r="A227" s="15">
        <v>43252</v>
      </c>
      <c r="B227" s="14">
        <v>48</v>
      </c>
      <c r="C227" s="14">
        <f>Table1346[[#This Row],[PMI]]-B226</f>
        <v>-1.3999999999999986</v>
      </c>
    </row>
    <row r="228" spans="1:3" x14ac:dyDescent="0.2">
      <c r="A228" s="15">
        <v>43282</v>
      </c>
      <c r="B228" s="14">
        <v>49.9</v>
      </c>
      <c r="C228" s="14">
        <f>Table1346[[#This Row],[PMI]]-B227</f>
        <v>1.8999999999999986</v>
      </c>
    </row>
    <row r="229" spans="1:3" x14ac:dyDescent="0.2">
      <c r="A229" s="15">
        <v>43313</v>
      </c>
      <c r="B229" s="14">
        <v>45.2</v>
      </c>
      <c r="C229" s="14">
        <f>Table1346[[#This Row],[PMI]]-B228</f>
        <v>-4.6999999999999957</v>
      </c>
    </row>
    <row r="230" spans="1:3" x14ac:dyDescent="0.2">
      <c r="A230" s="15">
        <v>43344</v>
      </c>
      <c r="B230" s="14">
        <v>44.5</v>
      </c>
      <c r="C230" s="14">
        <f>Table1346[[#This Row],[PMI]]-B229</f>
        <v>-0.70000000000000284</v>
      </c>
    </row>
    <row r="231" spans="1:3" x14ac:dyDescent="0.2">
      <c r="A231" s="15">
        <v>43374</v>
      </c>
      <c r="B231" s="14">
        <v>42.4</v>
      </c>
      <c r="C231" s="14">
        <f>Table1346[[#This Row],[PMI]]-B230</f>
        <v>-2.1000000000000014</v>
      </c>
    </row>
    <row r="232" spans="1:3" x14ac:dyDescent="0.2">
      <c r="A232" s="15">
        <v>43405</v>
      </c>
      <c r="B232" s="14">
        <v>49.5</v>
      </c>
      <c r="C232" s="14">
        <f>Table1346[[#This Row],[PMI]]-B231</f>
        <v>7.1000000000000014</v>
      </c>
    </row>
    <row r="233" spans="1:3" x14ac:dyDescent="0.2">
      <c r="A233" s="15">
        <v>43435</v>
      </c>
      <c r="B233" s="14">
        <v>50.7</v>
      </c>
      <c r="C233" s="14">
        <f>Table1346[[#This Row],[PMI]]-B232</f>
        <v>1.2000000000000028</v>
      </c>
    </row>
    <row r="234" spans="1:3" x14ac:dyDescent="0.2">
      <c r="A234" s="15">
        <v>43466</v>
      </c>
      <c r="B234" s="14">
        <v>49.9</v>
      </c>
      <c r="C234" s="14">
        <f>Table1346[[#This Row],[PMI]]-B233</f>
        <v>-0.80000000000000426</v>
      </c>
    </row>
    <row r="235" spans="1:3" x14ac:dyDescent="0.2">
      <c r="A235" s="15">
        <v>43497</v>
      </c>
      <c r="B235" s="14">
        <v>46.2</v>
      </c>
      <c r="C235" s="14">
        <f>Table1346[[#This Row],[PMI]]-B234</f>
        <v>-3.6999999999999957</v>
      </c>
    </row>
    <row r="236" spans="1:3" x14ac:dyDescent="0.2">
      <c r="A236" s="15">
        <v>43525</v>
      </c>
      <c r="B236" s="14">
        <v>45</v>
      </c>
      <c r="C236" s="14">
        <f>Table1346[[#This Row],[PMI]]-B235</f>
        <v>-1.2000000000000028</v>
      </c>
    </row>
    <row r="237" spans="1:3" x14ac:dyDescent="0.2">
      <c r="A237" s="15">
        <v>43556</v>
      </c>
      <c r="B237" s="14">
        <v>47.2</v>
      </c>
      <c r="C237" s="14">
        <f>Table1346[[#This Row],[PMI]]-B236</f>
        <v>2.2000000000000028</v>
      </c>
    </row>
    <row r="238" spans="1:3" x14ac:dyDescent="0.2">
      <c r="A238" s="15">
        <v>43586</v>
      </c>
      <c r="B238" s="14">
        <v>45.4</v>
      </c>
      <c r="C238" s="14">
        <f>Table1346[[#This Row],[PMI]]-B237</f>
        <v>-1.8000000000000043</v>
      </c>
    </row>
    <row r="239" spans="1:3" x14ac:dyDescent="0.2">
      <c r="A239" s="15">
        <v>43617</v>
      </c>
      <c r="B239" s="14">
        <v>46.2</v>
      </c>
      <c r="C239" s="14">
        <f>Table1346[[#This Row],[PMI]]-B238</f>
        <v>0.80000000000000426</v>
      </c>
    </row>
    <row r="240" spans="1:3" x14ac:dyDescent="0.2">
      <c r="A240" s="15">
        <v>43647</v>
      </c>
      <c r="B240" s="14">
        <v>52.1</v>
      </c>
      <c r="C240" s="14">
        <f>Table1346[[#This Row],[PMI]]-B239</f>
        <v>5.8999999999999986</v>
      </c>
    </row>
    <row r="241" spans="1:3" x14ac:dyDescent="0.2">
      <c r="A241" s="15">
        <v>43678</v>
      </c>
      <c r="B241" s="14">
        <v>45.7</v>
      </c>
      <c r="C241" s="14">
        <f>Table1346[[#This Row],[PMI]]-B240</f>
        <v>-6.3999999999999986</v>
      </c>
    </row>
    <row r="242" spans="1:3" x14ac:dyDescent="0.2">
      <c r="A242" s="15">
        <v>43709</v>
      </c>
      <c r="B242" s="14">
        <v>41.6</v>
      </c>
      <c r="C242" s="14">
        <f>Table1346[[#This Row],[PMI]]-B241</f>
        <v>-4.1000000000000014</v>
      </c>
    </row>
    <row r="243" spans="1:3" x14ac:dyDescent="0.2">
      <c r="A243" s="15">
        <v>43739</v>
      </c>
      <c r="B243" s="14">
        <v>48.1</v>
      </c>
      <c r="C243" s="14">
        <f>Table1346[[#This Row],[PMI]]-B242</f>
        <v>6.5</v>
      </c>
    </row>
    <row r="244" spans="1:3" x14ac:dyDescent="0.2">
      <c r="A244" s="15">
        <v>43770</v>
      </c>
      <c r="B244" s="14">
        <v>47.7</v>
      </c>
      <c r="C244" s="14">
        <f>Table1346[[#This Row],[PMI]]-B243</f>
        <v>-0.39999999999999858</v>
      </c>
    </row>
    <row r="245" spans="1:3" x14ac:dyDescent="0.2">
      <c r="A245" s="15">
        <v>43800</v>
      </c>
      <c r="B245" s="14">
        <v>47.1</v>
      </c>
      <c r="C245" s="14">
        <f>Table1346[[#This Row],[PMI]]-B244</f>
        <v>-0.60000000000000142</v>
      </c>
    </row>
    <row r="246" spans="1:3" x14ac:dyDescent="0.2">
      <c r="A246" s="15">
        <v>43831</v>
      </c>
      <c r="B246" s="14">
        <v>45.2</v>
      </c>
      <c r="C246" s="14">
        <f>Table1346[[#This Row],[PMI]]-B245</f>
        <v>-1.8999999999999986</v>
      </c>
    </row>
    <row r="247" spans="1:3" x14ac:dyDescent="0.2">
      <c r="A247" s="15">
        <v>43862</v>
      </c>
      <c r="B247" s="14">
        <v>44.3</v>
      </c>
      <c r="C247" s="14">
        <f>Table1346[[#This Row],[PMI]]-B246</f>
        <v>-0.90000000000000568</v>
      </c>
    </row>
    <row r="248" spans="1:3" x14ac:dyDescent="0.2">
      <c r="A248" s="15">
        <v>43891</v>
      </c>
      <c r="B248" s="14">
        <v>48.1</v>
      </c>
      <c r="C248" s="14">
        <f>Table1346[[#This Row],[PMI]]-B247</f>
        <v>3.8000000000000043</v>
      </c>
    </row>
    <row r="249" spans="1:3" x14ac:dyDescent="0.2">
      <c r="A249" s="15">
        <v>43922</v>
      </c>
      <c r="B249" s="14">
        <v>46.1</v>
      </c>
      <c r="C249" s="14">
        <f>Table1346[[#This Row],[PMI]]-B248</f>
        <v>-2</v>
      </c>
    </row>
    <row r="250" spans="1:3" x14ac:dyDescent="0.2">
      <c r="A250" s="15">
        <v>43952</v>
      </c>
      <c r="B250" s="14">
        <v>50.2</v>
      </c>
      <c r="C250" s="14">
        <f>Table1346[[#This Row],[PMI]]-B249</f>
        <v>4.1000000000000014</v>
      </c>
    </row>
    <row r="251" spans="1:3" x14ac:dyDescent="0.2">
      <c r="A251" s="15">
        <v>43983</v>
      </c>
      <c r="B251" s="14">
        <v>53.9</v>
      </c>
      <c r="C251" s="14">
        <f>Table1346[[#This Row],[PMI]]-B250</f>
        <v>3.6999999999999957</v>
      </c>
    </row>
    <row r="252" spans="1:3" x14ac:dyDescent="0.2">
      <c r="A252" s="15">
        <v>44013</v>
      </c>
      <c r="B252" s="14">
        <v>51.2</v>
      </c>
      <c r="C252" s="14">
        <f>Table1346[[#This Row],[PMI]]-B251</f>
        <v>-2.6999999999999957</v>
      </c>
    </row>
    <row r="253" spans="1:3" x14ac:dyDescent="0.2">
      <c r="A253" s="15">
        <v>44044</v>
      </c>
      <c r="B253" s="14">
        <v>57.3</v>
      </c>
      <c r="C253" s="14">
        <f>Table1346[[#This Row],[PMI]]-B252</f>
        <v>6.0999999999999943</v>
      </c>
    </row>
    <row r="254" spans="1:3" x14ac:dyDescent="0.2">
      <c r="A254" s="15">
        <v>44075</v>
      </c>
      <c r="B254" s="14">
        <v>58.3</v>
      </c>
      <c r="C254" s="14">
        <f>Table1346[[#This Row],[PMI]]-B253</f>
        <v>1</v>
      </c>
    </row>
    <row r="255" spans="1:3" x14ac:dyDescent="0.2">
      <c r="A255" s="15">
        <v>44105</v>
      </c>
      <c r="B255" s="14">
        <v>60.9</v>
      </c>
      <c r="C255" s="14">
        <f>Table1346[[#This Row],[PMI]]-B254</f>
        <v>2.6000000000000014</v>
      </c>
    </row>
    <row r="256" spans="1:3" x14ac:dyDescent="0.2">
      <c r="A256" s="15">
        <v>44136</v>
      </c>
      <c r="B256" s="14">
        <v>52.6</v>
      </c>
      <c r="C256" s="14">
        <f>Table1346[[#This Row],[PMI]]-B255</f>
        <v>-8.2999999999999972</v>
      </c>
    </row>
    <row r="257" spans="1:3" x14ac:dyDescent="0.2">
      <c r="A257" s="15">
        <v>44166</v>
      </c>
      <c r="B257" s="14">
        <v>50.3</v>
      </c>
      <c r="C257" s="14">
        <f>Table1346[[#This Row],[PMI]]-B256</f>
        <v>-2.3000000000000043</v>
      </c>
    </row>
    <row r="258" spans="1:3" x14ac:dyDescent="0.2">
      <c r="A258" s="15">
        <v>44197</v>
      </c>
      <c r="B258" s="14">
        <v>50.3</v>
      </c>
      <c r="C258" s="14">
        <f>Table1346[[#This Row],[PMI]]-B257</f>
        <v>0</v>
      </c>
    </row>
    <row r="259" spans="1:3" x14ac:dyDescent="0.2">
      <c r="A259" s="15">
        <v>44228</v>
      </c>
      <c r="B259" s="14">
        <v>53</v>
      </c>
      <c r="C259" s="14">
        <f>Table1346[[#This Row],[PMI]]-B258</f>
        <v>2.7000000000000028</v>
      </c>
    </row>
    <row r="260" spans="1:3" x14ac:dyDescent="0.2">
      <c r="A260" s="15">
        <v>44256</v>
      </c>
      <c r="B260" s="14">
        <v>57.4</v>
      </c>
      <c r="C260" s="14">
        <f>Table1346[[#This Row],[PMI]]-B259</f>
        <v>4.3999999999999986</v>
      </c>
    </row>
    <row r="261" spans="1:3" x14ac:dyDescent="0.2">
      <c r="A261" s="15">
        <v>44287</v>
      </c>
      <c r="B261" s="14">
        <v>56.2</v>
      </c>
      <c r="C261" s="14">
        <f>Table1346[[#This Row],[PMI]]-B260</f>
        <v>-1.1999999999999957</v>
      </c>
    </row>
    <row r="262" spans="1:3" x14ac:dyDescent="0.2">
      <c r="A262" s="15">
        <v>44317</v>
      </c>
      <c r="B262" s="14">
        <v>57.8</v>
      </c>
      <c r="C262" s="14">
        <f>Table1346[[#This Row],[PMI]]-B261</f>
        <v>1.5999999999999943</v>
      </c>
    </row>
    <row r="263" spans="1:3" x14ac:dyDescent="0.2">
      <c r="A263" s="15">
        <v>44348</v>
      </c>
      <c r="B263" s="14">
        <v>57.4</v>
      </c>
      <c r="C263" s="14">
        <f>Table1346[[#This Row],[PMI]]-B262</f>
        <v>-0.39999999999999858</v>
      </c>
    </row>
    <row r="264" spans="1:3" x14ac:dyDescent="0.2">
      <c r="A264" s="15">
        <v>44378</v>
      </c>
      <c r="B264" s="14">
        <v>43.5</v>
      </c>
      <c r="C264" s="14">
        <f>Table1346[[#This Row],[PMI]]-B263</f>
        <v>-13.899999999999999</v>
      </c>
    </row>
    <row r="265" spans="1:3" x14ac:dyDescent="0.2">
      <c r="A265" s="15">
        <v>44409</v>
      </c>
      <c r="B265" s="14">
        <v>57.9</v>
      </c>
      <c r="C265" s="14">
        <f>Table1346[[#This Row],[PMI]]-B264</f>
        <v>14.399999999999999</v>
      </c>
    </row>
    <row r="266" spans="1:3" x14ac:dyDescent="0.2">
      <c r="A266" s="15">
        <v>44440</v>
      </c>
      <c r="B266" s="14">
        <v>54.7</v>
      </c>
      <c r="C266" s="14">
        <f>Table1346[[#This Row],[PMI]]-B265</f>
        <v>-3.1999999999999957</v>
      </c>
    </row>
    <row r="267" spans="1:3" x14ac:dyDescent="0.2">
      <c r="A267" s="15">
        <v>44470</v>
      </c>
      <c r="B267" s="14">
        <v>53.6</v>
      </c>
      <c r="C267" s="14">
        <f>Table1346[[#This Row],[PMI]]-B266</f>
        <v>-1.1000000000000014</v>
      </c>
    </row>
    <row r="268" spans="1:3" x14ac:dyDescent="0.2">
      <c r="A268" s="15">
        <v>44501</v>
      </c>
      <c r="B268" s="14">
        <v>57.2</v>
      </c>
      <c r="C268" s="14">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6DE24-54C7-463C-AD17-BCD1EC0A1350}">
  <dimension ref="A1:K119"/>
  <sheetViews>
    <sheetView zoomScale="170" zoomScaleNormal="170" workbookViewId="0">
      <pane ySplit="5" topLeftCell="A82" activePane="bottomLeft" state="frozen"/>
      <selection pane="bottomLeft" activeCell="A121" sqref="A121"/>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25</v>
      </c>
      <c r="K1" s="1" t="s">
        <v>21</v>
      </c>
    </row>
    <row r="2" spans="1:11" x14ac:dyDescent="0.2">
      <c r="K2" s="1" t="str">
        <f>A1&amp;K1</f>
        <v>Hong-Kong Manufacturing PMI</v>
      </c>
    </row>
    <row r="4" spans="1:11" ht="16" thickBot="1" x14ac:dyDescent="0.25"/>
    <row r="5" spans="1:11" ht="16" thickBot="1" x14ac:dyDescent="0.25">
      <c r="A5" s="27" t="s">
        <v>10</v>
      </c>
      <c r="B5" s="28" t="s">
        <v>11</v>
      </c>
      <c r="C5" s="28" t="s">
        <v>14</v>
      </c>
    </row>
    <row r="6" spans="1:11" x14ac:dyDescent="0.2">
      <c r="A6" s="23">
        <v>41061</v>
      </c>
      <c r="B6" s="24">
        <v>49.8</v>
      </c>
      <c r="C6" s="24"/>
    </row>
    <row r="7" spans="1:11" x14ac:dyDescent="0.2">
      <c r="A7" s="15">
        <v>41091</v>
      </c>
      <c r="B7" s="14">
        <v>50.3</v>
      </c>
      <c r="C7" s="14">
        <f>Table13467[[#This Row],[PMI]]-B6</f>
        <v>0.5</v>
      </c>
    </row>
    <row r="8" spans="1:11" x14ac:dyDescent="0.2">
      <c r="A8" s="15">
        <v>41122</v>
      </c>
      <c r="B8" s="14">
        <v>50.5</v>
      </c>
      <c r="C8" s="14">
        <f>Table13467[[#This Row],[PMI]]-B7</f>
        <v>0.20000000000000284</v>
      </c>
    </row>
    <row r="9" spans="1:11" x14ac:dyDescent="0.2">
      <c r="A9" s="15">
        <v>41153</v>
      </c>
      <c r="B9" s="14">
        <v>49.6</v>
      </c>
      <c r="C9" s="14">
        <f>Table13467[[#This Row],[PMI]]-B8</f>
        <v>-0.89999999999999858</v>
      </c>
    </row>
    <row r="10" spans="1:11" x14ac:dyDescent="0.2">
      <c r="A10" s="15">
        <v>41183</v>
      </c>
      <c r="B10" s="14">
        <v>50.5</v>
      </c>
      <c r="C10" s="14">
        <f>Table13467[[#This Row],[PMI]]-B9</f>
        <v>0.89999999999999858</v>
      </c>
    </row>
    <row r="11" spans="1:11" x14ac:dyDescent="0.2">
      <c r="A11" s="15">
        <v>41214</v>
      </c>
      <c r="B11" s="14">
        <v>52.2</v>
      </c>
      <c r="C11" s="14">
        <f>Table13467[[#This Row],[PMI]]-B10</f>
        <v>1.7000000000000028</v>
      </c>
    </row>
    <row r="12" spans="1:11" x14ac:dyDescent="0.2">
      <c r="A12" s="15">
        <v>41244</v>
      </c>
      <c r="B12" s="14">
        <v>51.7</v>
      </c>
      <c r="C12" s="14">
        <f>Table13467[[#This Row],[PMI]]-B11</f>
        <v>-0.5</v>
      </c>
    </row>
    <row r="13" spans="1:11" x14ac:dyDescent="0.2">
      <c r="A13" s="15">
        <v>41275</v>
      </c>
      <c r="B13" s="14">
        <v>52.5</v>
      </c>
      <c r="C13" s="14">
        <f>Table13467[[#This Row],[PMI]]-B12</f>
        <v>0.79999999999999716</v>
      </c>
    </row>
    <row r="14" spans="1:11" x14ac:dyDescent="0.2">
      <c r="A14" s="15">
        <v>41306</v>
      </c>
      <c r="B14" s="14">
        <v>51.2</v>
      </c>
      <c r="C14" s="14">
        <f>Table13467[[#This Row],[PMI]]-B13</f>
        <v>-1.2999999999999972</v>
      </c>
    </row>
    <row r="15" spans="1:11" x14ac:dyDescent="0.2">
      <c r="A15" s="15">
        <v>41334</v>
      </c>
      <c r="B15" s="14">
        <v>50.5</v>
      </c>
      <c r="C15" s="14">
        <f>Table13467[[#This Row],[PMI]]-B14</f>
        <v>-0.70000000000000284</v>
      </c>
    </row>
    <row r="16" spans="1:11" x14ac:dyDescent="0.2">
      <c r="A16" s="15">
        <v>41365</v>
      </c>
      <c r="B16" s="14">
        <v>49.9</v>
      </c>
      <c r="C16" s="14">
        <f>Table13467[[#This Row],[PMI]]-B15</f>
        <v>-0.60000000000000142</v>
      </c>
    </row>
    <row r="17" spans="1:3" x14ac:dyDescent="0.2">
      <c r="A17" s="15">
        <v>41395</v>
      </c>
      <c r="B17" s="14">
        <v>49.8</v>
      </c>
      <c r="C17" s="14">
        <f>Table13467[[#This Row],[PMI]]-B16</f>
        <v>-0.10000000000000142</v>
      </c>
    </row>
    <row r="18" spans="1:3" x14ac:dyDescent="0.2">
      <c r="A18" s="15">
        <v>41426</v>
      </c>
      <c r="B18" s="14">
        <v>48.7</v>
      </c>
      <c r="C18" s="14">
        <f>Table13467[[#This Row],[PMI]]-B17</f>
        <v>-1.0999999999999943</v>
      </c>
    </row>
    <row r="19" spans="1:3" x14ac:dyDescent="0.2">
      <c r="A19" s="15">
        <v>41456</v>
      </c>
      <c r="B19" s="14">
        <v>49.7</v>
      </c>
      <c r="C19" s="14">
        <f>Table13467[[#This Row],[PMI]]-B18</f>
        <v>1</v>
      </c>
    </row>
    <row r="20" spans="1:3" x14ac:dyDescent="0.2">
      <c r="A20" s="15">
        <v>41487</v>
      </c>
      <c r="B20" s="14">
        <v>49.7</v>
      </c>
      <c r="C20" s="14">
        <f>Table13467[[#This Row],[PMI]]-B19</f>
        <v>0</v>
      </c>
    </row>
    <row r="21" spans="1:3" x14ac:dyDescent="0.2">
      <c r="A21" s="15">
        <v>41518</v>
      </c>
      <c r="B21" s="14">
        <v>50</v>
      </c>
      <c r="C21" s="14">
        <f>Table13467[[#This Row],[PMI]]-B20</f>
        <v>0.29999999999999716</v>
      </c>
    </row>
    <row r="22" spans="1:3" x14ac:dyDescent="0.2">
      <c r="A22" s="15">
        <v>41548</v>
      </c>
      <c r="B22" s="14">
        <v>50.1</v>
      </c>
      <c r="C22" s="14">
        <f>Table13467[[#This Row],[PMI]]-B21</f>
        <v>0.10000000000000142</v>
      </c>
    </row>
    <row r="23" spans="1:3" x14ac:dyDescent="0.2">
      <c r="A23" s="15">
        <v>41579</v>
      </c>
      <c r="B23" s="14">
        <v>52.1</v>
      </c>
      <c r="C23" s="14">
        <f>Table13467[[#This Row],[PMI]]-B22</f>
        <v>2</v>
      </c>
    </row>
    <row r="24" spans="1:3" x14ac:dyDescent="0.2">
      <c r="A24" s="15">
        <v>41609</v>
      </c>
      <c r="B24" s="14">
        <v>51.2</v>
      </c>
      <c r="C24" s="14">
        <f>Table13467[[#This Row],[PMI]]-B23</f>
        <v>-0.89999999999999858</v>
      </c>
    </row>
    <row r="25" spans="1:3" x14ac:dyDescent="0.2">
      <c r="A25" s="15">
        <v>41640</v>
      </c>
      <c r="B25" s="14">
        <v>52.7</v>
      </c>
      <c r="C25" s="14">
        <f>Table13467[[#This Row],[PMI]]-B24</f>
        <v>1.5</v>
      </c>
    </row>
    <row r="26" spans="1:3" x14ac:dyDescent="0.2">
      <c r="A26" s="15">
        <v>41671</v>
      </c>
      <c r="B26" s="14">
        <v>53.3</v>
      </c>
      <c r="C26" s="14">
        <f>Table13467[[#This Row],[PMI]]-B25</f>
        <v>0.59999999999999432</v>
      </c>
    </row>
    <row r="27" spans="1:3" x14ac:dyDescent="0.2">
      <c r="A27" s="15">
        <v>41699</v>
      </c>
      <c r="B27" s="14">
        <v>49.9</v>
      </c>
      <c r="C27" s="14">
        <f>Table13467[[#This Row],[PMI]]-B26</f>
        <v>-3.3999999999999986</v>
      </c>
    </row>
    <row r="28" spans="1:3" x14ac:dyDescent="0.2">
      <c r="A28" s="15">
        <v>41730</v>
      </c>
      <c r="B28" s="14">
        <v>49.7</v>
      </c>
      <c r="C28" s="14">
        <f>Table13467[[#This Row],[PMI]]-B27</f>
        <v>-0.19999999999999574</v>
      </c>
    </row>
    <row r="29" spans="1:3" x14ac:dyDescent="0.2">
      <c r="A29" s="15">
        <v>41760</v>
      </c>
      <c r="B29" s="14">
        <v>49.1</v>
      </c>
      <c r="C29" s="14">
        <f>Table13467[[#This Row],[PMI]]-B28</f>
        <v>-0.60000000000000142</v>
      </c>
    </row>
    <row r="30" spans="1:3" x14ac:dyDescent="0.2">
      <c r="A30" s="15">
        <v>41791</v>
      </c>
      <c r="B30" s="14">
        <v>50.1</v>
      </c>
      <c r="C30" s="14">
        <f>Table13467[[#This Row],[PMI]]-B29</f>
        <v>1</v>
      </c>
    </row>
    <row r="31" spans="1:3" x14ac:dyDescent="0.2">
      <c r="A31" s="15">
        <v>41821</v>
      </c>
      <c r="B31" s="14">
        <v>50.4</v>
      </c>
      <c r="C31" s="14">
        <f>Table13467[[#This Row],[PMI]]-B30</f>
        <v>0.29999999999999716</v>
      </c>
    </row>
    <row r="32" spans="1:3" x14ac:dyDescent="0.2">
      <c r="A32" s="15">
        <v>41852</v>
      </c>
      <c r="B32" s="14">
        <v>49.6</v>
      </c>
      <c r="C32" s="14">
        <f>Table13467[[#This Row],[PMI]]-B31</f>
        <v>-0.79999999999999716</v>
      </c>
    </row>
    <row r="33" spans="1:3" x14ac:dyDescent="0.2">
      <c r="A33" s="15">
        <v>41883</v>
      </c>
      <c r="B33" s="14">
        <v>49.8</v>
      </c>
      <c r="C33" s="14">
        <f>Table13467[[#This Row],[PMI]]-B32</f>
        <v>0.19999999999999574</v>
      </c>
    </row>
    <row r="34" spans="1:3" x14ac:dyDescent="0.2">
      <c r="A34" s="15">
        <v>41913</v>
      </c>
      <c r="B34" s="14">
        <v>47.7</v>
      </c>
      <c r="C34" s="14">
        <f>Table13467[[#This Row],[PMI]]-B33</f>
        <v>-2.0999999999999943</v>
      </c>
    </row>
    <row r="35" spans="1:3" x14ac:dyDescent="0.2">
      <c r="A35" s="15">
        <v>41944</v>
      </c>
      <c r="B35" s="14">
        <v>48.8</v>
      </c>
      <c r="C35" s="14">
        <f>Table13467[[#This Row],[PMI]]-B34</f>
        <v>1.0999999999999943</v>
      </c>
    </row>
    <row r="36" spans="1:3" x14ac:dyDescent="0.2">
      <c r="A36" s="15">
        <v>41974</v>
      </c>
      <c r="B36" s="14">
        <v>50.3</v>
      </c>
      <c r="C36" s="14">
        <f>Table13467[[#This Row],[PMI]]-B35</f>
        <v>1.5</v>
      </c>
    </row>
    <row r="37" spans="1:3" x14ac:dyDescent="0.2">
      <c r="A37" s="15">
        <v>42005</v>
      </c>
      <c r="B37" s="14">
        <v>49.4</v>
      </c>
      <c r="C37" s="14">
        <f>Table13467[[#This Row],[PMI]]-B36</f>
        <v>-0.89999999999999858</v>
      </c>
    </row>
    <row r="38" spans="1:3" x14ac:dyDescent="0.2">
      <c r="A38" s="15">
        <v>42036</v>
      </c>
      <c r="B38" s="14">
        <v>50.7</v>
      </c>
      <c r="C38" s="14">
        <f>Table13467[[#This Row],[PMI]]-B37</f>
        <v>1.3000000000000043</v>
      </c>
    </row>
    <row r="39" spans="1:3" x14ac:dyDescent="0.2">
      <c r="A39" s="15">
        <v>42064</v>
      </c>
      <c r="B39" s="14">
        <v>49.6</v>
      </c>
      <c r="C39" s="14">
        <f>Table13467[[#This Row],[PMI]]-B38</f>
        <v>-1.1000000000000014</v>
      </c>
    </row>
    <row r="40" spans="1:3" x14ac:dyDescent="0.2">
      <c r="A40" s="15">
        <v>42095</v>
      </c>
      <c r="B40" s="14">
        <v>48.6</v>
      </c>
      <c r="C40" s="14">
        <f>Table13467[[#This Row],[PMI]]-B39</f>
        <v>-1</v>
      </c>
    </row>
    <row r="41" spans="1:3" x14ac:dyDescent="0.2">
      <c r="A41" s="15">
        <v>42125</v>
      </c>
      <c r="B41" s="14">
        <v>47.6</v>
      </c>
      <c r="C41" s="14">
        <f>Table13467[[#This Row],[PMI]]-B40</f>
        <v>-1</v>
      </c>
    </row>
    <row r="42" spans="1:3" x14ac:dyDescent="0.2">
      <c r="A42" s="15">
        <v>42156</v>
      </c>
      <c r="B42" s="14">
        <v>49.2</v>
      </c>
      <c r="C42" s="14">
        <f>Table13467[[#This Row],[PMI]]-B41</f>
        <v>1.6000000000000014</v>
      </c>
    </row>
    <row r="43" spans="1:3" x14ac:dyDescent="0.2">
      <c r="A43" s="15">
        <v>42186</v>
      </c>
      <c r="B43" s="14">
        <v>48.2</v>
      </c>
      <c r="C43" s="14">
        <f>Table13467[[#This Row],[PMI]]-B42</f>
        <v>-1</v>
      </c>
    </row>
    <row r="44" spans="1:3" x14ac:dyDescent="0.2">
      <c r="A44" s="15">
        <v>42217</v>
      </c>
      <c r="B44" s="14">
        <v>44.4</v>
      </c>
      <c r="C44" s="14">
        <f>Table13467[[#This Row],[PMI]]-B43</f>
        <v>-3.8000000000000043</v>
      </c>
    </row>
    <row r="45" spans="1:3" x14ac:dyDescent="0.2">
      <c r="A45" s="15">
        <v>42248</v>
      </c>
      <c r="B45" s="14">
        <v>45.7</v>
      </c>
      <c r="C45" s="14">
        <f>Table13467[[#This Row],[PMI]]-B44</f>
        <v>1.3000000000000043</v>
      </c>
    </row>
    <row r="46" spans="1:3" x14ac:dyDescent="0.2">
      <c r="A46" s="15">
        <v>42278</v>
      </c>
      <c r="B46" s="14">
        <v>46.6</v>
      </c>
      <c r="C46" s="14">
        <f>Table13467[[#This Row],[PMI]]-B45</f>
        <v>0.89999999999999858</v>
      </c>
    </row>
    <row r="47" spans="1:3" x14ac:dyDescent="0.2">
      <c r="A47" s="15">
        <v>42309</v>
      </c>
      <c r="B47" s="14">
        <v>46.6</v>
      </c>
      <c r="C47" s="14">
        <f>Table13467[[#This Row],[PMI]]-B46</f>
        <v>0</v>
      </c>
    </row>
    <row r="48" spans="1:3" x14ac:dyDescent="0.2">
      <c r="A48" s="15">
        <v>42339</v>
      </c>
      <c r="B48" s="14">
        <v>46.4</v>
      </c>
      <c r="C48" s="14">
        <f>Table13467[[#This Row],[PMI]]-B47</f>
        <v>-0.20000000000000284</v>
      </c>
    </row>
    <row r="49" spans="1:3" x14ac:dyDescent="0.2">
      <c r="A49" s="15">
        <v>42370</v>
      </c>
      <c r="B49" s="14">
        <v>46.1</v>
      </c>
      <c r="C49" s="14">
        <f>Table13467[[#This Row],[PMI]]-B48</f>
        <v>-0.29999999999999716</v>
      </c>
    </row>
    <row r="50" spans="1:3" x14ac:dyDescent="0.2">
      <c r="A50" s="15">
        <v>42401</v>
      </c>
      <c r="B50" s="14">
        <v>46.4</v>
      </c>
      <c r="C50" s="14">
        <f>Table13467[[#This Row],[PMI]]-B49</f>
        <v>0.29999999999999716</v>
      </c>
    </row>
    <row r="51" spans="1:3" x14ac:dyDescent="0.2">
      <c r="A51" s="15">
        <v>42430</v>
      </c>
      <c r="B51" s="14">
        <v>45.5</v>
      </c>
      <c r="C51" s="14">
        <f>Table13467[[#This Row],[PMI]]-B50</f>
        <v>-0.89999999999999858</v>
      </c>
    </row>
    <row r="52" spans="1:3" x14ac:dyDescent="0.2">
      <c r="A52" s="15">
        <v>42461</v>
      </c>
      <c r="B52" s="14">
        <v>45.3</v>
      </c>
      <c r="C52" s="14">
        <f>Table13467[[#This Row],[PMI]]-B51</f>
        <v>-0.20000000000000284</v>
      </c>
    </row>
    <row r="53" spans="1:3" x14ac:dyDescent="0.2">
      <c r="A53" s="15">
        <v>42491</v>
      </c>
      <c r="B53" s="14">
        <v>47.2</v>
      </c>
      <c r="C53" s="14">
        <f>Table13467[[#This Row],[PMI]]-B52</f>
        <v>1.9000000000000057</v>
      </c>
    </row>
    <row r="54" spans="1:3" x14ac:dyDescent="0.2">
      <c r="A54" s="15">
        <v>42522</v>
      </c>
      <c r="B54" s="14">
        <v>45.4</v>
      </c>
      <c r="C54" s="14">
        <f>Table13467[[#This Row],[PMI]]-B53</f>
        <v>-1.8000000000000043</v>
      </c>
    </row>
    <row r="55" spans="1:3" x14ac:dyDescent="0.2">
      <c r="A55" s="15">
        <v>42552</v>
      </c>
      <c r="B55" s="14">
        <v>47.2</v>
      </c>
      <c r="C55" s="14">
        <f>Table13467[[#This Row],[PMI]]-B54</f>
        <v>1.8000000000000043</v>
      </c>
    </row>
    <row r="56" spans="1:3" x14ac:dyDescent="0.2">
      <c r="A56" s="15">
        <v>42583</v>
      </c>
      <c r="B56" s="14">
        <v>49</v>
      </c>
      <c r="C56" s="14">
        <f>Table13467[[#This Row],[PMI]]-B55</f>
        <v>1.7999999999999972</v>
      </c>
    </row>
    <row r="57" spans="1:3" x14ac:dyDescent="0.2">
      <c r="A57" s="15">
        <v>42614</v>
      </c>
      <c r="B57" s="14">
        <v>49.3</v>
      </c>
      <c r="C57" s="14">
        <f>Table13467[[#This Row],[PMI]]-B56</f>
        <v>0.29999999999999716</v>
      </c>
    </row>
    <row r="58" spans="1:3" x14ac:dyDescent="0.2">
      <c r="A58" s="15">
        <v>42644</v>
      </c>
      <c r="B58" s="14">
        <v>48.2</v>
      </c>
      <c r="C58" s="14">
        <f>Table13467[[#This Row],[PMI]]-B57</f>
        <v>-1.0999999999999943</v>
      </c>
    </row>
    <row r="59" spans="1:3" x14ac:dyDescent="0.2">
      <c r="A59" s="15">
        <v>42675</v>
      </c>
      <c r="B59" s="14">
        <v>49.5</v>
      </c>
      <c r="C59" s="14">
        <f>Table13467[[#This Row],[PMI]]-B58</f>
        <v>1.2999999999999972</v>
      </c>
    </row>
    <row r="60" spans="1:3" x14ac:dyDescent="0.2">
      <c r="A60" s="15">
        <v>42705</v>
      </c>
      <c r="B60" s="14">
        <v>50.3</v>
      </c>
      <c r="C60" s="14">
        <f>Table13467[[#This Row],[PMI]]-B59</f>
        <v>0.79999999999999716</v>
      </c>
    </row>
    <row r="61" spans="1:3" x14ac:dyDescent="0.2">
      <c r="A61" s="15">
        <v>42736</v>
      </c>
      <c r="B61" s="14">
        <v>49.9</v>
      </c>
      <c r="C61" s="14">
        <f>Table13467[[#This Row],[PMI]]-B60</f>
        <v>-0.39999999999999858</v>
      </c>
    </row>
    <row r="62" spans="1:3" x14ac:dyDescent="0.2">
      <c r="A62" s="15">
        <v>42767</v>
      </c>
      <c r="B62" s="14">
        <v>49.6</v>
      </c>
      <c r="C62" s="14">
        <f>Table13467[[#This Row],[PMI]]-B61</f>
        <v>-0.29999999999999716</v>
      </c>
    </row>
    <row r="63" spans="1:3" x14ac:dyDescent="0.2">
      <c r="A63" s="15">
        <v>42795</v>
      </c>
      <c r="B63" s="14">
        <v>49.9</v>
      </c>
      <c r="C63" s="14">
        <f>Table13467[[#This Row],[PMI]]-B62</f>
        <v>0.29999999999999716</v>
      </c>
    </row>
    <row r="64" spans="1:3" x14ac:dyDescent="0.2">
      <c r="A64" s="15">
        <v>42826</v>
      </c>
      <c r="B64" s="14">
        <v>51.1</v>
      </c>
      <c r="C64" s="14">
        <f>Table13467[[#This Row],[PMI]]-B63</f>
        <v>1.2000000000000028</v>
      </c>
    </row>
    <row r="65" spans="1:3" x14ac:dyDescent="0.2">
      <c r="A65" s="15">
        <v>42856</v>
      </c>
      <c r="B65" s="14">
        <v>50.5</v>
      </c>
      <c r="C65" s="14">
        <f>Table13467[[#This Row],[PMI]]-B64</f>
        <v>-0.60000000000000142</v>
      </c>
    </row>
    <row r="66" spans="1:3" x14ac:dyDescent="0.2">
      <c r="A66" s="15">
        <v>42887</v>
      </c>
      <c r="B66" s="14">
        <v>51.1</v>
      </c>
      <c r="C66" s="14">
        <f>Table13467[[#This Row],[PMI]]-B65</f>
        <v>0.60000000000000142</v>
      </c>
    </row>
    <row r="67" spans="1:3" x14ac:dyDescent="0.2">
      <c r="A67" s="15">
        <v>42917</v>
      </c>
      <c r="B67" s="14">
        <v>51.3</v>
      </c>
      <c r="C67" s="14">
        <f>Table13467[[#This Row],[PMI]]-B66</f>
        <v>0.19999999999999574</v>
      </c>
    </row>
    <row r="68" spans="1:3" x14ac:dyDescent="0.2">
      <c r="A68" s="15">
        <v>42948</v>
      </c>
      <c r="B68" s="14">
        <v>49.7</v>
      </c>
      <c r="C68" s="14">
        <f>Table13467[[#This Row],[PMI]]-B67</f>
        <v>-1.5999999999999943</v>
      </c>
    </row>
    <row r="69" spans="1:3" x14ac:dyDescent="0.2">
      <c r="A69" s="15">
        <v>42979</v>
      </c>
      <c r="B69" s="14">
        <v>51.2</v>
      </c>
      <c r="C69" s="14">
        <f>Table13467[[#This Row],[PMI]]-B68</f>
        <v>1.5</v>
      </c>
    </row>
    <row r="70" spans="1:3" x14ac:dyDescent="0.2">
      <c r="A70" s="15">
        <v>43009</v>
      </c>
      <c r="B70" s="14">
        <v>50.3</v>
      </c>
      <c r="C70" s="14">
        <f>Table13467[[#This Row],[PMI]]-B69</f>
        <v>-0.90000000000000568</v>
      </c>
    </row>
    <row r="71" spans="1:3" x14ac:dyDescent="0.2">
      <c r="A71" s="15">
        <v>43040</v>
      </c>
      <c r="B71" s="14">
        <v>50.7</v>
      </c>
      <c r="C71" s="14">
        <f>Table13467[[#This Row],[PMI]]-B70</f>
        <v>0.40000000000000568</v>
      </c>
    </row>
    <row r="72" spans="1:3" x14ac:dyDescent="0.2">
      <c r="A72" s="15">
        <v>43070</v>
      </c>
      <c r="B72" s="14">
        <v>51.5</v>
      </c>
      <c r="C72" s="14">
        <f>Table13467[[#This Row],[PMI]]-B71</f>
        <v>0.79999999999999716</v>
      </c>
    </row>
    <row r="73" spans="1:3" x14ac:dyDescent="0.2">
      <c r="A73" s="15">
        <v>43101</v>
      </c>
      <c r="B73" s="14">
        <v>51.1</v>
      </c>
      <c r="C73" s="14">
        <f>Table13467[[#This Row],[PMI]]-B72</f>
        <v>-0.39999999999999858</v>
      </c>
    </row>
    <row r="74" spans="1:3" x14ac:dyDescent="0.2">
      <c r="A74" s="15">
        <v>43132</v>
      </c>
      <c r="B74" s="14">
        <v>51.7</v>
      </c>
      <c r="C74" s="14">
        <f>Table13467[[#This Row],[PMI]]-B73</f>
        <v>0.60000000000000142</v>
      </c>
    </row>
    <row r="75" spans="1:3" x14ac:dyDescent="0.2">
      <c r="A75" s="15">
        <v>43160</v>
      </c>
      <c r="B75" s="14">
        <v>50.6</v>
      </c>
      <c r="C75" s="14">
        <f>Table13467[[#This Row],[PMI]]-B74</f>
        <v>-1.1000000000000014</v>
      </c>
    </row>
    <row r="76" spans="1:3" x14ac:dyDescent="0.2">
      <c r="A76" s="15">
        <v>43191</v>
      </c>
      <c r="B76" s="14">
        <v>49.1</v>
      </c>
      <c r="C76" s="14">
        <f>Table13467[[#This Row],[PMI]]-B75</f>
        <v>-1.5</v>
      </c>
    </row>
    <row r="77" spans="1:3" x14ac:dyDescent="0.2">
      <c r="A77" s="15">
        <v>43221</v>
      </c>
      <c r="B77" s="14">
        <v>47.8</v>
      </c>
      <c r="C77" s="14">
        <f>Table13467[[#This Row],[PMI]]-B76</f>
        <v>-1.3000000000000043</v>
      </c>
    </row>
    <row r="78" spans="1:3" x14ac:dyDescent="0.2">
      <c r="A78" s="15">
        <v>43252</v>
      </c>
      <c r="B78" s="14">
        <v>47.7</v>
      </c>
      <c r="C78" s="14">
        <f>Table13467[[#This Row],[PMI]]-B77</f>
        <v>-9.9999999999994316E-2</v>
      </c>
    </row>
    <row r="79" spans="1:3" x14ac:dyDescent="0.2">
      <c r="A79" s="15">
        <v>43282</v>
      </c>
      <c r="B79" s="14">
        <v>48.2</v>
      </c>
      <c r="C79" s="14">
        <f>Table13467[[#This Row],[PMI]]-B78</f>
        <v>0.5</v>
      </c>
    </row>
    <row r="80" spans="1:3" x14ac:dyDescent="0.2">
      <c r="A80" s="15">
        <v>43313</v>
      </c>
      <c r="B80" s="14">
        <v>48.5</v>
      </c>
      <c r="C80" s="14">
        <f>Table13467[[#This Row],[PMI]]-B79</f>
        <v>0.29999999999999716</v>
      </c>
    </row>
    <row r="81" spans="1:3" x14ac:dyDescent="0.2">
      <c r="A81" s="15">
        <v>43344</v>
      </c>
      <c r="B81" s="14">
        <v>47.9</v>
      </c>
      <c r="C81" s="14">
        <f>Table13467[[#This Row],[PMI]]-B80</f>
        <v>-0.60000000000000142</v>
      </c>
    </row>
    <row r="82" spans="1:3" x14ac:dyDescent="0.2">
      <c r="A82" s="15">
        <v>43374</v>
      </c>
      <c r="B82" s="14">
        <v>48.6</v>
      </c>
      <c r="C82" s="14">
        <f>Table13467[[#This Row],[PMI]]-B81</f>
        <v>0.70000000000000284</v>
      </c>
    </row>
    <row r="83" spans="1:3" x14ac:dyDescent="0.2">
      <c r="A83" s="15">
        <v>43405</v>
      </c>
      <c r="B83" s="14">
        <v>47.1</v>
      </c>
      <c r="C83" s="14">
        <f>Table13467[[#This Row],[PMI]]-B82</f>
        <v>-1.5</v>
      </c>
    </row>
    <row r="84" spans="1:3" x14ac:dyDescent="0.2">
      <c r="A84" s="15">
        <v>43435</v>
      </c>
      <c r="B84" s="14">
        <v>48</v>
      </c>
      <c r="C84" s="14">
        <f>Table13467[[#This Row],[PMI]]-B83</f>
        <v>0.89999999999999858</v>
      </c>
    </row>
    <row r="85" spans="1:3" x14ac:dyDescent="0.2">
      <c r="A85" s="15">
        <v>43466</v>
      </c>
      <c r="B85" s="14">
        <v>48.2</v>
      </c>
      <c r="C85" s="14">
        <f>Table13467[[#This Row],[PMI]]-B84</f>
        <v>0.20000000000000284</v>
      </c>
    </row>
    <row r="86" spans="1:3" x14ac:dyDescent="0.2">
      <c r="A86" s="15">
        <v>43497</v>
      </c>
      <c r="B86" s="14">
        <v>48.4</v>
      </c>
      <c r="C86" s="14">
        <f>Table13467[[#This Row],[PMI]]-B85</f>
        <v>0.19999999999999574</v>
      </c>
    </row>
    <row r="87" spans="1:3" x14ac:dyDescent="0.2">
      <c r="A87" s="15">
        <v>43525</v>
      </c>
      <c r="B87" s="14">
        <v>48</v>
      </c>
      <c r="C87" s="14">
        <f>Table13467[[#This Row],[PMI]]-B86</f>
        <v>-0.39999999999999858</v>
      </c>
    </row>
    <row r="88" spans="1:3" x14ac:dyDescent="0.2">
      <c r="A88" s="15">
        <v>43556</v>
      </c>
      <c r="B88" s="14">
        <v>48.4</v>
      </c>
      <c r="C88" s="14">
        <f>Table13467[[#This Row],[PMI]]-B87</f>
        <v>0.39999999999999858</v>
      </c>
    </row>
    <row r="89" spans="1:3" x14ac:dyDescent="0.2">
      <c r="A89" s="15">
        <v>43586</v>
      </c>
      <c r="B89" s="14">
        <v>46.9</v>
      </c>
      <c r="C89" s="14">
        <f>Table13467[[#This Row],[PMI]]-B88</f>
        <v>-1.5</v>
      </c>
    </row>
    <row r="90" spans="1:3" x14ac:dyDescent="0.2">
      <c r="A90" s="15">
        <v>43617</v>
      </c>
      <c r="B90" s="14">
        <v>47.9</v>
      </c>
      <c r="C90" s="14">
        <f>Table13467[[#This Row],[PMI]]-B89</f>
        <v>1</v>
      </c>
    </row>
    <row r="91" spans="1:3" x14ac:dyDescent="0.2">
      <c r="A91" s="15">
        <v>43647</v>
      </c>
      <c r="B91" s="14">
        <v>43.8</v>
      </c>
      <c r="C91" s="14">
        <f>Table13467[[#This Row],[PMI]]-B90</f>
        <v>-4.1000000000000014</v>
      </c>
    </row>
    <row r="92" spans="1:3" x14ac:dyDescent="0.2">
      <c r="A92" s="15">
        <v>43678</v>
      </c>
      <c r="B92" s="14">
        <v>40.799999999999997</v>
      </c>
      <c r="C92" s="14">
        <f>Table13467[[#This Row],[PMI]]-B91</f>
        <v>-3</v>
      </c>
    </row>
    <row r="93" spans="1:3" x14ac:dyDescent="0.2">
      <c r="A93" s="15">
        <v>43709</v>
      </c>
      <c r="B93" s="14">
        <v>41.5</v>
      </c>
      <c r="C93" s="14">
        <f>Table13467[[#This Row],[PMI]]-B92</f>
        <v>0.70000000000000284</v>
      </c>
    </row>
    <row r="94" spans="1:3" x14ac:dyDescent="0.2">
      <c r="A94" s="15">
        <v>43739</v>
      </c>
      <c r="B94" s="14">
        <v>39.299999999999997</v>
      </c>
      <c r="C94" s="14">
        <f>Table13467[[#This Row],[PMI]]-B93</f>
        <v>-2.2000000000000028</v>
      </c>
    </row>
    <row r="95" spans="1:3" x14ac:dyDescent="0.2">
      <c r="A95" s="15">
        <v>43770</v>
      </c>
      <c r="B95" s="14">
        <v>38.5</v>
      </c>
      <c r="C95" s="14">
        <f>Table13467[[#This Row],[PMI]]-B94</f>
        <v>-0.79999999999999716</v>
      </c>
    </row>
    <row r="96" spans="1:3" x14ac:dyDescent="0.2">
      <c r="A96" s="15">
        <v>43800</v>
      </c>
      <c r="B96" s="14">
        <v>42.1</v>
      </c>
      <c r="C96" s="14">
        <f>Table13467[[#This Row],[PMI]]-B95</f>
        <v>3.6000000000000014</v>
      </c>
    </row>
    <row r="97" spans="1:3" x14ac:dyDescent="0.2">
      <c r="A97" s="15">
        <v>43831</v>
      </c>
      <c r="B97" s="14">
        <v>46.8</v>
      </c>
      <c r="C97" s="14">
        <f>Table13467[[#This Row],[PMI]]-B96</f>
        <v>4.6999999999999957</v>
      </c>
    </row>
    <row r="98" spans="1:3" x14ac:dyDescent="0.2">
      <c r="A98" s="15">
        <v>43862</v>
      </c>
      <c r="B98" s="14">
        <v>33.1</v>
      </c>
      <c r="C98" s="14">
        <f>Table13467[[#This Row],[PMI]]-B97</f>
        <v>-13.699999999999996</v>
      </c>
    </row>
    <row r="99" spans="1:3" x14ac:dyDescent="0.2">
      <c r="A99" s="15">
        <v>43891</v>
      </c>
      <c r="B99" s="14">
        <v>34.9</v>
      </c>
      <c r="C99" s="14">
        <f>Table13467[[#This Row],[PMI]]-B98</f>
        <v>1.7999999999999972</v>
      </c>
    </row>
    <row r="100" spans="1:3" x14ac:dyDescent="0.2">
      <c r="A100" s="15">
        <v>43922</v>
      </c>
      <c r="B100" s="14">
        <v>36.9</v>
      </c>
      <c r="C100" s="14">
        <f>Table13467[[#This Row],[PMI]]-B99</f>
        <v>2</v>
      </c>
    </row>
    <row r="101" spans="1:3" x14ac:dyDescent="0.2">
      <c r="A101" s="15">
        <v>43952</v>
      </c>
      <c r="B101" s="14">
        <v>43.9</v>
      </c>
      <c r="C101" s="14">
        <f>Table13467[[#This Row],[PMI]]-B100</f>
        <v>7</v>
      </c>
    </row>
    <row r="102" spans="1:3" x14ac:dyDescent="0.2">
      <c r="A102" s="15">
        <v>43983</v>
      </c>
      <c r="B102" s="14">
        <v>49.6</v>
      </c>
      <c r="C102" s="14">
        <f>Table13467[[#This Row],[PMI]]-B101</f>
        <v>5.7000000000000028</v>
      </c>
    </row>
    <row r="103" spans="1:3" x14ac:dyDescent="0.2">
      <c r="A103" s="15">
        <v>44013</v>
      </c>
      <c r="B103" s="14">
        <v>44.5</v>
      </c>
      <c r="C103" s="14">
        <f>Table13467[[#This Row],[PMI]]-B102</f>
        <v>-5.1000000000000014</v>
      </c>
    </row>
    <row r="104" spans="1:3" x14ac:dyDescent="0.2">
      <c r="A104" s="15">
        <v>44044</v>
      </c>
      <c r="B104" s="14">
        <v>44</v>
      </c>
      <c r="C104" s="14">
        <f>Table13467[[#This Row],[PMI]]-B103</f>
        <v>-0.5</v>
      </c>
    </row>
    <row r="105" spans="1:3" x14ac:dyDescent="0.2">
      <c r="A105" s="15">
        <v>44075</v>
      </c>
      <c r="B105" s="14">
        <v>47.7</v>
      </c>
      <c r="C105" s="14">
        <f>Table13467[[#This Row],[PMI]]-B104</f>
        <v>3.7000000000000028</v>
      </c>
    </row>
    <row r="106" spans="1:3" x14ac:dyDescent="0.2">
      <c r="A106" s="15">
        <v>44105</v>
      </c>
      <c r="B106" s="14">
        <v>49.8</v>
      </c>
      <c r="C106" s="14">
        <f>Table13467[[#This Row],[PMI]]-B105</f>
        <v>2.0999999999999943</v>
      </c>
    </row>
    <row r="107" spans="1:3" x14ac:dyDescent="0.2">
      <c r="A107" s="15">
        <v>44136</v>
      </c>
      <c r="B107" s="14">
        <v>50.1</v>
      </c>
      <c r="C107" s="14">
        <f>Table13467[[#This Row],[PMI]]-B106</f>
        <v>0.30000000000000426</v>
      </c>
    </row>
    <row r="108" spans="1:3" x14ac:dyDescent="0.2">
      <c r="A108" s="15">
        <v>44166</v>
      </c>
      <c r="B108" s="14">
        <v>43.5</v>
      </c>
      <c r="C108" s="14">
        <f>Table13467[[#This Row],[PMI]]-B107</f>
        <v>-6.6000000000000014</v>
      </c>
    </row>
    <row r="109" spans="1:3" x14ac:dyDescent="0.2">
      <c r="A109" s="15">
        <v>44197</v>
      </c>
      <c r="B109" s="14">
        <v>47.8</v>
      </c>
      <c r="C109" s="14">
        <f>Table13467[[#This Row],[PMI]]-B108</f>
        <v>4.2999999999999972</v>
      </c>
    </row>
    <row r="110" spans="1:3" x14ac:dyDescent="0.2">
      <c r="A110" s="15">
        <v>44228</v>
      </c>
      <c r="B110" s="14">
        <v>50.2</v>
      </c>
      <c r="C110" s="14">
        <f>Table13467[[#This Row],[PMI]]-B109</f>
        <v>2.4000000000000057</v>
      </c>
    </row>
    <row r="111" spans="1:3" x14ac:dyDescent="0.2">
      <c r="A111" s="15">
        <v>44256</v>
      </c>
      <c r="B111" s="14">
        <v>50.5</v>
      </c>
      <c r="C111" s="14">
        <f>Table13467[[#This Row],[PMI]]-B110</f>
        <v>0.29999999999999716</v>
      </c>
    </row>
    <row r="112" spans="1:3" x14ac:dyDescent="0.2">
      <c r="A112" s="15">
        <v>44287</v>
      </c>
      <c r="B112" s="14">
        <v>50.3</v>
      </c>
      <c r="C112" s="14">
        <f>Table13467[[#This Row],[PMI]]-B111</f>
        <v>-0.20000000000000284</v>
      </c>
    </row>
    <row r="113" spans="1:3" x14ac:dyDescent="0.2">
      <c r="A113" s="15">
        <v>44317</v>
      </c>
      <c r="B113" s="14">
        <v>52.5</v>
      </c>
      <c r="C113" s="14">
        <f>Table13467[[#This Row],[PMI]]-B112</f>
        <v>2.2000000000000028</v>
      </c>
    </row>
    <row r="114" spans="1:3" x14ac:dyDescent="0.2">
      <c r="A114" s="15">
        <v>44348</v>
      </c>
      <c r="B114" s="14">
        <v>51.4</v>
      </c>
      <c r="C114" s="14">
        <f>Table13467[[#This Row],[PMI]]-B113</f>
        <v>-1.1000000000000014</v>
      </c>
    </row>
    <row r="115" spans="1:3" x14ac:dyDescent="0.2">
      <c r="A115" s="15">
        <v>44378</v>
      </c>
      <c r="B115" s="14">
        <v>51.3</v>
      </c>
      <c r="C115" s="14">
        <f>Table13467[[#This Row],[PMI]]-B114</f>
        <v>-0.10000000000000142</v>
      </c>
    </row>
    <row r="116" spans="1:3" x14ac:dyDescent="0.2">
      <c r="A116" s="15">
        <v>44409</v>
      </c>
      <c r="B116" s="14">
        <v>53.3</v>
      </c>
      <c r="C116" s="14">
        <f>Table13467[[#This Row],[PMI]]-B115</f>
        <v>2</v>
      </c>
    </row>
    <row r="117" spans="1:3" x14ac:dyDescent="0.2">
      <c r="A117" s="15">
        <v>44440</v>
      </c>
      <c r="B117" s="14">
        <v>51.7</v>
      </c>
      <c r="C117" s="14">
        <f>Table13467[[#This Row],[PMI]]-B116</f>
        <v>-1.5999999999999943</v>
      </c>
    </row>
    <row r="118" spans="1:3" x14ac:dyDescent="0.2">
      <c r="A118" s="15">
        <v>44470</v>
      </c>
      <c r="B118" s="14">
        <v>50.8</v>
      </c>
      <c r="C118" s="14">
        <f>Table13467[[#This Row],[PMI]]-B117</f>
        <v>-0.90000000000000568</v>
      </c>
    </row>
    <row r="119" spans="1:3" x14ac:dyDescent="0.2">
      <c r="A119" s="15">
        <v>44501</v>
      </c>
      <c r="B119" s="14">
        <v>52.6</v>
      </c>
      <c r="C119" s="14">
        <f>Table13467[[#This Row],[PMI]]-B118</f>
        <v>1.8000000000000043</v>
      </c>
    </row>
  </sheetData>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20574-A2EE-49B5-9F19-1304592584AE}">
  <dimension ref="A1:K86"/>
  <sheetViews>
    <sheetView zoomScale="160" zoomScaleNormal="160" workbookViewId="0">
      <pane ySplit="5" topLeftCell="A45" activePane="bottomLeft" state="frozen"/>
      <selection pane="bottomLeft" activeCell="B86" sqref="B8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27</v>
      </c>
      <c r="K1" s="10" t="s">
        <v>21</v>
      </c>
    </row>
    <row r="2" spans="1:11" x14ac:dyDescent="0.2">
      <c r="K2" s="10" t="str">
        <f>A1&amp;K1</f>
        <v>Saudi Arabia Manufacturing PMI</v>
      </c>
    </row>
    <row r="4" spans="1:11" ht="16" thickBot="1" x14ac:dyDescent="0.25"/>
    <row r="5" spans="1:11" ht="16" thickBot="1" x14ac:dyDescent="0.25">
      <c r="A5" s="27" t="s">
        <v>10</v>
      </c>
      <c r="B5" s="28" t="s">
        <v>11</v>
      </c>
      <c r="C5" s="28" t="s">
        <v>14</v>
      </c>
    </row>
    <row r="6" spans="1:11" x14ac:dyDescent="0.2">
      <c r="A6" s="23">
        <v>42095</v>
      </c>
      <c r="B6" s="24">
        <v>60.1</v>
      </c>
      <c r="C6" s="24"/>
    </row>
    <row r="7" spans="1:11" x14ac:dyDescent="0.2">
      <c r="A7" s="15">
        <v>42125</v>
      </c>
      <c r="B7" s="14">
        <v>57</v>
      </c>
      <c r="C7" s="14">
        <f>Table134689[[#This Row],[PMI]]-B6</f>
        <v>-3.1000000000000014</v>
      </c>
    </row>
    <row r="8" spans="1:11" x14ac:dyDescent="0.2">
      <c r="A8" s="15">
        <v>42156</v>
      </c>
      <c r="B8" s="14">
        <v>56.1</v>
      </c>
      <c r="C8" s="14">
        <f>Table134689[[#This Row],[PMI]]-B7</f>
        <v>-0.89999999999999858</v>
      </c>
    </row>
    <row r="9" spans="1:11" x14ac:dyDescent="0.2">
      <c r="A9" s="15">
        <v>42186</v>
      </c>
      <c r="B9" s="14">
        <v>57.7</v>
      </c>
      <c r="C9" s="14">
        <f>Table134689[[#This Row],[PMI]]-B8</f>
        <v>1.6000000000000014</v>
      </c>
    </row>
    <row r="10" spans="1:11" x14ac:dyDescent="0.2">
      <c r="A10" s="15">
        <v>42217</v>
      </c>
      <c r="B10" s="14">
        <v>58.7</v>
      </c>
      <c r="C10" s="14">
        <f>Table134689[[#This Row],[PMI]]-B9</f>
        <v>1</v>
      </c>
    </row>
    <row r="11" spans="1:11" x14ac:dyDescent="0.2">
      <c r="A11" s="15">
        <v>42248</v>
      </c>
      <c r="B11" s="14">
        <v>56.5</v>
      </c>
      <c r="C11" s="14">
        <f>Table134689[[#This Row],[PMI]]-B10</f>
        <v>-2.2000000000000028</v>
      </c>
    </row>
    <row r="12" spans="1:11" x14ac:dyDescent="0.2">
      <c r="A12" s="15">
        <v>42278</v>
      </c>
      <c r="B12" s="14">
        <v>55.7</v>
      </c>
      <c r="C12" s="14">
        <f>Table134689[[#This Row],[PMI]]-B11</f>
        <v>-0.79999999999999716</v>
      </c>
    </row>
    <row r="13" spans="1:11" x14ac:dyDescent="0.2">
      <c r="A13" s="15">
        <v>42309</v>
      </c>
      <c r="B13" s="14">
        <v>56.3</v>
      </c>
      <c r="C13" s="14">
        <f>Table134689[[#This Row],[PMI]]-B12</f>
        <v>0.59999999999999432</v>
      </c>
    </row>
    <row r="14" spans="1:11" x14ac:dyDescent="0.2">
      <c r="A14" s="15">
        <v>42339</v>
      </c>
      <c r="B14" s="14">
        <v>54.4</v>
      </c>
      <c r="C14" s="14">
        <f>Table134689[[#This Row],[PMI]]-B13</f>
        <v>-1.8999999999999986</v>
      </c>
    </row>
    <row r="15" spans="1:11" x14ac:dyDescent="0.2">
      <c r="A15" s="15">
        <v>42370</v>
      </c>
      <c r="B15" s="14">
        <v>53.9</v>
      </c>
      <c r="C15" s="14">
        <f>Table134689[[#This Row],[PMI]]-B14</f>
        <v>-0.5</v>
      </c>
    </row>
    <row r="16" spans="1:11" x14ac:dyDescent="0.2">
      <c r="A16" s="15">
        <v>42401</v>
      </c>
      <c r="B16" s="14">
        <v>54.4</v>
      </c>
      <c r="C16" s="14">
        <f>Table134689[[#This Row],[PMI]]-B15</f>
        <v>0.5</v>
      </c>
    </row>
    <row r="17" spans="1:3" x14ac:dyDescent="0.2">
      <c r="A17" s="15">
        <v>42430</v>
      </c>
      <c r="B17" s="14">
        <v>54.5</v>
      </c>
      <c r="C17" s="14">
        <f>Table134689[[#This Row],[PMI]]-B16</f>
        <v>0.10000000000000142</v>
      </c>
    </row>
    <row r="18" spans="1:3" x14ac:dyDescent="0.2">
      <c r="A18" s="15">
        <v>42461</v>
      </c>
      <c r="B18" s="14">
        <v>54.2</v>
      </c>
      <c r="C18" s="14">
        <f>Table134689[[#This Row],[PMI]]-B17</f>
        <v>-0.29999999999999716</v>
      </c>
    </row>
    <row r="19" spans="1:3" x14ac:dyDescent="0.2">
      <c r="A19" s="15">
        <v>42491</v>
      </c>
      <c r="B19" s="14">
        <v>54.8</v>
      </c>
      <c r="C19" s="14">
        <f>Table134689[[#This Row],[PMI]]-B18</f>
        <v>0.59999999999999432</v>
      </c>
    </row>
    <row r="20" spans="1:3" x14ac:dyDescent="0.2">
      <c r="A20" s="15">
        <v>42522</v>
      </c>
      <c r="B20" s="14">
        <v>54.4</v>
      </c>
      <c r="C20" s="14">
        <f>Table134689[[#This Row],[PMI]]-B19</f>
        <v>-0.39999999999999858</v>
      </c>
    </row>
    <row r="21" spans="1:3" x14ac:dyDescent="0.2">
      <c r="A21" s="15">
        <v>42552</v>
      </c>
      <c r="B21" s="14">
        <v>56</v>
      </c>
      <c r="C21" s="14">
        <f>Table134689[[#This Row],[PMI]]-B20</f>
        <v>1.6000000000000014</v>
      </c>
    </row>
    <row r="22" spans="1:3" x14ac:dyDescent="0.2">
      <c r="A22" s="15">
        <v>42583</v>
      </c>
      <c r="B22" s="14">
        <v>56.6</v>
      </c>
      <c r="C22" s="14">
        <f>Table134689[[#This Row],[PMI]]-B21</f>
        <v>0.60000000000000142</v>
      </c>
    </row>
    <row r="23" spans="1:3" x14ac:dyDescent="0.2">
      <c r="A23" s="15">
        <v>42614</v>
      </c>
      <c r="B23" s="14">
        <v>55.3</v>
      </c>
      <c r="C23" s="14">
        <f>Table134689[[#This Row],[PMI]]-B22</f>
        <v>-1.3000000000000043</v>
      </c>
    </row>
    <row r="24" spans="1:3" x14ac:dyDescent="0.2">
      <c r="A24" s="15">
        <v>42644</v>
      </c>
      <c r="B24" s="14">
        <v>53.2</v>
      </c>
      <c r="C24" s="14">
        <f>Table134689[[#This Row],[PMI]]-B23</f>
        <v>-2.0999999999999943</v>
      </c>
    </row>
    <row r="25" spans="1:3" x14ac:dyDescent="0.2">
      <c r="A25" s="15">
        <v>42675</v>
      </c>
      <c r="B25" s="14">
        <v>55</v>
      </c>
      <c r="C25" s="14">
        <f>Table134689[[#This Row],[PMI]]-B24</f>
        <v>1.7999999999999972</v>
      </c>
    </row>
    <row r="26" spans="1:3" x14ac:dyDescent="0.2">
      <c r="A26" s="15">
        <v>42705</v>
      </c>
      <c r="B26" s="14">
        <v>55.5</v>
      </c>
      <c r="C26" s="14">
        <f>Table134689[[#This Row],[PMI]]-B25</f>
        <v>0.5</v>
      </c>
    </row>
    <row r="27" spans="1:3" x14ac:dyDescent="0.2">
      <c r="A27" s="15">
        <v>42736</v>
      </c>
      <c r="B27" s="14">
        <v>56.7</v>
      </c>
      <c r="C27" s="14">
        <f>Table134689[[#This Row],[PMI]]-B26</f>
        <v>1.2000000000000028</v>
      </c>
    </row>
    <row r="28" spans="1:3" x14ac:dyDescent="0.2">
      <c r="A28" s="15">
        <v>42767</v>
      </c>
      <c r="B28" s="14">
        <v>57</v>
      </c>
      <c r="C28" s="14">
        <f>Table134689[[#This Row],[PMI]]-B27</f>
        <v>0.29999999999999716</v>
      </c>
    </row>
    <row r="29" spans="1:3" x14ac:dyDescent="0.2">
      <c r="A29" s="15">
        <v>42795</v>
      </c>
      <c r="B29" s="14">
        <v>56.4</v>
      </c>
      <c r="C29" s="14">
        <f>Table134689[[#This Row],[PMI]]-B28</f>
        <v>-0.60000000000000142</v>
      </c>
    </row>
    <row r="30" spans="1:3" x14ac:dyDescent="0.2">
      <c r="A30" s="15">
        <v>42826</v>
      </c>
      <c r="B30" s="14">
        <v>56.5</v>
      </c>
      <c r="C30" s="14">
        <f>Table134689[[#This Row],[PMI]]-B29</f>
        <v>0.10000000000000142</v>
      </c>
    </row>
    <row r="31" spans="1:3" x14ac:dyDescent="0.2">
      <c r="A31" s="15">
        <v>42856</v>
      </c>
      <c r="B31" s="14">
        <v>55.3</v>
      </c>
      <c r="C31" s="14">
        <f>Table134689[[#This Row],[PMI]]-B30</f>
        <v>-1.2000000000000028</v>
      </c>
    </row>
    <row r="32" spans="1:3" x14ac:dyDescent="0.2">
      <c r="A32" s="15">
        <v>42887</v>
      </c>
      <c r="B32" s="14">
        <v>54.3</v>
      </c>
      <c r="C32" s="14">
        <f>Table134689[[#This Row],[PMI]]-B31</f>
        <v>-1</v>
      </c>
    </row>
    <row r="33" spans="1:3" x14ac:dyDescent="0.2">
      <c r="A33" s="15">
        <v>42917</v>
      </c>
      <c r="B33" s="14">
        <v>55.7</v>
      </c>
      <c r="C33" s="14">
        <f>Table134689[[#This Row],[PMI]]-B32</f>
        <v>1.4000000000000057</v>
      </c>
    </row>
    <row r="34" spans="1:3" x14ac:dyDescent="0.2">
      <c r="A34" s="15">
        <v>42948</v>
      </c>
      <c r="B34" s="14">
        <v>55.8</v>
      </c>
      <c r="C34" s="14">
        <f>Table134689[[#This Row],[PMI]]-B33</f>
        <v>9.9999999999994316E-2</v>
      </c>
    </row>
    <row r="35" spans="1:3" x14ac:dyDescent="0.2">
      <c r="A35" s="15">
        <v>42979</v>
      </c>
      <c r="B35" s="14">
        <v>55.5</v>
      </c>
      <c r="C35" s="14">
        <f>Table134689[[#This Row],[PMI]]-B34</f>
        <v>-0.29999999999999716</v>
      </c>
    </row>
    <row r="36" spans="1:3" x14ac:dyDescent="0.2">
      <c r="A36" s="15">
        <v>43009</v>
      </c>
      <c r="B36" s="14">
        <v>55.6</v>
      </c>
      <c r="C36" s="14">
        <f>Table134689[[#This Row],[PMI]]-B35</f>
        <v>0.10000000000000142</v>
      </c>
    </row>
    <row r="37" spans="1:3" x14ac:dyDescent="0.2">
      <c r="A37" s="15">
        <v>43040</v>
      </c>
      <c r="B37" s="14">
        <v>57.5</v>
      </c>
      <c r="C37" s="14">
        <f>Table134689[[#This Row],[PMI]]-B36</f>
        <v>1.8999999999999986</v>
      </c>
    </row>
    <row r="38" spans="1:3" x14ac:dyDescent="0.2">
      <c r="A38" s="15">
        <v>43070</v>
      </c>
      <c r="B38" s="14">
        <v>57.3</v>
      </c>
      <c r="C38" s="14">
        <f>Table134689[[#This Row],[PMI]]-B37</f>
        <v>-0.20000000000000284</v>
      </c>
    </row>
    <row r="39" spans="1:3" x14ac:dyDescent="0.2">
      <c r="A39" s="15">
        <v>43101</v>
      </c>
      <c r="B39" s="14">
        <v>53</v>
      </c>
      <c r="C39" s="14">
        <f>Table134689[[#This Row],[PMI]]-B38</f>
        <v>-4.2999999999999972</v>
      </c>
    </row>
    <row r="40" spans="1:3" x14ac:dyDescent="0.2">
      <c r="A40" s="15">
        <v>43132</v>
      </c>
      <c r="B40" s="14">
        <v>53.2</v>
      </c>
      <c r="C40" s="14">
        <f>Table134689[[#This Row],[PMI]]-B39</f>
        <v>0.20000000000000284</v>
      </c>
    </row>
    <row r="41" spans="1:3" x14ac:dyDescent="0.2">
      <c r="A41" s="15">
        <v>43160</v>
      </c>
      <c r="B41" s="14">
        <v>52.8</v>
      </c>
      <c r="C41" s="14">
        <f>Table134689[[#This Row],[PMI]]-B40</f>
        <v>-0.40000000000000568</v>
      </c>
    </row>
    <row r="42" spans="1:3" x14ac:dyDescent="0.2">
      <c r="A42" s="15">
        <v>43191</v>
      </c>
      <c r="B42" s="14">
        <v>51.4</v>
      </c>
      <c r="C42" s="14">
        <f>Table134689[[#This Row],[PMI]]-B41</f>
        <v>-1.3999999999999986</v>
      </c>
    </row>
    <row r="43" spans="1:3" x14ac:dyDescent="0.2">
      <c r="A43" s="15">
        <v>43221</v>
      </c>
      <c r="B43" s="14">
        <v>53.2</v>
      </c>
      <c r="C43" s="14">
        <f>Table134689[[#This Row],[PMI]]-B42</f>
        <v>1.8000000000000043</v>
      </c>
    </row>
    <row r="44" spans="1:3" x14ac:dyDescent="0.2">
      <c r="A44" s="15">
        <v>43252</v>
      </c>
      <c r="B44" s="14">
        <v>55</v>
      </c>
      <c r="C44" s="14">
        <f>Table134689[[#This Row],[PMI]]-B43</f>
        <v>1.7999999999999972</v>
      </c>
    </row>
    <row r="45" spans="1:3" x14ac:dyDescent="0.2">
      <c r="A45" s="15">
        <v>43282</v>
      </c>
      <c r="B45" s="14">
        <v>54.9</v>
      </c>
      <c r="C45" s="14">
        <f>Table134689[[#This Row],[PMI]]-B44</f>
        <v>-0.10000000000000142</v>
      </c>
    </row>
    <row r="46" spans="1:3" x14ac:dyDescent="0.2">
      <c r="A46" s="15">
        <v>43313</v>
      </c>
      <c r="B46" s="14">
        <v>55.1</v>
      </c>
      <c r="C46" s="14">
        <f>Table134689[[#This Row],[PMI]]-B45</f>
        <v>0.20000000000000284</v>
      </c>
    </row>
    <row r="47" spans="1:3" x14ac:dyDescent="0.2">
      <c r="A47" s="15">
        <v>43344</v>
      </c>
      <c r="B47" s="14">
        <v>53.4</v>
      </c>
      <c r="C47" s="14">
        <f>Table134689[[#This Row],[PMI]]-B46</f>
        <v>-1.7000000000000028</v>
      </c>
    </row>
    <row r="48" spans="1:3" x14ac:dyDescent="0.2">
      <c r="A48" s="15">
        <v>43374</v>
      </c>
      <c r="B48" s="14">
        <v>53.8</v>
      </c>
      <c r="C48" s="14">
        <f>Table134689[[#This Row],[PMI]]-B47</f>
        <v>0.39999999999999858</v>
      </c>
    </row>
    <row r="49" spans="1:3" x14ac:dyDescent="0.2">
      <c r="A49" s="15">
        <v>43405</v>
      </c>
      <c r="B49" s="14">
        <v>55.2</v>
      </c>
      <c r="C49" s="14">
        <f>Table134689[[#This Row],[PMI]]-B48</f>
        <v>1.4000000000000057</v>
      </c>
    </row>
    <row r="50" spans="1:3" x14ac:dyDescent="0.2">
      <c r="A50" s="15">
        <v>43435</v>
      </c>
      <c r="B50" s="14">
        <v>54.5</v>
      </c>
      <c r="C50" s="14">
        <f>Table134689[[#This Row],[PMI]]-B49</f>
        <v>-0.70000000000000284</v>
      </c>
    </row>
    <row r="51" spans="1:3" x14ac:dyDescent="0.2">
      <c r="A51" s="15">
        <v>43466</v>
      </c>
      <c r="B51" s="14">
        <v>56.2</v>
      </c>
      <c r="C51" s="14">
        <f>Table134689[[#This Row],[PMI]]-B50</f>
        <v>1.7000000000000028</v>
      </c>
    </row>
    <row r="52" spans="1:3" x14ac:dyDescent="0.2">
      <c r="A52" s="15">
        <v>43497</v>
      </c>
      <c r="B52" s="14">
        <v>56.6</v>
      </c>
      <c r="C52" s="14">
        <f>Table134689[[#This Row],[PMI]]-B51</f>
        <v>0.39999999999999858</v>
      </c>
    </row>
    <row r="53" spans="1:3" x14ac:dyDescent="0.2">
      <c r="A53" s="15">
        <v>43525</v>
      </c>
      <c r="B53" s="14">
        <v>56.8</v>
      </c>
      <c r="C53" s="14">
        <f>Table134689[[#This Row],[PMI]]-B52</f>
        <v>0.19999999999999574</v>
      </c>
    </row>
    <row r="54" spans="1:3" x14ac:dyDescent="0.2">
      <c r="A54" s="15">
        <v>43556</v>
      </c>
      <c r="B54" s="14">
        <v>57.3</v>
      </c>
      <c r="C54" s="14">
        <f>Table134689[[#This Row],[PMI]]-B53</f>
        <v>0.5</v>
      </c>
    </row>
    <row r="55" spans="1:3" x14ac:dyDescent="0.2">
      <c r="A55" s="15">
        <v>43586</v>
      </c>
      <c r="B55" s="14">
        <v>57.3</v>
      </c>
      <c r="C55" s="14">
        <f>Table134689[[#This Row],[PMI]]-B54</f>
        <v>0</v>
      </c>
    </row>
    <row r="56" spans="1:3" x14ac:dyDescent="0.2">
      <c r="A56" s="15">
        <v>43617</v>
      </c>
      <c r="B56" s="14">
        <v>57.4</v>
      </c>
      <c r="C56" s="14">
        <f>Table134689[[#This Row],[PMI]]-B55</f>
        <v>0.10000000000000142</v>
      </c>
    </row>
    <row r="57" spans="1:3" x14ac:dyDescent="0.2">
      <c r="A57" s="15">
        <v>43647</v>
      </c>
      <c r="B57" s="14">
        <v>56.6</v>
      </c>
      <c r="C57" s="14">
        <f>Table134689[[#This Row],[PMI]]-B56</f>
        <v>-0.79999999999999716</v>
      </c>
    </row>
    <row r="58" spans="1:3" x14ac:dyDescent="0.2">
      <c r="A58" s="15">
        <v>43678</v>
      </c>
      <c r="B58" s="14">
        <v>57</v>
      </c>
      <c r="C58" s="14">
        <f>Table134689[[#This Row],[PMI]]-B57</f>
        <v>0.39999999999999858</v>
      </c>
    </row>
    <row r="59" spans="1:3" x14ac:dyDescent="0.2">
      <c r="A59" s="15">
        <v>43709</v>
      </c>
      <c r="B59" s="14">
        <v>57.3</v>
      </c>
      <c r="C59" s="14">
        <f>Table134689[[#This Row],[PMI]]-B58</f>
        <v>0.29999999999999716</v>
      </c>
    </row>
    <row r="60" spans="1:3" x14ac:dyDescent="0.2">
      <c r="A60" s="15">
        <v>43739</v>
      </c>
      <c r="B60" s="14">
        <v>57.8</v>
      </c>
      <c r="C60" s="14">
        <f>Table134689[[#This Row],[PMI]]-B59</f>
        <v>0.5</v>
      </c>
    </row>
    <row r="61" spans="1:3" x14ac:dyDescent="0.2">
      <c r="A61" s="15">
        <v>43770</v>
      </c>
      <c r="B61" s="14">
        <v>58.3</v>
      </c>
      <c r="C61" s="14">
        <f>Table134689[[#This Row],[PMI]]-B60</f>
        <v>0.5</v>
      </c>
    </row>
    <row r="62" spans="1:3" x14ac:dyDescent="0.2">
      <c r="A62" s="15">
        <v>43800</v>
      </c>
      <c r="B62" s="14">
        <v>56.9</v>
      </c>
      <c r="C62" s="14">
        <f>Table134689[[#This Row],[PMI]]-B61</f>
        <v>-1.3999999999999986</v>
      </c>
    </row>
    <row r="63" spans="1:3" x14ac:dyDescent="0.2">
      <c r="A63" s="15">
        <v>43831</v>
      </c>
      <c r="B63" s="14">
        <v>54.9</v>
      </c>
      <c r="C63" s="14">
        <f>Table134689[[#This Row],[PMI]]-B62</f>
        <v>-2</v>
      </c>
    </row>
    <row r="64" spans="1:3" x14ac:dyDescent="0.2">
      <c r="A64" s="15">
        <v>43862</v>
      </c>
      <c r="B64" s="14">
        <v>52.5</v>
      </c>
      <c r="C64" s="14">
        <f>Table134689[[#This Row],[PMI]]-B63</f>
        <v>-2.3999999999999986</v>
      </c>
    </row>
    <row r="65" spans="1:3" x14ac:dyDescent="0.2">
      <c r="A65" s="15">
        <v>43891</v>
      </c>
      <c r="B65" s="14">
        <v>42.4</v>
      </c>
      <c r="C65" s="14">
        <f>Table134689[[#This Row],[PMI]]-B64</f>
        <v>-10.100000000000001</v>
      </c>
    </row>
    <row r="66" spans="1:3" x14ac:dyDescent="0.2">
      <c r="A66" s="15">
        <v>43922</v>
      </c>
      <c r="B66" s="14">
        <v>44.4</v>
      </c>
      <c r="C66" s="14">
        <f>Table134689[[#This Row],[PMI]]-B65</f>
        <v>2</v>
      </c>
    </row>
    <row r="67" spans="1:3" x14ac:dyDescent="0.2">
      <c r="A67" s="15">
        <v>43952</v>
      </c>
      <c r="B67" s="14">
        <v>48.1</v>
      </c>
      <c r="C67" s="14">
        <f>Table134689[[#This Row],[PMI]]-B66</f>
        <v>3.7000000000000028</v>
      </c>
    </row>
    <row r="68" spans="1:3" x14ac:dyDescent="0.2">
      <c r="A68" s="15">
        <v>43983</v>
      </c>
      <c r="B68" s="14">
        <v>47.7</v>
      </c>
      <c r="C68" s="14">
        <f>Table134689[[#This Row],[PMI]]-B67</f>
        <v>-0.39999999999999858</v>
      </c>
    </row>
    <row r="69" spans="1:3" x14ac:dyDescent="0.2">
      <c r="A69" s="15">
        <v>44013</v>
      </c>
      <c r="B69" s="14">
        <v>48.8</v>
      </c>
      <c r="C69" s="14">
        <f>Table134689[[#This Row],[PMI]]-B68</f>
        <v>1.0999999999999943</v>
      </c>
    </row>
    <row r="70" spans="1:3" x14ac:dyDescent="0.2">
      <c r="A70" s="15">
        <v>44044</v>
      </c>
      <c r="B70" s="14">
        <v>50</v>
      </c>
      <c r="C70" s="14">
        <f>Table134689[[#This Row],[PMI]]-B69</f>
        <v>1.2000000000000028</v>
      </c>
    </row>
    <row r="71" spans="1:3" x14ac:dyDescent="0.2">
      <c r="A71" s="15">
        <v>44075</v>
      </c>
      <c r="B71" s="14">
        <v>50.7</v>
      </c>
      <c r="C71" s="14">
        <f>Table134689[[#This Row],[PMI]]-B70</f>
        <v>0.70000000000000284</v>
      </c>
    </row>
    <row r="72" spans="1:3" x14ac:dyDescent="0.2">
      <c r="A72" s="15">
        <v>44105</v>
      </c>
      <c r="B72" s="14">
        <v>51</v>
      </c>
      <c r="C72" s="14">
        <f>Table134689[[#This Row],[PMI]]-B71</f>
        <v>0.29999999999999716</v>
      </c>
    </row>
    <row r="73" spans="1:3" x14ac:dyDescent="0.2">
      <c r="A73" s="15">
        <v>44136</v>
      </c>
      <c r="B73" s="14">
        <v>54.7</v>
      </c>
      <c r="C73" s="14">
        <f>Table134689[[#This Row],[PMI]]-B72</f>
        <v>3.7000000000000028</v>
      </c>
    </row>
    <row r="74" spans="1:3" x14ac:dyDescent="0.2">
      <c r="A74" s="15">
        <v>44166</v>
      </c>
      <c r="B74" s="14">
        <v>57</v>
      </c>
      <c r="C74" s="14">
        <f>Table134689[[#This Row],[PMI]]-B73</f>
        <v>2.2999999999999972</v>
      </c>
    </row>
    <row r="75" spans="1:3" x14ac:dyDescent="0.2">
      <c r="A75" s="15">
        <v>44197</v>
      </c>
      <c r="B75" s="14">
        <v>57.1</v>
      </c>
      <c r="C75" s="14">
        <f>Table134689[[#This Row],[PMI]]-B74</f>
        <v>0.10000000000000142</v>
      </c>
    </row>
    <row r="76" spans="1:3" x14ac:dyDescent="0.2">
      <c r="A76" s="15">
        <v>44228</v>
      </c>
      <c r="B76" s="14">
        <v>53.9</v>
      </c>
      <c r="C76" s="14">
        <f>Table134689[[#This Row],[PMI]]-B75</f>
        <v>-3.2000000000000028</v>
      </c>
    </row>
    <row r="77" spans="1:3" x14ac:dyDescent="0.2">
      <c r="A77" s="15">
        <v>44256</v>
      </c>
      <c r="B77" s="14">
        <v>53.3</v>
      </c>
      <c r="C77" s="14">
        <f>Table134689[[#This Row],[PMI]]-B76</f>
        <v>-0.60000000000000142</v>
      </c>
    </row>
    <row r="78" spans="1:3" x14ac:dyDescent="0.2">
      <c r="A78" s="15">
        <v>44287</v>
      </c>
      <c r="B78" s="14">
        <v>55.2</v>
      </c>
      <c r="C78" s="14">
        <f>Table134689[[#This Row],[PMI]]-B77</f>
        <v>1.9000000000000057</v>
      </c>
    </row>
    <row r="79" spans="1:3" x14ac:dyDescent="0.2">
      <c r="A79" s="15">
        <v>44317</v>
      </c>
      <c r="B79" s="14">
        <v>56.4</v>
      </c>
      <c r="C79" s="14">
        <f>Table134689[[#This Row],[PMI]]-B78</f>
        <v>1.1999999999999957</v>
      </c>
    </row>
    <row r="80" spans="1:3" x14ac:dyDescent="0.2">
      <c r="A80" s="15">
        <v>44348</v>
      </c>
      <c r="B80" s="14">
        <v>56.4</v>
      </c>
      <c r="C80" s="14">
        <f>Table134689[[#This Row],[PMI]]-B79</f>
        <v>0</v>
      </c>
    </row>
    <row r="81" spans="1:3" x14ac:dyDescent="0.2">
      <c r="A81" s="15">
        <v>44378</v>
      </c>
      <c r="B81" s="14">
        <v>55.8</v>
      </c>
      <c r="C81" s="14">
        <f>Table134689[[#This Row],[PMI]]-B80</f>
        <v>-0.60000000000000142</v>
      </c>
    </row>
    <row r="82" spans="1:3" x14ac:dyDescent="0.2">
      <c r="A82" s="15">
        <v>44409</v>
      </c>
      <c r="B82" s="14">
        <v>54.1</v>
      </c>
      <c r="C82" s="14">
        <f>Table134689[[#This Row],[PMI]]-B81</f>
        <v>-1.6999999999999957</v>
      </c>
    </row>
    <row r="83" spans="1:3" x14ac:dyDescent="0.2">
      <c r="A83" s="15">
        <v>44440</v>
      </c>
      <c r="B83" s="14">
        <v>58.6</v>
      </c>
      <c r="C83" s="14">
        <f>Table134689[[#This Row],[PMI]]-B82</f>
        <v>4.5</v>
      </c>
    </row>
    <row r="84" spans="1:3" x14ac:dyDescent="0.2">
      <c r="A84" s="15">
        <v>44470</v>
      </c>
      <c r="B84" s="14">
        <v>57.7</v>
      </c>
      <c r="C84" s="14">
        <f>Table134689[[#This Row],[PMI]]-B83</f>
        <v>-0.89999999999999858</v>
      </c>
    </row>
    <row r="85" spans="1:3" x14ac:dyDescent="0.2">
      <c r="A85" s="15">
        <v>44501</v>
      </c>
      <c r="B85" s="14">
        <v>56.9</v>
      </c>
      <c r="C85" s="14">
        <f>Table134689[[#This Row],[PMI]]-B84</f>
        <v>-0.80000000000000426</v>
      </c>
    </row>
    <row r="86" spans="1:3" x14ac:dyDescent="0.2">
      <c r="A86" s="15">
        <v>44531</v>
      </c>
      <c r="B86" s="14">
        <v>53.9</v>
      </c>
      <c r="C86" s="14">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B946C-039D-4FE7-860B-1EE287C12BBE}">
  <dimension ref="A1:K237"/>
  <sheetViews>
    <sheetView zoomScale="180" zoomScaleNormal="180" workbookViewId="0">
      <pane ySplit="5" topLeftCell="A202"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50</v>
      </c>
      <c r="K1" s="10" t="s">
        <v>21</v>
      </c>
    </row>
    <row r="2" spans="1:11" x14ac:dyDescent="0.2">
      <c r="K2" s="10" t="str">
        <f>A1&amp;K1</f>
        <v>New Zealand Manufacturing PMI</v>
      </c>
    </row>
    <row r="4" spans="1:11" ht="16" thickBot="1" x14ac:dyDescent="0.25"/>
    <row r="5" spans="1:11" ht="16" thickBot="1" x14ac:dyDescent="0.25">
      <c r="A5" s="27" t="s">
        <v>10</v>
      </c>
      <c r="B5" s="28" t="s">
        <v>11</v>
      </c>
      <c r="C5" s="28" t="s">
        <v>14</v>
      </c>
    </row>
    <row r="6" spans="1:11" x14ac:dyDescent="0.2">
      <c r="A6" s="23">
        <v>37469</v>
      </c>
      <c r="B6" s="25">
        <v>56.907262129678003</v>
      </c>
      <c r="C6" s="24"/>
    </row>
    <row r="7" spans="1:11" x14ac:dyDescent="0.2">
      <c r="A7" s="15">
        <v>37500</v>
      </c>
      <c r="B7" s="16">
        <v>58.558944963243398</v>
      </c>
      <c r="C7" s="33">
        <f>Table1346811121415161718192022253032[[#This Row],[PMI]]-B6</f>
        <v>1.6516828335653955</v>
      </c>
    </row>
    <row r="8" spans="1:11" x14ac:dyDescent="0.2">
      <c r="A8" s="15">
        <v>37530</v>
      </c>
      <c r="B8" s="16">
        <v>57.946692398866297</v>
      </c>
      <c r="C8" s="33">
        <f>Table1346811121415161718192022253032[[#This Row],[PMI]]-B7</f>
        <v>-0.61225256437710129</v>
      </c>
    </row>
    <row r="9" spans="1:11" x14ac:dyDescent="0.2">
      <c r="A9" s="15">
        <v>37561</v>
      </c>
      <c r="B9" s="16">
        <v>57.045752075729702</v>
      </c>
      <c r="C9" s="33">
        <f>Table1346811121415161718192022253032[[#This Row],[PMI]]-B8</f>
        <v>-0.90094032313659511</v>
      </c>
    </row>
    <row r="10" spans="1:11" x14ac:dyDescent="0.2">
      <c r="A10" s="15">
        <v>37591</v>
      </c>
      <c r="B10" s="16">
        <v>57.162855142389098</v>
      </c>
      <c r="C10" s="33">
        <f>Table1346811121415161718192022253032[[#This Row],[PMI]]-B9</f>
        <v>0.1171030666593964</v>
      </c>
    </row>
    <row r="11" spans="1:11" x14ac:dyDescent="0.2">
      <c r="A11" s="15">
        <v>37622</v>
      </c>
      <c r="B11" s="16">
        <v>56.037312647284203</v>
      </c>
      <c r="C11" s="33">
        <f>Table1346811121415161718192022253032[[#This Row],[PMI]]-B10</f>
        <v>-1.1255424951048951</v>
      </c>
    </row>
    <row r="12" spans="1:11" x14ac:dyDescent="0.2">
      <c r="A12" s="15">
        <v>37653</v>
      </c>
      <c r="B12" s="16">
        <v>54.453721410704397</v>
      </c>
      <c r="C12" s="33">
        <f>Table1346811121415161718192022253032[[#This Row],[PMI]]-B11</f>
        <v>-1.5835912365798066</v>
      </c>
    </row>
    <row r="13" spans="1:11" x14ac:dyDescent="0.2">
      <c r="A13" s="15">
        <v>37681</v>
      </c>
      <c r="B13" s="16">
        <v>52.803630209600101</v>
      </c>
      <c r="C13" s="33">
        <f>Table1346811121415161718192022253032[[#This Row],[PMI]]-B12</f>
        <v>-1.6500912011042956</v>
      </c>
    </row>
    <row r="14" spans="1:11" x14ac:dyDescent="0.2">
      <c r="A14" s="15">
        <v>37712</v>
      </c>
      <c r="B14" s="16">
        <v>53.3207423548318</v>
      </c>
      <c r="C14" s="33">
        <f>Table1346811121415161718192022253032[[#This Row],[PMI]]-B13</f>
        <v>0.51711214523169957</v>
      </c>
    </row>
    <row r="15" spans="1:11" x14ac:dyDescent="0.2">
      <c r="A15" s="15">
        <v>37742</v>
      </c>
      <c r="B15" s="16">
        <v>51.856412409729302</v>
      </c>
      <c r="C15" s="33">
        <f>Table1346811121415161718192022253032[[#This Row],[PMI]]-B14</f>
        <v>-1.4643299451024987</v>
      </c>
    </row>
    <row r="16" spans="1:11" x14ac:dyDescent="0.2">
      <c r="A16" s="15">
        <v>37773</v>
      </c>
      <c r="B16" s="16">
        <v>53.437648762611197</v>
      </c>
      <c r="C16" s="33">
        <f>Table1346811121415161718192022253032[[#This Row],[PMI]]-B15</f>
        <v>1.5812363528818949</v>
      </c>
    </row>
    <row r="17" spans="1:3" x14ac:dyDescent="0.2">
      <c r="A17" s="15">
        <v>37803</v>
      </c>
      <c r="B17" s="16">
        <v>53.0699070792162</v>
      </c>
      <c r="C17" s="33">
        <f>Table1346811121415161718192022253032[[#This Row],[PMI]]-B16</f>
        <v>-0.36774168339499624</v>
      </c>
    </row>
    <row r="18" spans="1:3" x14ac:dyDescent="0.2">
      <c r="A18" s="15">
        <v>37834</v>
      </c>
      <c r="B18" s="16">
        <v>50.568235899885103</v>
      </c>
      <c r="C18" s="33">
        <f>Table1346811121415161718192022253032[[#This Row],[PMI]]-B17</f>
        <v>-2.5016711793310975</v>
      </c>
    </row>
    <row r="19" spans="1:3" x14ac:dyDescent="0.2">
      <c r="A19" s="15">
        <v>37865</v>
      </c>
      <c r="B19" s="16">
        <v>57.843029176009402</v>
      </c>
      <c r="C19" s="33">
        <f>Table1346811121415161718192022253032[[#This Row],[PMI]]-B18</f>
        <v>7.2747932761242993</v>
      </c>
    </row>
    <row r="20" spans="1:3" x14ac:dyDescent="0.2">
      <c r="A20" s="15">
        <v>37895</v>
      </c>
      <c r="B20" s="16">
        <v>60.866406299467698</v>
      </c>
      <c r="C20" s="33">
        <f>Table1346811121415161718192022253032[[#This Row],[PMI]]-B19</f>
        <v>3.023377123458296</v>
      </c>
    </row>
    <row r="21" spans="1:3" x14ac:dyDescent="0.2">
      <c r="A21" s="15">
        <v>37926</v>
      </c>
      <c r="B21" s="16">
        <v>56.386882357350899</v>
      </c>
      <c r="C21" s="33">
        <f>Table1346811121415161718192022253032[[#This Row],[PMI]]-B20</f>
        <v>-4.4795239421167992</v>
      </c>
    </row>
    <row r="22" spans="1:3" x14ac:dyDescent="0.2">
      <c r="A22" s="15">
        <v>37956</v>
      </c>
      <c r="B22" s="16">
        <v>54.845751644085702</v>
      </c>
      <c r="C22" s="33">
        <f>Table1346811121415161718192022253032[[#This Row],[PMI]]-B21</f>
        <v>-1.541130713265197</v>
      </c>
    </row>
    <row r="23" spans="1:3" x14ac:dyDescent="0.2">
      <c r="A23" s="15">
        <v>37987</v>
      </c>
      <c r="B23" s="16">
        <v>55.793919717969402</v>
      </c>
      <c r="C23" s="33">
        <f>Table1346811121415161718192022253032[[#This Row],[PMI]]-B22</f>
        <v>0.94816807388369995</v>
      </c>
    </row>
    <row r="24" spans="1:3" x14ac:dyDescent="0.2">
      <c r="A24" s="15">
        <v>38018</v>
      </c>
      <c r="B24" s="16">
        <v>56.800472168487701</v>
      </c>
      <c r="C24" s="33">
        <f>Table1346811121415161718192022253032[[#This Row],[PMI]]-B23</f>
        <v>1.0065524505182992</v>
      </c>
    </row>
    <row r="25" spans="1:3" x14ac:dyDescent="0.2">
      <c r="A25" s="15">
        <v>38047</v>
      </c>
      <c r="B25" s="16">
        <v>59.0129037737941</v>
      </c>
      <c r="C25" s="33">
        <f>Table1346811121415161718192022253032[[#This Row],[PMI]]-B24</f>
        <v>2.2124316053063993</v>
      </c>
    </row>
    <row r="26" spans="1:3" x14ac:dyDescent="0.2">
      <c r="A26" s="15">
        <v>38078</v>
      </c>
      <c r="B26" s="16">
        <v>58.741686967726302</v>
      </c>
      <c r="C26" s="33">
        <f>Table1346811121415161718192022253032[[#This Row],[PMI]]-B25</f>
        <v>-0.27121680606779819</v>
      </c>
    </row>
    <row r="27" spans="1:3" x14ac:dyDescent="0.2">
      <c r="A27" s="15">
        <v>38108</v>
      </c>
      <c r="B27" s="16">
        <v>56.1940744843941</v>
      </c>
      <c r="C27" s="33">
        <f>Table1346811121415161718192022253032[[#This Row],[PMI]]-B26</f>
        <v>-2.5476124833322018</v>
      </c>
    </row>
    <row r="28" spans="1:3" x14ac:dyDescent="0.2">
      <c r="A28" s="15">
        <v>38139</v>
      </c>
      <c r="B28" s="16">
        <v>62.772774028058897</v>
      </c>
      <c r="C28" s="33">
        <f>Table1346811121415161718192022253032[[#This Row],[PMI]]-B27</f>
        <v>6.578699543664797</v>
      </c>
    </row>
    <row r="29" spans="1:3" x14ac:dyDescent="0.2">
      <c r="A29" s="15">
        <v>38169</v>
      </c>
      <c r="B29" s="16">
        <v>58.771020874084499</v>
      </c>
      <c r="C29" s="33">
        <f>Table1346811121415161718192022253032[[#This Row],[PMI]]-B28</f>
        <v>-4.0017531539743985</v>
      </c>
    </row>
    <row r="30" spans="1:3" x14ac:dyDescent="0.2">
      <c r="A30" s="15">
        <v>38200</v>
      </c>
      <c r="B30" s="16">
        <v>57.427085291237098</v>
      </c>
      <c r="C30" s="33">
        <f>Table1346811121415161718192022253032[[#This Row],[PMI]]-B29</f>
        <v>-1.3439355828474007</v>
      </c>
    </row>
    <row r="31" spans="1:3" x14ac:dyDescent="0.2">
      <c r="A31" s="15">
        <v>38231</v>
      </c>
      <c r="B31" s="16">
        <v>55.049322078869203</v>
      </c>
      <c r="C31" s="33">
        <f>Table1346811121415161718192022253032[[#This Row],[PMI]]-B30</f>
        <v>-2.3777632123678956</v>
      </c>
    </row>
    <row r="32" spans="1:3" x14ac:dyDescent="0.2">
      <c r="A32" s="15">
        <v>38261</v>
      </c>
      <c r="B32" s="16">
        <v>52.917155117700901</v>
      </c>
      <c r="C32" s="33">
        <f>Table1346811121415161718192022253032[[#This Row],[PMI]]-B31</f>
        <v>-2.1321669611683021</v>
      </c>
    </row>
    <row r="33" spans="1:3" x14ac:dyDescent="0.2">
      <c r="A33" s="15">
        <v>38292</v>
      </c>
      <c r="B33" s="16">
        <v>57.866935416672398</v>
      </c>
      <c r="C33" s="33">
        <f>Table1346811121415161718192022253032[[#This Row],[PMI]]-B32</f>
        <v>4.949780298971497</v>
      </c>
    </row>
    <row r="34" spans="1:3" x14ac:dyDescent="0.2">
      <c r="A34" s="15">
        <v>38322</v>
      </c>
      <c r="B34" s="16">
        <v>58.981422607151899</v>
      </c>
      <c r="C34" s="33">
        <f>Table1346811121415161718192022253032[[#This Row],[PMI]]-B33</f>
        <v>1.1144871904795011</v>
      </c>
    </row>
    <row r="35" spans="1:3" x14ac:dyDescent="0.2">
      <c r="A35" s="15">
        <v>38353</v>
      </c>
      <c r="B35" s="16">
        <v>57.034440617633997</v>
      </c>
      <c r="C35" s="33">
        <f>Table1346811121415161718192022253032[[#This Row],[PMI]]-B34</f>
        <v>-1.9469819895179015</v>
      </c>
    </row>
    <row r="36" spans="1:3" x14ac:dyDescent="0.2">
      <c r="A36" s="15">
        <v>38384</v>
      </c>
      <c r="B36" s="16">
        <v>56.255983584510801</v>
      </c>
      <c r="C36" s="33">
        <f>Table1346811121415161718192022253032[[#This Row],[PMI]]-B35</f>
        <v>-0.77845703312319614</v>
      </c>
    </row>
    <row r="37" spans="1:3" x14ac:dyDescent="0.2">
      <c r="A37" s="15">
        <v>38412</v>
      </c>
      <c r="B37" s="16">
        <v>51.639603525794001</v>
      </c>
      <c r="C37" s="33">
        <f>Table1346811121415161718192022253032[[#This Row],[PMI]]-B36</f>
        <v>-4.6163800587167998</v>
      </c>
    </row>
    <row r="38" spans="1:3" x14ac:dyDescent="0.2">
      <c r="A38" s="15">
        <v>38443</v>
      </c>
      <c r="B38" s="16">
        <v>51.5818588801095</v>
      </c>
      <c r="C38" s="33">
        <f>Table1346811121415161718192022253032[[#This Row],[PMI]]-B37</f>
        <v>-5.7744645684500995E-2</v>
      </c>
    </row>
    <row r="39" spans="1:3" x14ac:dyDescent="0.2">
      <c r="A39" s="15">
        <v>38473</v>
      </c>
      <c r="B39" s="16">
        <v>51.297542414814103</v>
      </c>
      <c r="C39" s="33">
        <f>Table1346811121415161718192022253032[[#This Row],[PMI]]-B38</f>
        <v>-0.28431646529539734</v>
      </c>
    </row>
    <row r="40" spans="1:3" x14ac:dyDescent="0.2">
      <c r="A40" s="15">
        <v>38504</v>
      </c>
      <c r="B40" s="16">
        <v>52.9270116328412</v>
      </c>
      <c r="C40" s="33">
        <f>Table1346811121415161718192022253032[[#This Row],[PMI]]-B39</f>
        <v>1.6294692180270971</v>
      </c>
    </row>
    <row r="41" spans="1:3" x14ac:dyDescent="0.2">
      <c r="A41" s="15">
        <v>38534</v>
      </c>
      <c r="B41" s="16">
        <v>49.237862406275802</v>
      </c>
      <c r="C41" s="33">
        <f>Table1346811121415161718192022253032[[#This Row],[PMI]]-B40</f>
        <v>-3.689149226565398</v>
      </c>
    </row>
    <row r="42" spans="1:3" x14ac:dyDescent="0.2">
      <c r="A42" s="15">
        <v>38565</v>
      </c>
      <c r="B42" s="16">
        <v>51.811669856587201</v>
      </c>
      <c r="C42" s="33">
        <f>Table1346811121415161718192022253032[[#This Row],[PMI]]-B41</f>
        <v>2.5738074503113992</v>
      </c>
    </row>
    <row r="43" spans="1:3" x14ac:dyDescent="0.2">
      <c r="A43" s="15">
        <v>38596</v>
      </c>
      <c r="B43" s="16">
        <v>50.571930732839697</v>
      </c>
      <c r="C43" s="33">
        <f>Table1346811121415161718192022253032[[#This Row],[PMI]]-B42</f>
        <v>-1.2397391237475048</v>
      </c>
    </row>
    <row r="44" spans="1:3" x14ac:dyDescent="0.2">
      <c r="A44" s="15">
        <v>38626</v>
      </c>
      <c r="B44" s="16">
        <v>45.895480732884501</v>
      </c>
      <c r="C44" s="33">
        <f>Table1346811121415161718192022253032[[#This Row],[PMI]]-B43</f>
        <v>-4.6764499999551958</v>
      </c>
    </row>
    <row r="45" spans="1:3" x14ac:dyDescent="0.2">
      <c r="A45" s="15">
        <v>38657</v>
      </c>
      <c r="B45" s="16">
        <v>44.270599524960801</v>
      </c>
      <c r="C45" s="33">
        <f>Table1346811121415161718192022253032[[#This Row],[PMI]]-B44</f>
        <v>-1.6248812079236998</v>
      </c>
    </row>
    <row r="46" spans="1:3" x14ac:dyDescent="0.2">
      <c r="A46" s="15">
        <v>38687</v>
      </c>
      <c r="B46" s="16">
        <v>48.479025467498097</v>
      </c>
      <c r="C46" s="33">
        <f>Table1346811121415161718192022253032[[#This Row],[PMI]]-B45</f>
        <v>4.2084259425372963</v>
      </c>
    </row>
    <row r="47" spans="1:3" x14ac:dyDescent="0.2">
      <c r="A47" s="15">
        <v>38718</v>
      </c>
      <c r="B47" s="16">
        <v>48.585345068779702</v>
      </c>
      <c r="C47" s="33">
        <f>Table1346811121415161718192022253032[[#This Row],[PMI]]-B46</f>
        <v>0.106319601281605</v>
      </c>
    </row>
    <row r="48" spans="1:3" x14ac:dyDescent="0.2">
      <c r="A48" s="15">
        <v>38749</v>
      </c>
      <c r="B48" s="16">
        <v>52.190552419279399</v>
      </c>
      <c r="C48" s="33">
        <f>Table1346811121415161718192022253032[[#This Row],[PMI]]-B47</f>
        <v>3.6052073504996969</v>
      </c>
    </row>
    <row r="49" spans="1:3" x14ac:dyDescent="0.2">
      <c r="A49" s="15">
        <v>38777</v>
      </c>
      <c r="B49" s="16">
        <v>53.543058814971403</v>
      </c>
      <c r="C49" s="33">
        <f>Table1346811121415161718192022253032[[#This Row],[PMI]]-B48</f>
        <v>1.3525063956920036</v>
      </c>
    </row>
    <row r="50" spans="1:3" x14ac:dyDescent="0.2">
      <c r="A50" s="15">
        <v>38808</v>
      </c>
      <c r="B50" s="16">
        <v>52.014251258866402</v>
      </c>
      <c r="C50" s="33">
        <f>Table1346811121415161718192022253032[[#This Row],[PMI]]-B49</f>
        <v>-1.5288075561050007</v>
      </c>
    </row>
    <row r="51" spans="1:3" x14ac:dyDescent="0.2">
      <c r="A51" s="15">
        <v>38838</v>
      </c>
      <c r="B51" s="16">
        <v>57.202432453847202</v>
      </c>
      <c r="C51" s="33">
        <f>Table1346811121415161718192022253032[[#This Row],[PMI]]-B50</f>
        <v>5.1881811949807997</v>
      </c>
    </row>
    <row r="52" spans="1:3" x14ac:dyDescent="0.2">
      <c r="A52" s="15">
        <v>38869</v>
      </c>
      <c r="B52" s="16">
        <v>53.844737402000803</v>
      </c>
      <c r="C52" s="33">
        <f>Table1346811121415161718192022253032[[#This Row],[PMI]]-B51</f>
        <v>-3.3576950518463988</v>
      </c>
    </row>
    <row r="53" spans="1:3" x14ac:dyDescent="0.2">
      <c r="A53" s="15">
        <v>38899</v>
      </c>
      <c r="B53" s="16">
        <v>53.378118046287</v>
      </c>
      <c r="C53" s="33">
        <f>Table1346811121415161718192022253032[[#This Row],[PMI]]-B52</f>
        <v>-0.46661935571380297</v>
      </c>
    </row>
    <row r="54" spans="1:3" x14ac:dyDescent="0.2">
      <c r="A54" s="15">
        <v>38930</v>
      </c>
      <c r="B54" s="16">
        <v>52.497099283063399</v>
      </c>
      <c r="C54" s="33">
        <f>Table1346811121415161718192022253032[[#This Row],[PMI]]-B53</f>
        <v>-0.88101876322360084</v>
      </c>
    </row>
    <row r="55" spans="1:3" x14ac:dyDescent="0.2">
      <c r="A55" s="15">
        <v>38961</v>
      </c>
      <c r="B55" s="16">
        <v>51.262659151328798</v>
      </c>
      <c r="C55" s="33">
        <f>Table1346811121415161718192022253032[[#This Row],[PMI]]-B54</f>
        <v>-1.2344401317346012</v>
      </c>
    </row>
    <row r="56" spans="1:3" x14ac:dyDescent="0.2">
      <c r="A56" s="15">
        <v>38991</v>
      </c>
      <c r="B56" s="16">
        <v>56.532079990323197</v>
      </c>
      <c r="C56" s="33">
        <f>Table1346811121415161718192022253032[[#This Row],[PMI]]-B55</f>
        <v>5.2694208389943995</v>
      </c>
    </row>
    <row r="57" spans="1:3" x14ac:dyDescent="0.2">
      <c r="A57" s="15">
        <v>39022</v>
      </c>
      <c r="B57" s="16">
        <v>54.819585258175898</v>
      </c>
      <c r="C57" s="33">
        <f>Table1346811121415161718192022253032[[#This Row],[PMI]]-B56</f>
        <v>-1.7124947321472987</v>
      </c>
    </row>
    <row r="58" spans="1:3" x14ac:dyDescent="0.2">
      <c r="A58" s="15">
        <v>39052</v>
      </c>
      <c r="B58" s="16">
        <v>54.238666923849898</v>
      </c>
      <c r="C58" s="33">
        <f>Table1346811121415161718192022253032[[#This Row],[PMI]]-B57</f>
        <v>-0.58091833432600026</v>
      </c>
    </row>
    <row r="59" spans="1:3" x14ac:dyDescent="0.2">
      <c r="A59" s="15">
        <v>39083</v>
      </c>
      <c r="B59" s="16">
        <v>56.036031351097698</v>
      </c>
      <c r="C59" s="33">
        <f>Table1346811121415161718192022253032[[#This Row],[PMI]]-B58</f>
        <v>1.7973644272477998</v>
      </c>
    </row>
    <row r="60" spans="1:3" x14ac:dyDescent="0.2">
      <c r="A60" s="15">
        <v>39114</v>
      </c>
      <c r="B60" s="16">
        <v>54.742775705584201</v>
      </c>
      <c r="C60" s="33">
        <f>Table1346811121415161718192022253032[[#This Row],[PMI]]-B59</f>
        <v>-1.2932556455134971</v>
      </c>
    </row>
    <row r="61" spans="1:3" x14ac:dyDescent="0.2">
      <c r="A61" s="15">
        <v>39142</v>
      </c>
      <c r="B61" s="16">
        <v>57.570250699095702</v>
      </c>
      <c r="C61" s="33">
        <f>Table1346811121415161718192022253032[[#This Row],[PMI]]-B60</f>
        <v>2.8274749935115011</v>
      </c>
    </row>
    <row r="62" spans="1:3" x14ac:dyDescent="0.2">
      <c r="A62" s="15">
        <v>39173</v>
      </c>
      <c r="B62" s="16">
        <v>53.260616311208402</v>
      </c>
      <c r="C62" s="33">
        <f>Table1346811121415161718192022253032[[#This Row],[PMI]]-B61</f>
        <v>-4.3096343878873</v>
      </c>
    </row>
    <row r="63" spans="1:3" x14ac:dyDescent="0.2">
      <c r="A63" s="15">
        <v>39203</v>
      </c>
      <c r="B63" s="16">
        <v>55.407160874264001</v>
      </c>
      <c r="C63" s="33">
        <f>Table1346811121415161718192022253032[[#This Row],[PMI]]-B62</f>
        <v>2.146544563055599</v>
      </c>
    </row>
    <row r="64" spans="1:3" x14ac:dyDescent="0.2">
      <c r="A64" s="15">
        <v>39234</v>
      </c>
      <c r="B64" s="16">
        <v>51.416409801705001</v>
      </c>
      <c r="C64" s="33">
        <f>Table1346811121415161718192022253032[[#This Row],[PMI]]-B63</f>
        <v>-3.9907510725590001</v>
      </c>
    </row>
    <row r="65" spans="1:3" x14ac:dyDescent="0.2">
      <c r="A65" s="15">
        <v>39264</v>
      </c>
      <c r="B65" s="16">
        <v>54.021529677242</v>
      </c>
      <c r="C65" s="33">
        <f>Table1346811121415161718192022253032[[#This Row],[PMI]]-B64</f>
        <v>2.6051198755369995</v>
      </c>
    </row>
    <row r="66" spans="1:3" x14ac:dyDescent="0.2">
      <c r="A66" s="15">
        <v>39295</v>
      </c>
      <c r="B66" s="16">
        <v>56.598811050608198</v>
      </c>
      <c r="C66" s="33">
        <f>Table1346811121415161718192022253032[[#This Row],[PMI]]-B65</f>
        <v>2.5772813733661977</v>
      </c>
    </row>
    <row r="67" spans="1:3" x14ac:dyDescent="0.2">
      <c r="A67" s="15">
        <v>39326</v>
      </c>
      <c r="B67" s="16">
        <v>54.2282350566784</v>
      </c>
      <c r="C67" s="33">
        <f>Table1346811121415161718192022253032[[#This Row],[PMI]]-B66</f>
        <v>-2.3705759939297977</v>
      </c>
    </row>
    <row r="68" spans="1:3" x14ac:dyDescent="0.2">
      <c r="A68" s="15">
        <v>39356</v>
      </c>
      <c r="B68" s="16">
        <v>57.433784173576299</v>
      </c>
      <c r="C68" s="33">
        <f>Table1346811121415161718192022253032[[#This Row],[PMI]]-B67</f>
        <v>3.2055491168978989</v>
      </c>
    </row>
    <row r="69" spans="1:3" x14ac:dyDescent="0.2">
      <c r="A69" s="15">
        <v>39387</v>
      </c>
      <c r="B69" s="16">
        <v>57.155724465306697</v>
      </c>
      <c r="C69" s="33">
        <f>Table1346811121415161718192022253032[[#This Row],[PMI]]-B68</f>
        <v>-0.27805970826960191</v>
      </c>
    </row>
    <row r="70" spans="1:3" x14ac:dyDescent="0.2">
      <c r="A70" s="15">
        <v>39417</v>
      </c>
      <c r="B70" s="16">
        <v>53.153499590717303</v>
      </c>
      <c r="C70" s="33">
        <f>Table1346811121415161718192022253032[[#This Row],[PMI]]-B69</f>
        <v>-4.0022248745893947</v>
      </c>
    </row>
    <row r="71" spans="1:3" x14ac:dyDescent="0.2">
      <c r="A71" s="15">
        <v>39448</v>
      </c>
      <c r="B71" s="16">
        <v>53.080817306480398</v>
      </c>
      <c r="C71" s="33">
        <f>Table1346811121415161718192022253032[[#This Row],[PMI]]-B70</f>
        <v>-7.2682284236904593E-2</v>
      </c>
    </row>
    <row r="72" spans="1:3" x14ac:dyDescent="0.2">
      <c r="A72" s="15">
        <v>39479</v>
      </c>
      <c r="B72" s="16">
        <v>52.568361901912901</v>
      </c>
      <c r="C72" s="33">
        <f>Table1346811121415161718192022253032[[#This Row],[PMI]]-B71</f>
        <v>-0.51245540456749694</v>
      </c>
    </row>
    <row r="73" spans="1:3" x14ac:dyDescent="0.2">
      <c r="A73" s="15">
        <v>39508</v>
      </c>
      <c r="B73" s="16">
        <v>48.114001410038803</v>
      </c>
      <c r="C73" s="33">
        <f>Table1346811121415161718192022253032[[#This Row],[PMI]]-B72</f>
        <v>-4.4543604918740982</v>
      </c>
    </row>
    <row r="74" spans="1:3" x14ac:dyDescent="0.2">
      <c r="A74" s="15">
        <v>39539</v>
      </c>
      <c r="B74" s="16">
        <v>50.379620041373897</v>
      </c>
      <c r="C74" s="33">
        <f>Table1346811121415161718192022253032[[#This Row],[PMI]]-B73</f>
        <v>2.2656186313350943</v>
      </c>
    </row>
    <row r="75" spans="1:3" x14ac:dyDescent="0.2">
      <c r="A75" s="15">
        <v>39569</v>
      </c>
      <c r="B75" s="16">
        <v>48.254867105237302</v>
      </c>
      <c r="C75" s="33">
        <f>Table1346811121415161718192022253032[[#This Row],[PMI]]-B74</f>
        <v>-2.1247529361365949</v>
      </c>
    </row>
    <row r="76" spans="1:3" x14ac:dyDescent="0.2">
      <c r="A76" s="15">
        <v>39600</v>
      </c>
      <c r="B76" s="16">
        <v>44.324455950641003</v>
      </c>
      <c r="C76" s="33">
        <f>Table1346811121415161718192022253032[[#This Row],[PMI]]-B75</f>
        <v>-3.9304111545962996</v>
      </c>
    </row>
    <row r="77" spans="1:3" x14ac:dyDescent="0.2">
      <c r="A77" s="15">
        <v>39630</v>
      </c>
      <c r="B77" s="16">
        <v>48.173562781692198</v>
      </c>
      <c r="C77" s="33">
        <f>Table1346811121415161718192022253032[[#This Row],[PMI]]-B76</f>
        <v>3.8491068310511949</v>
      </c>
    </row>
    <row r="78" spans="1:3" x14ac:dyDescent="0.2">
      <c r="A78" s="15">
        <v>39661</v>
      </c>
      <c r="B78" s="16">
        <v>46.094212934239899</v>
      </c>
      <c r="C78" s="33">
        <f>Table1346811121415161718192022253032[[#This Row],[PMI]]-B77</f>
        <v>-2.0793498474522991</v>
      </c>
    </row>
    <row r="79" spans="1:3" x14ac:dyDescent="0.2">
      <c r="A79" s="15">
        <v>39692</v>
      </c>
      <c r="B79" s="16">
        <v>46.816302534574902</v>
      </c>
      <c r="C79" s="33">
        <f>Table1346811121415161718192022253032[[#This Row],[PMI]]-B78</f>
        <v>0.72208960033500347</v>
      </c>
    </row>
    <row r="80" spans="1:3" x14ac:dyDescent="0.2">
      <c r="A80" s="15">
        <v>39722</v>
      </c>
      <c r="B80" s="16">
        <v>44.045668643393597</v>
      </c>
      <c r="C80" s="33">
        <f>Table1346811121415161718192022253032[[#This Row],[PMI]]-B79</f>
        <v>-2.7706338911813049</v>
      </c>
    </row>
    <row r="81" spans="1:3" x14ac:dyDescent="0.2">
      <c r="A81" s="15">
        <v>39753</v>
      </c>
      <c r="B81" s="16">
        <v>36.083796175526899</v>
      </c>
      <c r="C81" s="33">
        <f>Table1346811121415161718192022253032[[#This Row],[PMI]]-B80</f>
        <v>-7.9618724678666979</v>
      </c>
    </row>
    <row r="82" spans="1:3" x14ac:dyDescent="0.2">
      <c r="A82" s="15">
        <v>39783</v>
      </c>
      <c r="B82" s="16">
        <v>42.435398240949702</v>
      </c>
      <c r="C82" s="33">
        <f>Table1346811121415161718192022253032[[#This Row],[PMI]]-B81</f>
        <v>6.3516020654228029</v>
      </c>
    </row>
    <row r="83" spans="1:3" x14ac:dyDescent="0.2">
      <c r="A83" s="15">
        <v>39814</v>
      </c>
      <c r="B83" s="16">
        <v>42.236706316594997</v>
      </c>
      <c r="C83" s="33">
        <f>Table1346811121415161718192022253032[[#This Row],[PMI]]-B82</f>
        <v>-0.19869192435470495</v>
      </c>
    </row>
    <row r="84" spans="1:3" x14ac:dyDescent="0.2">
      <c r="A84" s="15">
        <v>39845</v>
      </c>
      <c r="B84" s="16">
        <v>38.936383749853697</v>
      </c>
      <c r="C84" s="33">
        <f>Table1346811121415161718192022253032[[#This Row],[PMI]]-B83</f>
        <v>-3.3003225667413005</v>
      </c>
    </row>
    <row r="85" spans="1:3" x14ac:dyDescent="0.2">
      <c r="A85" s="15">
        <v>39873</v>
      </c>
      <c r="B85" s="16">
        <v>41.563078337337402</v>
      </c>
      <c r="C85" s="33">
        <f>Table1346811121415161718192022253032[[#This Row],[PMI]]-B84</f>
        <v>2.6266945874837049</v>
      </c>
    </row>
    <row r="86" spans="1:3" x14ac:dyDescent="0.2">
      <c r="A86" s="15">
        <v>39904</v>
      </c>
      <c r="B86" s="16">
        <v>43.348295431938503</v>
      </c>
      <c r="C86" s="33">
        <f>Table1346811121415161718192022253032[[#This Row],[PMI]]-B85</f>
        <v>1.7852170946011015</v>
      </c>
    </row>
    <row r="87" spans="1:3" x14ac:dyDescent="0.2">
      <c r="A87" s="15">
        <v>39934</v>
      </c>
      <c r="B87" s="16">
        <v>41.874722452342098</v>
      </c>
      <c r="C87" s="33">
        <f>Table1346811121415161718192022253032[[#This Row],[PMI]]-B86</f>
        <v>-1.4735729795964048</v>
      </c>
    </row>
    <row r="88" spans="1:3" x14ac:dyDescent="0.2">
      <c r="A88" s="15">
        <v>39965</v>
      </c>
      <c r="B88" s="16">
        <v>45.561029356135201</v>
      </c>
      <c r="C88" s="33">
        <f>Table1346811121415161718192022253032[[#This Row],[PMI]]-B87</f>
        <v>3.6863069037931027</v>
      </c>
    </row>
    <row r="89" spans="1:3" x14ac:dyDescent="0.2">
      <c r="A89" s="15">
        <v>39995</v>
      </c>
      <c r="B89" s="16">
        <v>49.734183405407201</v>
      </c>
      <c r="C89" s="33">
        <f>Table1346811121415161718192022253032[[#This Row],[PMI]]-B88</f>
        <v>4.1731540492720001</v>
      </c>
    </row>
    <row r="90" spans="1:3" x14ac:dyDescent="0.2">
      <c r="A90" s="15">
        <v>40026</v>
      </c>
      <c r="B90" s="16">
        <v>49.642350273864402</v>
      </c>
      <c r="C90" s="33">
        <f>Table1346811121415161718192022253032[[#This Row],[PMI]]-B89</f>
        <v>-9.1833131542799151E-2</v>
      </c>
    </row>
    <row r="91" spans="1:3" x14ac:dyDescent="0.2">
      <c r="A91" s="15">
        <v>40057</v>
      </c>
      <c r="B91" s="16">
        <v>52.680029270514602</v>
      </c>
      <c r="C91" s="33">
        <f>Table1346811121415161718192022253032[[#This Row],[PMI]]-B90</f>
        <v>3.0376789966502002</v>
      </c>
    </row>
    <row r="92" spans="1:3" x14ac:dyDescent="0.2">
      <c r="A92" s="15">
        <v>40087</v>
      </c>
      <c r="B92" s="16">
        <v>51.7262292777555</v>
      </c>
      <c r="C92" s="33">
        <f>Table1346811121415161718192022253032[[#This Row],[PMI]]-B91</f>
        <v>-0.95379999275910166</v>
      </c>
    </row>
    <row r="93" spans="1:3" x14ac:dyDescent="0.2">
      <c r="A93" s="15">
        <v>40118</v>
      </c>
      <c r="B93" s="16">
        <v>53.326198285872401</v>
      </c>
      <c r="C93" s="33">
        <f>Table1346811121415161718192022253032[[#This Row],[PMI]]-B92</f>
        <v>1.5999690081169007</v>
      </c>
    </row>
    <row r="94" spans="1:3" x14ac:dyDescent="0.2">
      <c r="A94" s="15">
        <v>40148</v>
      </c>
      <c r="B94" s="16">
        <v>53.1454156225943</v>
      </c>
      <c r="C94" s="33">
        <f>Table1346811121415161718192022253032[[#This Row],[PMI]]-B93</f>
        <v>-0.18078266327810155</v>
      </c>
    </row>
    <row r="95" spans="1:3" x14ac:dyDescent="0.2">
      <c r="A95" s="15">
        <v>40179</v>
      </c>
      <c r="B95" s="16">
        <v>51.823641067846701</v>
      </c>
      <c r="C95" s="33">
        <f>Table1346811121415161718192022253032[[#This Row],[PMI]]-B94</f>
        <v>-1.3217745547475985</v>
      </c>
    </row>
    <row r="96" spans="1:3" x14ac:dyDescent="0.2">
      <c r="A96" s="15">
        <v>40210</v>
      </c>
      <c r="B96" s="16">
        <v>52.533413447435898</v>
      </c>
      <c r="C96" s="33">
        <f>Table1346811121415161718192022253032[[#This Row],[PMI]]-B95</f>
        <v>0.70977237958919659</v>
      </c>
    </row>
    <row r="97" spans="1:3" x14ac:dyDescent="0.2">
      <c r="A97" s="15">
        <v>40238</v>
      </c>
      <c r="B97" s="16">
        <v>55.832523203119003</v>
      </c>
      <c r="C97" s="33">
        <f>Table1346811121415161718192022253032[[#This Row],[PMI]]-B96</f>
        <v>3.299109755683105</v>
      </c>
    </row>
    <row r="98" spans="1:3" x14ac:dyDescent="0.2">
      <c r="A98" s="15">
        <v>40269</v>
      </c>
      <c r="B98" s="16">
        <v>58.4019949666218</v>
      </c>
      <c r="C98" s="33">
        <f>Table1346811121415161718192022253032[[#This Row],[PMI]]-B97</f>
        <v>2.569471763502797</v>
      </c>
    </row>
    <row r="99" spans="1:3" x14ac:dyDescent="0.2">
      <c r="A99" s="15">
        <v>40299</v>
      </c>
      <c r="B99" s="16">
        <v>51.8006228698843</v>
      </c>
      <c r="C99" s="33">
        <f>Table1346811121415161718192022253032[[#This Row],[PMI]]-B98</f>
        <v>-6.6013720967374994</v>
      </c>
    </row>
    <row r="100" spans="1:3" x14ac:dyDescent="0.2">
      <c r="A100" s="15">
        <v>40330</v>
      </c>
      <c r="B100" s="16">
        <v>54.885916458142702</v>
      </c>
      <c r="C100" s="33">
        <f>Table1346811121415161718192022253032[[#This Row],[PMI]]-B99</f>
        <v>3.0852935882584021</v>
      </c>
    </row>
    <row r="101" spans="1:3" x14ac:dyDescent="0.2">
      <c r="A101" s="15">
        <v>40360</v>
      </c>
      <c r="B101" s="16">
        <v>50.256943813857902</v>
      </c>
      <c r="C101" s="33">
        <f>Table1346811121415161718192022253032[[#This Row],[PMI]]-B100</f>
        <v>-4.6289726442848007</v>
      </c>
    </row>
    <row r="102" spans="1:3" x14ac:dyDescent="0.2">
      <c r="A102" s="15">
        <v>40391</v>
      </c>
      <c r="B102" s="16">
        <v>50.288913340954501</v>
      </c>
      <c r="C102" s="33">
        <f>Table1346811121415161718192022253032[[#This Row],[PMI]]-B101</f>
        <v>3.1969527096599393E-2</v>
      </c>
    </row>
    <row r="103" spans="1:3" x14ac:dyDescent="0.2">
      <c r="A103" s="15">
        <v>40422</v>
      </c>
      <c r="B103" s="16">
        <v>50.989279973423798</v>
      </c>
      <c r="C103" s="33">
        <f>Table1346811121415161718192022253032[[#This Row],[PMI]]-B102</f>
        <v>0.7003666324692972</v>
      </c>
    </row>
    <row r="104" spans="1:3" x14ac:dyDescent="0.2">
      <c r="A104" s="15">
        <v>40452</v>
      </c>
      <c r="B104" s="16">
        <v>51.425226109909701</v>
      </c>
      <c r="C104" s="33">
        <f>Table1346811121415161718192022253032[[#This Row],[PMI]]-B103</f>
        <v>0.43594613648590297</v>
      </c>
    </row>
    <row r="105" spans="1:3" x14ac:dyDescent="0.2">
      <c r="A105" s="15">
        <v>40483</v>
      </c>
      <c r="B105" s="16">
        <v>54.9544836853158</v>
      </c>
      <c r="C105" s="33">
        <f>Table1346811121415161718192022253032[[#This Row],[PMI]]-B104</f>
        <v>3.5292575754060991</v>
      </c>
    </row>
    <row r="106" spans="1:3" x14ac:dyDescent="0.2">
      <c r="A106" s="15">
        <v>40513</v>
      </c>
      <c r="B106" s="16">
        <v>53.213836822334102</v>
      </c>
      <c r="C106" s="33">
        <f>Table1346811121415161718192022253032[[#This Row],[PMI]]-B105</f>
        <v>-1.7406468629816985</v>
      </c>
    </row>
    <row r="107" spans="1:3" x14ac:dyDescent="0.2">
      <c r="A107" s="15">
        <v>40544</v>
      </c>
      <c r="B107" s="16">
        <v>52.941418710448602</v>
      </c>
      <c r="C107" s="33">
        <f>Table1346811121415161718192022253032[[#This Row],[PMI]]-B106</f>
        <v>-0.27241811188550002</v>
      </c>
    </row>
    <row r="108" spans="1:3" x14ac:dyDescent="0.2">
      <c r="A108" s="15">
        <v>40575</v>
      </c>
      <c r="B108" s="16">
        <v>51.296148060149903</v>
      </c>
      <c r="C108" s="33">
        <f>Table1346811121415161718192022253032[[#This Row],[PMI]]-B107</f>
        <v>-1.6452706502986985</v>
      </c>
    </row>
    <row r="109" spans="1:3" x14ac:dyDescent="0.2">
      <c r="A109" s="15">
        <v>40603</v>
      </c>
      <c r="B109" s="16">
        <v>49.030116711296003</v>
      </c>
      <c r="C109" s="33">
        <f>Table1346811121415161718192022253032[[#This Row],[PMI]]-B108</f>
        <v>-2.2660313488539003</v>
      </c>
    </row>
    <row r="110" spans="1:3" x14ac:dyDescent="0.2">
      <c r="A110" s="15">
        <v>40634</v>
      </c>
      <c r="B110" s="16">
        <v>53.0485447056205</v>
      </c>
      <c r="C110" s="33">
        <f>Table1346811121415161718192022253032[[#This Row],[PMI]]-B109</f>
        <v>4.0184279943244974</v>
      </c>
    </row>
    <row r="111" spans="1:3" x14ac:dyDescent="0.2">
      <c r="A111" s="15">
        <v>40664</v>
      </c>
      <c r="B111" s="16">
        <v>52.890127153315902</v>
      </c>
      <c r="C111" s="33">
        <f>Table1346811121415161718192022253032[[#This Row],[PMI]]-B110</f>
        <v>-0.15841755230459853</v>
      </c>
    </row>
    <row r="112" spans="1:3" x14ac:dyDescent="0.2">
      <c r="A112" s="15">
        <v>40695</v>
      </c>
      <c r="B112" s="16">
        <v>54.276686305751802</v>
      </c>
      <c r="C112" s="33">
        <f>Table1346811121415161718192022253032[[#This Row],[PMI]]-B111</f>
        <v>1.3865591524359004</v>
      </c>
    </row>
    <row r="113" spans="1:3" x14ac:dyDescent="0.2">
      <c r="A113" s="15">
        <v>40725</v>
      </c>
      <c r="B113" s="16">
        <v>52.914785131054401</v>
      </c>
      <c r="C113" s="33">
        <f>Table1346811121415161718192022253032[[#This Row],[PMI]]-B112</f>
        <v>-1.361901174697401</v>
      </c>
    </row>
    <row r="114" spans="1:3" x14ac:dyDescent="0.2">
      <c r="A114" s="15">
        <v>40756</v>
      </c>
      <c r="B114" s="16">
        <v>53.276022834882099</v>
      </c>
      <c r="C114" s="33">
        <f>Table1346811121415161718192022253032[[#This Row],[PMI]]-B113</f>
        <v>0.36123770382769749</v>
      </c>
    </row>
    <row r="115" spans="1:3" x14ac:dyDescent="0.2">
      <c r="A115" s="15">
        <v>40787</v>
      </c>
      <c r="B115" s="16">
        <v>51.1649272067922</v>
      </c>
      <c r="C115" s="33">
        <f>Table1346811121415161718192022253032[[#This Row],[PMI]]-B114</f>
        <v>-2.1110956280898989</v>
      </c>
    </row>
    <row r="116" spans="1:3" x14ac:dyDescent="0.2">
      <c r="A116" s="15">
        <v>40817</v>
      </c>
      <c r="B116" s="16">
        <v>47.055625036655101</v>
      </c>
      <c r="C116" s="33">
        <f>Table1346811121415161718192022253032[[#This Row],[PMI]]-B115</f>
        <v>-4.1093021701370986</v>
      </c>
    </row>
    <row r="117" spans="1:3" x14ac:dyDescent="0.2">
      <c r="A117" s="15">
        <v>40848</v>
      </c>
      <c r="B117" s="16">
        <v>47.8189290340678</v>
      </c>
      <c r="C117" s="33">
        <f>Table1346811121415161718192022253032[[#This Row],[PMI]]-B116</f>
        <v>0.76330399741269872</v>
      </c>
    </row>
    <row r="118" spans="1:3" x14ac:dyDescent="0.2">
      <c r="A118" s="15">
        <v>40878</v>
      </c>
      <c r="B118" s="16">
        <v>52.079468638644201</v>
      </c>
      <c r="C118" s="33">
        <f>Table1346811121415161718192022253032[[#This Row],[PMI]]-B117</f>
        <v>4.260539604576401</v>
      </c>
    </row>
    <row r="119" spans="1:3" x14ac:dyDescent="0.2">
      <c r="A119" s="15">
        <v>40909</v>
      </c>
      <c r="B119" s="16">
        <v>50.6209489737154</v>
      </c>
      <c r="C119" s="33">
        <f>Table1346811121415161718192022253032[[#This Row],[PMI]]-B118</f>
        <v>-1.4585196649288008</v>
      </c>
    </row>
    <row r="120" spans="1:3" x14ac:dyDescent="0.2">
      <c r="A120" s="15">
        <v>40940</v>
      </c>
      <c r="B120" s="16">
        <v>55.936808068004602</v>
      </c>
      <c r="C120" s="33">
        <f>Table1346811121415161718192022253032[[#This Row],[PMI]]-B119</f>
        <v>5.3158590942892019</v>
      </c>
    </row>
    <row r="121" spans="1:3" x14ac:dyDescent="0.2">
      <c r="A121" s="15">
        <v>40969</v>
      </c>
      <c r="B121" s="16">
        <v>53.627871720274001</v>
      </c>
      <c r="C121" s="33">
        <f>Table1346811121415161718192022253032[[#This Row],[PMI]]-B120</f>
        <v>-2.3089363477306009</v>
      </c>
    </row>
    <row r="122" spans="1:3" x14ac:dyDescent="0.2">
      <c r="A122" s="15">
        <v>41000</v>
      </c>
      <c r="B122" s="16">
        <v>48.512504850892803</v>
      </c>
      <c r="C122" s="33">
        <f>Table1346811121415161718192022253032[[#This Row],[PMI]]-B121</f>
        <v>-5.115366869381198</v>
      </c>
    </row>
    <row r="123" spans="1:3" x14ac:dyDescent="0.2">
      <c r="A123" s="15">
        <v>41030</v>
      </c>
      <c r="B123" s="16">
        <v>54.185789788296702</v>
      </c>
      <c r="C123" s="33">
        <f>Table1346811121415161718192022253032[[#This Row],[PMI]]-B122</f>
        <v>5.6732849374038992</v>
      </c>
    </row>
    <row r="124" spans="1:3" x14ac:dyDescent="0.2">
      <c r="A124" s="15">
        <v>41061</v>
      </c>
      <c r="B124" s="16">
        <v>50.472370512699001</v>
      </c>
      <c r="C124" s="33">
        <f>Table1346811121415161718192022253032[[#This Row],[PMI]]-B123</f>
        <v>-3.7134192755977011</v>
      </c>
    </row>
    <row r="125" spans="1:3" x14ac:dyDescent="0.2">
      <c r="A125" s="15">
        <v>41091</v>
      </c>
      <c r="B125" s="16">
        <v>49.600935432835399</v>
      </c>
      <c r="C125" s="33">
        <f>Table1346811121415161718192022253032[[#This Row],[PMI]]-B124</f>
        <v>-0.87143507986360191</v>
      </c>
    </row>
    <row r="126" spans="1:3" x14ac:dyDescent="0.2">
      <c r="A126" s="15">
        <v>41122</v>
      </c>
      <c r="B126" s="16">
        <v>47.429094831237798</v>
      </c>
      <c r="C126" s="33">
        <f>Table1346811121415161718192022253032[[#This Row],[PMI]]-B125</f>
        <v>-2.1718406015976015</v>
      </c>
    </row>
    <row r="127" spans="1:3" x14ac:dyDescent="0.2">
      <c r="A127" s="15">
        <v>41153</v>
      </c>
      <c r="B127" s="16">
        <v>48.448709339422898</v>
      </c>
      <c r="C127" s="33">
        <f>Table1346811121415161718192022253032[[#This Row],[PMI]]-B126</f>
        <v>1.0196145081851</v>
      </c>
    </row>
    <row r="128" spans="1:3" x14ac:dyDescent="0.2">
      <c r="A128" s="15">
        <v>41183</v>
      </c>
      <c r="B128" s="16">
        <v>51.316273938764503</v>
      </c>
      <c r="C128" s="33">
        <f>Table1346811121415161718192022253032[[#This Row],[PMI]]-B127</f>
        <v>2.8675645993416055</v>
      </c>
    </row>
    <row r="129" spans="1:3" x14ac:dyDescent="0.2">
      <c r="A129" s="15">
        <v>41214</v>
      </c>
      <c r="B129" s="16">
        <v>50.803170950440403</v>
      </c>
      <c r="C129" s="33">
        <f>Table1346811121415161718192022253032[[#This Row],[PMI]]-B128</f>
        <v>-0.51310298832409984</v>
      </c>
    </row>
    <row r="130" spans="1:3" x14ac:dyDescent="0.2">
      <c r="A130" s="15">
        <v>41244</v>
      </c>
      <c r="B130" s="16">
        <v>50.176098211716898</v>
      </c>
      <c r="C130" s="33">
        <f>Table1346811121415161718192022253032[[#This Row],[PMI]]-B129</f>
        <v>-0.62707273872350555</v>
      </c>
    </row>
    <row r="131" spans="1:3" x14ac:dyDescent="0.2">
      <c r="A131" s="15">
        <v>41275</v>
      </c>
      <c r="B131" s="16">
        <v>55.650680223541102</v>
      </c>
      <c r="C131" s="33">
        <f>Table1346811121415161718192022253032[[#This Row],[PMI]]-B130</f>
        <v>5.4745820118242037</v>
      </c>
    </row>
    <row r="132" spans="1:3" x14ac:dyDescent="0.2">
      <c r="A132" s="15">
        <v>41306</v>
      </c>
      <c r="B132" s="16">
        <v>55.210349982691298</v>
      </c>
      <c r="C132" s="33">
        <f>Table1346811121415161718192022253032[[#This Row],[PMI]]-B131</f>
        <v>-0.44033024084980354</v>
      </c>
    </row>
    <row r="133" spans="1:3" x14ac:dyDescent="0.2">
      <c r="A133" s="15">
        <v>41334</v>
      </c>
      <c r="B133" s="16">
        <v>52.7071688076255</v>
      </c>
      <c r="C133" s="33">
        <f>Table1346811121415161718192022253032[[#This Row],[PMI]]-B132</f>
        <v>-2.503181175065798</v>
      </c>
    </row>
    <row r="134" spans="1:3" x14ac:dyDescent="0.2">
      <c r="A134" s="15">
        <v>41365</v>
      </c>
      <c r="B134" s="16">
        <v>56.120859261244199</v>
      </c>
      <c r="C134" s="33">
        <f>Table1346811121415161718192022253032[[#This Row],[PMI]]-B133</f>
        <v>3.4136904536186989</v>
      </c>
    </row>
    <row r="135" spans="1:3" x14ac:dyDescent="0.2">
      <c r="A135" s="15">
        <v>41395</v>
      </c>
      <c r="B135" s="16">
        <v>59.073750840452703</v>
      </c>
      <c r="C135" s="33">
        <f>Table1346811121415161718192022253032[[#This Row],[PMI]]-B134</f>
        <v>2.9528915792085044</v>
      </c>
    </row>
    <row r="136" spans="1:3" x14ac:dyDescent="0.2">
      <c r="A136" s="15">
        <v>41426</v>
      </c>
      <c r="B136" s="16">
        <v>55.0752933288219</v>
      </c>
      <c r="C136" s="33">
        <f>Table1346811121415161718192022253032[[#This Row],[PMI]]-B135</f>
        <v>-3.9984575116308037</v>
      </c>
    </row>
    <row r="137" spans="1:3" x14ac:dyDescent="0.2">
      <c r="A137" s="15">
        <v>41456</v>
      </c>
      <c r="B137" s="16">
        <v>60.261392032361201</v>
      </c>
      <c r="C137" s="33">
        <f>Table1346811121415161718192022253032[[#This Row],[PMI]]-B136</f>
        <v>5.1860987035393009</v>
      </c>
    </row>
    <row r="138" spans="1:3" x14ac:dyDescent="0.2">
      <c r="A138" s="15">
        <v>41487</v>
      </c>
      <c r="B138" s="16">
        <v>56.723185987861498</v>
      </c>
      <c r="C138" s="33">
        <f>Table1346811121415161718192022253032[[#This Row],[PMI]]-B137</f>
        <v>-3.5382060444997023</v>
      </c>
    </row>
    <row r="139" spans="1:3" x14ac:dyDescent="0.2">
      <c r="A139" s="15">
        <v>41518</v>
      </c>
      <c r="B139" s="16">
        <v>52.7868939881118</v>
      </c>
      <c r="C139" s="33">
        <f>Table1346811121415161718192022253032[[#This Row],[PMI]]-B138</f>
        <v>-3.9362919997496988</v>
      </c>
    </row>
    <row r="140" spans="1:3" x14ac:dyDescent="0.2">
      <c r="A140" s="15">
        <v>41548</v>
      </c>
      <c r="B140" s="16">
        <v>55.491851126124203</v>
      </c>
      <c r="C140" s="33">
        <f>Table1346811121415161718192022253032[[#This Row],[PMI]]-B139</f>
        <v>2.7049571380124036</v>
      </c>
    </row>
    <row r="141" spans="1:3" x14ac:dyDescent="0.2">
      <c r="A141" s="15">
        <v>41579</v>
      </c>
      <c r="B141" s="16">
        <v>57.389922652514898</v>
      </c>
      <c r="C141" s="33">
        <f>Table1346811121415161718192022253032[[#This Row],[PMI]]-B140</f>
        <v>1.8980715263906944</v>
      </c>
    </row>
    <row r="142" spans="1:3" x14ac:dyDescent="0.2">
      <c r="A142" s="15">
        <v>41609</v>
      </c>
      <c r="B142" s="16">
        <v>55.724521077420903</v>
      </c>
      <c r="C142" s="33">
        <f>Table1346811121415161718192022253032[[#This Row],[PMI]]-B141</f>
        <v>-1.6654015750939948</v>
      </c>
    </row>
    <row r="143" spans="1:3" x14ac:dyDescent="0.2">
      <c r="A143" s="15">
        <v>41640</v>
      </c>
      <c r="B143" s="16">
        <v>57.197211909594103</v>
      </c>
      <c r="C143" s="33">
        <f>Table1346811121415161718192022253032[[#This Row],[PMI]]-B142</f>
        <v>1.4726908321731997</v>
      </c>
    </row>
    <row r="144" spans="1:3" x14ac:dyDescent="0.2">
      <c r="A144" s="15">
        <v>41671</v>
      </c>
      <c r="B144" s="16">
        <v>56.026127287725103</v>
      </c>
      <c r="C144" s="33">
        <f>Table1346811121415161718192022253032[[#This Row],[PMI]]-B143</f>
        <v>-1.1710846218689994</v>
      </c>
    </row>
    <row r="145" spans="1:3" x14ac:dyDescent="0.2">
      <c r="A145" s="15">
        <v>41699</v>
      </c>
      <c r="B145" s="16">
        <v>57.951243871749298</v>
      </c>
      <c r="C145" s="33">
        <f>Table1346811121415161718192022253032[[#This Row],[PMI]]-B144</f>
        <v>1.9251165840241953</v>
      </c>
    </row>
    <row r="146" spans="1:3" x14ac:dyDescent="0.2">
      <c r="A146" s="15">
        <v>41730</v>
      </c>
      <c r="B146" s="16">
        <v>55.4325461314546</v>
      </c>
      <c r="C146" s="33">
        <f>Table1346811121415161718192022253032[[#This Row],[PMI]]-B145</f>
        <v>-2.518697740294698</v>
      </c>
    </row>
    <row r="147" spans="1:3" x14ac:dyDescent="0.2">
      <c r="A147" s="15">
        <v>41760</v>
      </c>
      <c r="B147" s="16">
        <v>53.956229398254202</v>
      </c>
      <c r="C147" s="33">
        <f>Table1346811121415161718192022253032[[#This Row],[PMI]]-B146</f>
        <v>-1.4763167332003988</v>
      </c>
    </row>
    <row r="148" spans="1:3" x14ac:dyDescent="0.2">
      <c r="A148" s="15">
        <v>41791</v>
      </c>
      <c r="B148" s="16">
        <v>53.332054998804701</v>
      </c>
      <c r="C148" s="33">
        <f>Table1346811121415161718192022253032[[#This Row],[PMI]]-B147</f>
        <v>-0.62417439944950104</v>
      </c>
    </row>
    <row r="149" spans="1:3" x14ac:dyDescent="0.2">
      <c r="A149" s="15">
        <v>41821</v>
      </c>
      <c r="B149" s="16">
        <v>54.753248698735099</v>
      </c>
      <c r="C149" s="33">
        <f>Table1346811121415161718192022253032[[#This Row],[PMI]]-B148</f>
        <v>1.4211936999303987</v>
      </c>
    </row>
    <row r="150" spans="1:3" x14ac:dyDescent="0.2">
      <c r="A150" s="15">
        <v>41852</v>
      </c>
      <c r="B150" s="16">
        <v>56.390867178830199</v>
      </c>
      <c r="C150" s="33">
        <f>Table1346811121415161718192022253032[[#This Row],[PMI]]-B149</f>
        <v>1.6376184800950995</v>
      </c>
    </row>
    <row r="151" spans="1:3" x14ac:dyDescent="0.2">
      <c r="A151" s="15">
        <v>41883</v>
      </c>
      <c r="B151" s="16">
        <v>57.298541725858399</v>
      </c>
      <c r="C151" s="33">
        <f>Table1346811121415161718192022253032[[#This Row],[PMI]]-B150</f>
        <v>0.90767454702820061</v>
      </c>
    </row>
    <row r="152" spans="1:3" x14ac:dyDescent="0.2">
      <c r="A152" s="15">
        <v>41913</v>
      </c>
      <c r="B152" s="16">
        <v>58.5179627874654</v>
      </c>
      <c r="C152" s="33">
        <f>Table1346811121415161718192022253032[[#This Row],[PMI]]-B151</f>
        <v>1.2194210616070009</v>
      </c>
    </row>
    <row r="153" spans="1:3" x14ac:dyDescent="0.2">
      <c r="A153" s="15">
        <v>41944</v>
      </c>
      <c r="B153" s="16">
        <v>54.617724905754102</v>
      </c>
      <c r="C153" s="33">
        <f>Table1346811121415161718192022253032[[#This Row],[PMI]]-B152</f>
        <v>-3.9002378817112984</v>
      </c>
    </row>
    <row r="154" spans="1:3" x14ac:dyDescent="0.2">
      <c r="A154" s="15">
        <v>41974</v>
      </c>
      <c r="B154" s="16">
        <v>56.651751484174397</v>
      </c>
      <c r="C154" s="33">
        <f>Table1346811121415161718192022253032[[#This Row],[PMI]]-B153</f>
        <v>2.0340265784202956</v>
      </c>
    </row>
    <row r="155" spans="1:3" x14ac:dyDescent="0.2">
      <c r="A155" s="15">
        <v>42005</v>
      </c>
      <c r="B155" s="16">
        <v>51.560748726156199</v>
      </c>
      <c r="C155" s="33">
        <f>Table1346811121415161718192022253032[[#This Row],[PMI]]-B154</f>
        <v>-5.0910027580181989</v>
      </c>
    </row>
    <row r="156" spans="1:3" x14ac:dyDescent="0.2">
      <c r="A156" s="15">
        <v>42036</v>
      </c>
      <c r="B156" s="16">
        <v>56.685992642344303</v>
      </c>
      <c r="C156" s="33">
        <f>Table1346811121415161718192022253032[[#This Row],[PMI]]-B155</f>
        <v>5.1252439161881043</v>
      </c>
    </row>
    <row r="157" spans="1:3" x14ac:dyDescent="0.2">
      <c r="A157" s="15">
        <v>42064</v>
      </c>
      <c r="B157" s="16">
        <v>54.7822942728314</v>
      </c>
      <c r="C157" s="33">
        <f>Table1346811121415161718192022253032[[#This Row],[PMI]]-B156</f>
        <v>-1.9036983695129024</v>
      </c>
    </row>
    <row r="158" spans="1:3" x14ac:dyDescent="0.2">
      <c r="A158" s="15">
        <v>42095</v>
      </c>
      <c r="B158" s="16">
        <v>52.337448703873399</v>
      </c>
      <c r="C158" s="33">
        <f>Table1346811121415161718192022253032[[#This Row],[PMI]]-B157</f>
        <v>-2.4448455689580015</v>
      </c>
    </row>
    <row r="159" spans="1:3" x14ac:dyDescent="0.2">
      <c r="A159" s="15">
        <v>42125</v>
      </c>
      <c r="B159" s="16">
        <v>51.445669244171299</v>
      </c>
      <c r="C159" s="33">
        <f>Table1346811121415161718192022253032[[#This Row],[PMI]]-B158</f>
        <v>-0.89177945970210004</v>
      </c>
    </row>
    <row r="160" spans="1:3" x14ac:dyDescent="0.2">
      <c r="A160" s="15">
        <v>42156</v>
      </c>
      <c r="B160" s="16">
        <v>55.1807836368314</v>
      </c>
      <c r="C160" s="33">
        <f>Table1346811121415161718192022253032[[#This Row],[PMI]]-B159</f>
        <v>3.7351143926601011</v>
      </c>
    </row>
    <row r="161" spans="1:3" x14ac:dyDescent="0.2">
      <c r="A161" s="15">
        <v>42186</v>
      </c>
      <c r="B161" s="16">
        <v>54.381444828161598</v>
      </c>
      <c r="C161" s="33">
        <f>Table1346811121415161718192022253032[[#This Row],[PMI]]-B160</f>
        <v>-0.79933880866980189</v>
      </c>
    </row>
    <row r="162" spans="1:3" x14ac:dyDescent="0.2">
      <c r="A162" s="15">
        <v>42217</v>
      </c>
      <c r="B162" s="16">
        <v>54.870796907468197</v>
      </c>
      <c r="C162" s="33">
        <f>Table1346811121415161718192022253032[[#This Row],[PMI]]-B161</f>
        <v>0.48935207930659885</v>
      </c>
    </row>
    <row r="163" spans="1:3" x14ac:dyDescent="0.2">
      <c r="A163" s="15">
        <v>42248</v>
      </c>
      <c r="B163" s="16">
        <v>54.096709865768197</v>
      </c>
      <c r="C163" s="33">
        <f>Table1346811121415161718192022253032[[#This Row],[PMI]]-B162</f>
        <v>-0.77408704169999965</v>
      </c>
    </row>
    <row r="164" spans="1:3" x14ac:dyDescent="0.2">
      <c r="A164" s="15">
        <v>42278</v>
      </c>
      <c r="B164" s="16">
        <v>53.140695996963103</v>
      </c>
      <c r="C164" s="33">
        <f>Table1346811121415161718192022253032[[#This Row],[PMI]]-B163</f>
        <v>-0.95601386880509409</v>
      </c>
    </row>
    <row r="165" spans="1:3" x14ac:dyDescent="0.2">
      <c r="A165" s="15">
        <v>42309</v>
      </c>
      <c r="B165" s="16">
        <v>55.032635885992697</v>
      </c>
      <c r="C165" s="33">
        <f>Table1346811121415161718192022253032[[#This Row],[PMI]]-B164</f>
        <v>1.8919398890295938</v>
      </c>
    </row>
    <row r="166" spans="1:3" x14ac:dyDescent="0.2">
      <c r="A166" s="15">
        <v>42339</v>
      </c>
      <c r="B166" s="16">
        <v>56.985602727074799</v>
      </c>
      <c r="C166" s="33">
        <f>Table1346811121415161718192022253032[[#This Row],[PMI]]-B165</f>
        <v>1.9529668410821017</v>
      </c>
    </row>
    <row r="167" spans="1:3" x14ac:dyDescent="0.2">
      <c r="A167" s="15">
        <v>42370</v>
      </c>
      <c r="B167" s="16">
        <v>59.789243036004997</v>
      </c>
      <c r="C167" s="33">
        <f>Table1346811121415161718192022253032[[#This Row],[PMI]]-B166</f>
        <v>2.8036403089301984</v>
      </c>
    </row>
    <row r="168" spans="1:3" x14ac:dyDescent="0.2">
      <c r="A168" s="15">
        <v>42401</v>
      </c>
      <c r="B168" s="16">
        <v>56.078910394119397</v>
      </c>
      <c r="C168" s="33">
        <f>Table1346811121415161718192022253032[[#This Row],[PMI]]-B167</f>
        <v>-3.7103326418856</v>
      </c>
    </row>
    <row r="169" spans="1:3" x14ac:dyDescent="0.2">
      <c r="A169" s="15">
        <v>42430</v>
      </c>
      <c r="B169" s="16">
        <v>54.178654064476802</v>
      </c>
      <c r="C169" s="33">
        <f>Table1346811121415161718192022253032[[#This Row],[PMI]]-B168</f>
        <v>-1.9002563296425947</v>
      </c>
    </row>
    <row r="170" spans="1:3" x14ac:dyDescent="0.2">
      <c r="A170" s="15">
        <v>42461</v>
      </c>
      <c r="B170" s="16">
        <v>56.546320970312202</v>
      </c>
      <c r="C170" s="33">
        <f>Table1346811121415161718192022253032[[#This Row],[PMI]]-B169</f>
        <v>2.3676669058353994</v>
      </c>
    </row>
    <row r="171" spans="1:3" x14ac:dyDescent="0.2">
      <c r="A171" s="15">
        <v>42491</v>
      </c>
      <c r="B171" s="16">
        <v>56.327478347796301</v>
      </c>
      <c r="C171" s="33">
        <f>Table1346811121415161718192022253032[[#This Row],[PMI]]-B170</f>
        <v>-0.21884262251590059</v>
      </c>
    </row>
    <row r="172" spans="1:3" x14ac:dyDescent="0.2">
      <c r="A172" s="15">
        <v>42522</v>
      </c>
      <c r="B172" s="16">
        <v>57.559793008442902</v>
      </c>
      <c r="C172" s="33">
        <f>Table1346811121415161718192022253032[[#This Row],[PMI]]-B171</f>
        <v>1.2323146606466011</v>
      </c>
    </row>
    <row r="173" spans="1:3" x14ac:dyDescent="0.2">
      <c r="A173" s="15">
        <v>42552</v>
      </c>
      <c r="B173" s="16">
        <v>55.949978197804803</v>
      </c>
      <c r="C173" s="33">
        <f>Table1346811121415161718192022253032[[#This Row],[PMI]]-B172</f>
        <v>-1.6098148106380989</v>
      </c>
    </row>
    <row r="174" spans="1:3" x14ac:dyDescent="0.2">
      <c r="A174" s="15">
        <v>42583</v>
      </c>
      <c r="B174" s="16">
        <v>54.647059284907002</v>
      </c>
      <c r="C174" s="33">
        <f>Table1346811121415161718192022253032[[#This Row],[PMI]]-B173</f>
        <v>-1.3029189128978018</v>
      </c>
    </row>
    <row r="175" spans="1:3" x14ac:dyDescent="0.2">
      <c r="A175" s="15">
        <v>42614</v>
      </c>
      <c r="B175" s="16">
        <v>57.200032269804097</v>
      </c>
      <c r="C175" s="33">
        <f>Table1346811121415161718192022253032[[#This Row],[PMI]]-B174</f>
        <v>2.5529729848970959</v>
      </c>
    </row>
    <row r="176" spans="1:3" x14ac:dyDescent="0.2">
      <c r="A176" s="15">
        <v>42644</v>
      </c>
      <c r="B176" s="16">
        <v>54.770169462479103</v>
      </c>
      <c r="C176" s="33">
        <f>Table1346811121415161718192022253032[[#This Row],[PMI]]-B175</f>
        <v>-2.4298628073249944</v>
      </c>
    </row>
    <row r="177" spans="1:3" x14ac:dyDescent="0.2">
      <c r="A177" s="15">
        <v>42675</v>
      </c>
      <c r="B177" s="16">
        <v>54.294699659706197</v>
      </c>
      <c r="C177" s="33">
        <f>Table1346811121415161718192022253032[[#This Row],[PMI]]-B176</f>
        <v>-0.47546980277290629</v>
      </c>
    </row>
    <row r="178" spans="1:3" x14ac:dyDescent="0.2">
      <c r="A178" s="15">
        <v>42705</v>
      </c>
      <c r="B178" s="16">
        <v>54.632850303643103</v>
      </c>
      <c r="C178" s="33">
        <f>Table1346811121415161718192022253032[[#This Row],[PMI]]-B177</f>
        <v>0.33815064393690619</v>
      </c>
    </row>
    <row r="179" spans="1:3" x14ac:dyDescent="0.2">
      <c r="A179" s="15">
        <v>42736</v>
      </c>
      <c r="B179" s="16">
        <v>53.201234556972999</v>
      </c>
      <c r="C179" s="33">
        <f>Table1346811121415161718192022253032[[#This Row],[PMI]]-B178</f>
        <v>-1.4316157466701043</v>
      </c>
    </row>
    <row r="180" spans="1:3" x14ac:dyDescent="0.2">
      <c r="A180" s="15">
        <v>42767</v>
      </c>
      <c r="B180" s="16">
        <v>56.052093803738103</v>
      </c>
      <c r="C180" s="33">
        <f>Table1346811121415161718192022253032[[#This Row],[PMI]]-B179</f>
        <v>2.8508592467651042</v>
      </c>
    </row>
    <row r="181" spans="1:3" x14ac:dyDescent="0.2">
      <c r="A181" s="15">
        <v>42795</v>
      </c>
      <c r="B181" s="16">
        <v>58.722829092940202</v>
      </c>
      <c r="C181" s="33">
        <f>Table1346811121415161718192022253032[[#This Row],[PMI]]-B180</f>
        <v>2.6707352892020992</v>
      </c>
    </row>
    <row r="182" spans="1:3" x14ac:dyDescent="0.2">
      <c r="A182" s="15">
        <v>42826</v>
      </c>
      <c r="B182" s="16">
        <v>56.591209988029298</v>
      </c>
      <c r="C182" s="33">
        <f>Table1346811121415161718192022253032[[#This Row],[PMI]]-B181</f>
        <v>-2.1316191049109037</v>
      </c>
    </row>
    <row r="183" spans="1:3" x14ac:dyDescent="0.2">
      <c r="A183" s="15">
        <v>42856</v>
      </c>
      <c r="B183" s="16">
        <v>57.6796522807713</v>
      </c>
      <c r="C183" s="33">
        <f>Table1346811121415161718192022253032[[#This Row],[PMI]]-B182</f>
        <v>1.0884422927420019</v>
      </c>
    </row>
    <row r="184" spans="1:3" x14ac:dyDescent="0.2">
      <c r="A184" s="15">
        <v>42887</v>
      </c>
      <c r="B184" s="16">
        <v>55.908061806319601</v>
      </c>
      <c r="C184" s="33">
        <f>Table1346811121415161718192022253032[[#This Row],[PMI]]-B183</f>
        <v>-1.771590474451699</v>
      </c>
    </row>
    <row r="185" spans="1:3" x14ac:dyDescent="0.2">
      <c r="A185" s="15">
        <v>42917</v>
      </c>
      <c r="B185" s="16">
        <v>55.831645577076003</v>
      </c>
      <c r="C185" s="33">
        <f>Table1346811121415161718192022253032[[#This Row],[PMI]]-B184</f>
        <v>-7.6416229243598366E-2</v>
      </c>
    </row>
    <row r="186" spans="1:3" x14ac:dyDescent="0.2">
      <c r="A186" s="15">
        <v>42948</v>
      </c>
      <c r="B186" s="16">
        <v>57.887533658349597</v>
      </c>
      <c r="C186" s="33">
        <f>Table1346811121415161718192022253032[[#This Row],[PMI]]-B185</f>
        <v>2.0558880812735936</v>
      </c>
    </row>
    <row r="187" spans="1:3" x14ac:dyDescent="0.2">
      <c r="A187" s="15">
        <v>42979</v>
      </c>
      <c r="B187" s="16">
        <v>57.5865651905984</v>
      </c>
      <c r="C187" s="33">
        <f>Table1346811121415161718192022253032[[#This Row],[PMI]]-B186</f>
        <v>-0.30096846775119701</v>
      </c>
    </row>
    <row r="188" spans="1:3" x14ac:dyDescent="0.2">
      <c r="A188" s="15">
        <v>43009</v>
      </c>
      <c r="B188" s="16">
        <v>56.831431477817098</v>
      </c>
      <c r="C188" s="33">
        <f>Table1346811121415161718192022253032[[#This Row],[PMI]]-B187</f>
        <v>-0.75513371278130137</v>
      </c>
    </row>
    <row r="189" spans="1:3" x14ac:dyDescent="0.2">
      <c r="A189" s="15">
        <v>43040</v>
      </c>
      <c r="B189" s="16">
        <v>57.427575830614998</v>
      </c>
      <c r="C189" s="33">
        <f>Table1346811121415161718192022253032[[#This Row],[PMI]]-B188</f>
        <v>0.59614435279790001</v>
      </c>
    </row>
    <row r="190" spans="1:3" x14ac:dyDescent="0.2">
      <c r="A190" s="15">
        <v>43070</v>
      </c>
      <c r="B190" s="16">
        <v>50.964893006040199</v>
      </c>
      <c r="C190" s="33">
        <f>Table1346811121415161718192022253032[[#This Row],[PMI]]-B189</f>
        <v>-6.4626828245747987</v>
      </c>
    </row>
    <row r="191" spans="1:3" x14ac:dyDescent="0.2">
      <c r="A191" s="15">
        <v>43101</v>
      </c>
      <c r="B191" s="16">
        <v>55.399130043972598</v>
      </c>
      <c r="C191" s="33">
        <f>Table1346811121415161718192022253032[[#This Row],[PMI]]-B190</f>
        <v>4.4342370379323981</v>
      </c>
    </row>
    <row r="192" spans="1:3" x14ac:dyDescent="0.2">
      <c r="A192" s="15">
        <v>43132</v>
      </c>
      <c r="B192" s="16">
        <v>53.452875132901703</v>
      </c>
      <c r="C192" s="33">
        <f>Table1346811121415161718192022253032[[#This Row],[PMI]]-B191</f>
        <v>-1.9462549110708949</v>
      </c>
    </row>
    <row r="193" spans="1:3" x14ac:dyDescent="0.2">
      <c r="A193" s="15">
        <v>43160</v>
      </c>
      <c r="B193" s="16">
        <v>53.138892832554802</v>
      </c>
      <c r="C193" s="33">
        <f>Table1346811121415161718192022253032[[#This Row],[PMI]]-B192</f>
        <v>-0.31398230034690044</v>
      </c>
    </row>
    <row r="194" spans="1:3" x14ac:dyDescent="0.2">
      <c r="A194" s="15">
        <v>43191</v>
      </c>
      <c r="B194" s="16">
        <v>59.203530801353899</v>
      </c>
      <c r="C194" s="33">
        <f>Table1346811121415161718192022253032[[#This Row],[PMI]]-B193</f>
        <v>6.0646379687990972</v>
      </c>
    </row>
    <row r="195" spans="1:3" x14ac:dyDescent="0.2">
      <c r="A195" s="15">
        <v>43221</v>
      </c>
      <c r="B195" s="16">
        <v>54.328230091142899</v>
      </c>
      <c r="C195" s="33">
        <f>Table1346811121415161718192022253032[[#This Row],[PMI]]-B194</f>
        <v>-4.8753007102110004</v>
      </c>
    </row>
    <row r="196" spans="1:3" x14ac:dyDescent="0.2">
      <c r="A196" s="15">
        <v>43252</v>
      </c>
      <c r="B196" s="16">
        <v>52.724539725642202</v>
      </c>
      <c r="C196" s="33">
        <f>Table1346811121415161718192022253032[[#This Row],[PMI]]-B195</f>
        <v>-1.6036903655006967</v>
      </c>
    </row>
    <row r="197" spans="1:3" x14ac:dyDescent="0.2">
      <c r="A197" s="15">
        <v>43282</v>
      </c>
      <c r="B197" s="16">
        <v>51.2462636215065</v>
      </c>
      <c r="C197" s="33">
        <f>Table1346811121415161718192022253032[[#This Row],[PMI]]-B196</f>
        <v>-1.478276104135702</v>
      </c>
    </row>
    <row r="198" spans="1:3" x14ac:dyDescent="0.2">
      <c r="A198" s="15">
        <v>43313</v>
      </c>
      <c r="B198" s="16">
        <v>52.132210597352199</v>
      </c>
      <c r="C198" s="33">
        <f>Table1346811121415161718192022253032[[#This Row],[PMI]]-B197</f>
        <v>0.88594697584569815</v>
      </c>
    </row>
    <row r="199" spans="1:3" x14ac:dyDescent="0.2">
      <c r="A199" s="15">
        <v>43344</v>
      </c>
      <c r="B199" s="16">
        <v>51.870945765782103</v>
      </c>
      <c r="C199" s="33">
        <f>Table1346811121415161718192022253032[[#This Row],[PMI]]-B198</f>
        <v>-0.26126483157009517</v>
      </c>
    </row>
    <row r="200" spans="1:3" x14ac:dyDescent="0.2">
      <c r="A200" s="15">
        <v>43374</v>
      </c>
      <c r="B200" s="16">
        <v>53.5</v>
      </c>
      <c r="C200" s="33">
        <f>Table1346811121415161718192022253032[[#This Row],[PMI]]-B199</f>
        <v>1.6290542342178966</v>
      </c>
    </row>
    <row r="201" spans="1:3" x14ac:dyDescent="0.2">
      <c r="A201" s="15">
        <v>43405</v>
      </c>
      <c r="B201" s="16">
        <v>53.5</v>
      </c>
      <c r="C201" s="33">
        <f>Table1346811121415161718192022253032[[#This Row],[PMI]]-B200</f>
        <v>0</v>
      </c>
    </row>
    <row r="202" spans="1:3" x14ac:dyDescent="0.2">
      <c r="A202" s="15">
        <v>43435</v>
      </c>
      <c r="B202" s="16">
        <v>55.1</v>
      </c>
      <c r="C202" s="33">
        <f>Table1346811121415161718192022253032[[#This Row],[PMI]]-B201</f>
        <v>1.6000000000000014</v>
      </c>
    </row>
    <row r="203" spans="1:3" x14ac:dyDescent="0.2">
      <c r="A203" s="15">
        <v>43466</v>
      </c>
      <c r="B203" s="16">
        <v>53.1</v>
      </c>
      <c r="C203" s="33">
        <f>Table1346811121415161718192022253032[[#This Row],[PMI]]-B202</f>
        <v>-2</v>
      </c>
    </row>
    <row r="204" spans="1:3" x14ac:dyDescent="0.2">
      <c r="A204" s="15">
        <v>43497</v>
      </c>
      <c r="B204" s="16">
        <v>53.4</v>
      </c>
      <c r="C204" s="33">
        <f>Table1346811121415161718192022253032[[#This Row],[PMI]]-B203</f>
        <v>0.29999999999999716</v>
      </c>
    </row>
    <row r="205" spans="1:3" x14ac:dyDescent="0.2">
      <c r="A205" s="15">
        <v>43525</v>
      </c>
      <c r="B205" s="16">
        <v>51.9</v>
      </c>
      <c r="C205" s="33">
        <f>Table1346811121415161718192022253032[[#This Row],[PMI]]-B204</f>
        <v>-1.5</v>
      </c>
    </row>
    <row r="206" spans="1:3" x14ac:dyDescent="0.2">
      <c r="A206" s="15">
        <v>43556</v>
      </c>
      <c r="B206" s="16">
        <v>52.7</v>
      </c>
      <c r="C206" s="33">
        <f>Table1346811121415161718192022253032[[#This Row],[PMI]]-B205</f>
        <v>0.80000000000000426</v>
      </c>
    </row>
    <row r="207" spans="1:3" x14ac:dyDescent="0.2">
      <c r="A207" s="15">
        <v>43586</v>
      </c>
      <c r="B207" s="16">
        <v>50.2</v>
      </c>
      <c r="C207" s="33">
        <f>Table1346811121415161718192022253032[[#This Row],[PMI]]-B206</f>
        <v>-2.5</v>
      </c>
    </row>
    <row r="208" spans="1:3" x14ac:dyDescent="0.2">
      <c r="A208" s="15">
        <v>43617</v>
      </c>
      <c r="B208" s="16">
        <v>51.3</v>
      </c>
      <c r="C208" s="33">
        <f>Table1346811121415161718192022253032[[#This Row],[PMI]]-B207</f>
        <v>1.0999999999999943</v>
      </c>
    </row>
    <row r="209" spans="1:3" x14ac:dyDescent="0.2">
      <c r="A209" s="15">
        <v>43647</v>
      </c>
      <c r="B209" s="16">
        <v>48.1</v>
      </c>
      <c r="C209" s="33">
        <f>Table1346811121415161718192022253032[[#This Row],[PMI]]-B208</f>
        <v>-3.1999999999999957</v>
      </c>
    </row>
    <row r="210" spans="1:3" x14ac:dyDescent="0.2">
      <c r="A210" s="15">
        <v>43678</v>
      </c>
      <c r="B210" s="16">
        <v>48.4</v>
      </c>
      <c r="C210" s="33">
        <f>Table1346811121415161718192022253032[[#This Row],[PMI]]-B209</f>
        <v>0.29999999999999716</v>
      </c>
    </row>
    <row r="211" spans="1:3" x14ac:dyDescent="0.2">
      <c r="A211" s="15">
        <v>43709</v>
      </c>
      <c r="B211" s="16">
        <v>48.4</v>
      </c>
      <c r="C211" s="33">
        <f>Table1346811121415161718192022253032[[#This Row],[PMI]]-B210</f>
        <v>0</v>
      </c>
    </row>
    <row r="212" spans="1:3" x14ac:dyDescent="0.2">
      <c r="A212" s="15">
        <v>43739</v>
      </c>
      <c r="B212" s="16">
        <v>52.6</v>
      </c>
      <c r="C212" s="33">
        <f>Table1346811121415161718192022253032[[#This Row],[PMI]]-B211</f>
        <v>4.2000000000000028</v>
      </c>
    </row>
    <row r="213" spans="1:3" x14ac:dyDescent="0.2">
      <c r="A213" s="15">
        <v>43770</v>
      </c>
      <c r="B213" s="16">
        <v>51.4</v>
      </c>
      <c r="C213" s="33">
        <f>Table1346811121415161718192022253032[[#This Row],[PMI]]-B212</f>
        <v>-1.2000000000000028</v>
      </c>
    </row>
    <row r="214" spans="1:3" x14ac:dyDescent="0.2">
      <c r="A214" s="15">
        <v>43800</v>
      </c>
      <c r="B214" s="16">
        <v>49.3</v>
      </c>
      <c r="C214" s="33">
        <f>Table1346811121415161718192022253032[[#This Row],[PMI]]-B213</f>
        <v>-2.1000000000000014</v>
      </c>
    </row>
    <row r="215" spans="1:3" x14ac:dyDescent="0.2">
      <c r="A215" s="15">
        <v>43831</v>
      </c>
      <c r="B215" s="16">
        <v>49.6</v>
      </c>
      <c r="C215" s="33">
        <f>Table1346811121415161718192022253032[[#This Row],[PMI]]-B214</f>
        <v>0.30000000000000426</v>
      </c>
    </row>
    <row r="216" spans="1:3" x14ac:dyDescent="0.2">
      <c r="A216" s="15">
        <v>43862</v>
      </c>
      <c r="B216" s="16">
        <v>53.2</v>
      </c>
      <c r="C216" s="33">
        <f>Table1346811121415161718192022253032[[#This Row],[PMI]]-B215</f>
        <v>3.6000000000000014</v>
      </c>
    </row>
    <row r="217" spans="1:3" x14ac:dyDescent="0.2">
      <c r="A217" s="15">
        <v>43891</v>
      </c>
      <c r="B217" s="16">
        <v>38</v>
      </c>
      <c r="C217" s="33">
        <f>Table1346811121415161718192022253032[[#This Row],[PMI]]-B216</f>
        <v>-15.200000000000003</v>
      </c>
    </row>
    <row r="218" spans="1:3" x14ac:dyDescent="0.2">
      <c r="A218" s="15">
        <v>43922</v>
      </c>
      <c r="B218" s="16">
        <v>26.1</v>
      </c>
      <c r="C218" s="33">
        <f>Table1346811121415161718192022253032[[#This Row],[PMI]]-B217</f>
        <v>-11.899999999999999</v>
      </c>
    </row>
    <row r="219" spans="1:3" x14ac:dyDescent="0.2">
      <c r="A219" s="15">
        <v>43952</v>
      </c>
      <c r="B219" s="16">
        <v>39.700000000000003</v>
      </c>
      <c r="C219" s="33">
        <f>Table1346811121415161718192022253032[[#This Row],[PMI]]-B218</f>
        <v>13.600000000000001</v>
      </c>
    </row>
    <row r="220" spans="1:3" x14ac:dyDescent="0.2">
      <c r="A220" s="15">
        <v>43983</v>
      </c>
      <c r="B220" s="16">
        <v>56.3</v>
      </c>
      <c r="C220" s="33">
        <f>Table1346811121415161718192022253032[[#This Row],[PMI]]-B219</f>
        <v>16.599999999999994</v>
      </c>
    </row>
    <row r="221" spans="1:3" x14ac:dyDescent="0.2">
      <c r="A221" s="15">
        <v>44013</v>
      </c>
      <c r="B221" s="16">
        <v>59</v>
      </c>
      <c r="C221" s="33">
        <f>Table1346811121415161718192022253032[[#This Row],[PMI]]-B220</f>
        <v>2.7000000000000028</v>
      </c>
    </row>
    <row r="222" spans="1:3" x14ac:dyDescent="0.2">
      <c r="A222" s="15">
        <v>44044</v>
      </c>
      <c r="B222" s="16">
        <v>51</v>
      </c>
      <c r="C222" s="33">
        <f>Table1346811121415161718192022253032[[#This Row],[PMI]]-B221</f>
        <v>-8</v>
      </c>
    </row>
    <row r="223" spans="1:3" x14ac:dyDescent="0.2">
      <c r="A223" s="15">
        <v>44075</v>
      </c>
      <c r="B223" s="16">
        <v>54</v>
      </c>
      <c r="C223" s="33">
        <f>Table1346811121415161718192022253032[[#This Row],[PMI]]-B222</f>
        <v>3</v>
      </c>
    </row>
    <row r="224" spans="1:3" x14ac:dyDescent="0.2">
      <c r="A224" s="15">
        <v>44105</v>
      </c>
      <c r="B224" s="16">
        <v>51.7</v>
      </c>
      <c r="C224" s="33">
        <f>Table1346811121415161718192022253032[[#This Row],[PMI]]-B223</f>
        <v>-2.2999999999999972</v>
      </c>
    </row>
    <row r="225" spans="1:3" x14ac:dyDescent="0.2">
      <c r="A225" s="15">
        <v>44136</v>
      </c>
      <c r="B225" s="16">
        <v>55.3</v>
      </c>
      <c r="C225" s="33">
        <f>Table1346811121415161718192022253032[[#This Row],[PMI]]-B224</f>
        <v>3.5999999999999943</v>
      </c>
    </row>
    <row r="226" spans="1:3" x14ac:dyDescent="0.2">
      <c r="A226" s="15">
        <v>44166</v>
      </c>
      <c r="B226" s="16">
        <v>48.7</v>
      </c>
      <c r="C226" s="33">
        <f>Table1346811121415161718192022253032[[#This Row],[PMI]]-B225</f>
        <v>-6.5999999999999943</v>
      </c>
    </row>
    <row r="227" spans="1:3" x14ac:dyDescent="0.2">
      <c r="A227" s="15">
        <v>44197</v>
      </c>
      <c r="B227" s="16">
        <v>58.05</v>
      </c>
      <c r="C227" s="33">
        <f>Table1346811121415161718192022253032[[#This Row],[PMI]]-B226</f>
        <v>9.3499999999999943</v>
      </c>
    </row>
    <row r="228" spans="1:3" x14ac:dyDescent="0.2">
      <c r="A228" s="15">
        <v>44228</v>
      </c>
      <c r="B228" s="16">
        <v>54.21</v>
      </c>
      <c r="C228" s="33">
        <f>Table1346811121415161718192022253032[[#This Row],[PMI]]-B227</f>
        <v>-3.8399999999999963</v>
      </c>
    </row>
    <row r="229" spans="1:3" x14ac:dyDescent="0.2">
      <c r="A229" s="15">
        <v>44256</v>
      </c>
      <c r="B229" s="16">
        <v>63.6</v>
      </c>
      <c r="C229" s="33">
        <f>Table1346811121415161718192022253032[[#This Row],[PMI]]-B228</f>
        <v>9.39</v>
      </c>
    </row>
    <row r="230" spans="1:3" x14ac:dyDescent="0.2">
      <c r="A230" s="15">
        <v>44287</v>
      </c>
      <c r="B230" s="16">
        <v>58.3</v>
      </c>
      <c r="C230" s="33">
        <f>Table1346811121415161718192022253032[[#This Row],[PMI]]-B229</f>
        <v>-5.3000000000000043</v>
      </c>
    </row>
    <row r="231" spans="1:3" x14ac:dyDescent="0.2">
      <c r="A231" s="15">
        <v>44317</v>
      </c>
      <c r="B231" s="16">
        <v>58.6</v>
      </c>
      <c r="C231" s="33">
        <f>Table1346811121415161718192022253032[[#This Row],[PMI]]-B230</f>
        <v>0.30000000000000426</v>
      </c>
    </row>
    <row r="232" spans="1:3" x14ac:dyDescent="0.2">
      <c r="A232" s="15">
        <v>44348</v>
      </c>
      <c r="B232" s="16">
        <v>60.9</v>
      </c>
      <c r="C232" s="33">
        <f>Table1346811121415161718192022253032[[#This Row],[PMI]]-B231</f>
        <v>2.2999999999999972</v>
      </c>
    </row>
    <row r="233" spans="1:3" x14ac:dyDescent="0.2">
      <c r="A233" s="15">
        <v>44378</v>
      </c>
      <c r="B233" s="16">
        <v>62.2</v>
      </c>
      <c r="C233" s="33">
        <f>Table1346811121415161718192022253032[[#This Row],[PMI]]-B232</f>
        <v>1.3000000000000043</v>
      </c>
    </row>
    <row r="234" spans="1:3" x14ac:dyDescent="0.2">
      <c r="A234" s="15">
        <v>44409</v>
      </c>
      <c r="B234" s="16">
        <v>39.700000000000003</v>
      </c>
      <c r="C234" s="33">
        <f>Table1346811121415161718192022253032[[#This Row],[PMI]]-B233</f>
        <v>-22.5</v>
      </c>
    </row>
    <row r="235" spans="1:3" x14ac:dyDescent="0.2">
      <c r="A235" s="15">
        <v>44440</v>
      </c>
      <c r="B235" s="16">
        <v>51.4</v>
      </c>
      <c r="C235" s="33">
        <f>Table1346811121415161718192022253032[[#This Row],[PMI]]-B234</f>
        <v>11.699999999999996</v>
      </c>
    </row>
    <row r="236" spans="1:3" x14ac:dyDescent="0.2">
      <c r="A236" s="15">
        <v>44470</v>
      </c>
      <c r="B236" s="16">
        <v>54.3</v>
      </c>
      <c r="C236" s="33">
        <f>Table1346811121415161718192022253032[[#This Row],[PMI]]-B235</f>
        <v>2.8999999999999986</v>
      </c>
    </row>
    <row r="237" spans="1:3" x14ac:dyDescent="0.2">
      <c r="A237" s="15">
        <v>44501</v>
      </c>
      <c r="B237" s="16">
        <v>50.6</v>
      </c>
      <c r="C237" s="33">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35</vt:i4>
      </vt:variant>
    </vt:vector>
  </HeadingPairs>
  <TitlesOfParts>
    <vt:vector size="35" baseType="lpstr">
      <vt:lpstr>Note</vt:lpstr>
      <vt:lpstr>Database</vt:lpstr>
      <vt:lpstr>DB Country PMI</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2022-01-31T17:41:06Z</dcterms:modified>
</cp:coreProperties>
</file>